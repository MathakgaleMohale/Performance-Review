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05. Performance Report/"/>
    </mc:Choice>
  </mc:AlternateContent>
  <xr:revisionPtr revIDLastSave="4494" documentId="13_ncr:1_{8CCFD1E3-719E-4C10-96BD-950107C648A6}" xr6:coauthVersionLast="47" xr6:coauthVersionMax="47" xr10:uidLastSave="{7C522F82-D847-46D4-9880-660BB34C7D42}"/>
  <bookViews>
    <workbookView xWindow="30" yWindow="-16320" windowWidth="29040" windowHeight="15720" tabRatio="746" activeTab="6"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performance" sheetId="9" r:id="rId7"/>
    <sheet name="Comments" sheetId="10" r:id="rId8"/>
    <sheet name="CountryList" sheetId="11" state="hidden" r:id="rId9"/>
  </sheets>
  <definedNames>
    <definedName name="AfricaCountries">CountryList!$A$1:$A$54</definedName>
    <definedName name="DegradationRate">expected_production!$J$1</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666" i="7" l="1"/>
  <c r="G2665" i="7"/>
  <c r="G2664" i="7"/>
  <c r="G2663" i="7"/>
  <c r="G2662" i="7"/>
  <c r="G2661" i="7"/>
  <c r="G2660" i="7"/>
  <c r="G2659" i="7"/>
  <c r="G2658" i="7"/>
  <c r="G2657" i="7"/>
  <c r="G2656" i="7"/>
  <c r="G2655" i="7"/>
  <c r="G2654" i="7"/>
  <c r="G2653" i="7"/>
  <c r="G2652" i="7"/>
  <c r="G2651" i="7"/>
  <c r="G2650" i="7"/>
  <c r="G2649" i="7"/>
  <c r="G2648" i="7"/>
  <c r="G2647" i="7"/>
  <c r="G2646" i="7"/>
  <c r="G2645" i="7"/>
  <c r="G2644" i="7"/>
  <c r="G2643" i="7"/>
  <c r="G2642" i="7"/>
  <c r="G2641" i="7"/>
  <c r="G2640" i="7"/>
  <c r="G2639" i="7"/>
  <c r="G2638" i="7"/>
  <c r="G2637" i="7"/>
  <c r="G2636" i="7"/>
  <c r="G2635" i="7"/>
  <c r="G2634" i="7"/>
  <c r="G2633" i="7"/>
  <c r="G2632" i="7"/>
  <c r="G2631" i="7"/>
  <c r="D2780" i="7"/>
  <c r="E2780" i="7" s="1"/>
  <c r="F2780" i="7" s="1"/>
  <c r="D2779" i="7"/>
  <c r="E2779" i="7" s="1"/>
  <c r="F2779" i="7" s="1"/>
  <c r="D2778" i="7"/>
  <c r="E2778" i="7" s="1"/>
  <c r="F2778" i="7" s="1"/>
  <c r="D2777" i="7"/>
  <c r="E2777" i="7" s="1"/>
  <c r="F2777" i="7" s="1"/>
  <c r="D2776" i="7"/>
  <c r="E2776" i="7" s="1"/>
  <c r="F2776" i="7" s="1"/>
  <c r="D2775" i="7"/>
  <c r="E2775" i="7" s="1"/>
  <c r="F2775" i="7" s="1"/>
  <c r="D2774" i="7"/>
  <c r="E2774" i="7" s="1"/>
  <c r="F2774" i="7" s="1"/>
  <c r="D2773" i="7"/>
  <c r="E2773" i="7" s="1"/>
  <c r="F2773" i="7" s="1"/>
  <c r="D2772" i="7"/>
  <c r="E2772" i="7" s="1"/>
  <c r="F2772" i="7" s="1"/>
  <c r="D2771" i="7"/>
  <c r="E2771" i="7" s="1"/>
  <c r="F2771" i="7" s="1"/>
  <c r="D2770" i="7"/>
  <c r="E2770" i="7" s="1"/>
  <c r="F2770" i="7" s="1"/>
  <c r="D2769" i="7"/>
  <c r="E2769" i="7" s="1"/>
  <c r="F2769" i="7" s="1"/>
  <c r="D2768" i="7"/>
  <c r="E2768" i="7" s="1"/>
  <c r="F2768" i="7" s="1"/>
  <c r="D2767" i="7"/>
  <c r="E2767" i="7" s="1"/>
  <c r="F2767" i="7" s="1"/>
  <c r="D2766" i="7"/>
  <c r="E2766" i="7" s="1"/>
  <c r="F2766" i="7" s="1"/>
  <c r="D2765" i="7"/>
  <c r="E2765" i="7" s="1"/>
  <c r="F2765" i="7" s="1"/>
  <c r="D2764" i="7"/>
  <c r="E2764" i="7" s="1"/>
  <c r="F2764" i="7" s="1"/>
  <c r="D2763" i="7"/>
  <c r="E2763" i="7" s="1"/>
  <c r="F2763" i="7" s="1"/>
  <c r="D2762" i="7"/>
  <c r="E2762" i="7" s="1"/>
  <c r="F2762" i="7" s="1"/>
  <c r="D2761" i="7"/>
  <c r="E2761" i="7" s="1"/>
  <c r="F2761" i="7" s="1"/>
  <c r="D2760" i="7"/>
  <c r="E2760" i="7" s="1"/>
  <c r="F2760" i="7" s="1"/>
  <c r="D2759" i="7"/>
  <c r="E2759" i="7" s="1"/>
  <c r="F2759" i="7" s="1"/>
  <c r="D2758" i="7"/>
  <c r="E2758" i="7" s="1"/>
  <c r="F2758" i="7" s="1"/>
  <c r="D2757" i="7"/>
  <c r="E2757" i="7" s="1"/>
  <c r="F2757" i="7" s="1"/>
  <c r="D2756" i="7"/>
  <c r="E2756" i="7" s="1"/>
  <c r="F2756" i="7" s="1"/>
  <c r="D2755" i="7"/>
  <c r="E2755" i="7" s="1"/>
  <c r="F2755" i="7" s="1"/>
  <c r="D2754" i="7"/>
  <c r="E2754" i="7" s="1"/>
  <c r="F2754" i="7" s="1"/>
  <c r="D2753" i="7"/>
  <c r="E2753" i="7" s="1"/>
  <c r="F2753" i="7" s="1"/>
  <c r="D2752" i="7"/>
  <c r="E2752" i="7" s="1"/>
  <c r="F2752" i="7" s="1"/>
  <c r="D2751" i="7"/>
  <c r="E2751" i="7" s="1"/>
  <c r="F2751" i="7" s="1"/>
  <c r="D2750" i="7"/>
  <c r="E2750" i="7" s="1"/>
  <c r="F2750" i="7" s="1"/>
  <c r="D2749" i="7"/>
  <c r="E2749" i="7" s="1"/>
  <c r="F2749" i="7" s="1"/>
  <c r="D2748" i="7"/>
  <c r="E2748" i="7" s="1"/>
  <c r="F2748" i="7" s="1"/>
  <c r="D2747" i="7"/>
  <c r="E2747" i="7" s="1"/>
  <c r="F2747" i="7" s="1"/>
  <c r="D2746" i="7"/>
  <c r="E2746" i="7" s="1"/>
  <c r="F2746" i="7" s="1"/>
  <c r="D2745" i="7"/>
  <c r="E2745" i="7" s="1"/>
  <c r="F2745" i="7" s="1"/>
  <c r="D2744" i="7"/>
  <c r="E2744" i="7" s="1"/>
  <c r="F2744" i="7" s="1"/>
  <c r="D2743" i="7"/>
  <c r="E2743" i="7" s="1"/>
  <c r="F2743" i="7" s="1"/>
  <c r="D2742" i="7"/>
  <c r="E2742" i="7" s="1"/>
  <c r="F2742" i="7" s="1"/>
  <c r="D2741" i="7"/>
  <c r="E2741" i="7" s="1"/>
  <c r="F2741" i="7" s="1"/>
  <c r="D2740" i="7"/>
  <c r="E2740" i="7" s="1"/>
  <c r="F2740" i="7" s="1"/>
  <c r="D2739" i="7"/>
  <c r="E2739" i="7" s="1"/>
  <c r="F2739" i="7" s="1"/>
  <c r="D2738" i="7"/>
  <c r="E2738" i="7" s="1"/>
  <c r="F2738" i="7" s="1"/>
  <c r="D2737" i="7"/>
  <c r="E2737" i="7" s="1"/>
  <c r="F2737" i="7" s="1"/>
  <c r="D2736" i="7"/>
  <c r="E2736" i="7" s="1"/>
  <c r="F2736" i="7" s="1"/>
  <c r="D2735" i="7"/>
  <c r="E2735" i="7" s="1"/>
  <c r="F2735" i="7" s="1"/>
  <c r="D2734" i="7"/>
  <c r="E2734" i="7" s="1"/>
  <c r="F2734" i="7" s="1"/>
  <c r="D2733" i="7"/>
  <c r="E2733" i="7" s="1"/>
  <c r="F2733" i="7" s="1"/>
  <c r="D2732" i="7"/>
  <c r="E2732" i="7" s="1"/>
  <c r="F2732" i="7" s="1"/>
  <c r="D2731" i="7"/>
  <c r="E2731" i="7" s="1"/>
  <c r="F2731" i="7" s="1"/>
  <c r="D2730" i="7"/>
  <c r="E2730" i="7" s="1"/>
  <c r="F2730" i="7" s="1"/>
  <c r="D2729" i="7"/>
  <c r="E2729" i="7" s="1"/>
  <c r="F2729" i="7" s="1"/>
  <c r="D2728" i="7"/>
  <c r="E2728" i="7" s="1"/>
  <c r="F2728" i="7" s="1"/>
  <c r="D2727" i="7"/>
  <c r="E2727" i="7" s="1"/>
  <c r="F2727" i="7" s="1"/>
  <c r="D2726" i="7"/>
  <c r="E2726" i="7" s="1"/>
  <c r="F2726" i="7" s="1"/>
  <c r="D2725" i="7"/>
  <c r="E2725" i="7" s="1"/>
  <c r="F2725" i="7" s="1"/>
  <c r="D2724" i="7"/>
  <c r="E2724" i="7" s="1"/>
  <c r="F2724" i="7" s="1"/>
  <c r="D2723" i="7"/>
  <c r="E2723" i="7" s="1"/>
  <c r="F2723" i="7" s="1"/>
  <c r="D2722" i="7"/>
  <c r="E2722" i="7" s="1"/>
  <c r="F2722" i="7" s="1"/>
  <c r="D2721" i="7"/>
  <c r="E2721" i="7" s="1"/>
  <c r="F2721" i="7" s="1"/>
  <c r="D2720" i="7"/>
  <c r="E2720" i="7" s="1"/>
  <c r="F2720" i="7" s="1"/>
  <c r="D2719" i="7"/>
  <c r="E2719" i="7" s="1"/>
  <c r="F2719" i="7" s="1"/>
  <c r="D2718" i="7"/>
  <c r="E2718" i="7" s="1"/>
  <c r="F2718" i="7" s="1"/>
  <c r="D2717" i="7"/>
  <c r="E2717" i="7" s="1"/>
  <c r="F2717" i="7" s="1"/>
  <c r="D2716" i="7"/>
  <c r="E2716" i="7" s="1"/>
  <c r="F2716" i="7" s="1"/>
  <c r="D2715" i="7"/>
  <c r="E2715" i="7" s="1"/>
  <c r="F2715" i="7" s="1"/>
  <c r="D2714" i="7"/>
  <c r="E2714" i="7" s="1"/>
  <c r="F2714" i="7" s="1"/>
  <c r="D2713" i="7"/>
  <c r="E2713" i="7" s="1"/>
  <c r="F2713" i="7" s="1"/>
  <c r="D2712" i="7"/>
  <c r="E2712" i="7" s="1"/>
  <c r="F2712" i="7" s="1"/>
  <c r="D2711" i="7"/>
  <c r="E2711" i="7" s="1"/>
  <c r="F2711" i="7" s="1"/>
  <c r="D2710" i="7"/>
  <c r="E2710" i="7" s="1"/>
  <c r="F2710" i="7" s="1"/>
  <c r="D2709" i="7"/>
  <c r="E2709" i="7" s="1"/>
  <c r="F2709" i="7" s="1"/>
  <c r="D2708" i="7"/>
  <c r="E2708" i="7" s="1"/>
  <c r="F2708" i="7" s="1"/>
  <c r="D2707" i="7"/>
  <c r="E2707" i="7" s="1"/>
  <c r="F2707" i="7" s="1"/>
  <c r="D2706" i="7"/>
  <c r="E2706" i="7" s="1"/>
  <c r="F2706" i="7" s="1"/>
  <c r="D2705" i="7"/>
  <c r="E2705" i="7" s="1"/>
  <c r="F2705" i="7" s="1"/>
  <c r="D2704" i="7"/>
  <c r="E2704" i="7" s="1"/>
  <c r="F2704" i="7" s="1"/>
  <c r="D2703" i="7"/>
  <c r="E2703" i="7" s="1"/>
  <c r="F2703" i="7" s="1"/>
  <c r="D2702" i="7"/>
  <c r="E2702" i="7" s="1"/>
  <c r="F2702" i="7" s="1"/>
  <c r="D2701" i="7"/>
  <c r="E2701" i="7" s="1"/>
  <c r="F2701" i="7" s="1"/>
  <c r="D2700" i="7"/>
  <c r="E2700" i="7" s="1"/>
  <c r="F2700" i="7" s="1"/>
  <c r="D2699" i="7"/>
  <c r="E2699" i="7" s="1"/>
  <c r="F2699" i="7" s="1"/>
  <c r="D2698" i="7"/>
  <c r="E2698" i="7" s="1"/>
  <c r="F2698" i="7" s="1"/>
  <c r="D2697" i="7"/>
  <c r="E2697" i="7" s="1"/>
  <c r="F2697" i="7" s="1"/>
  <c r="D2696" i="7"/>
  <c r="E2696" i="7" s="1"/>
  <c r="F2696" i="7" s="1"/>
  <c r="D2695" i="7"/>
  <c r="E2695" i="7" s="1"/>
  <c r="F2695" i="7" s="1"/>
  <c r="D2694" i="7"/>
  <c r="E2694" i="7" s="1"/>
  <c r="F2694" i="7" s="1"/>
  <c r="D2693" i="7"/>
  <c r="E2693" i="7" s="1"/>
  <c r="F2693" i="7" s="1"/>
  <c r="D2692" i="7"/>
  <c r="E2692" i="7" s="1"/>
  <c r="F2692" i="7" s="1"/>
  <c r="D2691" i="7"/>
  <c r="E2691" i="7" s="1"/>
  <c r="F2691" i="7" s="1"/>
  <c r="D2690" i="7"/>
  <c r="E2690" i="7" s="1"/>
  <c r="F2690" i="7" s="1"/>
  <c r="D2689" i="7"/>
  <c r="E2689" i="7" s="1"/>
  <c r="F2689" i="7" s="1"/>
  <c r="D2688" i="7"/>
  <c r="E2688" i="7" s="1"/>
  <c r="F2688" i="7" s="1"/>
  <c r="D2687" i="7"/>
  <c r="E2687" i="7" s="1"/>
  <c r="F2687" i="7" s="1"/>
  <c r="D2686" i="7"/>
  <c r="E2686" i="7" s="1"/>
  <c r="F2686" i="7" s="1"/>
  <c r="D2685" i="7"/>
  <c r="E2685" i="7" s="1"/>
  <c r="F2685" i="7" s="1"/>
  <c r="D2684" i="7"/>
  <c r="E2684" i="7" s="1"/>
  <c r="F2684" i="7" s="1"/>
  <c r="D2683" i="7"/>
  <c r="E2683" i="7" s="1"/>
  <c r="F2683" i="7" s="1"/>
  <c r="D2682" i="7"/>
  <c r="E2682" i="7" s="1"/>
  <c r="F2682" i="7" s="1"/>
  <c r="D2681" i="7"/>
  <c r="E2681" i="7" s="1"/>
  <c r="F2681" i="7" s="1"/>
  <c r="D2680" i="7"/>
  <c r="E2680" i="7" s="1"/>
  <c r="F2680" i="7" s="1"/>
  <c r="D2679" i="7"/>
  <c r="E2679" i="7" s="1"/>
  <c r="F2679" i="7" s="1"/>
  <c r="D2678" i="7"/>
  <c r="E2678" i="7" s="1"/>
  <c r="F2678" i="7" s="1"/>
  <c r="D2677" i="7"/>
  <c r="E2677" i="7" s="1"/>
  <c r="F2677" i="7" s="1"/>
  <c r="D2676" i="7"/>
  <c r="E2676" i="7" s="1"/>
  <c r="F2676" i="7" s="1"/>
  <c r="D2675" i="7"/>
  <c r="E2675" i="7" s="1"/>
  <c r="F2675" i="7" s="1"/>
  <c r="D2674" i="7"/>
  <c r="E2674" i="7" s="1"/>
  <c r="F2674" i="7" s="1"/>
  <c r="D2673" i="7"/>
  <c r="E2673" i="7" s="1"/>
  <c r="F2673" i="7" s="1"/>
  <c r="D2672" i="7"/>
  <c r="E2672" i="7" s="1"/>
  <c r="F2672" i="7" s="1"/>
  <c r="D2671" i="7"/>
  <c r="E2671" i="7" s="1"/>
  <c r="F2671" i="7" s="1"/>
  <c r="D2670" i="7"/>
  <c r="E2670" i="7" s="1"/>
  <c r="F2670" i="7" s="1"/>
  <c r="D2669" i="7"/>
  <c r="E2669" i="7" s="1"/>
  <c r="F2669" i="7" s="1"/>
  <c r="D2668" i="7"/>
  <c r="E2668" i="7" s="1"/>
  <c r="F2668" i="7" s="1"/>
  <c r="D2667" i="7"/>
  <c r="E2667" i="7" s="1"/>
  <c r="F2667" i="7" s="1"/>
  <c r="D2666" i="7"/>
  <c r="E2666" i="7" s="1"/>
  <c r="F2666" i="7" s="1"/>
  <c r="D2665" i="7"/>
  <c r="E2665" i="7" s="1"/>
  <c r="F2665" i="7" s="1"/>
  <c r="D2664" i="7"/>
  <c r="E2664" i="7" s="1"/>
  <c r="F2664" i="7" s="1"/>
  <c r="D2663" i="7"/>
  <c r="E2663" i="7" s="1"/>
  <c r="F2663" i="7" s="1"/>
  <c r="D2662" i="7"/>
  <c r="E2662" i="7" s="1"/>
  <c r="F2662" i="7" s="1"/>
  <c r="D2661" i="7"/>
  <c r="E2661" i="7" s="1"/>
  <c r="F2661" i="7" s="1"/>
  <c r="D2660" i="7"/>
  <c r="E2660" i="7" s="1"/>
  <c r="F2660" i="7" s="1"/>
  <c r="D2659" i="7"/>
  <c r="E2659" i="7" s="1"/>
  <c r="F2659" i="7" s="1"/>
  <c r="D2658" i="7"/>
  <c r="E2658" i="7" s="1"/>
  <c r="F2658" i="7" s="1"/>
  <c r="D2657" i="7"/>
  <c r="E2657" i="7" s="1"/>
  <c r="F2657" i="7" s="1"/>
  <c r="D2656" i="7"/>
  <c r="E2656" i="7" s="1"/>
  <c r="F2656" i="7" s="1"/>
  <c r="D2655" i="7"/>
  <c r="E2655" i="7" s="1"/>
  <c r="F2655" i="7" s="1"/>
  <c r="D2654" i="7"/>
  <c r="E2654" i="7" s="1"/>
  <c r="F2654" i="7" s="1"/>
  <c r="D2653" i="7"/>
  <c r="E2653" i="7" s="1"/>
  <c r="F2653" i="7" s="1"/>
  <c r="D2652" i="7"/>
  <c r="E2652" i="7" s="1"/>
  <c r="F2652" i="7" s="1"/>
  <c r="D2651" i="7"/>
  <c r="E2651" i="7" s="1"/>
  <c r="F2651" i="7" s="1"/>
  <c r="D2650" i="7"/>
  <c r="E2650" i="7" s="1"/>
  <c r="F2650" i="7" s="1"/>
  <c r="D2649" i="7"/>
  <c r="E2649" i="7" s="1"/>
  <c r="F2649" i="7" s="1"/>
  <c r="D2648" i="7"/>
  <c r="E2648" i="7" s="1"/>
  <c r="F2648" i="7" s="1"/>
  <c r="D2647" i="7"/>
  <c r="E2647" i="7" s="1"/>
  <c r="F2647" i="7" s="1"/>
  <c r="D2646" i="7"/>
  <c r="E2646" i="7" s="1"/>
  <c r="F2646" i="7" s="1"/>
  <c r="D2645" i="7"/>
  <c r="E2645" i="7" s="1"/>
  <c r="F2645" i="7" s="1"/>
  <c r="D2644" i="7"/>
  <c r="E2644" i="7" s="1"/>
  <c r="F2644" i="7" s="1"/>
  <c r="D2643" i="7"/>
  <c r="E2643" i="7" s="1"/>
  <c r="F2643" i="7" s="1"/>
  <c r="D2642" i="7"/>
  <c r="E2642" i="7" s="1"/>
  <c r="F2642" i="7" s="1"/>
  <c r="D2641" i="7"/>
  <c r="E2641" i="7" s="1"/>
  <c r="F2641" i="7" s="1"/>
  <c r="D2640" i="7"/>
  <c r="E2640" i="7" s="1"/>
  <c r="F2640" i="7" s="1"/>
  <c r="D2639" i="7"/>
  <c r="E2639" i="7" s="1"/>
  <c r="F2639" i="7" s="1"/>
  <c r="D2638" i="7"/>
  <c r="E2638" i="7" s="1"/>
  <c r="F2638" i="7" s="1"/>
  <c r="D2637" i="7"/>
  <c r="E2637" i="7" s="1"/>
  <c r="F2637" i="7" s="1"/>
  <c r="D2636" i="7"/>
  <c r="E2636" i="7" s="1"/>
  <c r="F2636" i="7" s="1"/>
  <c r="D2635" i="7"/>
  <c r="E2635" i="7" s="1"/>
  <c r="F2635" i="7" s="1"/>
  <c r="D2634" i="7"/>
  <c r="E2634" i="7" s="1"/>
  <c r="F2634" i="7" s="1"/>
  <c r="D2633" i="7"/>
  <c r="E2633" i="7" s="1"/>
  <c r="F2633" i="7" s="1"/>
  <c r="D2632" i="7"/>
  <c r="E2632" i="7" s="1"/>
  <c r="F2632" i="7" s="1"/>
  <c r="D2631" i="7"/>
  <c r="E2631" i="7" s="1"/>
  <c r="F2631" i="7" s="1"/>
  <c r="D2630" i="7"/>
  <c r="E2630" i="7" s="1"/>
  <c r="F2630" i="7" s="1"/>
  <c r="G2630" i="7" s="1"/>
  <c r="D2629" i="7"/>
  <c r="E2629" i="7" s="1"/>
  <c r="F2629" i="7" s="1"/>
  <c r="G2629" i="7" s="1"/>
  <c r="D2628" i="7"/>
  <c r="E2628" i="7" s="1"/>
  <c r="F2628" i="7" s="1"/>
  <c r="G2628" i="7" s="1"/>
  <c r="D2627" i="7"/>
  <c r="E2627" i="7" s="1"/>
  <c r="F2627" i="7" s="1"/>
  <c r="G2627" i="7" s="1"/>
  <c r="D2626" i="7"/>
  <c r="E2626" i="7" s="1"/>
  <c r="F2626" i="7" s="1"/>
  <c r="G2626" i="7" s="1"/>
  <c r="D2625" i="7"/>
  <c r="E2625" i="7" s="1"/>
  <c r="F2625" i="7" s="1"/>
  <c r="G2625" i="7" s="1"/>
  <c r="D2624" i="7"/>
  <c r="E2624" i="7" s="1"/>
  <c r="F2624" i="7" s="1"/>
  <c r="G2624" i="7" s="1"/>
  <c r="D2623" i="7"/>
  <c r="E2623" i="7" s="1"/>
  <c r="F2623" i="7" s="1"/>
  <c r="G2623" i="7" s="1"/>
  <c r="D2622" i="7"/>
  <c r="E2622" i="7" s="1"/>
  <c r="F2622" i="7" s="1"/>
  <c r="G2622" i="7" s="1"/>
  <c r="D2621" i="7"/>
  <c r="E2621" i="7" s="1"/>
  <c r="F2621" i="7" s="1"/>
  <c r="G2621" i="7" s="1"/>
  <c r="D2620" i="7"/>
  <c r="E2620" i="7" s="1"/>
  <c r="F2620" i="7" s="1"/>
  <c r="G2620" i="7" s="1"/>
  <c r="D2619" i="7"/>
  <c r="E2619" i="7" s="1"/>
  <c r="F2619" i="7" s="1"/>
  <c r="G2619" i="7" s="1"/>
  <c r="D2618" i="7"/>
  <c r="E2618" i="7" s="1"/>
  <c r="F2618" i="7" s="1"/>
  <c r="G2618" i="7" s="1"/>
  <c r="D2617" i="7"/>
  <c r="E2617" i="7" s="1"/>
  <c r="F2617" i="7" s="1"/>
  <c r="G2617" i="7" s="1"/>
  <c r="D2616" i="7"/>
  <c r="E2616" i="7" s="1"/>
  <c r="F2616" i="7" s="1"/>
  <c r="G2616" i="7" s="1"/>
  <c r="D2615" i="7"/>
  <c r="E2615" i="7" s="1"/>
  <c r="F2615" i="7" s="1"/>
  <c r="G2615" i="7" s="1"/>
  <c r="D2614" i="7"/>
  <c r="E2614" i="7" s="1"/>
  <c r="F2614" i="7" s="1"/>
  <c r="G2614" i="7" s="1"/>
  <c r="D2613" i="7"/>
  <c r="E2613" i="7" s="1"/>
  <c r="F2613" i="7" s="1"/>
  <c r="G2613" i="7" s="1"/>
  <c r="D2612" i="7"/>
  <c r="E2612" i="7" s="1"/>
  <c r="F2612" i="7" s="1"/>
  <c r="G2612" i="7" s="1"/>
  <c r="D2611" i="7"/>
  <c r="E2611" i="7" s="1"/>
  <c r="F2611" i="7" s="1"/>
  <c r="G2611" i="7" s="1"/>
  <c r="D2610" i="7"/>
  <c r="E2610" i="7" s="1"/>
  <c r="F2610" i="7" s="1"/>
  <c r="G2610" i="7" s="1"/>
  <c r="D2609" i="7"/>
  <c r="E2609" i="7" s="1"/>
  <c r="F2609" i="7" s="1"/>
  <c r="G2609" i="7" s="1"/>
  <c r="D2608" i="7"/>
  <c r="E2608" i="7" s="1"/>
  <c r="F2608" i="7" s="1"/>
  <c r="G2608" i="7" s="1"/>
  <c r="D2607" i="7"/>
  <c r="E2607" i="7" s="1"/>
  <c r="F2607" i="7" s="1"/>
  <c r="G2607" i="7" s="1"/>
  <c r="D2606" i="7"/>
  <c r="E2606" i="7" s="1"/>
  <c r="F2606" i="7" s="1"/>
  <c r="G2606" i="7" s="1"/>
  <c r="D2605" i="7"/>
  <c r="E2605" i="7" s="1"/>
  <c r="F2605" i="7" s="1"/>
  <c r="G2605" i="7" s="1"/>
  <c r="D2604" i="7"/>
  <c r="E2604" i="7" s="1"/>
  <c r="F2604" i="7" s="1"/>
  <c r="G2604" i="7" s="1"/>
  <c r="D2603" i="7"/>
  <c r="E2603" i="7" s="1"/>
  <c r="F2603" i="7" s="1"/>
  <c r="G2603" i="7" s="1"/>
  <c r="D2602" i="7"/>
  <c r="E2602" i="7" s="1"/>
  <c r="F2602" i="7" s="1"/>
  <c r="G2602" i="7" s="1"/>
  <c r="D2601" i="7"/>
  <c r="E2601" i="7" s="1"/>
  <c r="F2601" i="7" s="1"/>
  <c r="G2601" i="7" s="1"/>
  <c r="D2600" i="7"/>
  <c r="E2600" i="7" s="1"/>
  <c r="F2600" i="7" s="1"/>
  <c r="G2600" i="7" s="1"/>
  <c r="D2599" i="7"/>
  <c r="E2599" i="7" s="1"/>
  <c r="F2599" i="7" s="1"/>
  <c r="G2599" i="7" s="1"/>
  <c r="D2598" i="7"/>
  <c r="E2598" i="7" s="1"/>
  <c r="F2598" i="7" s="1"/>
  <c r="G2598" i="7" s="1"/>
  <c r="D2597" i="7"/>
  <c r="E2597" i="7" s="1"/>
  <c r="F2597" i="7" s="1"/>
  <c r="G2597" i="7" s="1"/>
  <c r="D2596" i="7"/>
  <c r="E2596" i="7" s="1"/>
  <c r="F2596" i="7" s="1"/>
  <c r="G2596" i="7" s="1"/>
  <c r="D2595" i="7"/>
  <c r="E2595" i="7" s="1"/>
  <c r="F2595" i="7" s="1"/>
  <c r="G2595" i="7" s="1"/>
  <c r="D2594" i="7"/>
  <c r="E2594" i="7" s="1"/>
  <c r="F2594" i="7" s="1"/>
  <c r="G2594" i="7" s="1"/>
  <c r="D2593" i="7"/>
  <c r="E2593" i="7" s="1"/>
  <c r="F2593" i="7" s="1"/>
  <c r="G2593" i="7" s="1"/>
  <c r="D2592" i="7"/>
  <c r="E2592" i="7" s="1"/>
  <c r="F2592" i="7" s="1"/>
  <c r="G2592" i="7" s="1"/>
  <c r="D2591" i="7"/>
  <c r="E2591" i="7" s="1"/>
  <c r="F2591" i="7" s="1"/>
  <c r="G2591" i="7" s="1"/>
  <c r="D2590" i="7"/>
  <c r="E2590" i="7" s="1"/>
  <c r="F2590" i="7" s="1"/>
  <c r="G2590" i="7" s="1"/>
  <c r="D2589" i="7"/>
  <c r="E2589" i="7" s="1"/>
  <c r="F2589" i="7" s="1"/>
  <c r="G2589" i="7" s="1"/>
  <c r="D2588" i="7"/>
  <c r="E2588" i="7" s="1"/>
  <c r="F2588" i="7" s="1"/>
  <c r="G2588" i="7" s="1"/>
  <c r="D2587" i="7"/>
  <c r="E2587" i="7" s="1"/>
  <c r="F2587" i="7" s="1"/>
  <c r="G2587" i="7" s="1"/>
  <c r="D2586" i="7"/>
  <c r="E2586" i="7" s="1"/>
  <c r="F2586" i="7" s="1"/>
  <c r="G2586" i="7" s="1"/>
  <c r="D2585" i="7"/>
  <c r="E2585" i="7" s="1"/>
  <c r="F2585" i="7" s="1"/>
  <c r="G2585" i="7" s="1"/>
  <c r="D2584" i="7"/>
  <c r="E2584" i="7" s="1"/>
  <c r="F2584" i="7" s="1"/>
  <c r="G2584" i="7" s="1"/>
  <c r="D2583" i="7"/>
  <c r="E2583" i="7" s="1"/>
  <c r="F2583" i="7" s="1"/>
  <c r="G2583" i="7" s="1"/>
  <c r="D2582" i="7"/>
  <c r="E2582" i="7" s="1"/>
  <c r="F2582" i="7" s="1"/>
  <c r="G2582" i="7" s="1"/>
  <c r="D2581" i="7"/>
  <c r="E2581" i="7" s="1"/>
  <c r="F2581" i="7" s="1"/>
  <c r="G2581" i="7" s="1"/>
  <c r="D2580" i="7"/>
  <c r="E2580" i="7" s="1"/>
  <c r="F2580" i="7" s="1"/>
  <c r="G2580" i="7" s="1"/>
  <c r="D2579" i="7"/>
  <c r="E2579" i="7" s="1"/>
  <c r="F2579" i="7" s="1"/>
  <c r="G2579" i="7" s="1"/>
  <c r="D2578" i="7"/>
  <c r="E2578" i="7" s="1"/>
  <c r="F2578" i="7" s="1"/>
  <c r="G2578" i="7" s="1"/>
  <c r="D2577" i="7"/>
  <c r="E2577" i="7" s="1"/>
  <c r="F2577" i="7" s="1"/>
  <c r="G2577" i="7" s="1"/>
  <c r="D2576" i="7"/>
  <c r="E2576" i="7" s="1"/>
  <c r="F2576" i="7" s="1"/>
  <c r="G2576" i="7" s="1"/>
  <c r="D2575" i="7"/>
  <c r="E2575" i="7" s="1"/>
  <c r="F2575" i="7" s="1"/>
  <c r="G2575" i="7" s="1"/>
  <c r="D2574" i="7"/>
  <c r="E2574" i="7" s="1"/>
  <c r="F2574" i="7" s="1"/>
  <c r="G2574" i="7" s="1"/>
  <c r="D2573" i="7"/>
  <c r="E2573" i="7" s="1"/>
  <c r="F2573" i="7" s="1"/>
  <c r="G2573" i="7" s="1"/>
  <c r="D2572" i="7"/>
  <c r="E2572" i="7" s="1"/>
  <c r="F2572" i="7" s="1"/>
  <c r="G2572" i="7" s="1"/>
  <c r="D2571" i="7"/>
  <c r="E2571" i="7" s="1"/>
  <c r="F2571" i="7" s="1"/>
  <c r="G2571" i="7" s="1"/>
  <c r="D2570" i="7"/>
  <c r="E2570" i="7" s="1"/>
  <c r="F2570" i="7" s="1"/>
  <c r="G2570" i="7" s="1"/>
  <c r="D2569" i="7"/>
  <c r="E2569" i="7" s="1"/>
  <c r="F2569" i="7" s="1"/>
  <c r="G2569" i="7" s="1"/>
  <c r="D2568" i="7"/>
  <c r="E2568" i="7" s="1"/>
  <c r="F2568" i="7" s="1"/>
  <c r="G2568" i="7" s="1"/>
  <c r="D2567" i="7"/>
  <c r="E2567" i="7" s="1"/>
  <c r="F2567" i="7" s="1"/>
  <c r="G2567" i="7" s="1"/>
  <c r="D2566" i="7"/>
  <c r="E2566" i="7" s="1"/>
  <c r="F2566" i="7" s="1"/>
  <c r="G2566" i="7" s="1"/>
  <c r="D2565" i="7"/>
  <c r="E2565" i="7" s="1"/>
  <c r="F2565" i="7" s="1"/>
  <c r="G2565" i="7" s="1"/>
  <c r="D2564" i="7"/>
  <c r="E2564" i="7" s="1"/>
  <c r="F2564" i="7" s="1"/>
  <c r="G2564" i="7" s="1"/>
  <c r="D2563" i="7"/>
  <c r="E2563" i="7" s="1"/>
  <c r="F2563" i="7" s="1"/>
  <c r="G2563" i="7" s="1"/>
  <c r="D2562" i="7"/>
  <c r="E2562" i="7" s="1"/>
  <c r="F2562" i="7" s="1"/>
  <c r="G2562" i="7" s="1"/>
  <c r="D2561" i="7"/>
  <c r="E2561" i="7" s="1"/>
  <c r="F2561" i="7" s="1"/>
  <c r="G2561" i="7" s="1"/>
  <c r="D2560" i="7"/>
  <c r="E2560" i="7" s="1"/>
  <c r="F2560" i="7" s="1"/>
  <c r="G2560" i="7" s="1"/>
  <c r="D2559" i="7"/>
  <c r="E2559" i="7" s="1"/>
  <c r="F2559" i="7" s="1"/>
  <c r="G2559" i="7" s="1"/>
  <c r="D2558" i="7"/>
  <c r="E2558" i="7" s="1"/>
  <c r="F2558" i="7" s="1"/>
  <c r="G2558" i="7" s="1"/>
  <c r="D2557" i="7"/>
  <c r="E2557" i="7" s="1"/>
  <c r="F2557" i="7" s="1"/>
  <c r="G2557" i="7" s="1"/>
  <c r="D2556" i="7"/>
  <c r="E2556" i="7" s="1"/>
  <c r="F2556" i="7" s="1"/>
  <c r="G2556" i="7" s="1"/>
  <c r="D2555" i="7"/>
  <c r="E2555" i="7" s="1"/>
  <c r="F2555" i="7" s="1"/>
  <c r="G2555" i="7" s="1"/>
  <c r="D2554" i="7"/>
  <c r="E2554" i="7" s="1"/>
  <c r="F2554" i="7" s="1"/>
  <c r="G2554" i="7" s="1"/>
  <c r="D2553" i="7"/>
  <c r="E2553" i="7" s="1"/>
  <c r="F2553" i="7" s="1"/>
  <c r="G2553" i="7" s="1"/>
  <c r="D2552" i="7"/>
  <c r="E2552" i="7" s="1"/>
  <c r="F2552" i="7" s="1"/>
  <c r="G2552" i="7" s="1"/>
  <c r="D2551" i="7"/>
  <c r="E2551" i="7" s="1"/>
  <c r="F2551" i="7" s="1"/>
  <c r="G2551" i="7" s="1"/>
  <c r="D2550" i="7"/>
  <c r="E2550" i="7" s="1"/>
  <c r="F2550" i="7" s="1"/>
  <c r="G2550" i="7" s="1"/>
  <c r="D2549" i="7"/>
  <c r="E2549" i="7" s="1"/>
  <c r="F2549" i="7" s="1"/>
  <c r="G2549" i="7" s="1"/>
  <c r="D2548" i="7"/>
  <c r="E2548" i="7" s="1"/>
  <c r="F2548" i="7" s="1"/>
  <c r="G2548" i="7" s="1"/>
  <c r="D2547" i="7"/>
  <c r="E2547" i="7" s="1"/>
  <c r="F2547" i="7" s="1"/>
  <c r="G2547" i="7" s="1"/>
  <c r="D2546" i="7"/>
  <c r="E2546" i="7" s="1"/>
  <c r="F2546" i="7" s="1"/>
  <c r="G2546" i="7" s="1"/>
  <c r="D2545" i="7"/>
  <c r="E2545" i="7" s="1"/>
  <c r="F2545" i="7" s="1"/>
  <c r="G2545" i="7" s="1"/>
  <c r="D2544" i="7"/>
  <c r="E2544" i="7" s="1"/>
  <c r="F2544" i="7" s="1"/>
  <c r="G2544" i="7" s="1"/>
  <c r="D2543" i="7"/>
  <c r="E2543" i="7" s="1"/>
  <c r="F2543" i="7" s="1"/>
  <c r="G2543" i="7" s="1"/>
  <c r="D2542" i="7"/>
  <c r="E2542" i="7" s="1"/>
  <c r="F2542" i="7" s="1"/>
  <c r="G2542" i="7" s="1"/>
  <c r="D2541" i="7"/>
  <c r="E2541" i="7" s="1"/>
  <c r="F2541" i="7" s="1"/>
  <c r="G2541" i="7" s="1"/>
  <c r="D2540" i="7"/>
  <c r="E2540" i="7" s="1"/>
  <c r="F2540" i="7" s="1"/>
  <c r="G2540" i="7" s="1"/>
  <c r="D2539" i="7"/>
  <c r="E2539" i="7" s="1"/>
  <c r="F2539" i="7" s="1"/>
  <c r="G2539" i="7" s="1"/>
  <c r="D2538" i="7"/>
  <c r="E2538" i="7" s="1"/>
  <c r="F2538" i="7" s="1"/>
  <c r="G2538" i="7" s="1"/>
  <c r="D2537" i="7"/>
  <c r="E2537" i="7" s="1"/>
  <c r="F2537" i="7" s="1"/>
  <c r="G2537" i="7" s="1"/>
  <c r="D2536" i="7"/>
  <c r="E2536" i="7" s="1"/>
  <c r="F2536" i="7" s="1"/>
  <c r="G2536" i="7" s="1"/>
  <c r="D2535" i="7"/>
  <c r="E2535" i="7" s="1"/>
  <c r="F2535" i="7" s="1"/>
  <c r="G2535" i="7" s="1"/>
  <c r="D2534" i="7"/>
  <c r="E2534" i="7" s="1"/>
  <c r="F2534" i="7" s="1"/>
  <c r="G2534" i="7" s="1"/>
  <c r="D2533" i="7"/>
  <c r="E2533" i="7" s="1"/>
  <c r="F2533" i="7" s="1"/>
  <c r="G2533" i="7" s="1"/>
  <c r="D2532" i="7"/>
  <c r="E2532" i="7" s="1"/>
  <c r="F2532" i="7" s="1"/>
  <c r="G2532" i="7" s="1"/>
  <c r="D2531" i="7"/>
  <c r="E2531" i="7" s="1"/>
  <c r="F2531" i="7" s="1"/>
  <c r="G2531" i="7" s="1"/>
  <c r="D2530" i="7"/>
  <c r="E2530" i="7" s="1"/>
  <c r="F2530" i="7" s="1"/>
  <c r="G2530" i="7" s="1"/>
  <c r="D2529" i="7"/>
  <c r="E2529" i="7" s="1"/>
  <c r="F2529" i="7" s="1"/>
  <c r="G2529" i="7" s="1"/>
  <c r="D2528" i="7"/>
  <c r="E2528" i="7" s="1"/>
  <c r="F2528" i="7" s="1"/>
  <c r="G2528" i="7" s="1"/>
  <c r="D2527" i="7"/>
  <c r="E2527" i="7" s="1"/>
  <c r="F2527" i="7" s="1"/>
  <c r="G2527" i="7" s="1"/>
  <c r="D2526" i="7"/>
  <c r="E2526" i="7" s="1"/>
  <c r="F2526" i="7" s="1"/>
  <c r="G2526" i="7" s="1"/>
  <c r="D2525" i="7"/>
  <c r="E2525" i="7" s="1"/>
  <c r="F2525" i="7" s="1"/>
  <c r="G2525" i="7" s="1"/>
  <c r="D2524" i="7"/>
  <c r="E2524" i="7" s="1"/>
  <c r="F2524" i="7" s="1"/>
  <c r="G2524" i="7" s="1"/>
  <c r="D2523" i="7"/>
  <c r="E2523" i="7" s="1"/>
  <c r="F2523" i="7" s="1"/>
  <c r="G2523" i="7" s="1"/>
  <c r="D2522" i="7"/>
  <c r="E2522" i="7" s="1"/>
  <c r="F2522" i="7" s="1"/>
  <c r="G2522" i="7" s="1"/>
  <c r="D2521" i="7"/>
  <c r="E2521" i="7" s="1"/>
  <c r="F2521" i="7" s="1"/>
  <c r="G2521" i="7" s="1"/>
  <c r="D2520" i="7"/>
  <c r="E2520" i="7" s="1"/>
  <c r="F2520" i="7" s="1"/>
  <c r="G2520" i="7" s="1"/>
  <c r="D2519" i="7"/>
  <c r="E2519" i="7" s="1"/>
  <c r="F2519" i="7" s="1"/>
  <c r="G2519" i="7" s="1"/>
  <c r="D2518" i="7"/>
  <c r="E2518" i="7" s="1"/>
  <c r="F2518" i="7" s="1"/>
  <c r="G2518" i="7" s="1"/>
  <c r="D2517" i="7"/>
  <c r="E2517" i="7" s="1"/>
  <c r="F2517" i="7" s="1"/>
  <c r="G2517" i="7" s="1"/>
  <c r="D2516" i="7"/>
  <c r="E2516" i="7" s="1"/>
  <c r="F2516" i="7" s="1"/>
  <c r="G2516" i="7" s="1"/>
  <c r="D2515" i="7"/>
  <c r="E2515" i="7" s="1"/>
  <c r="F2515" i="7" s="1"/>
  <c r="G2515" i="7" s="1"/>
  <c r="D2514" i="7"/>
  <c r="E2514" i="7" s="1"/>
  <c r="F2514" i="7" s="1"/>
  <c r="G2514" i="7" s="1"/>
  <c r="D2513" i="7"/>
  <c r="E2513" i="7" s="1"/>
  <c r="F2513" i="7" s="1"/>
  <c r="G2513" i="7" s="1"/>
  <c r="D2512" i="7"/>
  <c r="E2512" i="7" s="1"/>
  <c r="F2512" i="7" s="1"/>
  <c r="G2512" i="7" s="1"/>
  <c r="D2511" i="7"/>
  <c r="E2511" i="7" s="1"/>
  <c r="F2511" i="7" s="1"/>
  <c r="G2511" i="7" s="1"/>
  <c r="D2510" i="7"/>
  <c r="E2510" i="7" s="1"/>
  <c r="F2510" i="7" s="1"/>
  <c r="G2510" i="7" s="1"/>
  <c r="D2509" i="7"/>
  <c r="E2509" i="7" s="1"/>
  <c r="F2509" i="7" s="1"/>
  <c r="G2509" i="7" s="1"/>
  <c r="D2508" i="7"/>
  <c r="E2508" i="7" s="1"/>
  <c r="F2508" i="7" s="1"/>
  <c r="G2508" i="7" s="1"/>
  <c r="D2507" i="7"/>
  <c r="E2507" i="7" s="1"/>
  <c r="F2507" i="7" s="1"/>
  <c r="G2507" i="7" s="1"/>
  <c r="D2506" i="7"/>
  <c r="E2506" i="7" s="1"/>
  <c r="F2506" i="7" s="1"/>
  <c r="G2506" i="7" s="1"/>
  <c r="D2505" i="7"/>
  <c r="E2505" i="7" s="1"/>
  <c r="F2505" i="7" s="1"/>
  <c r="G2505" i="7" s="1"/>
  <c r="D2504" i="7"/>
  <c r="E2504" i="7" s="1"/>
  <c r="F2504" i="7" s="1"/>
  <c r="G2504" i="7" s="1"/>
  <c r="D2503" i="7"/>
  <c r="E2503" i="7" s="1"/>
  <c r="F2503" i="7" s="1"/>
  <c r="G2503" i="7" s="1"/>
  <c r="D2502" i="7"/>
  <c r="E2502" i="7" s="1"/>
  <c r="F2502" i="7" s="1"/>
  <c r="G2502" i="7" s="1"/>
  <c r="D2501" i="7"/>
  <c r="E2501" i="7" s="1"/>
  <c r="F2501" i="7" s="1"/>
  <c r="G2501" i="7" s="1"/>
  <c r="D2500" i="7"/>
  <c r="E2500" i="7" s="1"/>
  <c r="F2500" i="7" s="1"/>
  <c r="G2500" i="7" s="1"/>
  <c r="D2499" i="7"/>
  <c r="E2499" i="7" s="1"/>
  <c r="F2499" i="7" s="1"/>
  <c r="G2499" i="7" s="1"/>
  <c r="D2498" i="7"/>
  <c r="E2498" i="7" s="1"/>
  <c r="F2498" i="7" s="1"/>
  <c r="G2498" i="7" s="1"/>
  <c r="D2497" i="7"/>
  <c r="E2497" i="7" s="1"/>
  <c r="F2497" i="7" s="1"/>
  <c r="G2497" i="7" s="1"/>
  <c r="D2496" i="7"/>
  <c r="E2496" i="7" s="1"/>
  <c r="F2496" i="7" s="1"/>
  <c r="G2496" i="7" s="1"/>
  <c r="D2495" i="7"/>
  <c r="E2495" i="7" s="1"/>
  <c r="F2495" i="7" s="1"/>
  <c r="G2495" i="7" s="1"/>
  <c r="D2494" i="7"/>
  <c r="E2494" i="7" s="1"/>
  <c r="F2494" i="7" s="1"/>
  <c r="G2494" i="7" s="1"/>
  <c r="D2493" i="7"/>
  <c r="E2493" i="7" s="1"/>
  <c r="F2493" i="7" s="1"/>
  <c r="G2493" i="7" s="1"/>
  <c r="D2492" i="7"/>
  <c r="E2492" i="7" s="1"/>
  <c r="F2492" i="7" s="1"/>
  <c r="G2492" i="7" s="1"/>
  <c r="D2491" i="7"/>
  <c r="E2491" i="7" s="1"/>
  <c r="F2491" i="7" s="1"/>
  <c r="G2491" i="7" s="1"/>
  <c r="D2490" i="7"/>
  <c r="E2490" i="7" s="1"/>
  <c r="F2490" i="7" s="1"/>
  <c r="G2490" i="7" s="1"/>
  <c r="D2489" i="7"/>
  <c r="E2489" i="7" s="1"/>
  <c r="F2489" i="7" s="1"/>
  <c r="G2489" i="7" s="1"/>
  <c r="D2488" i="7"/>
  <c r="E2488" i="7" s="1"/>
  <c r="F2488" i="7" s="1"/>
  <c r="G2488" i="7" s="1"/>
  <c r="D2487" i="7"/>
  <c r="E2487" i="7" s="1"/>
  <c r="F2487" i="7" s="1"/>
  <c r="G2487" i="7" s="1"/>
  <c r="D2486" i="7"/>
  <c r="E2486" i="7" s="1"/>
  <c r="F2486" i="7" s="1"/>
  <c r="G2486" i="7" s="1"/>
  <c r="D2485" i="7"/>
  <c r="E2485" i="7" s="1"/>
  <c r="F2485" i="7" s="1"/>
  <c r="G2485" i="7" s="1"/>
  <c r="D2484" i="7"/>
  <c r="E2484" i="7" s="1"/>
  <c r="F2484" i="7" s="1"/>
  <c r="G2484" i="7" s="1"/>
  <c r="D2483" i="7"/>
  <c r="E2483" i="7" s="1"/>
  <c r="F2483" i="7" s="1"/>
  <c r="G2483" i="7" s="1"/>
  <c r="D2482" i="7"/>
  <c r="E2482" i="7" s="1"/>
  <c r="F2482" i="7" s="1"/>
  <c r="G2482" i="7" s="1"/>
  <c r="D2481" i="7"/>
  <c r="E2481" i="7" s="1"/>
  <c r="F2481" i="7" s="1"/>
  <c r="G2481" i="7" s="1"/>
  <c r="D2480" i="7"/>
  <c r="E2480" i="7" s="1"/>
  <c r="F2480" i="7" s="1"/>
  <c r="G2480" i="7" s="1"/>
  <c r="D2479" i="7"/>
  <c r="E2479" i="7" s="1"/>
  <c r="F2479" i="7" s="1"/>
  <c r="G2479" i="7" s="1"/>
  <c r="D2478" i="7"/>
  <c r="E2478" i="7" s="1"/>
  <c r="F2478" i="7" s="1"/>
  <c r="G2478" i="7" s="1"/>
  <c r="D2477" i="7"/>
  <c r="E2477" i="7" s="1"/>
  <c r="F2477" i="7" s="1"/>
  <c r="G2477" i="7" s="1"/>
  <c r="D2476" i="7"/>
  <c r="E2476" i="7" s="1"/>
  <c r="F2476" i="7" s="1"/>
  <c r="G2476" i="7" s="1"/>
  <c r="D2475" i="7"/>
  <c r="E2475" i="7" s="1"/>
  <c r="F2475" i="7" s="1"/>
  <c r="G2475" i="7" s="1"/>
  <c r="D2474" i="7"/>
  <c r="E2474" i="7" s="1"/>
  <c r="F2474" i="7" s="1"/>
  <c r="G2474" i="7" s="1"/>
  <c r="D2473" i="7"/>
  <c r="E2473" i="7" s="1"/>
  <c r="F2473" i="7" s="1"/>
  <c r="G2473" i="7" s="1"/>
  <c r="D2472" i="7"/>
  <c r="E2472" i="7" s="1"/>
  <c r="F2472" i="7" s="1"/>
  <c r="G2472" i="7" s="1"/>
  <c r="D2471" i="7"/>
  <c r="E2471" i="7" s="1"/>
  <c r="F2471" i="7" s="1"/>
  <c r="G2471" i="7" s="1"/>
  <c r="D2470" i="7"/>
  <c r="E2470" i="7" s="1"/>
  <c r="F2470" i="7" s="1"/>
  <c r="G2470" i="7" s="1"/>
  <c r="D2469" i="7"/>
  <c r="E2469" i="7" s="1"/>
  <c r="F2469" i="7" s="1"/>
  <c r="G2469" i="7" s="1"/>
  <c r="D2468" i="7"/>
  <c r="E2468" i="7" s="1"/>
  <c r="F2468" i="7" s="1"/>
  <c r="G2468" i="7" s="1"/>
  <c r="D2467" i="7"/>
  <c r="E2467" i="7" s="1"/>
  <c r="F2467" i="7" s="1"/>
  <c r="G2467" i="7" s="1"/>
  <c r="D2466" i="7"/>
  <c r="E2466" i="7" s="1"/>
  <c r="F2466" i="7" s="1"/>
  <c r="G2466" i="7" s="1"/>
  <c r="D2465" i="7"/>
  <c r="E2465" i="7" s="1"/>
  <c r="F2465" i="7" s="1"/>
  <c r="G2465" i="7" s="1"/>
  <c r="D2464" i="7"/>
  <c r="E2464" i="7" s="1"/>
  <c r="F2464" i="7" s="1"/>
  <c r="G2464" i="7" s="1"/>
  <c r="D2463" i="7"/>
  <c r="E2463" i="7" s="1"/>
  <c r="F2463" i="7" s="1"/>
  <c r="G2463" i="7" s="1"/>
  <c r="D2462" i="7"/>
  <c r="E2462" i="7" s="1"/>
  <c r="F2462" i="7" s="1"/>
  <c r="G2462" i="7" s="1"/>
  <c r="D2461" i="7"/>
  <c r="E2461" i="7" s="1"/>
  <c r="F2461" i="7" s="1"/>
  <c r="G2461" i="7" s="1"/>
  <c r="D2460" i="7"/>
  <c r="E2460" i="7" s="1"/>
  <c r="F2460" i="7" s="1"/>
  <c r="G2460" i="7" s="1"/>
  <c r="D2459" i="7"/>
  <c r="E2459" i="7" s="1"/>
  <c r="F2459" i="7" s="1"/>
  <c r="G2459" i="7" s="1"/>
  <c r="D2458" i="7"/>
  <c r="E2458" i="7" s="1"/>
  <c r="F2458" i="7" s="1"/>
  <c r="G2458" i="7" s="1"/>
  <c r="D2457" i="7"/>
  <c r="E2457" i="7" s="1"/>
  <c r="F2457" i="7" s="1"/>
  <c r="G2457" i="7" s="1"/>
  <c r="D2456" i="7"/>
  <c r="E2456" i="7" s="1"/>
  <c r="F2456" i="7" s="1"/>
  <c r="G2456" i="7" s="1"/>
  <c r="D2455" i="7"/>
  <c r="E2455" i="7" s="1"/>
  <c r="F2455" i="7" s="1"/>
  <c r="G2455" i="7" s="1"/>
  <c r="D2454" i="7"/>
  <c r="E2454" i="7" s="1"/>
  <c r="F2454" i="7" s="1"/>
  <c r="G2454" i="7" s="1"/>
  <c r="D2453" i="7"/>
  <c r="E2453" i="7" s="1"/>
  <c r="F2453" i="7" s="1"/>
  <c r="G2453" i="7" s="1"/>
  <c r="D2452" i="7"/>
  <c r="E2452" i="7" s="1"/>
  <c r="F2452" i="7" s="1"/>
  <c r="G2452" i="7" s="1"/>
  <c r="D2451" i="7"/>
  <c r="E2451" i="7" s="1"/>
  <c r="F2451" i="7" s="1"/>
  <c r="G2451" i="7" s="1"/>
  <c r="D2450" i="7"/>
  <c r="E2450" i="7" s="1"/>
  <c r="F2450" i="7" s="1"/>
  <c r="G2450" i="7" s="1"/>
  <c r="D2449" i="7"/>
  <c r="E2449" i="7" s="1"/>
  <c r="F2449" i="7" s="1"/>
  <c r="G2449" i="7" s="1"/>
  <c r="D2448" i="7"/>
  <c r="E2448" i="7" s="1"/>
  <c r="F2448" i="7" s="1"/>
  <c r="G2448" i="7" s="1"/>
  <c r="D2447" i="7"/>
  <c r="E2447" i="7" s="1"/>
  <c r="F2447" i="7" s="1"/>
  <c r="G2447" i="7" s="1"/>
  <c r="D2446" i="7"/>
  <c r="E2446" i="7" s="1"/>
  <c r="F2446" i="7" s="1"/>
  <c r="G2446" i="7" s="1"/>
  <c r="D2445" i="7"/>
  <c r="E2445" i="7" s="1"/>
  <c r="F2445" i="7" s="1"/>
  <c r="G2445" i="7" s="1"/>
  <c r="D2444" i="7"/>
  <c r="E2444" i="7" s="1"/>
  <c r="F2444" i="7" s="1"/>
  <c r="G2444" i="7" s="1"/>
  <c r="D2443" i="7"/>
  <c r="E2443" i="7" s="1"/>
  <c r="F2443" i="7" s="1"/>
  <c r="G2443" i="7" s="1"/>
  <c r="D2442" i="7"/>
  <c r="E2442" i="7" s="1"/>
  <c r="F2442" i="7" s="1"/>
  <c r="G2442" i="7" s="1"/>
  <c r="D2441" i="7"/>
  <c r="E2441" i="7" s="1"/>
  <c r="F2441" i="7" s="1"/>
  <c r="G2441" i="7" s="1"/>
  <c r="D2440" i="7"/>
  <c r="E2440" i="7" s="1"/>
  <c r="F2440" i="7" s="1"/>
  <c r="G2440" i="7" s="1"/>
  <c r="D2439" i="7"/>
  <c r="E2439" i="7" s="1"/>
  <c r="F2439" i="7" s="1"/>
  <c r="G2439" i="7" s="1"/>
  <c r="D2438" i="7"/>
  <c r="E2438" i="7" s="1"/>
  <c r="F2438" i="7" s="1"/>
  <c r="G2438" i="7" s="1"/>
  <c r="D2437" i="7"/>
  <c r="E2437" i="7" s="1"/>
  <c r="F2437" i="7" s="1"/>
  <c r="G2437" i="7" s="1"/>
  <c r="D2436" i="7"/>
  <c r="E2436" i="7" s="1"/>
  <c r="F2436" i="7" s="1"/>
  <c r="G2436" i="7" s="1"/>
  <c r="D2435" i="7"/>
  <c r="E2435" i="7" s="1"/>
  <c r="F2435" i="7" s="1"/>
  <c r="G2435" i="7" s="1"/>
  <c r="D2434" i="7"/>
  <c r="E2434" i="7" s="1"/>
  <c r="F2434" i="7" s="1"/>
  <c r="G2434" i="7" s="1"/>
  <c r="D2433" i="7"/>
  <c r="E2433" i="7" s="1"/>
  <c r="F2433" i="7" s="1"/>
  <c r="G2433" i="7" s="1"/>
  <c r="D2432" i="7"/>
  <c r="E2432" i="7" s="1"/>
  <c r="F2432" i="7" s="1"/>
  <c r="G2432" i="7" s="1"/>
  <c r="D2431" i="7"/>
  <c r="E2431" i="7" s="1"/>
  <c r="F2431" i="7" s="1"/>
  <c r="G2431" i="7" s="1"/>
  <c r="D2430" i="7"/>
  <c r="E2430" i="7" s="1"/>
  <c r="F2430" i="7" s="1"/>
  <c r="G2430" i="7" s="1"/>
  <c r="D2429" i="7"/>
  <c r="E2429" i="7" s="1"/>
  <c r="F2429" i="7" s="1"/>
  <c r="G2429" i="7" s="1"/>
  <c r="D2428" i="7"/>
  <c r="E2428" i="7" s="1"/>
  <c r="F2428" i="7" s="1"/>
  <c r="G2428" i="7" s="1"/>
  <c r="D2427" i="7"/>
  <c r="E2427" i="7" s="1"/>
  <c r="F2427" i="7" s="1"/>
  <c r="G2427" i="7" s="1"/>
  <c r="D2426" i="7"/>
  <c r="E2426" i="7" s="1"/>
  <c r="F2426" i="7" s="1"/>
  <c r="G2426" i="7" s="1"/>
  <c r="D2425" i="7"/>
  <c r="E2425" i="7" s="1"/>
  <c r="F2425" i="7" s="1"/>
  <c r="G2425" i="7" s="1"/>
  <c r="D2424" i="7"/>
  <c r="E2424" i="7" s="1"/>
  <c r="F2424" i="7" s="1"/>
  <c r="G2424" i="7" s="1"/>
  <c r="D2423" i="7"/>
  <c r="E2423" i="7" s="1"/>
  <c r="F2423" i="7" s="1"/>
  <c r="G2423" i="7" s="1"/>
  <c r="D2422" i="7"/>
  <c r="E2422" i="7" s="1"/>
  <c r="F2422" i="7" s="1"/>
  <c r="G2422" i="7" s="1"/>
  <c r="D2421" i="7"/>
  <c r="E2421" i="7" s="1"/>
  <c r="F2421" i="7" s="1"/>
  <c r="G2421" i="7" s="1"/>
  <c r="D2420" i="7"/>
  <c r="E2420" i="7" s="1"/>
  <c r="F2420" i="7" s="1"/>
  <c r="G2420" i="7" s="1"/>
  <c r="D2419" i="7"/>
  <c r="E2419" i="7" s="1"/>
  <c r="F2419" i="7" s="1"/>
  <c r="G2419" i="7" s="1"/>
  <c r="D2418" i="7"/>
  <c r="E2418" i="7" s="1"/>
  <c r="F2418" i="7" s="1"/>
  <c r="G2418" i="7" s="1"/>
  <c r="D2417" i="7"/>
  <c r="E2417" i="7" s="1"/>
  <c r="F2417" i="7" s="1"/>
  <c r="G2417" i="7" s="1"/>
  <c r="D2416" i="7"/>
  <c r="E2416" i="7" s="1"/>
  <c r="F2416" i="7" s="1"/>
  <c r="G2416" i="7" s="1"/>
  <c r="D2415" i="7"/>
  <c r="E2415" i="7" s="1"/>
  <c r="F2415" i="7" s="1"/>
  <c r="G2415" i="7" s="1"/>
  <c r="D2414" i="7"/>
  <c r="E2414" i="7" s="1"/>
  <c r="F2414" i="7" s="1"/>
  <c r="G2414" i="7" s="1"/>
  <c r="D2413" i="7"/>
  <c r="E2413" i="7" s="1"/>
  <c r="F2413" i="7" s="1"/>
  <c r="G2413" i="7" s="1"/>
  <c r="D2412" i="7"/>
  <c r="E2412" i="7" s="1"/>
  <c r="F2412" i="7" s="1"/>
  <c r="G2412" i="7" s="1"/>
  <c r="D2411" i="7"/>
  <c r="E2411" i="7" s="1"/>
  <c r="F2411" i="7" s="1"/>
  <c r="G2411" i="7" s="1"/>
  <c r="D2410" i="7"/>
  <c r="E2410" i="7" s="1"/>
  <c r="F2410" i="7" s="1"/>
  <c r="G2410" i="7" s="1"/>
  <c r="D2409" i="7"/>
  <c r="E2409" i="7" s="1"/>
  <c r="F2409" i="7" s="1"/>
  <c r="G2409" i="7" s="1"/>
  <c r="D2408" i="7"/>
  <c r="E2408" i="7" s="1"/>
  <c r="F2408" i="7" s="1"/>
  <c r="G2408" i="7" s="1"/>
  <c r="D2407" i="7"/>
  <c r="E2407" i="7" s="1"/>
  <c r="F2407" i="7" s="1"/>
  <c r="G2407" i="7" s="1"/>
  <c r="D2406" i="7"/>
  <c r="E2406" i="7" s="1"/>
  <c r="F2406" i="7" s="1"/>
  <c r="G2406" i="7" s="1"/>
  <c r="D2405" i="7"/>
  <c r="E2405" i="7" s="1"/>
  <c r="F2405" i="7" s="1"/>
  <c r="G2405" i="7" s="1"/>
  <c r="D2404" i="7"/>
  <c r="E2404" i="7" s="1"/>
  <c r="F2404" i="7" s="1"/>
  <c r="G2404" i="7" s="1"/>
  <c r="D2403" i="7"/>
  <c r="E2403" i="7" s="1"/>
  <c r="F2403" i="7" s="1"/>
  <c r="G2403" i="7" s="1"/>
  <c r="D2402" i="7"/>
  <c r="E2402" i="7" s="1"/>
  <c r="F2402" i="7" s="1"/>
  <c r="G2402" i="7" s="1"/>
  <c r="D2401" i="7"/>
  <c r="E2401" i="7" s="1"/>
  <c r="F2401" i="7" s="1"/>
  <c r="G2401" i="7" s="1"/>
  <c r="D2400" i="7"/>
  <c r="E2400" i="7" s="1"/>
  <c r="F2400" i="7" s="1"/>
  <c r="G2400" i="7" s="1"/>
  <c r="D2399" i="7"/>
  <c r="E2399" i="7" s="1"/>
  <c r="F2399" i="7" s="1"/>
  <c r="G2399" i="7" s="1"/>
  <c r="D2398" i="7"/>
  <c r="E2398" i="7" s="1"/>
  <c r="F2398" i="7" s="1"/>
  <c r="G2398" i="7" s="1"/>
  <c r="D2397" i="7"/>
  <c r="E2397" i="7" s="1"/>
  <c r="F2397" i="7" s="1"/>
  <c r="G2397" i="7" s="1"/>
  <c r="D2396" i="7"/>
  <c r="E2396" i="7" s="1"/>
  <c r="F2396" i="7" s="1"/>
  <c r="G2396" i="7" s="1"/>
  <c r="D2395" i="7"/>
  <c r="E2395" i="7" s="1"/>
  <c r="F2395" i="7" s="1"/>
  <c r="G2395" i="7" s="1"/>
  <c r="D2394" i="7"/>
  <c r="E2394" i="7" s="1"/>
  <c r="F2394" i="7" s="1"/>
  <c r="G2394" i="7" s="1"/>
  <c r="D2393" i="7"/>
  <c r="E2393" i="7" s="1"/>
  <c r="F2393" i="7" s="1"/>
  <c r="G2393" i="7" s="1"/>
  <c r="D2392" i="7"/>
  <c r="E2392" i="7" s="1"/>
  <c r="F2392" i="7" s="1"/>
  <c r="G2392" i="7" s="1"/>
  <c r="D2391" i="7"/>
  <c r="E2391" i="7" s="1"/>
  <c r="F2391" i="7" s="1"/>
  <c r="G2391" i="7" s="1"/>
  <c r="D2390" i="7"/>
  <c r="E2390" i="7" s="1"/>
  <c r="F2390" i="7" s="1"/>
  <c r="G2390" i="7" s="1"/>
  <c r="D2389" i="7"/>
  <c r="E2389" i="7" s="1"/>
  <c r="F2389" i="7" s="1"/>
  <c r="G2389" i="7" s="1"/>
  <c r="D2388" i="7"/>
  <c r="E2388" i="7" s="1"/>
  <c r="F2388" i="7" s="1"/>
  <c r="G2388" i="7" s="1"/>
  <c r="D2387" i="7"/>
  <c r="E2387" i="7" s="1"/>
  <c r="F2387" i="7" s="1"/>
  <c r="G2387" i="7" s="1"/>
  <c r="D2386" i="7"/>
  <c r="E2386" i="7" s="1"/>
  <c r="F2386" i="7" s="1"/>
  <c r="G2386" i="7" s="1"/>
  <c r="D2385" i="7"/>
  <c r="E2385" i="7" s="1"/>
  <c r="F2385" i="7" s="1"/>
  <c r="G2385" i="7" s="1"/>
  <c r="D2384" i="7"/>
  <c r="E2384" i="7" s="1"/>
  <c r="F2384" i="7" s="1"/>
  <c r="G2384" i="7" s="1"/>
  <c r="D2383" i="7"/>
  <c r="E2383" i="7" s="1"/>
  <c r="F2383" i="7" s="1"/>
  <c r="G2383" i="7" s="1"/>
  <c r="D2382" i="7"/>
  <c r="E2382" i="7" s="1"/>
  <c r="F2382" i="7" s="1"/>
  <c r="G2382" i="7" s="1"/>
  <c r="D2381" i="7"/>
  <c r="E2381" i="7" s="1"/>
  <c r="F2381" i="7" s="1"/>
  <c r="G2381" i="7" s="1"/>
  <c r="D2380" i="7"/>
  <c r="E2380" i="7" s="1"/>
  <c r="F2380" i="7" s="1"/>
  <c r="G2380" i="7" s="1"/>
  <c r="D2379" i="7"/>
  <c r="E2379" i="7" s="1"/>
  <c r="F2379" i="7" s="1"/>
  <c r="G2379" i="7" s="1"/>
  <c r="D2378" i="7"/>
  <c r="E2378" i="7" s="1"/>
  <c r="F2378" i="7" s="1"/>
  <c r="G2378" i="7" s="1"/>
  <c r="D2377" i="7"/>
  <c r="E2377" i="7" s="1"/>
  <c r="F2377" i="7" s="1"/>
  <c r="G2377" i="7" s="1"/>
  <c r="D2376" i="7"/>
  <c r="E2376" i="7" s="1"/>
  <c r="F2376" i="7" s="1"/>
  <c r="G2376" i="7" s="1"/>
  <c r="D2375" i="7"/>
  <c r="E2375" i="7" s="1"/>
  <c r="F2375" i="7" s="1"/>
  <c r="G2375" i="7" s="1"/>
  <c r="D2374" i="7"/>
  <c r="E2374" i="7" s="1"/>
  <c r="F2374" i="7" s="1"/>
  <c r="G2374" i="7" s="1"/>
  <c r="D2373" i="7"/>
  <c r="E2373" i="7" s="1"/>
  <c r="F2373" i="7" s="1"/>
  <c r="G2373" i="7" s="1"/>
  <c r="D2372" i="7"/>
  <c r="E2372" i="7" s="1"/>
  <c r="F2372" i="7" s="1"/>
  <c r="G2372" i="7" s="1"/>
  <c r="D2371" i="7"/>
  <c r="E2371" i="7" s="1"/>
  <c r="F2371" i="7" s="1"/>
  <c r="G2371" i="7" s="1"/>
  <c r="D2370" i="7"/>
  <c r="E2370" i="7" s="1"/>
  <c r="F2370" i="7" s="1"/>
  <c r="G2370" i="7" s="1"/>
  <c r="D2369" i="7"/>
  <c r="E2369" i="7" s="1"/>
  <c r="F2369" i="7" s="1"/>
  <c r="G2369" i="7" s="1"/>
  <c r="D2368" i="7"/>
  <c r="E2368" i="7" s="1"/>
  <c r="F2368" i="7" s="1"/>
  <c r="G2368" i="7" s="1"/>
  <c r="D2367" i="7"/>
  <c r="E2367" i="7" s="1"/>
  <c r="F2367" i="7" s="1"/>
  <c r="G2367" i="7" s="1"/>
  <c r="D2366" i="7"/>
  <c r="E2366" i="7" s="1"/>
  <c r="F2366" i="7" s="1"/>
  <c r="G2366" i="7" s="1"/>
  <c r="D2365" i="7"/>
  <c r="E2365" i="7" s="1"/>
  <c r="F2365" i="7" s="1"/>
  <c r="G2365" i="7" s="1"/>
  <c r="D2364" i="7"/>
  <c r="E2364" i="7" s="1"/>
  <c r="F2364" i="7" s="1"/>
  <c r="G2364" i="7" s="1"/>
  <c r="D2363" i="7"/>
  <c r="E2363" i="7" s="1"/>
  <c r="F2363" i="7" s="1"/>
  <c r="G2363" i="7" s="1"/>
  <c r="D2362" i="7"/>
  <c r="E2362" i="7" s="1"/>
  <c r="F2362" i="7" s="1"/>
  <c r="G2362" i="7" s="1"/>
  <c r="D2361" i="7"/>
  <c r="E2361" i="7" s="1"/>
  <c r="F2361" i="7" s="1"/>
  <c r="G2361" i="7" s="1"/>
  <c r="D2360" i="7"/>
  <c r="E2360" i="7" s="1"/>
  <c r="F2360" i="7" s="1"/>
  <c r="G2360" i="7" s="1"/>
  <c r="D2359" i="7"/>
  <c r="E2359" i="7" s="1"/>
  <c r="F2359" i="7" s="1"/>
  <c r="G2359" i="7" s="1"/>
  <c r="D2358" i="7"/>
  <c r="E2358" i="7" s="1"/>
  <c r="F2358" i="7" s="1"/>
  <c r="G2358" i="7" s="1"/>
  <c r="D2357" i="7"/>
  <c r="E2357" i="7" s="1"/>
  <c r="F2357" i="7" s="1"/>
  <c r="G2357" i="7" s="1"/>
  <c r="D2356" i="7"/>
  <c r="E2356" i="7" s="1"/>
  <c r="F2356" i="7" s="1"/>
  <c r="G2356" i="7" s="1"/>
  <c r="D2355" i="7"/>
  <c r="E2355" i="7" s="1"/>
  <c r="F2355" i="7" s="1"/>
  <c r="G2355" i="7" s="1"/>
  <c r="D2354" i="7"/>
  <c r="E2354" i="7" s="1"/>
  <c r="F2354" i="7" s="1"/>
  <c r="G2354" i="7" s="1"/>
  <c r="D2353" i="7"/>
  <c r="E2353" i="7" s="1"/>
  <c r="F2353" i="7" s="1"/>
  <c r="G2353" i="7" s="1"/>
  <c r="D2352" i="7"/>
  <c r="E2352" i="7" s="1"/>
  <c r="F2352" i="7" s="1"/>
  <c r="G2352" i="7" s="1"/>
  <c r="D2351" i="7"/>
  <c r="E2351" i="7" s="1"/>
  <c r="F2351" i="7" s="1"/>
  <c r="G2351" i="7" s="1"/>
  <c r="D2350" i="7"/>
  <c r="E2350" i="7" s="1"/>
  <c r="F2350" i="7" s="1"/>
  <c r="G2350" i="7" s="1"/>
  <c r="D2349" i="7"/>
  <c r="E2349" i="7" s="1"/>
  <c r="F2349" i="7" s="1"/>
  <c r="G2349" i="7" s="1"/>
  <c r="D2348" i="7"/>
  <c r="E2348" i="7" s="1"/>
  <c r="F2348" i="7" s="1"/>
  <c r="G2348" i="7" s="1"/>
  <c r="D2347" i="7"/>
  <c r="E2347" i="7" s="1"/>
  <c r="F2347" i="7" s="1"/>
  <c r="G2347" i="7" s="1"/>
  <c r="D2346" i="7"/>
  <c r="E2346" i="7" s="1"/>
  <c r="F2346" i="7" s="1"/>
  <c r="G2346" i="7" s="1"/>
  <c r="D2345" i="7"/>
  <c r="E2345" i="7" s="1"/>
  <c r="F2345" i="7" s="1"/>
  <c r="G2345" i="7" s="1"/>
  <c r="D2344" i="7"/>
  <c r="E2344" i="7" s="1"/>
  <c r="F2344" i="7" s="1"/>
  <c r="G2344" i="7" s="1"/>
  <c r="D2343" i="7"/>
  <c r="E2343" i="7" s="1"/>
  <c r="F2343" i="7" s="1"/>
  <c r="G2343" i="7" s="1"/>
  <c r="D2342" i="7"/>
  <c r="E2342" i="7" s="1"/>
  <c r="F2342" i="7" s="1"/>
  <c r="G2342" i="7" s="1"/>
  <c r="D2341" i="7"/>
  <c r="E2341" i="7" s="1"/>
  <c r="F2341" i="7" s="1"/>
  <c r="G2341" i="7" s="1"/>
  <c r="D2340" i="7"/>
  <c r="E2340" i="7" s="1"/>
  <c r="F2340" i="7" s="1"/>
  <c r="G2340" i="7" s="1"/>
  <c r="D2339" i="7"/>
  <c r="E2339" i="7" s="1"/>
  <c r="F2339" i="7" s="1"/>
  <c r="G2339" i="7" s="1"/>
  <c r="D2338" i="7"/>
  <c r="E2338" i="7" s="1"/>
  <c r="F2338" i="7" s="1"/>
  <c r="G2338" i="7" s="1"/>
  <c r="D2337" i="7"/>
  <c r="E2337" i="7" s="1"/>
  <c r="F2337" i="7" s="1"/>
  <c r="G2337" i="7" s="1"/>
  <c r="D2336" i="7"/>
  <c r="E2336" i="7" s="1"/>
  <c r="F2336" i="7" s="1"/>
  <c r="G2336" i="7" s="1"/>
  <c r="D2335" i="7"/>
  <c r="E2335" i="7" s="1"/>
  <c r="F2335" i="7" s="1"/>
  <c r="G2335" i="7" s="1"/>
  <c r="D2334" i="7"/>
  <c r="E2334" i="7" s="1"/>
  <c r="F2334" i="7" s="1"/>
  <c r="G2334" i="7" s="1"/>
  <c r="D2333" i="7"/>
  <c r="E2333" i="7" s="1"/>
  <c r="F2333" i="7" s="1"/>
  <c r="G2333" i="7" s="1"/>
  <c r="D2332" i="7"/>
  <c r="E2332" i="7" s="1"/>
  <c r="F2332" i="7" s="1"/>
  <c r="G2332" i="7" s="1"/>
  <c r="D2331" i="7"/>
  <c r="E2331" i="7" s="1"/>
  <c r="F2331" i="7" s="1"/>
  <c r="G2331" i="7" s="1"/>
  <c r="D2330" i="7"/>
  <c r="E2330" i="7" s="1"/>
  <c r="F2330" i="7" s="1"/>
  <c r="G2330" i="7" s="1"/>
  <c r="D2329" i="7"/>
  <c r="E2329" i="7" s="1"/>
  <c r="F2329" i="7" s="1"/>
  <c r="G2329" i="7" s="1"/>
  <c r="D2328" i="7"/>
  <c r="E2328" i="7" s="1"/>
  <c r="F2328" i="7" s="1"/>
  <c r="G2328" i="7" s="1"/>
  <c r="D2327" i="7"/>
  <c r="E2327" i="7" s="1"/>
  <c r="F2327" i="7" s="1"/>
  <c r="G2327" i="7" s="1"/>
  <c r="D2326" i="7"/>
  <c r="E2326" i="7" s="1"/>
  <c r="F2326" i="7" s="1"/>
  <c r="G2326" i="7" s="1"/>
  <c r="D2325" i="7"/>
  <c r="E2325" i="7" s="1"/>
  <c r="F2325" i="7" s="1"/>
  <c r="G2325" i="7" s="1"/>
  <c r="D2324" i="7"/>
  <c r="E2324" i="7" s="1"/>
  <c r="F2324" i="7" s="1"/>
  <c r="G2324" i="7" s="1"/>
  <c r="D2323" i="7"/>
  <c r="E2323" i="7" s="1"/>
  <c r="F2323" i="7" s="1"/>
  <c r="G2323" i="7" s="1"/>
  <c r="D2322" i="7"/>
  <c r="E2322" i="7" s="1"/>
  <c r="F2322" i="7" s="1"/>
  <c r="G2322" i="7" s="1"/>
  <c r="D2321" i="7"/>
  <c r="E2321" i="7" s="1"/>
  <c r="F2321" i="7" s="1"/>
  <c r="G2321" i="7" s="1"/>
  <c r="D2320" i="7"/>
  <c r="E2320" i="7" s="1"/>
  <c r="F2320" i="7" s="1"/>
  <c r="G2320" i="7" s="1"/>
  <c r="D2319" i="7"/>
  <c r="E2319" i="7" s="1"/>
  <c r="F2319" i="7" s="1"/>
  <c r="G2319" i="7" s="1"/>
  <c r="D2318" i="7"/>
  <c r="E2318" i="7" s="1"/>
  <c r="F2318" i="7" s="1"/>
  <c r="G2318" i="7" s="1"/>
  <c r="D2317" i="7"/>
  <c r="E2317" i="7" s="1"/>
  <c r="F2317" i="7" s="1"/>
  <c r="G2317" i="7" s="1"/>
  <c r="D2316" i="7"/>
  <c r="E2316" i="7" s="1"/>
  <c r="F2316" i="7" s="1"/>
  <c r="G2316" i="7" s="1"/>
  <c r="D2315" i="7"/>
  <c r="E2315" i="7" s="1"/>
  <c r="F2315" i="7" s="1"/>
  <c r="G2315" i="7" s="1"/>
  <c r="D2314" i="7"/>
  <c r="E2314" i="7" s="1"/>
  <c r="F2314" i="7" s="1"/>
  <c r="G2314" i="7" s="1"/>
  <c r="D2313" i="7"/>
  <c r="E2313" i="7" s="1"/>
  <c r="F2313" i="7" s="1"/>
  <c r="G2313" i="7" s="1"/>
  <c r="D2312" i="7"/>
  <c r="E2312" i="7" s="1"/>
  <c r="F2312" i="7" s="1"/>
  <c r="G2312" i="7" s="1"/>
  <c r="D2311" i="7"/>
  <c r="E2311" i="7" s="1"/>
  <c r="F2311" i="7" s="1"/>
  <c r="G2311" i="7" s="1"/>
  <c r="D2310" i="7"/>
  <c r="E2310" i="7" s="1"/>
  <c r="F2310" i="7" s="1"/>
  <c r="G2310" i="7" s="1"/>
  <c r="D2309" i="7"/>
  <c r="E2309" i="7" s="1"/>
  <c r="F2309" i="7" s="1"/>
  <c r="G2309" i="7" s="1"/>
  <c r="D2308" i="7"/>
  <c r="E2308" i="7" s="1"/>
  <c r="F2308" i="7" s="1"/>
  <c r="G2308" i="7" s="1"/>
  <c r="D2307" i="7"/>
  <c r="E2307" i="7" s="1"/>
  <c r="F2307" i="7" s="1"/>
  <c r="G2307" i="7" s="1"/>
  <c r="D2306" i="7"/>
  <c r="E2306" i="7" s="1"/>
  <c r="F2306" i="7" s="1"/>
  <c r="G2306" i="7" s="1"/>
  <c r="D2305" i="7"/>
  <c r="E2305" i="7" s="1"/>
  <c r="F2305" i="7" s="1"/>
  <c r="G2305" i="7" s="1"/>
  <c r="D2304" i="7"/>
  <c r="E2304" i="7" s="1"/>
  <c r="F2304" i="7" s="1"/>
  <c r="G2304" i="7" s="1"/>
  <c r="D2303" i="7"/>
  <c r="E2303" i="7" s="1"/>
  <c r="F2303" i="7" s="1"/>
  <c r="G2303" i="7" s="1"/>
  <c r="D2302" i="7"/>
  <c r="E2302" i="7" s="1"/>
  <c r="F2302" i="7" s="1"/>
  <c r="G2302" i="7" s="1"/>
  <c r="D2301" i="7"/>
  <c r="E2301" i="7" s="1"/>
  <c r="F2301" i="7" s="1"/>
  <c r="G2301" i="7" s="1"/>
  <c r="D2300" i="7"/>
  <c r="E2300" i="7" s="1"/>
  <c r="F2300" i="7" s="1"/>
  <c r="G2300" i="7" s="1"/>
  <c r="D2299" i="7"/>
  <c r="E2299" i="7" s="1"/>
  <c r="F2299" i="7" s="1"/>
  <c r="G2299" i="7" s="1"/>
  <c r="D2298" i="7"/>
  <c r="E2298" i="7" s="1"/>
  <c r="F2298" i="7" s="1"/>
  <c r="G2298" i="7" s="1"/>
  <c r="D2297" i="7"/>
  <c r="E2297" i="7" s="1"/>
  <c r="F2297" i="7" s="1"/>
  <c r="G2297" i="7" s="1"/>
  <c r="D2296" i="7"/>
  <c r="E2296" i="7" s="1"/>
  <c r="F2296" i="7" s="1"/>
  <c r="G2296" i="7" s="1"/>
  <c r="D2295" i="7"/>
  <c r="E2295" i="7" s="1"/>
  <c r="F2295" i="7" s="1"/>
  <c r="G2295" i="7" s="1"/>
  <c r="D2294" i="7"/>
  <c r="E2294" i="7" s="1"/>
  <c r="F2294" i="7" s="1"/>
  <c r="G2294" i="7" s="1"/>
  <c r="D2293" i="7"/>
  <c r="E2293" i="7" s="1"/>
  <c r="F2293" i="7" s="1"/>
  <c r="G2293" i="7" s="1"/>
  <c r="D2292" i="7"/>
  <c r="E2292" i="7" s="1"/>
  <c r="F2292" i="7" s="1"/>
  <c r="G2292" i="7" s="1"/>
  <c r="D2291" i="7"/>
  <c r="E2291" i="7" s="1"/>
  <c r="F2291" i="7" s="1"/>
  <c r="G2291" i="7" s="1"/>
  <c r="D2290" i="7"/>
  <c r="E2290" i="7" s="1"/>
  <c r="F2290" i="7" s="1"/>
  <c r="G2290" i="7" s="1"/>
  <c r="D2289" i="7"/>
  <c r="E2289" i="7" s="1"/>
  <c r="F2289" i="7" s="1"/>
  <c r="G2289" i="7" s="1"/>
  <c r="D2288" i="7"/>
  <c r="E2288" i="7" s="1"/>
  <c r="F2288" i="7" s="1"/>
  <c r="G2288" i="7" s="1"/>
  <c r="D2287" i="7"/>
  <c r="E2287" i="7" s="1"/>
  <c r="F2287" i="7" s="1"/>
  <c r="G2287" i="7" s="1"/>
  <c r="D2286" i="7"/>
  <c r="E2286" i="7" s="1"/>
  <c r="F2286" i="7" s="1"/>
  <c r="G2286" i="7" s="1"/>
  <c r="D2285" i="7"/>
  <c r="E2285" i="7" s="1"/>
  <c r="F2285" i="7" s="1"/>
  <c r="G2285" i="7" s="1"/>
  <c r="D2284" i="7"/>
  <c r="E2284" i="7" s="1"/>
  <c r="F2284" i="7" s="1"/>
  <c r="G2284" i="7" s="1"/>
  <c r="D2283" i="7"/>
  <c r="E2283" i="7" s="1"/>
  <c r="F2283" i="7" s="1"/>
  <c r="G2283" i="7" s="1"/>
  <c r="D2282" i="7"/>
  <c r="E2282" i="7" s="1"/>
  <c r="F2282" i="7" s="1"/>
  <c r="G2282" i="7" s="1"/>
  <c r="D2281" i="7"/>
  <c r="E2281" i="7" s="1"/>
  <c r="F2281" i="7" s="1"/>
  <c r="G2281" i="7" s="1"/>
  <c r="D2280" i="7"/>
  <c r="E2280" i="7" s="1"/>
  <c r="F2280" i="7" s="1"/>
  <c r="G2280" i="7" s="1"/>
  <c r="D2279" i="7"/>
  <c r="E2279" i="7" s="1"/>
  <c r="F2279" i="7" s="1"/>
  <c r="G2279" i="7" s="1"/>
  <c r="D2278" i="7"/>
  <c r="E2278" i="7" s="1"/>
  <c r="F2278" i="7" s="1"/>
  <c r="G2278" i="7" s="1"/>
  <c r="D2277" i="7"/>
  <c r="E2277" i="7" s="1"/>
  <c r="F2277" i="7" s="1"/>
  <c r="G2277" i="7" s="1"/>
  <c r="D2276" i="7"/>
  <c r="E2276" i="7" s="1"/>
  <c r="F2276" i="7" s="1"/>
  <c r="G2276" i="7" s="1"/>
  <c r="D2275" i="7"/>
  <c r="E2275" i="7" s="1"/>
  <c r="F2275" i="7" s="1"/>
  <c r="G2275" i="7" s="1"/>
  <c r="D2274" i="7"/>
  <c r="E2274" i="7" s="1"/>
  <c r="F2274" i="7" s="1"/>
  <c r="G2274" i="7" s="1"/>
  <c r="D2273" i="7"/>
  <c r="E2273" i="7" s="1"/>
  <c r="F2273" i="7" s="1"/>
  <c r="G2273" i="7" s="1"/>
  <c r="D2272" i="7"/>
  <c r="E2272" i="7" s="1"/>
  <c r="F2272" i="7" s="1"/>
  <c r="G2272" i="7" s="1"/>
  <c r="D2271" i="7"/>
  <c r="E2271" i="7" s="1"/>
  <c r="F2271" i="7" s="1"/>
  <c r="G2271" i="7" s="1"/>
  <c r="D2270" i="7"/>
  <c r="E2270" i="7" s="1"/>
  <c r="F2270" i="7" s="1"/>
  <c r="G2270" i="7" s="1"/>
  <c r="D2269" i="7"/>
  <c r="E2269" i="7" s="1"/>
  <c r="F2269" i="7" s="1"/>
  <c r="G2269" i="7" s="1"/>
  <c r="D2268" i="7"/>
  <c r="E2268" i="7" s="1"/>
  <c r="F2268" i="7" s="1"/>
  <c r="G2268" i="7" s="1"/>
  <c r="D2267" i="7"/>
  <c r="E2267" i="7" s="1"/>
  <c r="F2267" i="7" s="1"/>
  <c r="G2267" i="7" s="1"/>
  <c r="D2266" i="7"/>
  <c r="E2266" i="7" s="1"/>
  <c r="F2266" i="7" s="1"/>
  <c r="G2266" i="7" s="1"/>
  <c r="D2265" i="7"/>
  <c r="E2265" i="7" s="1"/>
  <c r="F2265" i="7" s="1"/>
  <c r="G2265" i="7" s="1"/>
  <c r="D2264" i="7"/>
  <c r="E2264" i="7" s="1"/>
  <c r="F2264" i="7" s="1"/>
  <c r="G2264" i="7" s="1"/>
  <c r="D2263" i="7"/>
  <c r="E2263" i="7" s="1"/>
  <c r="F2263" i="7" s="1"/>
  <c r="G2263" i="7" s="1"/>
  <c r="D2262" i="7"/>
  <c r="E2262" i="7" s="1"/>
  <c r="F2262" i="7" s="1"/>
  <c r="G2262" i="7" s="1"/>
  <c r="D2261" i="7"/>
  <c r="E2261" i="7" s="1"/>
  <c r="F2261" i="7" s="1"/>
  <c r="G2261" i="7" s="1"/>
  <c r="D2260" i="7"/>
  <c r="E2260" i="7" s="1"/>
  <c r="F2260" i="7" s="1"/>
  <c r="G2260" i="7" s="1"/>
  <c r="D2259" i="7"/>
  <c r="E2259" i="7" s="1"/>
  <c r="F2259" i="7" s="1"/>
  <c r="G2259" i="7" s="1"/>
  <c r="D2258" i="7"/>
  <c r="E2258" i="7" s="1"/>
  <c r="F2258" i="7" s="1"/>
  <c r="G2258" i="7" s="1"/>
  <c r="D2257" i="7"/>
  <c r="E2257" i="7" s="1"/>
  <c r="F2257" i="7" s="1"/>
  <c r="G2257" i="7" s="1"/>
  <c r="D2256" i="7"/>
  <c r="E2256" i="7" s="1"/>
  <c r="F2256" i="7" s="1"/>
  <c r="G2256" i="7" s="1"/>
  <c r="D2255" i="7"/>
  <c r="E2255" i="7" s="1"/>
  <c r="F2255" i="7" s="1"/>
  <c r="G2255" i="7" s="1"/>
  <c r="D2254" i="7"/>
  <c r="E2254" i="7" s="1"/>
  <c r="F2254" i="7" s="1"/>
  <c r="G2254" i="7" s="1"/>
  <c r="D2253" i="7"/>
  <c r="E2253" i="7" s="1"/>
  <c r="F2253" i="7" s="1"/>
  <c r="G2253" i="7" s="1"/>
  <c r="D2252" i="7"/>
  <c r="E2252" i="7" s="1"/>
  <c r="F2252" i="7" s="1"/>
  <c r="G2252" i="7" s="1"/>
  <c r="D2251" i="7"/>
  <c r="E2251" i="7" s="1"/>
  <c r="F2251" i="7" s="1"/>
  <c r="G2251" i="7" s="1"/>
  <c r="D2250" i="7"/>
  <c r="E2250" i="7" s="1"/>
  <c r="F2250" i="7" s="1"/>
  <c r="G2250" i="7" s="1"/>
  <c r="D2249" i="7"/>
  <c r="E2249" i="7" s="1"/>
  <c r="F2249" i="7" s="1"/>
  <c r="G2249" i="7" s="1"/>
  <c r="D2248" i="7"/>
  <c r="E2248" i="7" s="1"/>
  <c r="F2248" i="7" s="1"/>
  <c r="G2248" i="7" s="1"/>
  <c r="D2247" i="7"/>
  <c r="E2247" i="7" s="1"/>
  <c r="F2247" i="7" s="1"/>
  <c r="G2247" i="7" s="1"/>
  <c r="D2246" i="7"/>
  <c r="E2246" i="7" s="1"/>
  <c r="F2246" i="7" s="1"/>
  <c r="G2246" i="7" s="1"/>
  <c r="D2245" i="7"/>
  <c r="E2245" i="7" s="1"/>
  <c r="F2245" i="7" s="1"/>
  <c r="G2245" i="7" s="1"/>
  <c r="D2244" i="7"/>
  <c r="E2244" i="7" s="1"/>
  <c r="F2244" i="7" s="1"/>
  <c r="G2244" i="7" s="1"/>
  <c r="D2243" i="7"/>
  <c r="E2243" i="7" s="1"/>
  <c r="F2243" i="7" s="1"/>
  <c r="G2243" i="7" s="1"/>
  <c r="D2242" i="7"/>
  <c r="E2242" i="7" s="1"/>
  <c r="F2242" i="7" s="1"/>
  <c r="G2242" i="7" s="1"/>
  <c r="D2241" i="7"/>
  <c r="E2241" i="7" s="1"/>
  <c r="F2241" i="7" s="1"/>
  <c r="G2241" i="7" s="1"/>
  <c r="D2240" i="7"/>
  <c r="E2240" i="7" s="1"/>
  <c r="F2240" i="7" s="1"/>
  <c r="G2240" i="7" s="1"/>
  <c r="D2239" i="7"/>
  <c r="E2239" i="7" s="1"/>
  <c r="F2239" i="7" s="1"/>
  <c r="G2239" i="7" s="1"/>
  <c r="D2238" i="7"/>
  <c r="E2238" i="7" s="1"/>
  <c r="F2238" i="7" s="1"/>
  <c r="G2238" i="7" s="1"/>
  <c r="D2237" i="7"/>
  <c r="E2237" i="7" s="1"/>
  <c r="F2237" i="7" s="1"/>
  <c r="G2237" i="7" s="1"/>
  <c r="D2236" i="7"/>
  <c r="E2236" i="7" s="1"/>
  <c r="F2236" i="7" s="1"/>
  <c r="G2236" i="7" s="1"/>
  <c r="D2235" i="7"/>
  <c r="E2235" i="7" s="1"/>
  <c r="F2235" i="7" s="1"/>
  <c r="G2235" i="7" s="1"/>
  <c r="D2234" i="7"/>
  <c r="E2234" i="7" s="1"/>
  <c r="F2234" i="7" s="1"/>
  <c r="G2234" i="7" s="1"/>
  <c r="D2233" i="7"/>
  <c r="E2233" i="7" s="1"/>
  <c r="F2233" i="7" s="1"/>
  <c r="G2233" i="7" s="1"/>
  <c r="D2232" i="7"/>
  <c r="E2232" i="7" s="1"/>
  <c r="F2232" i="7" s="1"/>
  <c r="G2232" i="7" s="1"/>
  <c r="D2231" i="7"/>
  <c r="E2231" i="7" s="1"/>
  <c r="F2231" i="7" s="1"/>
  <c r="G2231" i="7" s="1"/>
  <c r="D2230" i="7"/>
  <c r="E2230" i="7" s="1"/>
  <c r="F2230" i="7" s="1"/>
  <c r="G2230" i="7" s="1"/>
  <c r="D2229" i="7"/>
  <c r="E2229" i="7" s="1"/>
  <c r="F2229" i="7" s="1"/>
  <c r="G2229" i="7" s="1"/>
  <c r="D2228" i="7"/>
  <c r="E2228" i="7" s="1"/>
  <c r="F2228" i="7" s="1"/>
  <c r="G2228" i="7" s="1"/>
  <c r="D2227" i="7"/>
  <c r="E2227" i="7" s="1"/>
  <c r="F2227" i="7" s="1"/>
  <c r="G2227" i="7" s="1"/>
  <c r="D2226" i="7"/>
  <c r="E2226" i="7" s="1"/>
  <c r="F2226" i="7" s="1"/>
  <c r="G2226" i="7" s="1"/>
  <c r="D2225" i="7"/>
  <c r="E2225" i="7" s="1"/>
  <c r="F2225" i="7" s="1"/>
  <c r="G2225" i="7" s="1"/>
  <c r="D2224" i="7"/>
  <c r="E2224" i="7" s="1"/>
  <c r="F2224" i="7" s="1"/>
  <c r="G2224" i="7" s="1"/>
  <c r="D2223" i="7"/>
  <c r="E2223" i="7" s="1"/>
  <c r="F2223" i="7" s="1"/>
  <c r="G2223" i="7" s="1"/>
  <c r="D2222" i="7"/>
  <c r="E2222" i="7" s="1"/>
  <c r="F2222" i="7" s="1"/>
  <c r="G2222" i="7" s="1"/>
  <c r="D2221" i="7"/>
  <c r="E2221" i="7" s="1"/>
  <c r="F2221" i="7" s="1"/>
  <c r="G2221" i="7" s="1"/>
  <c r="D2220" i="7"/>
  <c r="E2220" i="7" s="1"/>
  <c r="F2220" i="7" s="1"/>
  <c r="G2220" i="7" s="1"/>
  <c r="D2219" i="7"/>
  <c r="E2219" i="7" s="1"/>
  <c r="F2219" i="7" s="1"/>
  <c r="G2219" i="7" s="1"/>
  <c r="D2218" i="7"/>
  <c r="E2218" i="7" s="1"/>
  <c r="F2218" i="7" s="1"/>
  <c r="G2218" i="7" s="1"/>
  <c r="D2217" i="7"/>
  <c r="E2217" i="7" s="1"/>
  <c r="F2217" i="7" s="1"/>
  <c r="G2217" i="7" s="1"/>
  <c r="D2216" i="7"/>
  <c r="E2216" i="7" s="1"/>
  <c r="F2216" i="7" s="1"/>
  <c r="G2216" i="7" s="1"/>
  <c r="D2215" i="7"/>
  <c r="E2215" i="7" s="1"/>
  <c r="F2215" i="7" s="1"/>
  <c r="G2215" i="7" s="1"/>
  <c r="D2214" i="7"/>
  <c r="E2214" i="7" s="1"/>
  <c r="F2214" i="7" s="1"/>
  <c r="G2214" i="7" s="1"/>
  <c r="D2213" i="7"/>
  <c r="E2213" i="7" s="1"/>
  <c r="F2213" i="7" s="1"/>
  <c r="G2213" i="7" s="1"/>
  <c r="D2212" i="7"/>
  <c r="E2212" i="7" s="1"/>
  <c r="F2212" i="7" s="1"/>
  <c r="G2212" i="7" s="1"/>
  <c r="D2211" i="7"/>
  <c r="E2211" i="7" s="1"/>
  <c r="F2211" i="7" s="1"/>
  <c r="G2211" i="7" s="1"/>
  <c r="D2210" i="7"/>
  <c r="E2210" i="7" s="1"/>
  <c r="F2210" i="7" s="1"/>
  <c r="G2210" i="7" s="1"/>
  <c r="D2209" i="7"/>
  <c r="E2209" i="7" s="1"/>
  <c r="F2209" i="7" s="1"/>
  <c r="G2209" i="7" s="1"/>
  <c r="D2208" i="7"/>
  <c r="E2208" i="7" s="1"/>
  <c r="F2208" i="7" s="1"/>
  <c r="G2208" i="7" s="1"/>
  <c r="D2207" i="7"/>
  <c r="E2207" i="7" s="1"/>
  <c r="F2207" i="7" s="1"/>
  <c r="G2207" i="7" s="1"/>
  <c r="D2206" i="7"/>
  <c r="E2206" i="7" s="1"/>
  <c r="F2206" i="7" s="1"/>
  <c r="G2206" i="7" s="1"/>
  <c r="D2205" i="7"/>
  <c r="E2205" i="7" s="1"/>
  <c r="F2205" i="7" s="1"/>
  <c r="G2205" i="7" s="1"/>
  <c r="D2204" i="7"/>
  <c r="E2204" i="7" s="1"/>
  <c r="F2204" i="7" s="1"/>
  <c r="G2204" i="7" s="1"/>
  <c r="D2203" i="7"/>
  <c r="E2203" i="7" s="1"/>
  <c r="F2203" i="7" s="1"/>
  <c r="G2203" i="7" s="1"/>
  <c r="D2202" i="7"/>
  <c r="E2202" i="7" s="1"/>
  <c r="F2202" i="7" s="1"/>
  <c r="G2202" i="7" s="1"/>
  <c r="D2201" i="7"/>
  <c r="E2201" i="7" s="1"/>
  <c r="F2201" i="7" s="1"/>
  <c r="G2201" i="7" s="1"/>
  <c r="D2200" i="7"/>
  <c r="E2200" i="7" s="1"/>
  <c r="F2200" i="7" s="1"/>
  <c r="G2200" i="7" s="1"/>
  <c r="D2199" i="7"/>
  <c r="E2199" i="7" s="1"/>
  <c r="F2199" i="7" s="1"/>
  <c r="G2199" i="7" s="1"/>
  <c r="D2198" i="7"/>
  <c r="E2198" i="7" s="1"/>
  <c r="F2198" i="7" s="1"/>
  <c r="G2198" i="7" s="1"/>
  <c r="D2197" i="7"/>
  <c r="E2197" i="7" s="1"/>
  <c r="F2197" i="7" s="1"/>
  <c r="G2197" i="7" s="1"/>
  <c r="D2196" i="7"/>
  <c r="E2196" i="7" s="1"/>
  <c r="F2196" i="7" s="1"/>
  <c r="G2196" i="7" s="1"/>
  <c r="D2195" i="7"/>
  <c r="E2195" i="7" s="1"/>
  <c r="F2195" i="7" s="1"/>
  <c r="G2195" i="7" s="1"/>
  <c r="D2194" i="7"/>
  <c r="E2194" i="7" s="1"/>
  <c r="F2194" i="7" s="1"/>
  <c r="G2194" i="7" s="1"/>
  <c r="D2193" i="7"/>
  <c r="E2193" i="7" s="1"/>
  <c r="F2193" i="7" s="1"/>
  <c r="G2193" i="7" s="1"/>
  <c r="D2192" i="7"/>
  <c r="E2192" i="7" s="1"/>
  <c r="F2192" i="7" s="1"/>
  <c r="G2192" i="7" s="1"/>
  <c r="D2191" i="7"/>
  <c r="E2191" i="7" s="1"/>
  <c r="F2191" i="7" s="1"/>
  <c r="G2191" i="7" s="1"/>
  <c r="D2190" i="7"/>
  <c r="E2190" i="7" s="1"/>
  <c r="F2190" i="7" s="1"/>
  <c r="G2190" i="7" s="1"/>
  <c r="D2189" i="7"/>
  <c r="E2189" i="7" s="1"/>
  <c r="F2189" i="7" s="1"/>
  <c r="G2189" i="7" s="1"/>
  <c r="D2188" i="7"/>
  <c r="E2188" i="7" s="1"/>
  <c r="F2188" i="7" s="1"/>
  <c r="G2188" i="7" s="1"/>
  <c r="D2187" i="7"/>
  <c r="E2187" i="7" s="1"/>
  <c r="F2187" i="7" s="1"/>
  <c r="G2187" i="7" s="1"/>
  <c r="D2186" i="7"/>
  <c r="E2186" i="7" s="1"/>
  <c r="F2186" i="7" s="1"/>
  <c r="G2186" i="7" s="1"/>
  <c r="D2185" i="7"/>
  <c r="E2185" i="7" s="1"/>
  <c r="F2185" i="7" s="1"/>
  <c r="G2185" i="7" s="1"/>
  <c r="D2184" i="7"/>
  <c r="E2184" i="7" s="1"/>
  <c r="F2184" i="7" s="1"/>
  <c r="G2184" i="7" s="1"/>
  <c r="D2183" i="7"/>
  <c r="E2183" i="7" s="1"/>
  <c r="F2183" i="7" s="1"/>
  <c r="G2183" i="7" s="1"/>
  <c r="D2182" i="7"/>
  <c r="E2182" i="7" s="1"/>
  <c r="F2182" i="7" s="1"/>
  <c r="G2182" i="7" s="1"/>
  <c r="D2181" i="7"/>
  <c r="E2181" i="7" s="1"/>
  <c r="F2181" i="7" s="1"/>
  <c r="G2181" i="7" s="1"/>
  <c r="D2180" i="7"/>
  <c r="E2180" i="7" s="1"/>
  <c r="F2180" i="7" s="1"/>
  <c r="G2180" i="7" s="1"/>
  <c r="D2179" i="7"/>
  <c r="E2179" i="7" s="1"/>
  <c r="F2179" i="7" s="1"/>
  <c r="G2179" i="7" s="1"/>
  <c r="D2178" i="7"/>
  <c r="E2178" i="7" s="1"/>
  <c r="F2178" i="7" s="1"/>
  <c r="G2178" i="7" s="1"/>
  <c r="D2177" i="7"/>
  <c r="E2177" i="7" s="1"/>
  <c r="F2177" i="7" s="1"/>
  <c r="G2177" i="7" s="1"/>
  <c r="D2176" i="7"/>
  <c r="E2176" i="7" s="1"/>
  <c r="F2176" i="7" s="1"/>
  <c r="G2176" i="7" s="1"/>
  <c r="D2175" i="7"/>
  <c r="E2175" i="7" s="1"/>
  <c r="F2175" i="7" s="1"/>
  <c r="G2175" i="7" s="1"/>
  <c r="D2174" i="7"/>
  <c r="E2174" i="7" s="1"/>
  <c r="F2174" i="7" s="1"/>
  <c r="G2174" i="7" s="1"/>
  <c r="D2173" i="7"/>
  <c r="E2173" i="7" s="1"/>
  <c r="F2173" i="7" s="1"/>
  <c r="G2173" i="7" s="1"/>
  <c r="D2172" i="7"/>
  <c r="E2172" i="7" s="1"/>
  <c r="F2172" i="7" s="1"/>
  <c r="G2172" i="7" s="1"/>
  <c r="D2171" i="7"/>
  <c r="E2171" i="7" s="1"/>
  <c r="F2171" i="7" s="1"/>
  <c r="G2171" i="7" s="1"/>
  <c r="D2170" i="7"/>
  <c r="E2170" i="7" s="1"/>
  <c r="F2170" i="7" s="1"/>
  <c r="G2170" i="7" s="1"/>
  <c r="D2169" i="7"/>
  <c r="E2169" i="7" s="1"/>
  <c r="F2169" i="7" s="1"/>
  <c r="G2169" i="7" s="1"/>
  <c r="D2168" i="7"/>
  <c r="E2168" i="7" s="1"/>
  <c r="F2168" i="7" s="1"/>
  <c r="G2168" i="7" s="1"/>
  <c r="D2167" i="7"/>
  <c r="E2167" i="7" s="1"/>
  <c r="F2167" i="7" s="1"/>
  <c r="G2167" i="7" s="1"/>
  <c r="D2166" i="7"/>
  <c r="E2166" i="7" s="1"/>
  <c r="F2166" i="7" s="1"/>
  <c r="G2166" i="7" s="1"/>
  <c r="D2165" i="7"/>
  <c r="E2165" i="7" s="1"/>
  <c r="F2165" i="7" s="1"/>
  <c r="G2165" i="7" s="1"/>
  <c r="D2164" i="7"/>
  <c r="E2164" i="7" s="1"/>
  <c r="F2164" i="7" s="1"/>
  <c r="G2164" i="7" s="1"/>
  <c r="D2163" i="7"/>
  <c r="E2163" i="7" s="1"/>
  <c r="F2163" i="7" s="1"/>
  <c r="G2163" i="7" s="1"/>
  <c r="D2162" i="7"/>
  <c r="E2162" i="7" s="1"/>
  <c r="F2162" i="7" s="1"/>
  <c r="G2162" i="7" s="1"/>
  <c r="D2161" i="7"/>
  <c r="E2161" i="7" s="1"/>
  <c r="F2161" i="7" s="1"/>
  <c r="G2161" i="7" s="1"/>
  <c r="D2160" i="7"/>
  <c r="E2160" i="7" s="1"/>
  <c r="F2160" i="7" s="1"/>
  <c r="G2160" i="7" s="1"/>
  <c r="D2159" i="7"/>
  <c r="E2159" i="7" s="1"/>
  <c r="F2159" i="7" s="1"/>
  <c r="G2159" i="7" s="1"/>
  <c r="D2158" i="7"/>
  <c r="E2158" i="7" s="1"/>
  <c r="F2158" i="7" s="1"/>
  <c r="G2158" i="7" s="1"/>
  <c r="D2157" i="7"/>
  <c r="E2157" i="7" s="1"/>
  <c r="F2157" i="7" s="1"/>
  <c r="G2157" i="7" s="1"/>
  <c r="D2156" i="7"/>
  <c r="E2156" i="7" s="1"/>
  <c r="F2156" i="7" s="1"/>
  <c r="G2156" i="7" s="1"/>
  <c r="D2155" i="7"/>
  <c r="E2155" i="7" s="1"/>
  <c r="F2155" i="7" s="1"/>
  <c r="G2155" i="7" s="1"/>
  <c r="D2154" i="7"/>
  <c r="E2154" i="7" s="1"/>
  <c r="F2154" i="7" s="1"/>
  <c r="G2154" i="7" s="1"/>
  <c r="D2153" i="7"/>
  <c r="E2153" i="7" s="1"/>
  <c r="F2153" i="7" s="1"/>
  <c r="G2153" i="7" s="1"/>
  <c r="D2152" i="7"/>
  <c r="E2152" i="7" s="1"/>
  <c r="F2152" i="7" s="1"/>
  <c r="G2152" i="7" s="1"/>
  <c r="D2151" i="7"/>
  <c r="E2151" i="7" s="1"/>
  <c r="F2151" i="7" s="1"/>
  <c r="G2151" i="7" s="1"/>
  <c r="D2150" i="7"/>
  <c r="E2150" i="7" s="1"/>
  <c r="F2150" i="7" s="1"/>
  <c r="G2150" i="7" s="1"/>
  <c r="D2149" i="7"/>
  <c r="E2149" i="7" s="1"/>
  <c r="F2149" i="7" s="1"/>
  <c r="G2149" i="7" s="1"/>
  <c r="D2148" i="7"/>
  <c r="E2148" i="7" s="1"/>
  <c r="F2148" i="7" s="1"/>
  <c r="G2148" i="7" s="1"/>
  <c r="D2147" i="7"/>
  <c r="E2147" i="7" s="1"/>
  <c r="F2147" i="7" s="1"/>
  <c r="G2147" i="7" s="1"/>
  <c r="D2146" i="7"/>
  <c r="E2146" i="7" s="1"/>
  <c r="F2146" i="7" s="1"/>
  <c r="G2146" i="7" s="1"/>
  <c r="D2145" i="7"/>
  <c r="E2145" i="7" s="1"/>
  <c r="F2145" i="7" s="1"/>
  <c r="G2145" i="7" s="1"/>
  <c r="D2144" i="7"/>
  <c r="E2144" i="7" s="1"/>
  <c r="F2144" i="7" s="1"/>
  <c r="G2144" i="7" s="1"/>
  <c r="D2143" i="7"/>
  <c r="E2143" i="7" s="1"/>
  <c r="F2143" i="7" s="1"/>
  <c r="G2143" i="7" s="1"/>
  <c r="D2142" i="7"/>
  <c r="E2142" i="7" s="1"/>
  <c r="F2142" i="7" s="1"/>
  <c r="G2142" i="7" s="1"/>
  <c r="D2141" i="7"/>
  <c r="E2141" i="7" s="1"/>
  <c r="F2141" i="7" s="1"/>
  <c r="G2141" i="7" s="1"/>
  <c r="D2140" i="7"/>
  <c r="E2140" i="7" s="1"/>
  <c r="F2140" i="7" s="1"/>
  <c r="G2140" i="7" s="1"/>
  <c r="D2139" i="7"/>
  <c r="E2139" i="7" s="1"/>
  <c r="F2139" i="7" s="1"/>
  <c r="G2139" i="7" s="1"/>
  <c r="D2138" i="7"/>
  <c r="E2138" i="7" s="1"/>
  <c r="F2138" i="7" s="1"/>
  <c r="G2138" i="7" s="1"/>
  <c r="D2137" i="7"/>
  <c r="E2137" i="7" s="1"/>
  <c r="F2137" i="7" s="1"/>
  <c r="G2137" i="7" s="1"/>
  <c r="D2136" i="7"/>
  <c r="E2136" i="7" s="1"/>
  <c r="F2136" i="7" s="1"/>
  <c r="G2136" i="7" s="1"/>
  <c r="D2135" i="7"/>
  <c r="E2135" i="7" s="1"/>
  <c r="F2135" i="7" s="1"/>
  <c r="G2135" i="7" s="1"/>
  <c r="D2134" i="7"/>
  <c r="E2134" i="7" s="1"/>
  <c r="F2134" i="7" s="1"/>
  <c r="G2134" i="7" s="1"/>
  <c r="D2133" i="7"/>
  <c r="E2133" i="7" s="1"/>
  <c r="F2133" i="7" s="1"/>
  <c r="G2133" i="7" s="1"/>
  <c r="D2132" i="7"/>
  <c r="E2132" i="7" s="1"/>
  <c r="F2132" i="7" s="1"/>
  <c r="G2132" i="7" s="1"/>
  <c r="D2131" i="7"/>
  <c r="E2131" i="7" s="1"/>
  <c r="F2131" i="7" s="1"/>
  <c r="G2131" i="7" s="1"/>
  <c r="D2130" i="7"/>
  <c r="E2130" i="7" s="1"/>
  <c r="F2130" i="7" s="1"/>
  <c r="G2130" i="7" s="1"/>
  <c r="D2129" i="7"/>
  <c r="E2129" i="7" s="1"/>
  <c r="F2129" i="7" s="1"/>
  <c r="G2129" i="7" s="1"/>
  <c r="D2128" i="7"/>
  <c r="E2128" i="7" s="1"/>
  <c r="F2128" i="7" s="1"/>
  <c r="G2128" i="7" s="1"/>
  <c r="D2127" i="7"/>
  <c r="E2127" i="7" s="1"/>
  <c r="F2127" i="7" s="1"/>
  <c r="G2127" i="7" s="1"/>
  <c r="D2126" i="7"/>
  <c r="E2126" i="7" s="1"/>
  <c r="F2126" i="7" s="1"/>
  <c r="G2126" i="7" s="1"/>
  <c r="D2125" i="7"/>
  <c r="E2125" i="7" s="1"/>
  <c r="F2125" i="7" s="1"/>
  <c r="G2125" i="7" s="1"/>
  <c r="D2124" i="7"/>
  <c r="E2124" i="7" s="1"/>
  <c r="F2124" i="7" s="1"/>
  <c r="G2124" i="7" s="1"/>
  <c r="D2123" i="7"/>
  <c r="E2123" i="7" s="1"/>
  <c r="F2123" i="7" s="1"/>
  <c r="G2123" i="7" s="1"/>
  <c r="D2122" i="7"/>
  <c r="E2122" i="7" s="1"/>
  <c r="F2122" i="7" s="1"/>
  <c r="G2122" i="7" s="1"/>
  <c r="D2121" i="7"/>
  <c r="E2121" i="7" s="1"/>
  <c r="F2121" i="7" s="1"/>
  <c r="G2121" i="7" s="1"/>
  <c r="D2120" i="7"/>
  <c r="E2120" i="7" s="1"/>
  <c r="F2120" i="7" s="1"/>
  <c r="G2120" i="7" s="1"/>
  <c r="D2119" i="7"/>
  <c r="E2119" i="7" s="1"/>
  <c r="F2119" i="7" s="1"/>
  <c r="G2119" i="7" s="1"/>
  <c r="D2118" i="7"/>
  <c r="E2118" i="7" s="1"/>
  <c r="F2118" i="7" s="1"/>
  <c r="G2118" i="7" s="1"/>
  <c r="D2117" i="7"/>
  <c r="E2117" i="7" s="1"/>
  <c r="F2117" i="7" s="1"/>
  <c r="G2117" i="7" s="1"/>
  <c r="D2116" i="7"/>
  <c r="E2116" i="7" s="1"/>
  <c r="F2116" i="7" s="1"/>
  <c r="G2116" i="7" s="1"/>
  <c r="D2115" i="7"/>
  <c r="E2115" i="7" s="1"/>
  <c r="F2115" i="7" s="1"/>
  <c r="G2115" i="7" s="1"/>
  <c r="D2114" i="7"/>
  <c r="E2114" i="7" s="1"/>
  <c r="F2114" i="7" s="1"/>
  <c r="G2114" i="7" s="1"/>
  <c r="D2113" i="7"/>
  <c r="E2113" i="7" s="1"/>
  <c r="F2113" i="7" s="1"/>
  <c r="G2113" i="7" s="1"/>
  <c r="D2112" i="7"/>
  <c r="E2112" i="7" s="1"/>
  <c r="F2112" i="7" s="1"/>
  <c r="G2112" i="7" s="1"/>
  <c r="D2111" i="7"/>
  <c r="E2111" i="7" s="1"/>
  <c r="F2111" i="7" s="1"/>
  <c r="G2111" i="7" s="1"/>
  <c r="D2110" i="7"/>
  <c r="E2110" i="7" s="1"/>
  <c r="F2110" i="7" s="1"/>
  <c r="G2110" i="7" s="1"/>
  <c r="D2109" i="7"/>
  <c r="E2109" i="7" s="1"/>
  <c r="F2109" i="7" s="1"/>
  <c r="G2109" i="7" s="1"/>
  <c r="D2108" i="7"/>
  <c r="E2108" i="7" s="1"/>
  <c r="F2108" i="7" s="1"/>
  <c r="G2108" i="7" s="1"/>
  <c r="D2107" i="7"/>
  <c r="E2107" i="7" s="1"/>
  <c r="F2107" i="7" s="1"/>
  <c r="G2107" i="7" s="1"/>
  <c r="D2106" i="7"/>
  <c r="E2106" i="7" s="1"/>
  <c r="F2106" i="7" s="1"/>
  <c r="G2106" i="7" s="1"/>
  <c r="D2105" i="7"/>
  <c r="E2105" i="7" s="1"/>
  <c r="F2105" i="7" s="1"/>
  <c r="G2105" i="7" s="1"/>
  <c r="D2104" i="7"/>
  <c r="E2104" i="7" s="1"/>
  <c r="F2104" i="7" s="1"/>
  <c r="G2104" i="7" s="1"/>
  <c r="D2103" i="7"/>
  <c r="E2103" i="7" s="1"/>
  <c r="F2103" i="7" s="1"/>
  <c r="G2103" i="7" s="1"/>
  <c r="D2102" i="7"/>
  <c r="E2102" i="7" s="1"/>
  <c r="F2102" i="7" s="1"/>
  <c r="G2102" i="7" s="1"/>
  <c r="D2101" i="7"/>
  <c r="E2101" i="7" s="1"/>
  <c r="F2101" i="7" s="1"/>
  <c r="G2101" i="7" s="1"/>
  <c r="D2100" i="7"/>
  <c r="E2100" i="7" s="1"/>
  <c r="F2100" i="7" s="1"/>
  <c r="G2100" i="7" s="1"/>
  <c r="D2099" i="7"/>
  <c r="E2099" i="7" s="1"/>
  <c r="F2099" i="7" s="1"/>
  <c r="G2099" i="7" s="1"/>
  <c r="D2098" i="7"/>
  <c r="E2098" i="7" s="1"/>
  <c r="F2098" i="7" s="1"/>
  <c r="G2098" i="7" s="1"/>
  <c r="D2097" i="7"/>
  <c r="E2097" i="7" s="1"/>
  <c r="F2097" i="7" s="1"/>
  <c r="G2097" i="7" s="1"/>
  <c r="D2096" i="7"/>
  <c r="E2096" i="7" s="1"/>
  <c r="F2096" i="7" s="1"/>
  <c r="G2096" i="7" s="1"/>
  <c r="D2095" i="7"/>
  <c r="E2095" i="7" s="1"/>
  <c r="F2095" i="7" s="1"/>
  <c r="G2095" i="7" s="1"/>
  <c r="D2094" i="7"/>
  <c r="E2094" i="7" s="1"/>
  <c r="F2094" i="7" s="1"/>
  <c r="G2094" i="7" s="1"/>
  <c r="D2093" i="7"/>
  <c r="E2093" i="7" s="1"/>
  <c r="F2093" i="7" s="1"/>
  <c r="G2093" i="7" s="1"/>
  <c r="D2092" i="7"/>
  <c r="E2092" i="7" s="1"/>
  <c r="F2092" i="7" s="1"/>
  <c r="G2092" i="7" s="1"/>
  <c r="D2091" i="7"/>
  <c r="E2091" i="7" s="1"/>
  <c r="F2091" i="7" s="1"/>
  <c r="G2091" i="7" s="1"/>
  <c r="D2090" i="7"/>
  <c r="E2090" i="7" s="1"/>
  <c r="F2090" i="7" s="1"/>
  <c r="G2090" i="7" s="1"/>
  <c r="D2089" i="7"/>
  <c r="E2089" i="7" s="1"/>
  <c r="F2089" i="7" s="1"/>
  <c r="G2089" i="7" s="1"/>
  <c r="D2088" i="7"/>
  <c r="E2088" i="7" s="1"/>
  <c r="F2088" i="7" s="1"/>
  <c r="G2088" i="7" s="1"/>
  <c r="D2087" i="7"/>
  <c r="E2087" i="7" s="1"/>
  <c r="F2087" i="7" s="1"/>
  <c r="G2087" i="7" s="1"/>
  <c r="D2086" i="7"/>
  <c r="E2086" i="7" s="1"/>
  <c r="F2086" i="7" s="1"/>
  <c r="G2086" i="7" s="1"/>
  <c r="D2085" i="7"/>
  <c r="E2085" i="7" s="1"/>
  <c r="F2085" i="7" s="1"/>
  <c r="G2085" i="7" s="1"/>
  <c r="D2084" i="7"/>
  <c r="E2084" i="7" s="1"/>
  <c r="F2084" i="7" s="1"/>
  <c r="G2084" i="7" s="1"/>
  <c r="D2083" i="7"/>
  <c r="E2083" i="7" s="1"/>
  <c r="F2083" i="7" s="1"/>
  <c r="G2083" i="7" s="1"/>
  <c r="D2082" i="7"/>
  <c r="E2082" i="7" s="1"/>
  <c r="F2082" i="7" s="1"/>
  <c r="G2082" i="7" s="1"/>
  <c r="D2081" i="7"/>
  <c r="E2081" i="7" s="1"/>
  <c r="F2081" i="7" s="1"/>
  <c r="G2081" i="7" s="1"/>
  <c r="D2080" i="7"/>
  <c r="E2080" i="7" s="1"/>
  <c r="F2080" i="7" s="1"/>
  <c r="G2080" i="7" s="1"/>
  <c r="D2079" i="7"/>
  <c r="E2079" i="7" s="1"/>
  <c r="F2079" i="7" s="1"/>
  <c r="G2079" i="7" s="1"/>
  <c r="D2078" i="7"/>
  <c r="E2078" i="7" s="1"/>
  <c r="F2078" i="7" s="1"/>
  <c r="G2078" i="7" s="1"/>
  <c r="D2077" i="7"/>
  <c r="E2077" i="7" s="1"/>
  <c r="F2077" i="7" s="1"/>
  <c r="G2077" i="7" s="1"/>
  <c r="D2076" i="7"/>
  <c r="E2076" i="7" s="1"/>
  <c r="F2076" i="7" s="1"/>
  <c r="G2076" i="7" s="1"/>
  <c r="D2075" i="7"/>
  <c r="E2075" i="7" s="1"/>
  <c r="F2075" i="7" s="1"/>
  <c r="G2075" i="7" s="1"/>
  <c r="D2074" i="7"/>
  <c r="E2074" i="7" s="1"/>
  <c r="F2074" i="7" s="1"/>
  <c r="G2074" i="7" s="1"/>
  <c r="D2073" i="7"/>
  <c r="E2073" i="7" s="1"/>
  <c r="F2073" i="7" s="1"/>
  <c r="G2073" i="7" s="1"/>
  <c r="D2072" i="7"/>
  <c r="E2072" i="7" s="1"/>
  <c r="F2072" i="7" s="1"/>
  <c r="G2072" i="7" s="1"/>
  <c r="D2071" i="7"/>
  <c r="E2071" i="7" s="1"/>
  <c r="F2071" i="7" s="1"/>
  <c r="G2071" i="7" s="1"/>
  <c r="D2070" i="7"/>
  <c r="E2070" i="7" s="1"/>
  <c r="F2070" i="7" s="1"/>
  <c r="G2070" i="7" s="1"/>
  <c r="D2069" i="7"/>
  <c r="E2069" i="7" s="1"/>
  <c r="F2069" i="7" s="1"/>
  <c r="G2069" i="7" s="1"/>
  <c r="D2068" i="7"/>
  <c r="E2068" i="7" s="1"/>
  <c r="F2068" i="7" s="1"/>
  <c r="G2068" i="7" s="1"/>
  <c r="D2067" i="7"/>
  <c r="E2067" i="7" s="1"/>
  <c r="F2067" i="7" s="1"/>
  <c r="G2067" i="7" s="1"/>
  <c r="D2066" i="7"/>
  <c r="E2066" i="7" s="1"/>
  <c r="F2066" i="7" s="1"/>
  <c r="G2066" i="7" s="1"/>
  <c r="D2065" i="7"/>
  <c r="E2065" i="7" s="1"/>
  <c r="F2065" i="7" s="1"/>
  <c r="G2065" i="7" s="1"/>
  <c r="D2064" i="7"/>
  <c r="E2064" i="7" s="1"/>
  <c r="F2064" i="7" s="1"/>
  <c r="G2064" i="7" s="1"/>
  <c r="D2063" i="7"/>
  <c r="E2063" i="7" s="1"/>
  <c r="F2063" i="7" s="1"/>
  <c r="G2063" i="7" s="1"/>
  <c r="D2062" i="7"/>
  <c r="E2062" i="7" s="1"/>
  <c r="F2062" i="7" s="1"/>
  <c r="G2062" i="7" s="1"/>
  <c r="D2061" i="7"/>
  <c r="E2061" i="7" s="1"/>
  <c r="F2061" i="7" s="1"/>
  <c r="G2061" i="7" s="1"/>
  <c r="D2060" i="7"/>
  <c r="E2060" i="7" s="1"/>
  <c r="F2060" i="7" s="1"/>
  <c r="G2060" i="7" s="1"/>
  <c r="D2059" i="7"/>
  <c r="E2059" i="7" s="1"/>
  <c r="F2059" i="7" s="1"/>
  <c r="G2059" i="7" s="1"/>
  <c r="D2058" i="7"/>
  <c r="E2058" i="7" s="1"/>
  <c r="F2058" i="7" s="1"/>
  <c r="G2058" i="7" s="1"/>
  <c r="D2057" i="7"/>
  <c r="E2057" i="7" s="1"/>
  <c r="F2057" i="7" s="1"/>
  <c r="G2057" i="7" s="1"/>
  <c r="D2056" i="7"/>
  <c r="E2056" i="7" s="1"/>
  <c r="F2056" i="7" s="1"/>
  <c r="G2056" i="7" s="1"/>
  <c r="D2055" i="7"/>
  <c r="E2055" i="7" s="1"/>
  <c r="F2055" i="7" s="1"/>
  <c r="G2055" i="7" s="1"/>
  <c r="D2054" i="7"/>
  <c r="E2054" i="7" s="1"/>
  <c r="F2054" i="7" s="1"/>
  <c r="G2054" i="7" s="1"/>
  <c r="D2053" i="7"/>
  <c r="E2053" i="7" s="1"/>
  <c r="F2053" i="7" s="1"/>
  <c r="G2053" i="7" s="1"/>
  <c r="D2052" i="7"/>
  <c r="E2052" i="7" s="1"/>
  <c r="F2052" i="7" s="1"/>
  <c r="G2052" i="7" s="1"/>
  <c r="D2051" i="7"/>
  <c r="E2051" i="7" s="1"/>
  <c r="F2051" i="7" s="1"/>
  <c r="G2051" i="7" s="1"/>
  <c r="D2050" i="7"/>
  <c r="E2050" i="7" s="1"/>
  <c r="F2050" i="7" s="1"/>
  <c r="G2050" i="7" s="1"/>
  <c r="D2049" i="7"/>
  <c r="E2049" i="7" s="1"/>
  <c r="F2049" i="7" s="1"/>
  <c r="G2049" i="7" s="1"/>
  <c r="D2048" i="7"/>
  <c r="E2048" i="7" s="1"/>
  <c r="F2048" i="7" s="1"/>
  <c r="G2048" i="7" s="1"/>
  <c r="D2047" i="7"/>
  <c r="E2047" i="7" s="1"/>
  <c r="F2047" i="7" s="1"/>
  <c r="G2047" i="7" s="1"/>
  <c r="D2046" i="7"/>
  <c r="E2046" i="7" s="1"/>
  <c r="F2046" i="7" s="1"/>
  <c r="G2046" i="7" s="1"/>
  <c r="D2045" i="7"/>
  <c r="E2045" i="7" s="1"/>
  <c r="F2045" i="7" s="1"/>
  <c r="G2045" i="7" s="1"/>
  <c r="D2044" i="7"/>
  <c r="E2044" i="7" s="1"/>
  <c r="F2044" i="7" s="1"/>
  <c r="G2044" i="7" s="1"/>
  <c r="D2043" i="7"/>
  <c r="E2043" i="7" s="1"/>
  <c r="F2043" i="7" s="1"/>
  <c r="G2043" i="7" s="1"/>
  <c r="D2042" i="7"/>
  <c r="E2042" i="7" s="1"/>
  <c r="F2042" i="7" s="1"/>
  <c r="G2042" i="7" s="1"/>
  <c r="D2041" i="7"/>
  <c r="E2041" i="7" s="1"/>
  <c r="F2041" i="7" s="1"/>
  <c r="G2041" i="7" s="1"/>
  <c r="D2040" i="7"/>
  <c r="E2040" i="7" s="1"/>
  <c r="F2040" i="7" s="1"/>
  <c r="G2040" i="7" s="1"/>
  <c r="D2039" i="7"/>
  <c r="E2039" i="7" s="1"/>
  <c r="F2039" i="7" s="1"/>
  <c r="G2039" i="7" s="1"/>
  <c r="D2038" i="7"/>
  <c r="E2038" i="7" s="1"/>
  <c r="F2038" i="7" s="1"/>
  <c r="G2038" i="7" s="1"/>
  <c r="D2037" i="7"/>
  <c r="E2037" i="7" s="1"/>
  <c r="F2037" i="7" s="1"/>
  <c r="G2037" i="7" s="1"/>
  <c r="D2036" i="7"/>
  <c r="E2036" i="7" s="1"/>
  <c r="F2036" i="7" s="1"/>
  <c r="G2036" i="7" s="1"/>
  <c r="D2035" i="7"/>
  <c r="E2035" i="7" s="1"/>
  <c r="F2035" i="7" s="1"/>
  <c r="G2035" i="7" s="1"/>
  <c r="D2034" i="7"/>
  <c r="E2034" i="7" s="1"/>
  <c r="F2034" i="7" s="1"/>
  <c r="G2034" i="7" s="1"/>
  <c r="D2033" i="7"/>
  <c r="E2033" i="7" s="1"/>
  <c r="F2033" i="7" s="1"/>
  <c r="G2033" i="7" s="1"/>
  <c r="D2032" i="7"/>
  <c r="E2032" i="7" s="1"/>
  <c r="F2032" i="7" s="1"/>
  <c r="G2032" i="7" s="1"/>
  <c r="D2031" i="7"/>
  <c r="E2031" i="7" s="1"/>
  <c r="F2031" i="7" s="1"/>
  <c r="G2031" i="7" s="1"/>
  <c r="D2030" i="7"/>
  <c r="E2030" i="7" s="1"/>
  <c r="F2030" i="7" s="1"/>
  <c r="G2030" i="7" s="1"/>
  <c r="D2029" i="7"/>
  <c r="E2029" i="7" s="1"/>
  <c r="F2029" i="7" s="1"/>
  <c r="G2029" i="7" s="1"/>
  <c r="D2028" i="7"/>
  <c r="E2028" i="7" s="1"/>
  <c r="F2028" i="7" s="1"/>
  <c r="G2028" i="7" s="1"/>
  <c r="D2027" i="7"/>
  <c r="E2027" i="7" s="1"/>
  <c r="F2027" i="7" s="1"/>
  <c r="G2027" i="7" s="1"/>
  <c r="D2026" i="7"/>
  <c r="E2026" i="7" s="1"/>
  <c r="F2026" i="7" s="1"/>
  <c r="G2026" i="7" s="1"/>
  <c r="D2025" i="7"/>
  <c r="E2025" i="7" s="1"/>
  <c r="F2025" i="7" s="1"/>
  <c r="G2025" i="7" s="1"/>
  <c r="D2024" i="7"/>
  <c r="E2024" i="7" s="1"/>
  <c r="F2024" i="7" s="1"/>
  <c r="G2024" i="7" s="1"/>
  <c r="D2023" i="7"/>
  <c r="E2023" i="7" s="1"/>
  <c r="F2023" i="7" s="1"/>
  <c r="G2023" i="7" s="1"/>
  <c r="D2022" i="7"/>
  <c r="E2022" i="7" s="1"/>
  <c r="F2022" i="7" s="1"/>
  <c r="G2022" i="7" s="1"/>
  <c r="D2021" i="7"/>
  <c r="E2021" i="7" s="1"/>
  <c r="F2021" i="7" s="1"/>
  <c r="G2021" i="7" s="1"/>
  <c r="D2020" i="7"/>
  <c r="E2020" i="7" s="1"/>
  <c r="F2020" i="7" s="1"/>
  <c r="G2020" i="7" s="1"/>
  <c r="D2019" i="7"/>
  <c r="E2019" i="7" s="1"/>
  <c r="F2019" i="7" s="1"/>
  <c r="G2019" i="7" s="1"/>
  <c r="D2018" i="7"/>
  <c r="E2018" i="7" s="1"/>
  <c r="F2018" i="7" s="1"/>
  <c r="G2018" i="7" s="1"/>
  <c r="D2017" i="7"/>
  <c r="E2017" i="7" s="1"/>
  <c r="F2017" i="7" s="1"/>
  <c r="G2017" i="7" s="1"/>
  <c r="D2016" i="7"/>
  <c r="E2016" i="7" s="1"/>
  <c r="F2016" i="7" s="1"/>
  <c r="G2016" i="7" s="1"/>
  <c r="D2015" i="7"/>
  <c r="E2015" i="7" s="1"/>
  <c r="F2015" i="7" s="1"/>
  <c r="G2015" i="7" s="1"/>
  <c r="D2014" i="7"/>
  <c r="E2014" i="7" s="1"/>
  <c r="F2014" i="7" s="1"/>
  <c r="G2014" i="7" s="1"/>
  <c r="D2013" i="7"/>
  <c r="E2013" i="7" s="1"/>
  <c r="F2013" i="7" s="1"/>
  <c r="G2013" i="7" s="1"/>
  <c r="D2012" i="7"/>
  <c r="E2012" i="7" s="1"/>
  <c r="F2012" i="7" s="1"/>
  <c r="G2012" i="7" s="1"/>
  <c r="D2011" i="7"/>
  <c r="E2011" i="7" s="1"/>
  <c r="F2011" i="7" s="1"/>
  <c r="G2011" i="7" s="1"/>
  <c r="D2010" i="7"/>
  <c r="E2010" i="7" s="1"/>
  <c r="F2010" i="7" s="1"/>
  <c r="G2010" i="7" s="1"/>
  <c r="D2009" i="7"/>
  <c r="E2009" i="7" s="1"/>
  <c r="F2009" i="7" s="1"/>
  <c r="G2009" i="7" s="1"/>
  <c r="D2008" i="7"/>
  <c r="E2008" i="7" s="1"/>
  <c r="F2008" i="7" s="1"/>
  <c r="G2008" i="7" s="1"/>
  <c r="D2007" i="7"/>
  <c r="E2007" i="7" s="1"/>
  <c r="F2007" i="7" s="1"/>
  <c r="G2007" i="7" s="1"/>
  <c r="D2006" i="7"/>
  <c r="E2006" i="7" s="1"/>
  <c r="F2006" i="7" s="1"/>
  <c r="G2006" i="7" s="1"/>
  <c r="D2005" i="7"/>
  <c r="E2005" i="7" s="1"/>
  <c r="F2005" i="7" s="1"/>
  <c r="G2005" i="7" s="1"/>
  <c r="D2004" i="7"/>
  <c r="E2004" i="7" s="1"/>
  <c r="F2004" i="7" s="1"/>
  <c r="G2004" i="7" s="1"/>
  <c r="D2003" i="7"/>
  <c r="E2003" i="7" s="1"/>
  <c r="F2003" i="7" s="1"/>
  <c r="G2003" i="7" s="1"/>
  <c r="D2002" i="7"/>
  <c r="E2002" i="7" s="1"/>
  <c r="F2002" i="7" s="1"/>
  <c r="G2002" i="7" s="1"/>
  <c r="D2001" i="7"/>
  <c r="E2001" i="7" s="1"/>
  <c r="F2001" i="7" s="1"/>
  <c r="G2001" i="7" s="1"/>
  <c r="D2000" i="7"/>
  <c r="E2000" i="7" s="1"/>
  <c r="F2000" i="7" s="1"/>
  <c r="G2000" i="7" s="1"/>
  <c r="D1999" i="7"/>
  <c r="E1999" i="7" s="1"/>
  <c r="F1999" i="7" s="1"/>
  <c r="G1999" i="7" s="1"/>
  <c r="D1998" i="7"/>
  <c r="E1998" i="7" s="1"/>
  <c r="F1998" i="7" s="1"/>
  <c r="G1998" i="7" s="1"/>
  <c r="D1997" i="7"/>
  <c r="E1997" i="7" s="1"/>
  <c r="F1997" i="7" s="1"/>
  <c r="G1997" i="7" s="1"/>
  <c r="D1996" i="7"/>
  <c r="E1996" i="7" s="1"/>
  <c r="F1996" i="7" s="1"/>
  <c r="G1996" i="7" s="1"/>
  <c r="D1995" i="7"/>
  <c r="E1995" i="7" s="1"/>
  <c r="F1995" i="7" s="1"/>
  <c r="G1995" i="7" s="1"/>
  <c r="D1994" i="7"/>
  <c r="E1994" i="7" s="1"/>
  <c r="F1994" i="7" s="1"/>
  <c r="G1994" i="7" s="1"/>
  <c r="D1993" i="7"/>
  <c r="E1993" i="7" s="1"/>
  <c r="F1993" i="7" s="1"/>
  <c r="G1993" i="7" s="1"/>
  <c r="D1992" i="7"/>
  <c r="E1992" i="7" s="1"/>
  <c r="F1992" i="7" s="1"/>
  <c r="G1992" i="7" s="1"/>
  <c r="D1991" i="7"/>
  <c r="E1991" i="7" s="1"/>
  <c r="F1991" i="7" s="1"/>
  <c r="G1991" i="7" s="1"/>
  <c r="D1990" i="7"/>
  <c r="E1990" i="7" s="1"/>
  <c r="F1990" i="7" s="1"/>
  <c r="G1990" i="7" s="1"/>
  <c r="D1989" i="7"/>
  <c r="E1989" i="7" s="1"/>
  <c r="F1989" i="7" s="1"/>
  <c r="G1989" i="7" s="1"/>
  <c r="D1988" i="7"/>
  <c r="E1988" i="7" s="1"/>
  <c r="F1988" i="7" s="1"/>
  <c r="G1988" i="7" s="1"/>
  <c r="D1987" i="7"/>
  <c r="E1987" i="7" s="1"/>
  <c r="F1987" i="7" s="1"/>
  <c r="G1987" i="7" s="1"/>
  <c r="D1986" i="7"/>
  <c r="E1986" i="7" s="1"/>
  <c r="F1986" i="7" s="1"/>
  <c r="G1986" i="7" s="1"/>
  <c r="D1985" i="7"/>
  <c r="E1985" i="7" s="1"/>
  <c r="F1985" i="7" s="1"/>
  <c r="G1985" i="7" s="1"/>
  <c r="D1984" i="7"/>
  <c r="E1984" i="7" s="1"/>
  <c r="F1984" i="7" s="1"/>
  <c r="G1984" i="7" s="1"/>
  <c r="D1983" i="7"/>
  <c r="E1983" i="7" s="1"/>
  <c r="F1983" i="7" s="1"/>
  <c r="G1983" i="7" s="1"/>
  <c r="D1982" i="7"/>
  <c r="E1982" i="7" s="1"/>
  <c r="F1982" i="7" s="1"/>
  <c r="G1982" i="7" s="1"/>
  <c r="D1981" i="7"/>
  <c r="E1981" i="7" s="1"/>
  <c r="F1981" i="7" s="1"/>
  <c r="G1981" i="7" s="1"/>
  <c r="D1980" i="7"/>
  <c r="E1980" i="7" s="1"/>
  <c r="F1980" i="7" s="1"/>
  <c r="G1980" i="7" s="1"/>
  <c r="D1979" i="7"/>
  <c r="E1979" i="7" s="1"/>
  <c r="F1979" i="7" s="1"/>
  <c r="G1979" i="7" s="1"/>
  <c r="D1978" i="7"/>
  <c r="E1978" i="7" s="1"/>
  <c r="F1978" i="7" s="1"/>
  <c r="G1978" i="7" s="1"/>
  <c r="D1977" i="7"/>
  <c r="E1977" i="7" s="1"/>
  <c r="F1977" i="7" s="1"/>
  <c r="G1977" i="7" s="1"/>
  <c r="D1976" i="7"/>
  <c r="E1976" i="7" s="1"/>
  <c r="F1976" i="7" s="1"/>
  <c r="G1976" i="7" s="1"/>
  <c r="D1975" i="7"/>
  <c r="E1975" i="7" s="1"/>
  <c r="F1975" i="7" s="1"/>
  <c r="G1975" i="7" s="1"/>
  <c r="D1974" i="7"/>
  <c r="E1974" i="7" s="1"/>
  <c r="F1974" i="7" s="1"/>
  <c r="G1974" i="7" s="1"/>
  <c r="D1973" i="7"/>
  <c r="E1973" i="7" s="1"/>
  <c r="F1973" i="7" s="1"/>
  <c r="G1973" i="7" s="1"/>
  <c r="D1972" i="7"/>
  <c r="E1972" i="7" s="1"/>
  <c r="F1972" i="7" s="1"/>
  <c r="G1972" i="7" s="1"/>
  <c r="D1971" i="7"/>
  <c r="E1971" i="7" s="1"/>
  <c r="F1971" i="7" s="1"/>
  <c r="G1971" i="7" s="1"/>
  <c r="D1970" i="7"/>
  <c r="E1970" i="7" s="1"/>
  <c r="F1970" i="7" s="1"/>
  <c r="G1970" i="7" s="1"/>
  <c r="D1969" i="7"/>
  <c r="E1969" i="7" s="1"/>
  <c r="F1969" i="7" s="1"/>
  <c r="G1969" i="7" s="1"/>
  <c r="D1968" i="7"/>
  <c r="E1968" i="7" s="1"/>
  <c r="F1968" i="7" s="1"/>
  <c r="G1968" i="7" s="1"/>
  <c r="D1967" i="7"/>
  <c r="E1967" i="7" s="1"/>
  <c r="F1967" i="7" s="1"/>
  <c r="G1967" i="7" s="1"/>
  <c r="D1966" i="7"/>
  <c r="E1966" i="7" s="1"/>
  <c r="F1966" i="7" s="1"/>
  <c r="G1966" i="7" s="1"/>
  <c r="D1965" i="7"/>
  <c r="E1965" i="7" s="1"/>
  <c r="F1965" i="7" s="1"/>
  <c r="G1965" i="7" s="1"/>
  <c r="D1964" i="7"/>
  <c r="E1964" i="7" s="1"/>
  <c r="F1964" i="7" s="1"/>
  <c r="G1964" i="7" s="1"/>
  <c r="D1963" i="7"/>
  <c r="E1963" i="7" s="1"/>
  <c r="F1963" i="7" s="1"/>
  <c r="G1963" i="7" s="1"/>
  <c r="D1962" i="7"/>
  <c r="E1962" i="7" s="1"/>
  <c r="F1962" i="7" s="1"/>
  <c r="G1962" i="7" s="1"/>
  <c r="D1961" i="7"/>
  <c r="E1961" i="7" s="1"/>
  <c r="F1961" i="7" s="1"/>
  <c r="G1961" i="7" s="1"/>
  <c r="D1960" i="7"/>
  <c r="E1960" i="7" s="1"/>
  <c r="F1960" i="7" s="1"/>
  <c r="G1960" i="7" s="1"/>
  <c r="D1959" i="7"/>
  <c r="E1959" i="7" s="1"/>
  <c r="F1959" i="7" s="1"/>
  <c r="G1959" i="7" s="1"/>
  <c r="D1958" i="7"/>
  <c r="E1958" i="7" s="1"/>
  <c r="F1958" i="7" s="1"/>
  <c r="G1958" i="7" s="1"/>
  <c r="D1957" i="7"/>
  <c r="E1957" i="7" s="1"/>
  <c r="F1957" i="7" s="1"/>
  <c r="G1957" i="7" s="1"/>
  <c r="D1956" i="7"/>
  <c r="E1956" i="7" s="1"/>
  <c r="F1956" i="7" s="1"/>
  <c r="G1956" i="7" s="1"/>
  <c r="D1955" i="7"/>
  <c r="E1955" i="7" s="1"/>
  <c r="F1955" i="7" s="1"/>
  <c r="G1955" i="7" s="1"/>
  <c r="D1954" i="7"/>
  <c r="E1954" i="7" s="1"/>
  <c r="F1954" i="7" s="1"/>
  <c r="G1954" i="7" s="1"/>
  <c r="D1953" i="7"/>
  <c r="E1953" i="7" s="1"/>
  <c r="F1953" i="7" s="1"/>
  <c r="G1953" i="7" s="1"/>
  <c r="D1952" i="7"/>
  <c r="E1952" i="7" s="1"/>
  <c r="F1952" i="7" s="1"/>
  <c r="G1952" i="7" s="1"/>
  <c r="D1951" i="7"/>
  <c r="E1951" i="7" s="1"/>
  <c r="F1951" i="7" s="1"/>
  <c r="G1951" i="7" s="1"/>
  <c r="D1950" i="7"/>
  <c r="E1950" i="7" s="1"/>
  <c r="F1950" i="7" s="1"/>
  <c r="G1950" i="7" s="1"/>
  <c r="D1949" i="7"/>
  <c r="E1949" i="7" s="1"/>
  <c r="F1949" i="7" s="1"/>
  <c r="G1949" i="7" s="1"/>
  <c r="D1948" i="7"/>
  <c r="E1948" i="7" s="1"/>
  <c r="F1948" i="7" s="1"/>
  <c r="G1948" i="7" s="1"/>
  <c r="D1947" i="7"/>
  <c r="E1947" i="7" s="1"/>
  <c r="F1947" i="7" s="1"/>
  <c r="G1947" i="7" s="1"/>
  <c r="D1946" i="7"/>
  <c r="E1946" i="7" s="1"/>
  <c r="F1946" i="7" s="1"/>
  <c r="G1946" i="7" s="1"/>
  <c r="D1945" i="7"/>
  <c r="E1945" i="7" s="1"/>
  <c r="F1945" i="7" s="1"/>
  <c r="G1945" i="7" s="1"/>
  <c r="D1944" i="7"/>
  <c r="E1944" i="7" s="1"/>
  <c r="F1944" i="7" s="1"/>
  <c r="G1944" i="7" s="1"/>
  <c r="D1943" i="7"/>
  <c r="E1943" i="7" s="1"/>
  <c r="F1943" i="7" s="1"/>
  <c r="G1943" i="7" s="1"/>
  <c r="D1942" i="7"/>
  <c r="E1942" i="7" s="1"/>
  <c r="F1942" i="7" s="1"/>
  <c r="G1942" i="7" s="1"/>
  <c r="D1941" i="7"/>
  <c r="E1941" i="7" s="1"/>
  <c r="F1941" i="7" s="1"/>
  <c r="G1941" i="7" s="1"/>
  <c r="D1940" i="7"/>
  <c r="E1940" i="7" s="1"/>
  <c r="F1940" i="7" s="1"/>
  <c r="G1940" i="7" s="1"/>
  <c r="D1939" i="7"/>
  <c r="E1939" i="7" s="1"/>
  <c r="F1939" i="7" s="1"/>
  <c r="G1939" i="7" s="1"/>
  <c r="D1938" i="7"/>
  <c r="E1938" i="7" s="1"/>
  <c r="F1938" i="7" s="1"/>
  <c r="G1938" i="7" s="1"/>
  <c r="D1937" i="7"/>
  <c r="E1937" i="7" s="1"/>
  <c r="F1937" i="7" s="1"/>
  <c r="G1937" i="7" s="1"/>
  <c r="D1936" i="7"/>
  <c r="E1936" i="7" s="1"/>
  <c r="F1936" i="7" s="1"/>
  <c r="G1936" i="7" s="1"/>
  <c r="D1935" i="7"/>
  <c r="E1935" i="7" s="1"/>
  <c r="F1935" i="7" s="1"/>
  <c r="G1935" i="7" s="1"/>
  <c r="D1934" i="7"/>
  <c r="E1934" i="7" s="1"/>
  <c r="F1934" i="7" s="1"/>
  <c r="G1934" i="7" s="1"/>
  <c r="D1933" i="7"/>
  <c r="E1933" i="7" s="1"/>
  <c r="F1933" i="7" s="1"/>
  <c r="G1933" i="7" s="1"/>
  <c r="D1932" i="7"/>
  <c r="E1932" i="7" s="1"/>
  <c r="F1932" i="7" s="1"/>
  <c r="G1932" i="7" s="1"/>
  <c r="D1931" i="7"/>
  <c r="E1931" i="7" s="1"/>
  <c r="F1931" i="7" s="1"/>
  <c r="G1931" i="7" s="1"/>
  <c r="D1930" i="7"/>
  <c r="E1930" i="7" s="1"/>
  <c r="F1930" i="7" s="1"/>
  <c r="G1930" i="7" s="1"/>
  <c r="D1929" i="7"/>
  <c r="E1929" i="7" s="1"/>
  <c r="F1929" i="7" s="1"/>
  <c r="G1929" i="7" s="1"/>
  <c r="D1928" i="7"/>
  <c r="E1928" i="7" s="1"/>
  <c r="F1928" i="7" s="1"/>
  <c r="G1928" i="7" s="1"/>
  <c r="D1927" i="7"/>
  <c r="E1927" i="7" s="1"/>
  <c r="F1927" i="7" s="1"/>
  <c r="G1927" i="7" s="1"/>
  <c r="D1926" i="7"/>
  <c r="E1926" i="7" s="1"/>
  <c r="F1926" i="7" s="1"/>
  <c r="G1926" i="7" s="1"/>
  <c r="D1925" i="7"/>
  <c r="E1925" i="7" s="1"/>
  <c r="F1925" i="7" s="1"/>
  <c r="G1925" i="7" s="1"/>
  <c r="D1924" i="7"/>
  <c r="E1924" i="7" s="1"/>
  <c r="F1924" i="7" s="1"/>
  <c r="G1924" i="7" s="1"/>
  <c r="D1923" i="7"/>
  <c r="E1923" i="7" s="1"/>
  <c r="F1923" i="7" s="1"/>
  <c r="G1923" i="7" s="1"/>
  <c r="D1922" i="7"/>
  <c r="E1922" i="7" s="1"/>
  <c r="F1922" i="7" s="1"/>
  <c r="G1922" i="7" s="1"/>
  <c r="D1921" i="7"/>
  <c r="E1921" i="7" s="1"/>
  <c r="F1921" i="7" s="1"/>
  <c r="G1921" i="7" s="1"/>
  <c r="D1920" i="7"/>
  <c r="E1920" i="7" s="1"/>
  <c r="F1920" i="7" s="1"/>
  <c r="G1920" i="7" s="1"/>
  <c r="D1919" i="7"/>
  <c r="E1919" i="7" s="1"/>
  <c r="F1919" i="7" s="1"/>
  <c r="G1919" i="7" s="1"/>
  <c r="D1918" i="7"/>
  <c r="E1918" i="7" s="1"/>
  <c r="F1918" i="7" s="1"/>
  <c r="G1918" i="7" s="1"/>
  <c r="D1917" i="7"/>
  <c r="E1917" i="7" s="1"/>
  <c r="F1917" i="7" s="1"/>
  <c r="G1917" i="7" s="1"/>
  <c r="D1916" i="7"/>
  <c r="E1916" i="7" s="1"/>
  <c r="F1916" i="7" s="1"/>
  <c r="G1916" i="7" s="1"/>
  <c r="D1915" i="7"/>
  <c r="E1915" i="7" s="1"/>
  <c r="F1915" i="7" s="1"/>
  <c r="G1915" i="7" s="1"/>
  <c r="D1914" i="7"/>
  <c r="E1914" i="7" s="1"/>
  <c r="F1914" i="7" s="1"/>
  <c r="G1914" i="7" s="1"/>
  <c r="D1913" i="7"/>
  <c r="E1913" i="7" s="1"/>
  <c r="F1913" i="7" s="1"/>
  <c r="G1913" i="7" s="1"/>
  <c r="D1912" i="7"/>
  <c r="E1912" i="7" s="1"/>
  <c r="F1912" i="7" s="1"/>
  <c r="G1912" i="7" s="1"/>
  <c r="D1911" i="7"/>
  <c r="E1911" i="7" s="1"/>
  <c r="F1911" i="7" s="1"/>
  <c r="G1911" i="7" s="1"/>
  <c r="D1910" i="7"/>
  <c r="E1910" i="7" s="1"/>
  <c r="F1910" i="7" s="1"/>
  <c r="G1910" i="7" s="1"/>
  <c r="D1909" i="7"/>
  <c r="E1909" i="7" s="1"/>
  <c r="F1909" i="7" s="1"/>
  <c r="G1909" i="7" s="1"/>
  <c r="D1908" i="7"/>
  <c r="E1908" i="7" s="1"/>
  <c r="F1908" i="7" s="1"/>
  <c r="G1908" i="7" s="1"/>
  <c r="D1907" i="7"/>
  <c r="E1907" i="7" s="1"/>
  <c r="F1907" i="7" s="1"/>
  <c r="G1907" i="7" s="1"/>
  <c r="D1906" i="7"/>
  <c r="E1906" i="7" s="1"/>
  <c r="F1906" i="7" s="1"/>
  <c r="G1906" i="7" s="1"/>
  <c r="D1905" i="7"/>
  <c r="E1905" i="7" s="1"/>
  <c r="F1905" i="7" s="1"/>
  <c r="G1905" i="7" s="1"/>
  <c r="D1904" i="7"/>
  <c r="E1904" i="7" s="1"/>
  <c r="F1904" i="7" s="1"/>
  <c r="G1904" i="7" s="1"/>
  <c r="D1903" i="7"/>
  <c r="E1903" i="7" s="1"/>
  <c r="F1903" i="7" s="1"/>
  <c r="G1903" i="7" s="1"/>
  <c r="D1902" i="7"/>
  <c r="E1902" i="7" s="1"/>
  <c r="F1902" i="7" s="1"/>
  <c r="G1902" i="7" s="1"/>
  <c r="D1901" i="7"/>
  <c r="E1901" i="7" s="1"/>
  <c r="F1901" i="7" s="1"/>
  <c r="G1901" i="7" s="1"/>
  <c r="D1900" i="7"/>
  <c r="E1900" i="7" s="1"/>
  <c r="F1900" i="7" s="1"/>
  <c r="G1900" i="7" s="1"/>
  <c r="D1899" i="7"/>
  <c r="E1899" i="7" s="1"/>
  <c r="F1899" i="7" s="1"/>
  <c r="G1899" i="7" s="1"/>
  <c r="D1898" i="7"/>
  <c r="E1898" i="7" s="1"/>
  <c r="F1898" i="7" s="1"/>
  <c r="G1898" i="7" s="1"/>
  <c r="D1897" i="7"/>
  <c r="E1897" i="7" s="1"/>
  <c r="F1897" i="7" s="1"/>
  <c r="G1897" i="7" s="1"/>
  <c r="D1896" i="7"/>
  <c r="E1896" i="7" s="1"/>
  <c r="F1896" i="7" s="1"/>
  <c r="G1896" i="7" s="1"/>
  <c r="D1895" i="7"/>
  <c r="E1895" i="7" s="1"/>
  <c r="F1895" i="7" s="1"/>
  <c r="G1895" i="7" s="1"/>
  <c r="D1894" i="7"/>
  <c r="E1894" i="7" s="1"/>
  <c r="F1894" i="7" s="1"/>
  <c r="G1894" i="7" s="1"/>
  <c r="D1893" i="7"/>
  <c r="E1893" i="7" s="1"/>
  <c r="F1893" i="7" s="1"/>
  <c r="G1893" i="7" s="1"/>
  <c r="D1892" i="7"/>
  <c r="E1892" i="7" s="1"/>
  <c r="F1892" i="7" s="1"/>
  <c r="G1892" i="7" s="1"/>
  <c r="D1891" i="7"/>
  <c r="E1891" i="7" s="1"/>
  <c r="F1891" i="7" s="1"/>
  <c r="G1891" i="7" s="1"/>
  <c r="D1890" i="7"/>
  <c r="E1890" i="7" s="1"/>
  <c r="F1890" i="7" s="1"/>
  <c r="G1890" i="7" s="1"/>
  <c r="D1889" i="7"/>
  <c r="E1889" i="7" s="1"/>
  <c r="F1889" i="7" s="1"/>
  <c r="G1889" i="7" s="1"/>
  <c r="D1888" i="7"/>
  <c r="E1888" i="7" s="1"/>
  <c r="F1888" i="7" s="1"/>
  <c r="G1888" i="7" s="1"/>
  <c r="D1887" i="7"/>
  <c r="E1887" i="7" s="1"/>
  <c r="F1887" i="7" s="1"/>
  <c r="G1887" i="7" s="1"/>
  <c r="D1886" i="7"/>
  <c r="E1886" i="7" s="1"/>
  <c r="F1886" i="7" s="1"/>
  <c r="G1886" i="7" s="1"/>
  <c r="D1885" i="7"/>
  <c r="E1885" i="7" s="1"/>
  <c r="F1885" i="7" s="1"/>
  <c r="G1885" i="7" s="1"/>
  <c r="D1884" i="7"/>
  <c r="E1884" i="7" s="1"/>
  <c r="F1884" i="7" s="1"/>
  <c r="G1884" i="7" s="1"/>
  <c r="D1883" i="7"/>
  <c r="E1883" i="7" s="1"/>
  <c r="F1883" i="7" s="1"/>
  <c r="G1883" i="7" s="1"/>
  <c r="D1882" i="7"/>
  <c r="E1882" i="7" s="1"/>
  <c r="F1882" i="7" s="1"/>
  <c r="G1882" i="7" s="1"/>
  <c r="D1881" i="7"/>
  <c r="E1881" i="7" s="1"/>
  <c r="F1881" i="7" s="1"/>
  <c r="G1881" i="7" s="1"/>
  <c r="D1880" i="7"/>
  <c r="E1880" i="7" s="1"/>
  <c r="F1880" i="7" s="1"/>
  <c r="G1880" i="7" s="1"/>
  <c r="D1879" i="7"/>
  <c r="E1879" i="7" s="1"/>
  <c r="F1879" i="7" s="1"/>
  <c r="G1879" i="7" s="1"/>
  <c r="D1878" i="7"/>
  <c r="E1878" i="7" s="1"/>
  <c r="F1878" i="7" s="1"/>
  <c r="G1878" i="7" s="1"/>
  <c r="D1877" i="7"/>
  <c r="E1877" i="7" s="1"/>
  <c r="F1877" i="7" s="1"/>
  <c r="G1877" i="7" s="1"/>
  <c r="D1876" i="7"/>
  <c r="E1876" i="7" s="1"/>
  <c r="F1876" i="7" s="1"/>
  <c r="G1876" i="7" s="1"/>
  <c r="D1875" i="7"/>
  <c r="E1875" i="7" s="1"/>
  <c r="F1875" i="7" s="1"/>
  <c r="G1875" i="7" s="1"/>
  <c r="D1874" i="7"/>
  <c r="E1874" i="7" s="1"/>
  <c r="F1874" i="7" s="1"/>
  <c r="G1874" i="7" s="1"/>
  <c r="D1873" i="7"/>
  <c r="E1873" i="7" s="1"/>
  <c r="F1873" i="7" s="1"/>
  <c r="G1873" i="7" s="1"/>
  <c r="D1872" i="7"/>
  <c r="E1872" i="7" s="1"/>
  <c r="F1872" i="7" s="1"/>
  <c r="G1872" i="7" s="1"/>
  <c r="D1871" i="7"/>
  <c r="E1871" i="7" s="1"/>
  <c r="F1871" i="7" s="1"/>
  <c r="G1871" i="7" s="1"/>
  <c r="D1870" i="7"/>
  <c r="E1870" i="7" s="1"/>
  <c r="F1870" i="7" s="1"/>
  <c r="G1870" i="7" s="1"/>
  <c r="D1869" i="7"/>
  <c r="E1869" i="7" s="1"/>
  <c r="F1869" i="7" s="1"/>
  <c r="G1869" i="7" s="1"/>
  <c r="D1868" i="7"/>
  <c r="E1868" i="7" s="1"/>
  <c r="F1868" i="7" s="1"/>
  <c r="G1868" i="7" s="1"/>
  <c r="D1867" i="7"/>
  <c r="E1867" i="7" s="1"/>
  <c r="F1867" i="7" s="1"/>
  <c r="G1867" i="7" s="1"/>
  <c r="D1866" i="7"/>
  <c r="E1866" i="7" s="1"/>
  <c r="F1866" i="7" s="1"/>
  <c r="G1866" i="7" s="1"/>
  <c r="D1865" i="7"/>
  <c r="E1865" i="7" s="1"/>
  <c r="F1865" i="7" s="1"/>
  <c r="G1865" i="7" s="1"/>
  <c r="D1864" i="7"/>
  <c r="E1864" i="7" s="1"/>
  <c r="F1864" i="7" s="1"/>
  <c r="G1864" i="7" s="1"/>
  <c r="D1863" i="7"/>
  <c r="E1863" i="7" s="1"/>
  <c r="F1863" i="7" s="1"/>
  <c r="G1863" i="7" s="1"/>
  <c r="D1862" i="7"/>
  <c r="E1862" i="7" s="1"/>
  <c r="F1862" i="7" s="1"/>
  <c r="G1862" i="7" s="1"/>
  <c r="D1861" i="7"/>
  <c r="E1861" i="7" s="1"/>
  <c r="F1861" i="7" s="1"/>
  <c r="G1861" i="7" s="1"/>
  <c r="D1860" i="7"/>
  <c r="E1860" i="7" s="1"/>
  <c r="F1860" i="7" s="1"/>
  <c r="G1860" i="7" s="1"/>
  <c r="D1859" i="7"/>
  <c r="E1859" i="7" s="1"/>
  <c r="F1859" i="7" s="1"/>
  <c r="G1859" i="7" s="1"/>
  <c r="D1858" i="7"/>
  <c r="E1858" i="7" s="1"/>
  <c r="F1858" i="7" s="1"/>
  <c r="G1858" i="7" s="1"/>
  <c r="D1857" i="7"/>
  <c r="E1857" i="7" s="1"/>
  <c r="F1857" i="7" s="1"/>
  <c r="G1857" i="7" s="1"/>
  <c r="D1856" i="7"/>
  <c r="E1856" i="7" s="1"/>
  <c r="F1856" i="7" s="1"/>
  <c r="G1856" i="7" s="1"/>
  <c r="D1855" i="7"/>
  <c r="E1855" i="7" s="1"/>
  <c r="F1855" i="7" s="1"/>
  <c r="G1855" i="7" s="1"/>
  <c r="D1854" i="7"/>
  <c r="E1854" i="7" s="1"/>
  <c r="F1854" i="7" s="1"/>
  <c r="G1854" i="7" s="1"/>
  <c r="D1853" i="7"/>
  <c r="E1853" i="7" s="1"/>
  <c r="F1853" i="7" s="1"/>
  <c r="G1853" i="7" s="1"/>
  <c r="D1852" i="7"/>
  <c r="E1852" i="7" s="1"/>
  <c r="F1852" i="7" s="1"/>
  <c r="G1852" i="7" s="1"/>
  <c r="D1851" i="7"/>
  <c r="E1851" i="7" s="1"/>
  <c r="F1851" i="7" s="1"/>
  <c r="G1851" i="7" s="1"/>
  <c r="D1850" i="7"/>
  <c r="E1850" i="7" s="1"/>
  <c r="F1850" i="7" s="1"/>
  <c r="G1850" i="7" s="1"/>
  <c r="D1849" i="7"/>
  <c r="E1849" i="7" s="1"/>
  <c r="F1849" i="7" s="1"/>
  <c r="G1849" i="7" s="1"/>
  <c r="D1848" i="7"/>
  <c r="E1848" i="7" s="1"/>
  <c r="F1848" i="7" s="1"/>
  <c r="G1848" i="7" s="1"/>
  <c r="D1847" i="7"/>
  <c r="E1847" i="7" s="1"/>
  <c r="F1847" i="7" s="1"/>
  <c r="G1847" i="7" s="1"/>
  <c r="D1846" i="7"/>
  <c r="E1846" i="7" s="1"/>
  <c r="F1846" i="7" s="1"/>
  <c r="G1846" i="7" s="1"/>
  <c r="D1845" i="7"/>
  <c r="E1845" i="7" s="1"/>
  <c r="F1845" i="7" s="1"/>
  <c r="G1845" i="7" s="1"/>
  <c r="D1844" i="7"/>
  <c r="E1844" i="7" s="1"/>
  <c r="F1844" i="7" s="1"/>
  <c r="G1844" i="7" s="1"/>
  <c r="D1843" i="7"/>
  <c r="E1843" i="7" s="1"/>
  <c r="F1843" i="7" s="1"/>
  <c r="G1843" i="7" s="1"/>
  <c r="D1842" i="7"/>
  <c r="E1842" i="7" s="1"/>
  <c r="F1842" i="7" s="1"/>
  <c r="G1842" i="7" s="1"/>
  <c r="D1841" i="7"/>
  <c r="E1841" i="7" s="1"/>
  <c r="F1841" i="7" s="1"/>
  <c r="G1841" i="7" s="1"/>
  <c r="D1840" i="7"/>
  <c r="E1840" i="7" s="1"/>
  <c r="F1840" i="7" s="1"/>
  <c r="G1840" i="7" s="1"/>
  <c r="D1839" i="7"/>
  <c r="E1839" i="7" s="1"/>
  <c r="F1839" i="7" s="1"/>
  <c r="G1839" i="7" s="1"/>
  <c r="D1838" i="7"/>
  <c r="E1838" i="7" s="1"/>
  <c r="F1838" i="7" s="1"/>
  <c r="G1838" i="7" s="1"/>
  <c r="D1837" i="7"/>
  <c r="E1837" i="7" s="1"/>
  <c r="F1837" i="7" s="1"/>
  <c r="G1837" i="7" s="1"/>
  <c r="D1836" i="7"/>
  <c r="E1836" i="7" s="1"/>
  <c r="F1836" i="7" s="1"/>
  <c r="G1836" i="7" s="1"/>
  <c r="D1835" i="7"/>
  <c r="E1835" i="7" s="1"/>
  <c r="F1835" i="7" s="1"/>
  <c r="G1835" i="7" s="1"/>
  <c r="D1834" i="7"/>
  <c r="E1834" i="7" s="1"/>
  <c r="F1834" i="7" s="1"/>
  <c r="G1834" i="7" s="1"/>
  <c r="D1833" i="7"/>
  <c r="E1833" i="7" s="1"/>
  <c r="F1833" i="7" s="1"/>
  <c r="G1833" i="7" s="1"/>
  <c r="D1832" i="7"/>
  <c r="E1832" i="7" s="1"/>
  <c r="F1832" i="7" s="1"/>
  <c r="G1832" i="7" s="1"/>
  <c r="D1831" i="7"/>
  <c r="E1831" i="7" s="1"/>
  <c r="F1831" i="7" s="1"/>
  <c r="G1831" i="7" s="1"/>
  <c r="D1830" i="7"/>
  <c r="E1830" i="7" s="1"/>
  <c r="F1830" i="7" s="1"/>
  <c r="G1830" i="7" s="1"/>
  <c r="D1829" i="7"/>
  <c r="E1829" i="7" s="1"/>
  <c r="F1829" i="7" s="1"/>
  <c r="G1829" i="7" s="1"/>
  <c r="D1828" i="7"/>
  <c r="E1828" i="7" s="1"/>
  <c r="F1828" i="7" s="1"/>
  <c r="G1828" i="7" s="1"/>
  <c r="D1827" i="7"/>
  <c r="E1827" i="7" s="1"/>
  <c r="F1827" i="7" s="1"/>
  <c r="G1827" i="7" s="1"/>
  <c r="D1826" i="7"/>
  <c r="E1826" i="7" s="1"/>
  <c r="F1826" i="7" s="1"/>
  <c r="G1826" i="7" s="1"/>
  <c r="D1825" i="7"/>
  <c r="E1825" i="7" s="1"/>
  <c r="F1825" i="7" s="1"/>
  <c r="G1825" i="7" s="1"/>
  <c r="D1824" i="7"/>
  <c r="E1824" i="7" s="1"/>
  <c r="F1824" i="7" s="1"/>
  <c r="G1824" i="7" s="1"/>
  <c r="D1823" i="7"/>
  <c r="E1823" i="7" s="1"/>
  <c r="F1823" i="7" s="1"/>
  <c r="G1823" i="7" s="1"/>
  <c r="D1822" i="7"/>
  <c r="E1822" i="7" s="1"/>
  <c r="F1822" i="7" s="1"/>
  <c r="G1822" i="7" s="1"/>
  <c r="D1821" i="7"/>
  <c r="E1821" i="7" s="1"/>
  <c r="F1821" i="7" s="1"/>
  <c r="G1821" i="7" s="1"/>
  <c r="D1820" i="7"/>
  <c r="E1820" i="7" s="1"/>
  <c r="F1820" i="7" s="1"/>
  <c r="G1820" i="7" s="1"/>
  <c r="D1819" i="7"/>
  <c r="E1819" i="7" s="1"/>
  <c r="F1819" i="7" s="1"/>
  <c r="G1819" i="7" s="1"/>
  <c r="D1818" i="7"/>
  <c r="E1818" i="7" s="1"/>
  <c r="F1818" i="7" s="1"/>
  <c r="G1818" i="7" s="1"/>
  <c r="D1817" i="7"/>
  <c r="E1817" i="7" s="1"/>
  <c r="F1817" i="7" s="1"/>
  <c r="G1817" i="7" s="1"/>
  <c r="D1816" i="7"/>
  <c r="E1816" i="7" s="1"/>
  <c r="F1816" i="7" s="1"/>
  <c r="G1816" i="7" s="1"/>
  <c r="D1815" i="7"/>
  <c r="E1815" i="7" s="1"/>
  <c r="F1815" i="7" s="1"/>
  <c r="G1815" i="7" s="1"/>
  <c r="D1814" i="7"/>
  <c r="E1814" i="7" s="1"/>
  <c r="F1814" i="7" s="1"/>
  <c r="G1814" i="7" s="1"/>
  <c r="D1813" i="7"/>
  <c r="E1813" i="7" s="1"/>
  <c r="F1813" i="7" s="1"/>
  <c r="G1813" i="7" s="1"/>
  <c r="D1812" i="7"/>
  <c r="E1812" i="7" s="1"/>
  <c r="F1812" i="7" s="1"/>
  <c r="G1812" i="7" s="1"/>
  <c r="D1811" i="7"/>
  <c r="E1811" i="7" s="1"/>
  <c r="F1811" i="7" s="1"/>
  <c r="G1811" i="7" s="1"/>
  <c r="D1810" i="7"/>
  <c r="E1810" i="7" s="1"/>
  <c r="F1810" i="7" s="1"/>
  <c r="G1810" i="7" s="1"/>
  <c r="D1809" i="7"/>
  <c r="E1809" i="7" s="1"/>
  <c r="F1809" i="7" s="1"/>
  <c r="G1809" i="7" s="1"/>
  <c r="D1808" i="7"/>
  <c r="E1808" i="7" s="1"/>
  <c r="F1808" i="7" s="1"/>
  <c r="G1808" i="7" s="1"/>
  <c r="D1807" i="7"/>
  <c r="E1807" i="7" s="1"/>
  <c r="F1807" i="7" s="1"/>
  <c r="G1807" i="7" s="1"/>
  <c r="D1806" i="7"/>
  <c r="E1806" i="7" s="1"/>
  <c r="F1806" i="7" s="1"/>
  <c r="G1806" i="7" s="1"/>
  <c r="D1805" i="7"/>
  <c r="E1805" i="7" s="1"/>
  <c r="F1805" i="7" s="1"/>
  <c r="G1805" i="7" s="1"/>
  <c r="D1804" i="7"/>
  <c r="E1804" i="7" s="1"/>
  <c r="F1804" i="7" s="1"/>
  <c r="G1804" i="7" s="1"/>
  <c r="D1803" i="7"/>
  <c r="E1803" i="7" s="1"/>
  <c r="F1803" i="7" s="1"/>
  <c r="G1803" i="7" s="1"/>
  <c r="D1802" i="7"/>
  <c r="E1802" i="7" s="1"/>
  <c r="F1802" i="7" s="1"/>
  <c r="G1802" i="7" s="1"/>
  <c r="D1801" i="7"/>
  <c r="E1801" i="7" s="1"/>
  <c r="F1801" i="7" s="1"/>
  <c r="G1801" i="7" s="1"/>
  <c r="D1800" i="7"/>
  <c r="E1800" i="7" s="1"/>
  <c r="F1800" i="7" s="1"/>
  <c r="G1800" i="7" s="1"/>
  <c r="D1799" i="7"/>
  <c r="E1799" i="7" s="1"/>
  <c r="F1799" i="7" s="1"/>
  <c r="G1799" i="7" s="1"/>
  <c r="D1798" i="7"/>
  <c r="E1798" i="7" s="1"/>
  <c r="F1798" i="7" s="1"/>
  <c r="G1798" i="7" s="1"/>
  <c r="D1797" i="7"/>
  <c r="E1797" i="7" s="1"/>
  <c r="F1797" i="7" s="1"/>
  <c r="G1797" i="7" s="1"/>
  <c r="D1796" i="7"/>
  <c r="E1796" i="7" s="1"/>
  <c r="F1796" i="7" s="1"/>
  <c r="G1796" i="7" s="1"/>
  <c r="D1795" i="7"/>
  <c r="E1795" i="7" s="1"/>
  <c r="F1795" i="7" s="1"/>
  <c r="G1795" i="7" s="1"/>
  <c r="D1794" i="7"/>
  <c r="E1794" i="7" s="1"/>
  <c r="F1794" i="7" s="1"/>
  <c r="G1794" i="7" s="1"/>
  <c r="D1793" i="7"/>
  <c r="E1793" i="7" s="1"/>
  <c r="F1793" i="7" s="1"/>
  <c r="G1793" i="7" s="1"/>
  <c r="D1792" i="7"/>
  <c r="E1792" i="7" s="1"/>
  <c r="F1792" i="7" s="1"/>
  <c r="G1792" i="7" s="1"/>
  <c r="D1791" i="7"/>
  <c r="E1791" i="7" s="1"/>
  <c r="F1791" i="7" s="1"/>
  <c r="G1791" i="7" s="1"/>
  <c r="D1790" i="7"/>
  <c r="E1790" i="7" s="1"/>
  <c r="F1790" i="7" s="1"/>
  <c r="G1790" i="7" s="1"/>
  <c r="D1789" i="7"/>
  <c r="E1789" i="7" s="1"/>
  <c r="F1789" i="7" s="1"/>
  <c r="G1789" i="7" s="1"/>
  <c r="D1788" i="7"/>
  <c r="E1788" i="7" s="1"/>
  <c r="F1788" i="7" s="1"/>
  <c r="G1788" i="7" s="1"/>
  <c r="D1787" i="7"/>
  <c r="E1787" i="7" s="1"/>
  <c r="F1787" i="7" s="1"/>
  <c r="G1787" i="7" s="1"/>
  <c r="D1786" i="7"/>
  <c r="E1786" i="7" s="1"/>
  <c r="F1786" i="7" s="1"/>
  <c r="G1786" i="7" s="1"/>
  <c r="D1785" i="7"/>
  <c r="E1785" i="7" s="1"/>
  <c r="F1785" i="7" s="1"/>
  <c r="G1785" i="7" s="1"/>
  <c r="D1784" i="7"/>
  <c r="E1784" i="7" s="1"/>
  <c r="F1784" i="7" s="1"/>
  <c r="G1784" i="7" s="1"/>
  <c r="D1783" i="7"/>
  <c r="E1783" i="7" s="1"/>
  <c r="F1783" i="7" s="1"/>
  <c r="G1783" i="7" s="1"/>
  <c r="D1782" i="7"/>
  <c r="E1782" i="7" s="1"/>
  <c r="F1782" i="7" s="1"/>
  <c r="G1782" i="7" s="1"/>
  <c r="D1781" i="7"/>
  <c r="E1781" i="7" s="1"/>
  <c r="F1781" i="7" s="1"/>
  <c r="G1781" i="7" s="1"/>
  <c r="D1780" i="7"/>
  <c r="E1780" i="7" s="1"/>
  <c r="F1780" i="7" s="1"/>
  <c r="G1780" i="7" s="1"/>
  <c r="D1779" i="7"/>
  <c r="E1779" i="7" s="1"/>
  <c r="F1779" i="7" s="1"/>
  <c r="G1779" i="7" s="1"/>
  <c r="D1778" i="7"/>
  <c r="E1778" i="7" s="1"/>
  <c r="F1778" i="7" s="1"/>
  <c r="G1778" i="7" s="1"/>
  <c r="D1777" i="7"/>
  <c r="E1777" i="7" s="1"/>
  <c r="F1777" i="7" s="1"/>
  <c r="G1777" i="7" s="1"/>
  <c r="D1776" i="7"/>
  <c r="E1776" i="7" s="1"/>
  <c r="F1776" i="7" s="1"/>
  <c r="G1776" i="7" s="1"/>
  <c r="D1775" i="7"/>
  <c r="E1775" i="7" s="1"/>
  <c r="F1775" i="7" s="1"/>
  <c r="G1775" i="7" s="1"/>
  <c r="D1774" i="7"/>
  <c r="E1774" i="7" s="1"/>
  <c r="F1774" i="7" s="1"/>
  <c r="G1774" i="7" s="1"/>
  <c r="D1773" i="7"/>
  <c r="E1773" i="7" s="1"/>
  <c r="F1773" i="7" s="1"/>
  <c r="G1773" i="7" s="1"/>
  <c r="D1772" i="7"/>
  <c r="E1772" i="7" s="1"/>
  <c r="F1772" i="7" s="1"/>
  <c r="G1772" i="7" s="1"/>
  <c r="D1771" i="7"/>
  <c r="E1771" i="7" s="1"/>
  <c r="F1771" i="7" s="1"/>
  <c r="G1771" i="7" s="1"/>
  <c r="D1770" i="7"/>
  <c r="E1770" i="7" s="1"/>
  <c r="F1770" i="7" s="1"/>
  <c r="G1770" i="7" s="1"/>
  <c r="D1769" i="7"/>
  <c r="E1769" i="7" s="1"/>
  <c r="F1769" i="7" s="1"/>
  <c r="G1769" i="7" s="1"/>
  <c r="D1768" i="7"/>
  <c r="E1768" i="7" s="1"/>
  <c r="F1768" i="7" s="1"/>
  <c r="G1768" i="7" s="1"/>
  <c r="D1767" i="7"/>
  <c r="E1767" i="7" s="1"/>
  <c r="F1767" i="7" s="1"/>
  <c r="G1767" i="7" s="1"/>
  <c r="D1766" i="7"/>
  <c r="E1766" i="7" s="1"/>
  <c r="F1766" i="7" s="1"/>
  <c r="G1766" i="7" s="1"/>
  <c r="D1765" i="7"/>
  <c r="E1765" i="7" s="1"/>
  <c r="F1765" i="7" s="1"/>
  <c r="G1765" i="7" s="1"/>
  <c r="D1764" i="7"/>
  <c r="E1764" i="7" s="1"/>
  <c r="F1764" i="7" s="1"/>
  <c r="G1764" i="7" s="1"/>
  <c r="D1763" i="7"/>
  <c r="E1763" i="7" s="1"/>
  <c r="F1763" i="7" s="1"/>
  <c r="G1763" i="7" s="1"/>
  <c r="D1762" i="7"/>
  <c r="E1762" i="7" s="1"/>
  <c r="F1762" i="7" s="1"/>
  <c r="G1762" i="7" s="1"/>
  <c r="D1761" i="7"/>
  <c r="E1761" i="7" s="1"/>
  <c r="F1761" i="7" s="1"/>
  <c r="G1761" i="7" s="1"/>
  <c r="D1760" i="7"/>
  <c r="E1760" i="7" s="1"/>
  <c r="F1760" i="7" s="1"/>
  <c r="G1760" i="7" s="1"/>
  <c r="D1759" i="7"/>
  <c r="E1759" i="7" s="1"/>
  <c r="F1759" i="7" s="1"/>
  <c r="G1759" i="7" s="1"/>
  <c r="D1758" i="7"/>
  <c r="E1758" i="7" s="1"/>
  <c r="F1758" i="7" s="1"/>
  <c r="G1758" i="7" s="1"/>
  <c r="D1757" i="7"/>
  <c r="E1757" i="7" s="1"/>
  <c r="F1757" i="7" s="1"/>
  <c r="G1757" i="7" s="1"/>
  <c r="D1756" i="7"/>
  <c r="E1756" i="7" s="1"/>
  <c r="F1756" i="7" s="1"/>
  <c r="G1756" i="7" s="1"/>
  <c r="D1755" i="7"/>
  <c r="E1755" i="7" s="1"/>
  <c r="F1755" i="7" s="1"/>
  <c r="G1755" i="7" s="1"/>
  <c r="D1754" i="7"/>
  <c r="E1754" i="7" s="1"/>
  <c r="F1754" i="7" s="1"/>
  <c r="G1754" i="7" s="1"/>
  <c r="D1753" i="7"/>
  <c r="E1753" i="7" s="1"/>
  <c r="F1753" i="7" s="1"/>
  <c r="G1753" i="7" s="1"/>
  <c r="D1752" i="7"/>
  <c r="E1752" i="7" s="1"/>
  <c r="F1752" i="7" s="1"/>
  <c r="G1752" i="7" s="1"/>
  <c r="D1751" i="7"/>
  <c r="E1751" i="7" s="1"/>
  <c r="F1751" i="7" s="1"/>
  <c r="G1751" i="7" s="1"/>
  <c r="D1750" i="7"/>
  <c r="E1750" i="7" s="1"/>
  <c r="F1750" i="7" s="1"/>
  <c r="G1750" i="7" s="1"/>
  <c r="D1749" i="7"/>
  <c r="E1749" i="7" s="1"/>
  <c r="F1749" i="7" s="1"/>
  <c r="G1749" i="7" s="1"/>
  <c r="D1748" i="7"/>
  <c r="E1748" i="7" s="1"/>
  <c r="F1748" i="7" s="1"/>
  <c r="G1748" i="7" s="1"/>
  <c r="D1747" i="7"/>
  <c r="E1747" i="7" s="1"/>
  <c r="F1747" i="7" s="1"/>
  <c r="G1747" i="7" s="1"/>
  <c r="D1746" i="7"/>
  <c r="E1746" i="7" s="1"/>
  <c r="F1746" i="7" s="1"/>
  <c r="G1746" i="7" s="1"/>
  <c r="D1745" i="7"/>
  <c r="E1745" i="7" s="1"/>
  <c r="F1745" i="7" s="1"/>
  <c r="G1745" i="7" s="1"/>
  <c r="D1744" i="7"/>
  <c r="E1744" i="7" s="1"/>
  <c r="F1744" i="7" s="1"/>
  <c r="G1744" i="7" s="1"/>
  <c r="D1743" i="7"/>
  <c r="E1743" i="7" s="1"/>
  <c r="F1743" i="7" s="1"/>
  <c r="G1743" i="7" s="1"/>
  <c r="D1742" i="7"/>
  <c r="E1742" i="7" s="1"/>
  <c r="F1742" i="7" s="1"/>
  <c r="G1742" i="7" s="1"/>
  <c r="D1741" i="7"/>
  <c r="E1741" i="7" s="1"/>
  <c r="F1741" i="7" s="1"/>
  <c r="G1741" i="7" s="1"/>
  <c r="D1740" i="7"/>
  <c r="E1740" i="7" s="1"/>
  <c r="F1740" i="7" s="1"/>
  <c r="G1740" i="7" s="1"/>
  <c r="D1739" i="7"/>
  <c r="E1739" i="7" s="1"/>
  <c r="F1739" i="7" s="1"/>
  <c r="G1739" i="7" s="1"/>
  <c r="D1738" i="7"/>
  <c r="E1738" i="7" s="1"/>
  <c r="F1738" i="7" s="1"/>
  <c r="G1738" i="7" s="1"/>
  <c r="D1737" i="7"/>
  <c r="E1737" i="7" s="1"/>
  <c r="F1737" i="7" s="1"/>
  <c r="G1737" i="7" s="1"/>
  <c r="D1736" i="7"/>
  <c r="E1736" i="7" s="1"/>
  <c r="F1736" i="7" s="1"/>
  <c r="G1736" i="7" s="1"/>
  <c r="D1735" i="7"/>
  <c r="E1735" i="7" s="1"/>
  <c r="F1735" i="7" s="1"/>
  <c r="G1735" i="7" s="1"/>
  <c r="D1734" i="7"/>
  <c r="E1734" i="7" s="1"/>
  <c r="F1734" i="7" s="1"/>
  <c r="G1734" i="7" s="1"/>
  <c r="D1733" i="7"/>
  <c r="E1733" i="7" s="1"/>
  <c r="F1733" i="7" s="1"/>
  <c r="G1733" i="7" s="1"/>
  <c r="D1732" i="7"/>
  <c r="E1732" i="7" s="1"/>
  <c r="F1732" i="7" s="1"/>
  <c r="G1732" i="7" s="1"/>
  <c r="D1731" i="7"/>
  <c r="E1731" i="7" s="1"/>
  <c r="F1731" i="7" s="1"/>
  <c r="G1731" i="7" s="1"/>
  <c r="D1730" i="7"/>
  <c r="E1730" i="7" s="1"/>
  <c r="F1730" i="7" s="1"/>
  <c r="G1730" i="7" s="1"/>
  <c r="D1729" i="7"/>
  <c r="E1729" i="7" s="1"/>
  <c r="F1729" i="7" s="1"/>
  <c r="G1729" i="7" s="1"/>
  <c r="D1728" i="7"/>
  <c r="E1728" i="7" s="1"/>
  <c r="F1728" i="7" s="1"/>
  <c r="G1728" i="7" s="1"/>
  <c r="D1727" i="7"/>
  <c r="E1727" i="7" s="1"/>
  <c r="F1727" i="7" s="1"/>
  <c r="G1727" i="7" s="1"/>
  <c r="D1726" i="7"/>
  <c r="E1726" i="7" s="1"/>
  <c r="F1726" i="7" s="1"/>
  <c r="G1726" i="7" s="1"/>
  <c r="D1725" i="7"/>
  <c r="E1725" i="7" s="1"/>
  <c r="F1725" i="7" s="1"/>
  <c r="G1725" i="7" s="1"/>
  <c r="D1724" i="7"/>
  <c r="E1724" i="7" s="1"/>
  <c r="F1724" i="7" s="1"/>
  <c r="G1724" i="7" s="1"/>
  <c r="D1723" i="7"/>
  <c r="E1723" i="7" s="1"/>
  <c r="F1723" i="7" s="1"/>
  <c r="G1723" i="7" s="1"/>
  <c r="D1722" i="7"/>
  <c r="E1722" i="7" s="1"/>
  <c r="F1722" i="7" s="1"/>
  <c r="G1722" i="7" s="1"/>
  <c r="D1721" i="7"/>
  <c r="E1721" i="7" s="1"/>
  <c r="F1721" i="7" s="1"/>
  <c r="G1721" i="7" s="1"/>
  <c r="D1720" i="7"/>
  <c r="E1720" i="7" s="1"/>
  <c r="F1720" i="7" s="1"/>
  <c r="G1720" i="7" s="1"/>
  <c r="D1719" i="7"/>
  <c r="E1719" i="7" s="1"/>
  <c r="F1719" i="7" s="1"/>
  <c r="G1719" i="7" s="1"/>
  <c r="D1718" i="7"/>
  <c r="E1718" i="7" s="1"/>
  <c r="F1718" i="7" s="1"/>
  <c r="G1718" i="7" s="1"/>
  <c r="D1717" i="7"/>
  <c r="E1717" i="7" s="1"/>
  <c r="F1717" i="7" s="1"/>
  <c r="G1717" i="7" s="1"/>
  <c r="D1716" i="7"/>
  <c r="E1716" i="7" s="1"/>
  <c r="F1716" i="7" s="1"/>
  <c r="G1716" i="7" s="1"/>
  <c r="D1715" i="7"/>
  <c r="E1715" i="7" s="1"/>
  <c r="F1715" i="7" s="1"/>
  <c r="G1715" i="7" s="1"/>
  <c r="D1714" i="7"/>
  <c r="E1714" i="7" s="1"/>
  <c r="F1714" i="7" s="1"/>
  <c r="G1714" i="7" s="1"/>
  <c r="D1713" i="7"/>
  <c r="E1713" i="7" s="1"/>
  <c r="F1713" i="7" s="1"/>
  <c r="G1713" i="7" s="1"/>
  <c r="D1712" i="7"/>
  <c r="E1712" i="7" s="1"/>
  <c r="F1712" i="7" s="1"/>
  <c r="G1712" i="7" s="1"/>
  <c r="D1711" i="7"/>
  <c r="E1711" i="7" s="1"/>
  <c r="F1711" i="7" s="1"/>
  <c r="G1711" i="7" s="1"/>
  <c r="D1710" i="7"/>
  <c r="E1710" i="7" s="1"/>
  <c r="F1710" i="7" s="1"/>
  <c r="G1710" i="7" s="1"/>
  <c r="D1709" i="7"/>
  <c r="E1709" i="7" s="1"/>
  <c r="F1709" i="7" s="1"/>
  <c r="G1709" i="7" s="1"/>
  <c r="D1708" i="7"/>
  <c r="E1708" i="7" s="1"/>
  <c r="F1708" i="7" s="1"/>
  <c r="G1708" i="7" s="1"/>
  <c r="D1707" i="7"/>
  <c r="E1707" i="7" s="1"/>
  <c r="F1707" i="7" s="1"/>
  <c r="G1707" i="7" s="1"/>
  <c r="D1706" i="7"/>
  <c r="E1706" i="7" s="1"/>
  <c r="F1706" i="7" s="1"/>
  <c r="G1706" i="7" s="1"/>
  <c r="D1705" i="7"/>
  <c r="E1705" i="7" s="1"/>
  <c r="F1705" i="7" s="1"/>
  <c r="G1705" i="7" s="1"/>
  <c r="D1704" i="7"/>
  <c r="E1704" i="7" s="1"/>
  <c r="F1704" i="7" s="1"/>
  <c r="G1704" i="7" s="1"/>
  <c r="D1703" i="7"/>
  <c r="E1703" i="7" s="1"/>
  <c r="F1703" i="7" s="1"/>
  <c r="G1703" i="7" s="1"/>
  <c r="D1702" i="7"/>
  <c r="E1702" i="7" s="1"/>
  <c r="F1702" i="7" s="1"/>
  <c r="G1702" i="7" s="1"/>
  <c r="D1701" i="7"/>
  <c r="E1701" i="7" s="1"/>
  <c r="F1701" i="7" s="1"/>
  <c r="G1701" i="7" s="1"/>
  <c r="D1700" i="7"/>
  <c r="E1700" i="7" s="1"/>
  <c r="F1700" i="7" s="1"/>
  <c r="G1700" i="7" s="1"/>
  <c r="D1699" i="7"/>
  <c r="E1699" i="7" s="1"/>
  <c r="F1699" i="7" s="1"/>
  <c r="G1699" i="7" s="1"/>
  <c r="D1698" i="7"/>
  <c r="E1698" i="7" s="1"/>
  <c r="F1698" i="7" s="1"/>
  <c r="G1698" i="7" s="1"/>
  <c r="D1697" i="7"/>
  <c r="E1697" i="7" s="1"/>
  <c r="F1697" i="7" s="1"/>
  <c r="G1697" i="7" s="1"/>
  <c r="D1696" i="7"/>
  <c r="E1696" i="7" s="1"/>
  <c r="F1696" i="7" s="1"/>
  <c r="G1696" i="7" s="1"/>
  <c r="D1695" i="7"/>
  <c r="E1695" i="7" s="1"/>
  <c r="F1695" i="7" s="1"/>
  <c r="G1695" i="7" s="1"/>
  <c r="D1694" i="7"/>
  <c r="E1694" i="7" s="1"/>
  <c r="F1694" i="7" s="1"/>
  <c r="G1694" i="7" s="1"/>
  <c r="D1693" i="7"/>
  <c r="E1693" i="7" s="1"/>
  <c r="F1693" i="7" s="1"/>
  <c r="G1693" i="7" s="1"/>
  <c r="D1692" i="7"/>
  <c r="E1692" i="7" s="1"/>
  <c r="F1692" i="7" s="1"/>
  <c r="G1692" i="7" s="1"/>
  <c r="D1691" i="7"/>
  <c r="E1691" i="7" s="1"/>
  <c r="F1691" i="7" s="1"/>
  <c r="G1691" i="7" s="1"/>
  <c r="D1690" i="7"/>
  <c r="E1690" i="7" s="1"/>
  <c r="F1690" i="7" s="1"/>
  <c r="G1690" i="7" s="1"/>
  <c r="D1689" i="7"/>
  <c r="E1689" i="7" s="1"/>
  <c r="F1689" i="7" s="1"/>
  <c r="G1689" i="7" s="1"/>
  <c r="D1688" i="7"/>
  <c r="E1688" i="7" s="1"/>
  <c r="F1688" i="7" s="1"/>
  <c r="G1688" i="7" s="1"/>
  <c r="D1687" i="7"/>
  <c r="E1687" i="7" s="1"/>
  <c r="F1687" i="7" s="1"/>
  <c r="G1687" i="7" s="1"/>
  <c r="D1686" i="7"/>
  <c r="E1686" i="7" s="1"/>
  <c r="F1686" i="7" s="1"/>
  <c r="G1686" i="7" s="1"/>
  <c r="D1685" i="7"/>
  <c r="E1685" i="7" s="1"/>
  <c r="F1685" i="7" s="1"/>
  <c r="G1685" i="7" s="1"/>
  <c r="D1684" i="7"/>
  <c r="E1684" i="7" s="1"/>
  <c r="F1684" i="7" s="1"/>
  <c r="G1684" i="7" s="1"/>
  <c r="D1683" i="7"/>
  <c r="E1683" i="7" s="1"/>
  <c r="F1683" i="7" s="1"/>
  <c r="G1683" i="7" s="1"/>
  <c r="D1682" i="7"/>
  <c r="E1682" i="7" s="1"/>
  <c r="F1682" i="7" s="1"/>
  <c r="G1682" i="7" s="1"/>
  <c r="D1681" i="7"/>
  <c r="E1681" i="7" s="1"/>
  <c r="F1681" i="7" s="1"/>
  <c r="G1681" i="7" s="1"/>
  <c r="D1680" i="7"/>
  <c r="E1680" i="7" s="1"/>
  <c r="F1680" i="7" s="1"/>
  <c r="G1680" i="7" s="1"/>
  <c r="D1679" i="7"/>
  <c r="E1679" i="7" s="1"/>
  <c r="F1679" i="7" s="1"/>
  <c r="G1679" i="7" s="1"/>
  <c r="D1678" i="7"/>
  <c r="E1678" i="7" s="1"/>
  <c r="F1678" i="7" s="1"/>
  <c r="G1678" i="7" s="1"/>
  <c r="D1677" i="7"/>
  <c r="E1677" i="7" s="1"/>
  <c r="F1677" i="7" s="1"/>
  <c r="G1677" i="7" s="1"/>
  <c r="D1676" i="7"/>
  <c r="E1676" i="7" s="1"/>
  <c r="F1676" i="7" s="1"/>
  <c r="G1676" i="7" s="1"/>
  <c r="D1675" i="7"/>
  <c r="E1675" i="7" s="1"/>
  <c r="F1675" i="7" s="1"/>
  <c r="G1675" i="7" s="1"/>
  <c r="D1674" i="7"/>
  <c r="E1674" i="7" s="1"/>
  <c r="F1674" i="7" s="1"/>
  <c r="G1674" i="7" s="1"/>
  <c r="D1673" i="7"/>
  <c r="E1673" i="7" s="1"/>
  <c r="F1673" i="7" s="1"/>
  <c r="G1673" i="7" s="1"/>
  <c r="D1672" i="7"/>
  <c r="E1672" i="7" s="1"/>
  <c r="F1672" i="7" s="1"/>
  <c r="G1672" i="7" s="1"/>
  <c r="D1671" i="7"/>
  <c r="E1671" i="7" s="1"/>
  <c r="F1671" i="7" s="1"/>
  <c r="G1671" i="7" s="1"/>
  <c r="D1670" i="7"/>
  <c r="E1670" i="7" s="1"/>
  <c r="F1670" i="7" s="1"/>
  <c r="G1670" i="7" s="1"/>
  <c r="D1669" i="7"/>
  <c r="E1669" i="7" s="1"/>
  <c r="F1669" i="7" s="1"/>
  <c r="G1669" i="7" s="1"/>
  <c r="D1668" i="7"/>
  <c r="E1668" i="7" s="1"/>
  <c r="F1668" i="7" s="1"/>
  <c r="G1668" i="7" s="1"/>
  <c r="D1667" i="7"/>
  <c r="E1667" i="7" s="1"/>
  <c r="F1667" i="7" s="1"/>
  <c r="G1667" i="7" s="1"/>
  <c r="D1666" i="7"/>
  <c r="E1666" i="7" s="1"/>
  <c r="F1666" i="7" s="1"/>
  <c r="G1666" i="7" s="1"/>
  <c r="D1665" i="7"/>
  <c r="E1665" i="7" s="1"/>
  <c r="F1665" i="7" s="1"/>
  <c r="G1665" i="7" s="1"/>
  <c r="D1664" i="7"/>
  <c r="E1664" i="7" s="1"/>
  <c r="F1664" i="7" s="1"/>
  <c r="G1664" i="7" s="1"/>
  <c r="D1663" i="7"/>
  <c r="E1663" i="7" s="1"/>
  <c r="F1663" i="7" s="1"/>
  <c r="G1663" i="7" s="1"/>
  <c r="D1662" i="7"/>
  <c r="E1662" i="7" s="1"/>
  <c r="F1662" i="7" s="1"/>
  <c r="G1662" i="7" s="1"/>
  <c r="D1661" i="7"/>
  <c r="E1661" i="7" s="1"/>
  <c r="F1661" i="7" s="1"/>
  <c r="G1661" i="7" s="1"/>
  <c r="D1660" i="7"/>
  <c r="E1660" i="7" s="1"/>
  <c r="F1660" i="7" s="1"/>
  <c r="G1660" i="7" s="1"/>
  <c r="D1659" i="7"/>
  <c r="E1659" i="7" s="1"/>
  <c r="F1659" i="7" s="1"/>
  <c r="G1659" i="7" s="1"/>
  <c r="D1658" i="7"/>
  <c r="E1658" i="7" s="1"/>
  <c r="F1658" i="7" s="1"/>
  <c r="G1658" i="7" s="1"/>
  <c r="D1657" i="7"/>
  <c r="E1657" i="7" s="1"/>
  <c r="F1657" i="7" s="1"/>
  <c r="G1657" i="7" s="1"/>
  <c r="D1656" i="7"/>
  <c r="E1656" i="7" s="1"/>
  <c r="F1656" i="7" s="1"/>
  <c r="G1656" i="7" s="1"/>
  <c r="D1655" i="7"/>
  <c r="E1655" i="7" s="1"/>
  <c r="F1655" i="7" s="1"/>
  <c r="G1655" i="7" s="1"/>
  <c r="D1654" i="7"/>
  <c r="E1654" i="7" s="1"/>
  <c r="F1654" i="7" s="1"/>
  <c r="G1654" i="7" s="1"/>
  <c r="D1653" i="7"/>
  <c r="E1653" i="7" s="1"/>
  <c r="F1653" i="7" s="1"/>
  <c r="G1653" i="7" s="1"/>
  <c r="D1652" i="7"/>
  <c r="E1652" i="7" s="1"/>
  <c r="F1652" i="7" s="1"/>
  <c r="G1652" i="7" s="1"/>
  <c r="D1651" i="7"/>
  <c r="E1651" i="7" s="1"/>
  <c r="F1651" i="7" s="1"/>
  <c r="G1651" i="7" s="1"/>
  <c r="D1650" i="7"/>
  <c r="E1650" i="7" s="1"/>
  <c r="F1650" i="7" s="1"/>
  <c r="G1650" i="7" s="1"/>
  <c r="D1649" i="7"/>
  <c r="E1649" i="7" s="1"/>
  <c r="F1649" i="7" s="1"/>
  <c r="G1649" i="7" s="1"/>
  <c r="D1648" i="7"/>
  <c r="E1648" i="7" s="1"/>
  <c r="F1648" i="7" s="1"/>
  <c r="G1648" i="7" s="1"/>
  <c r="D1647" i="7"/>
  <c r="E1647" i="7" s="1"/>
  <c r="F1647" i="7" s="1"/>
  <c r="G1647" i="7" s="1"/>
  <c r="D1646" i="7"/>
  <c r="E1646" i="7" s="1"/>
  <c r="F1646" i="7" s="1"/>
  <c r="G1646" i="7" s="1"/>
  <c r="D1645" i="7"/>
  <c r="E1645" i="7" s="1"/>
  <c r="F1645" i="7" s="1"/>
  <c r="G1645" i="7" s="1"/>
  <c r="D1644" i="7"/>
  <c r="E1644" i="7" s="1"/>
  <c r="F1644" i="7" s="1"/>
  <c r="G1644" i="7" s="1"/>
  <c r="D1643" i="7"/>
  <c r="E1643" i="7" s="1"/>
  <c r="F1643" i="7" s="1"/>
  <c r="G1643" i="7" s="1"/>
  <c r="D1642" i="7"/>
  <c r="E1642" i="7" s="1"/>
  <c r="F1642" i="7" s="1"/>
  <c r="G1642" i="7" s="1"/>
  <c r="D1641" i="7"/>
  <c r="E1641" i="7" s="1"/>
  <c r="F1641" i="7" s="1"/>
  <c r="G1641" i="7" s="1"/>
  <c r="D1640" i="7"/>
  <c r="E1640" i="7" s="1"/>
  <c r="F1640" i="7" s="1"/>
  <c r="G1640" i="7" s="1"/>
  <c r="D1639" i="7"/>
  <c r="E1639" i="7" s="1"/>
  <c r="F1639" i="7" s="1"/>
  <c r="G1639" i="7" s="1"/>
  <c r="D1638" i="7"/>
  <c r="E1638" i="7" s="1"/>
  <c r="F1638" i="7" s="1"/>
  <c r="G1638" i="7" s="1"/>
  <c r="D1637" i="7"/>
  <c r="E1637" i="7" s="1"/>
  <c r="F1637" i="7" s="1"/>
  <c r="G1637" i="7" s="1"/>
  <c r="D1636" i="7"/>
  <c r="E1636" i="7" s="1"/>
  <c r="F1636" i="7" s="1"/>
  <c r="G1636" i="7" s="1"/>
  <c r="D1635" i="7"/>
  <c r="E1635" i="7" s="1"/>
  <c r="F1635" i="7" s="1"/>
  <c r="G1635" i="7" s="1"/>
  <c r="D1634" i="7"/>
  <c r="E1634" i="7" s="1"/>
  <c r="F1634" i="7" s="1"/>
  <c r="G1634" i="7" s="1"/>
  <c r="D1633" i="7"/>
  <c r="E1633" i="7" s="1"/>
  <c r="F1633" i="7" s="1"/>
  <c r="G1633" i="7" s="1"/>
  <c r="D1632" i="7"/>
  <c r="E1632" i="7" s="1"/>
  <c r="F1632" i="7" s="1"/>
  <c r="G1632" i="7" s="1"/>
  <c r="D1631" i="7"/>
  <c r="E1631" i="7" s="1"/>
  <c r="F1631" i="7" s="1"/>
  <c r="G1631" i="7" s="1"/>
  <c r="D1630" i="7"/>
  <c r="E1630" i="7" s="1"/>
  <c r="F1630" i="7" s="1"/>
  <c r="G1630" i="7" s="1"/>
  <c r="D1629" i="7"/>
  <c r="E1629" i="7" s="1"/>
  <c r="F1629" i="7" s="1"/>
  <c r="G1629" i="7" s="1"/>
  <c r="D1628" i="7"/>
  <c r="E1628" i="7" s="1"/>
  <c r="F1628" i="7" s="1"/>
  <c r="G1628" i="7" s="1"/>
  <c r="D1627" i="7"/>
  <c r="E1627" i="7" s="1"/>
  <c r="F1627" i="7" s="1"/>
  <c r="G1627" i="7" s="1"/>
  <c r="D1626" i="7"/>
  <c r="E1626" i="7" s="1"/>
  <c r="F1626" i="7" s="1"/>
  <c r="G1626" i="7" s="1"/>
  <c r="D1625" i="7"/>
  <c r="E1625" i="7" s="1"/>
  <c r="F1625" i="7" s="1"/>
  <c r="G1625" i="7" s="1"/>
  <c r="D1624" i="7"/>
  <c r="E1624" i="7" s="1"/>
  <c r="F1624" i="7" s="1"/>
  <c r="G1624" i="7" s="1"/>
  <c r="D1623" i="7"/>
  <c r="E1623" i="7" s="1"/>
  <c r="F1623" i="7" s="1"/>
  <c r="G1623" i="7" s="1"/>
  <c r="D1622" i="7"/>
  <c r="E1622" i="7" s="1"/>
  <c r="F1622" i="7" s="1"/>
  <c r="G1622" i="7" s="1"/>
  <c r="D1621" i="7"/>
  <c r="E1621" i="7" s="1"/>
  <c r="F1621" i="7" s="1"/>
  <c r="G1621" i="7" s="1"/>
  <c r="D1620" i="7"/>
  <c r="E1620" i="7" s="1"/>
  <c r="F1620" i="7" s="1"/>
  <c r="G1620" i="7" s="1"/>
  <c r="D1619" i="7"/>
  <c r="E1619" i="7" s="1"/>
  <c r="F1619" i="7" s="1"/>
  <c r="G1619" i="7" s="1"/>
  <c r="D1618" i="7"/>
  <c r="E1618" i="7" s="1"/>
  <c r="F1618" i="7" s="1"/>
  <c r="G1618" i="7" s="1"/>
  <c r="D1617" i="7"/>
  <c r="E1617" i="7" s="1"/>
  <c r="F1617" i="7" s="1"/>
  <c r="G1617" i="7" s="1"/>
  <c r="D1616" i="7"/>
  <c r="E1616" i="7" s="1"/>
  <c r="F1616" i="7" s="1"/>
  <c r="G1616" i="7" s="1"/>
  <c r="D1615" i="7"/>
  <c r="E1615" i="7" s="1"/>
  <c r="F1615" i="7" s="1"/>
  <c r="G1615" i="7" s="1"/>
  <c r="D1614" i="7"/>
  <c r="E1614" i="7" s="1"/>
  <c r="F1614" i="7" s="1"/>
  <c r="G1614" i="7" s="1"/>
  <c r="D1613" i="7"/>
  <c r="E1613" i="7" s="1"/>
  <c r="F1613" i="7" s="1"/>
  <c r="G1613" i="7" s="1"/>
  <c r="D1612" i="7"/>
  <c r="E1612" i="7" s="1"/>
  <c r="F1612" i="7" s="1"/>
  <c r="G1612" i="7" s="1"/>
  <c r="D1611" i="7"/>
  <c r="E1611" i="7" s="1"/>
  <c r="F1611" i="7" s="1"/>
  <c r="G1611" i="7" s="1"/>
  <c r="D1610" i="7"/>
  <c r="E1610" i="7" s="1"/>
  <c r="F1610" i="7" s="1"/>
  <c r="G1610" i="7" s="1"/>
  <c r="D1609" i="7"/>
  <c r="E1609" i="7" s="1"/>
  <c r="F1609" i="7" s="1"/>
  <c r="G1609" i="7" s="1"/>
  <c r="D1608" i="7"/>
  <c r="E1608" i="7" s="1"/>
  <c r="F1608" i="7" s="1"/>
  <c r="G1608" i="7" s="1"/>
  <c r="D1607" i="7"/>
  <c r="E1607" i="7" s="1"/>
  <c r="F1607" i="7" s="1"/>
  <c r="G1607" i="7" s="1"/>
  <c r="D1606" i="7"/>
  <c r="E1606" i="7" s="1"/>
  <c r="F1606" i="7" s="1"/>
  <c r="G1606" i="7" s="1"/>
  <c r="D1605" i="7"/>
  <c r="E1605" i="7" s="1"/>
  <c r="F1605" i="7" s="1"/>
  <c r="G1605" i="7" s="1"/>
  <c r="D1604" i="7"/>
  <c r="E1604" i="7" s="1"/>
  <c r="F1604" i="7" s="1"/>
  <c r="G1604" i="7" s="1"/>
  <c r="D1603" i="7"/>
  <c r="E1603" i="7" s="1"/>
  <c r="F1603" i="7" s="1"/>
  <c r="G1603" i="7" s="1"/>
  <c r="D1602" i="7"/>
  <c r="E1602" i="7" s="1"/>
  <c r="F1602" i="7" s="1"/>
  <c r="G1602" i="7" s="1"/>
  <c r="D1601" i="7"/>
  <c r="E1601" i="7" s="1"/>
  <c r="F1601" i="7" s="1"/>
  <c r="G1601" i="7" s="1"/>
  <c r="D1600" i="7"/>
  <c r="E1600" i="7" s="1"/>
  <c r="F1600" i="7" s="1"/>
  <c r="G1600" i="7" s="1"/>
  <c r="D1599" i="7"/>
  <c r="E1599" i="7" s="1"/>
  <c r="F1599" i="7" s="1"/>
  <c r="G1599" i="7" s="1"/>
  <c r="D1598" i="7"/>
  <c r="E1598" i="7" s="1"/>
  <c r="F1598" i="7" s="1"/>
  <c r="G1598" i="7" s="1"/>
  <c r="D1597" i="7"/>
  <c r="E1597" i="7" s="1"/>
  <c r="F1597" i="7" s="1"/>
  <c r="G1597" i="7" s="1"/>
  <c r="D1596" i="7"/>
  <c r="E1596" i="7" s="1"/>
  <c r="F1596" i="7" s="1"/>
  <c r="G1596" i="7" s="1"/>
  <c r="D1595" i="7"/>
  <c r="E1595" i="7" s="1"/>
  <c r="F1595" i="7" s="1"/>
  <c r="G1595" i="7" s="1"/>
  <c r="D1594" i="7"/>
  <c r="E1594" i="7" s="1"/>
  <c r="F1594" i="7" s="1"/>
  <c r="G1594" i="7" s="1"/>
  <c r="D1593" i="7"/>
  <c r="E1593" i="7" s="1"/>
  <c r="F1593" i="7" s="1"/>
  <c r="G1593" i="7" s="1"/>
  <c r="D1592" i="7"/>
  <c r="E1592" i="7" s="1"/>
  <c r="F1592" i="7" s="1"/>
  <c r="G1592" i="7" s="1"/>
  <c r="D1591" i="7"/>
  <c r="E1591" i="7" s="1"/>
  <c r="F1591" i="7" s="1"/>
  <c r="G1591" i="7" s="1"/>
  <c r="D1590" i="7"/>
  <c r="E1590" i="7" s="1"/>
  <c r="F1590" i="7" s="1"/>
  <c r="G1590" i="7" s="1"/>
  <c r="D1589" i="7"/>
  <c r="E1589" i="7" s="1"/>
  <c r="F1589" i="7" s="1"/>
  <c r="G1589" i="7" s="1"/>
  <c r="D1588" i="7"/>
  <c r="E1588" i="7" s="1"/>
  <c r="F1588" i="7" s="1"/>
  <c r="G1588" i="7" s="1"/>
  <c r="D1587" i="7"/>
  <c r="E1587" i="7" s="1"/>
  <c r="F1587" i="7" s="1"/>
  <c r="G1587" i="7" s="1"/>
  <c r="D1586" i="7"/>
  <c r="E1586" i="7" s="1"/>
  <c r="F1586" i="7" s="1"/>
  <c r="G1586" i="7" s="1"/>
  <c r="D1585" i="7"/>
  <c r="E1585" i="7" s="1"/>
  <c r="F1585" i="7" s="1"/>
  <c r="G1585" i="7" s="1"/>
  <c r="D1584" i="7"/>
  <c r="E1584" i="7" s="1"/>
  <c r="F1584" i="7" s="1"/>
  <c r="G1584" i="7" s="1"/>
  <c r="D1583" i="7"/>
  <c r="E1583" i="7" s="1"/>
  <c r="F1583" i="7" s="1"/>
  <c r="G1583" i="7" s="1"/>
  <c r="D1582" i="7"/>
  <c r="E1582" i="7" s="1"/>
  <c r="F1582" i="7" s="1"/>
  <c r="G1582" i="7" s="1"/>
  <c r="D1581" i="7"/>
  <c r="E1581" i="7" s="1"/>
  <c r="F1581" i="7" s="1"/>
  <c r="G1581" i="7" s="1"/>
  <c r="D1580" i="7"/>
  <c r="E1580" i="7" s="1"/>
  <c r="F1580" i="7" s="1"/>
  <c r="G1580" i="7" s="1"/>
  <c r="D1579" i="7"/>
  <c r="E1579" i="7" s="1"/>
  <c r="F1579" i="7" s="1"/>
  <c r="G1579" i="7" s="1"/>
  <c r="D1578" i="7"/>
  <c r="E1578" i="7" s="1"/>
  <c r="F1578" i="7" s="1"/>
  <c r="G1578" i="7" s="1"/>
  <c r="D1577" i="7"/>
  <c r="E1577" i="7" s="1"/>
  <c r="F1577" i="7" s="1"/>
  <c r="G1577" i="7" s="1"/>
  <c r="D1576" i="7"/>
  <c r="E1576" i="7" s="1"/>
  <c r="F1576" i="7" s="1"/>
  <c r="G1576" i="7" s="1"/>
  <c r="D1575" i="7"/>
  <c r="E1575" i="7" s="1"/>
  <c r="F1575" i="7" s="1"/>
  <c r="G1575" i="7" s="1"/>
  <c r="D1574" i="7"/>
  <c r="E1574" i="7" s="1"/>
  <c r="F1574" i="7" s="1"/>
  <c r="G1574" i="7" s="1"/>
  <c r="D1573" i="7"/>
  <c r="E1573" i="7" s="1"/>
  <c r="F1573" i="7" s="1"/>
  <c r="G1573" i="7" s="1"/>
  <c r="D1572" i="7"/>
  <c r="E1572" i="7" s="1"/>
  <c r="F1572" i="7" s="1"/>
  <c r="G1572" i="7" s="1"/>
  <c r="D1571" i="7"/>
  <c r="E1571" i="7" s="1"/>
  <c r="F1571" i="7" s="1"/>
  <c r="G1571" i="7" s="1"/>
  <c r="D1570" i="7"/>
  <c r="E1570" i="7" s="1"/>
  <c r="F1570" i="7" s="1"/>
  <c r="G1570" i="7" s="1"/>
  <c r="D1569" i="7"/>
  <c r="E1569" i="7" s="1"/>
  <c r="F1569" i="7" s="1"/>
  <c r="G1569" i="7" s="1"/>
  <c r="D1568" i="7"/>
  <c r="E1568" i="7" s="1"/>
  <c r="F1568" i="7" s="1"/>
  <c r="G1568" i="7" s="1"/>
  <c r="D1567" i="7"/>
  <c r="E1567" i="7" s="1"/>
  <c r="F1567" i="7" s="1"/>
  <c r="G1567" i="7" s="1"/>
  <c r="D1566" i="7"/>
  <c r="E1566" i="7" s="1"/>
  <c r="F1566" i="7" s="1"/>
  <c r="G1566" i="7" s="1"/>
  <c r="D1565" i="7"/>
  <c r="E1565" i="7" s="1"/>
  <c r="F1565" i="7" s="1"/>
  <c r="G1565" i="7" s="1"/>
  <c r="D1564" i="7"/>
  <c r="E1564" i="7" s="1"/>
  <c r="F1564" i="7" s="1"/>
  <c r="G1564" i="7" s="1"/>
  <c r="D1563" i="7"/>
  <c r="E1563" i="7" s="1"/>
  <c r="F1563" i="7" s="1"/>
  <c r="G1563" i="7" s="1"/>
  <c r="D1562" i="7"/>
  <c r="E1562" i="7" s="1"/>
  <c r="F1562" i="7" s="1"/>
  <c r="G1562" i="7" s="1"/>
  <c r="D1561" i="7"/>
  <c r="E1561" i="7" s="1"/>
  <c r="F1561" i="7" s="1"/>
  <c r="G1561" i="7" s="1"/>
  <c r="D1560" i="7"/>
  <c r="E1560" i="7" s="1"/>
  <c r="F1560" i="7" s="1"/>
  <c r="G1560" i="7" s="1"/>
  <c r="D1559" i="7"/>
  <c r="E1559" i="7" s="1"/>
  <c r="F1559" i="7" s="1"/>
  <c r="G1559" i="7" s="1"/>
  <c r="D1558" i="7"/>
  <c r="E1558" i="7" s="1"/>
  <c r="F1558" i="7" s="1"/>
  <c r="G1558" i="7" s="1"/>
  <c r="D1557" i="7"/>
  <c r="E1557" i="7" s="1"/>
  <c r="F1557" i="7" s="1"/>
  <c r="G1557" i="7" s="1"/>
  <c r="D1556" i="7"/>
  <c r="E1556" i="7" s="1"/>
  <c r="F1556" i="7" s="1"/>
  <c r="G1556" i="7" s="1"/>
  <c r="D1555" i="7"/>
  <c r="E1555" i="7" s="1"/>
  <c r="F1555" i="7" s="1"/>
  <c r="G1555" i="7" s="1"/>
  <c r="D1554" i="7"/>
  <c r="E1554" i="7" s="1"/>
  <c r="F1554" i="7" s="1"/>
  <c r="G1554" i="7" s="1"/>
  <c r="D1553" i="7"/>
  <c r="E1553" i="7" s="1"/>
  <c r="F1553" i="7" s="1"/>
  <c r="G1553" i="7" s="1"/>
  <c r="D1552" i="7"/>
  <c r="E1552" i="7" s="1"/>
  <c r="F1552" i="7" s="1"/>
  <c r="G1552" i="7" s="1"/>
  <c r="D1551" i="7"/>
  <c r="E1551" i="7" s="1"/>
  <c r="F1551" i="7" s="1"/>
  <c r="G1551" i="7" s="1"/>
  <c r="D1550" i="7"/>
  <c r="E1550" i="7" s="1"/>
  <c r="F1550" i="7" s="1"/>
  <c r="G1550" i="7" s="1"/>
  <c r="D1549" i="7"/>
  <c r="E1549" i="7" s="1"/>
  <c r="F1549" i="7" s="1"/>
  <c r="G1549" i="7" s="1"/>
  <c r="D1548" i="7"/>
  <c r="E1548" i="7" s="1"/>
  <c r="F1548" i="7" s="1"/>
  <c r="G1548" i="7" s="1"/>
  <c r="D1547" i="7"/>
  <c r="E1547" i="7" s="1"/>
  <c r="F1547" i="7" s="1"/>
  <c r="G1547" i="7" s="1"/>
  <c r="D1546" i="7"/>
  <c r="E1546" i="7" s="1"/>
  <c r="F1546" i="7" s="1"/>
  <c r="G1546" i="7" s="1"/>
  <c r="D1545" i="7"/>
  <c r="E1545" i="7" s="1"/>
  <c r="F1545" i="7" s="1"/>
  <c r="G1545" i="7" s="1"/>
  <c r="D1544" i="7"/>
  <c r="E1544" i="7" s="1"/>
  <c r="F1544" i="7" s="1"/>
  <c r="G1544" i="7" s="1"/>
  <c r="D1543" i="7"/>
  <c r="E1543" i="7" s="1"/>
  <c r="F1543" i="7" s="1"/>
  <c r="G1543" i="7" s="1"/>
  <c r="D1542" i="7"/>
  <c r="E1542" i="7" s="1"/>
  <c r="F1542" i="7" s="1"/>
  <c r="G1542" i="7" s="1"/>
  <c r="D1541" i="7"/>
  <c r="E1541" i="7" s="1"/>
  <c r="F1541" i="7" s="1"/>
  <c r="G1541" i="7" s="1"/>
  <c r="D1540" i="7"/>
  <c r="E1540" i="7" s="1"/>
  <c r="F1540" i="7" s="1"/>
  <c r="G1540" i="7" s="1"/>
  <c r="D1539" i="7"/>
  <c r="E1539" i="7" s="1"/>
  <c r="F1539" i="7" s="1"/>
  <c r="G1539" i="7" s="1"/>
  <c r="D1538" i="7"/>
  <c r="E1538" i="7" s="1"/>
  <c r="F1538" i="7" s="1"/>
  <c r="G1538" i="7" s="1"/>
  <c r="D1537" i="7"/>
  <c r="E1537" i="7" s="1"/>
  <c r="F1537" i="7" s="1"/>
  <c r="G1537" i="7" s="1"/>
  <c r="D1536" i="7"/>
  <c r="E1536" i="7" s="1"/>
  <c r="F1536" i="7" s="1"/>
  <c r="G1536" i="7" s="1"/>
  <c r="D1535" i="7"/>
  <c r="E1535" i="7" s="1"/>
  <c r="F1535" i="7" s="1"/>
  <c r="G1535" i="7" s="1"/>
  <c r="D1534" i="7"/>
  <c r="E1534" i="7" s="1"/>
  <c r="F1534" i="7" s="1"/>
  <c r="G1534" i="7" s="1"/>
  <c r="D1533" i="7"/>
  <c r="E1533" i="7" s="1"/>
  <c r="F1533" i="7" s="1"/>
  <c r="G1533" i="7" s="1"/>
  <c r="D1532" i="7"/>
  <c r="E1532" i="7" s="1"/>
  <c r="F1532" i="7" s="1"/>
  <c r="G1532" i="7" s="1"/>
  <c r="D1531" i="7"/>
  <c r="E1531" i="7" s="1"/>
  <c r="F1531" i="7" s="1"/>
  <c r="G1531" i="7" s="1"/>
  <c r="D1530" i="7"/>
  <c r="E1530" i="7" s="1"/>
  <c r="F1530" i="7" s="1"/>
  <c r="G1530" i="7" s="1"/>
  <c r="D1529" i="7"/>
  <c r="E1529" i="7" s="1"/>
  <c r="F1529" i="7" s="1"/>
  <c r="G1529" i="7" s="1"/>
  <c r="D1528" i="7"/>
  <c r="E1528" i="7" s="1"/>
  <c r="F1528" i="7" s="1"/>
  <c r="G1528" i="7" s="1"/>
  <c r="D1527" i="7"/>
  <c r="E1527" i="7" s="1"/>
  <c r="F1527" i="7" s="1"/>
  <c r="G1527" i="7" s="1"/>
  <c r="D1526" i="7"/>
  <c r="E1526" i="7" s="1"/>
  <c r="F1526" i="7" s="1"/>
  <c r="G1526" i="7" s="1"/>
  <c r="D1525" i="7"/>
  <c r="E1525" i="7" s="1"/>
  <c r="F1525" i="7" s="1"/>
  <c r="G1525" i="7" s="1"/>
  <c r="D1524" i="7"/>
  <c r="E1524" i="7" s="1"/>
  <c r="F1524" i="7" s="1"/>
  <c r="G1524" i="7" s="1"/>
  <c r="D1523" i="7"/>
  <c r="E1523" i="7" s="1"/>
  <c r="F1523" i="7" s="1"/>
  <c r="G1523" i="7" s="1"/>
  <c r="D1522" i="7"/>
  <c r="E1522" i="7" s="1"/>
  <c r="F1522" i="7" s="1"/>
  <c r="G1522" i="7" s="1"/>
  <c r="D1521" i="7"/>
  <c r="E1521" i="7" s="1"/>
  <c r="F1521" i="7" s="1"/>
  <c r="G1521" i="7" s="1"/>
  <c r="D1520" i="7"/>
  <c r="E1520" i="7" s="1"/>
  <c r="F1520" i="7" s="1"/>
  <c r="G1520" i="7" s="1"/>
  <c r="D1519" i="7"/>
  <c r="E1519" i="7" s="1"/>
  <c r="F1519" i="7" s="1"/>
  <c r="G1519" i="7" s="1"/>
  <c r="D1518" i="7"/>
  <c r="E1518" i="7" s="1"/>
  <c r="F1518" i="7" s="1"/>
  <c r="G1518" i="7" s="1"/>
  <c r="D1517" i="7"/>
  <c r="E1517" i="7" s="1"/>
  <c r="F1517" i="7" s="1"/>
  <c r="G1517" i="7" s="1"/>
  <c r="D1516" i="7"/>
  <c r="E1516" i="7" s="1"/>
  <c r="F1516" i="7" s="1"/>
  <c r="G1516" i="7" s="1"/>
  <c r="D1515" i="7"/>
  <c r="E1515" i="7" s="1"/>
  <c r="F1515" i="7" s="1"/>
  <c r="G1515" i="7" s="1"/>
  <c r="D1514" i="7"/>
  <c r="E1514" i="7" s="1"/>
  <c r="F1514" i="7" s="1"/>
  <c r="G1514" i="7" s="1"/>
  <c r="D1513" i="7"/>
  <c r="E1513" i="7" s="1"/>
  <c r="F1513" i="7" s="1"/>
  <c r="G1513" i="7" s="1"/>
  <c r="D1512" i="7"/>
  <c r="E1512" i="7" s="1"/>
  <c r="F1512" i="7" s="1"/>
  <c r="G1512" i="7" s="1"/>
  <c r="D1511" i="7"/>
  <c r="E1511" i="7" s="1"/>
  <c r="F1511" i="7" s="1"/>
  <c r="G1511" i="7" s="1"/>
  <c r="D1510" i="7"/>
  <c r="E1510" i="7" s="1"/>
  <c r="F1510" i="7" s="1"/>
  <c r="G1510" i="7" s="1"/>
  <c r="D1509" i="7"/>
  <c r="E1509" i="7" s="1"/>
  <c r="F1509" i="7" s="1"/>
  <c r="G1509" i="7" s="1"/>
  <c r="D1508" i="7"/>
  <c r="E1508" i="7" s="1"/>
  <c r="F1508" i="7" s="1"/>
  <c r="G1508" i="7" s="1"/>
  <c r="D1507" i="7"/>
  <c r="E1507" i="7" s="1"/>
  <c r="F1507" i="7" s="1"/>
  <c r="G1507" i="7" s="1"/>
  <c r="D1506" i="7"/>
  <c r="E1506" i="7" s="1"/>
  <c r="F1506" i="7" s="1"/>
  <c r="G1506" i="7" s="1"/>
  <c r="D1505" i="7"/>
  <c r="E1505" i="7" s="1"/>
  <c r="F1505" i="7" s="1"/>
  <c r="G1505" i="7" s="1"/>
  <c r="D1504" i="7"/>
  <c r="E1504" i="7" s="1"/>
  <c r="F1504" i="7" s="1"/>
  <c r="G1504" i="7" s="1"/>
  <c r="D1503" i="7"/>
  <c r="E1503" i="7" s="1"/>
  <c r="F1503" i="7" s="1"/>
  <c r="G1503" i="7" s="1"/>
  <c r="D1502" i="7"/>
  <c r="E1502" i="7" s="1"/>
  <c r="F1502" i="7" s="1"/>
  <c r="G1502" i="7" s="1"/>
  <c r="D1501" i="7"/>
  <c r="E1501" i="7" s="1"/>
  <c r="F1501" i="7" s="1"/>
  <c r="G1501" i="7" s="1"/>
  <c r="D1500" i="7"/>
  <c r="E1500" i="7" s="1"/>
  <c r="F1500" i="7" s="1"/>
  <c r="G1500" i="7" s="1"/>
  <c r="D1499" i="7"/>
  <c r="E1499" i="7" s="1"/>
  <c r="F1499" i="7" s="1"/>
  <c r="G1499" i="7" s="1"/>
  <c r="D1498" i="7"/>
  <c r="E1498" i="7" s="1"/>
  <c r="F1498" i="7" s="1"/>
  <c r="G1498" i="7" s="1"/>
  <c r="D1497" i="7"/>
  <c r="E1497" i="7" s="1"/>
  <c r="F1497" i="7" s="1"/>
  <c r="G1497" i="7" s="1"/>
  <c r="D1496" i="7"/>
  <c r="E1496" i="7" s="1"/>
  <c r="F1496" i="7" s="1"/>
  <c r="G1496" i="7" s="1"/>
  <c r="D1495" i="7"/>
  <c r="E1495" i="7" s="1"/>
  <c r="F1495" i="7" s="1"/>
  <c r="G1495" i="7" s="1"/>
  <c r="D1494" i="7"/>
  <c r="E1494" i="7" s="1"/>
  <c r="F1494" i="7" s="1"/>
  <c r="G1494" i="7" s="1"/>
  <c r="D1493" i="7"/>
  <c r="E1493" i="7" s="1"/>
  <c r="F1493" i="7" s="1"/>
  <c r="G1493" i="7" s="1"/>
  <c r="D1492" i="7"/>
  <c r="E1492" i="7" s="1"/>
  <c r="F1492" i="7" s="1"/>
  <c r="G1492" i="7" s="1"/>
  <c r="D1491" i="7"/>
  <c r="E1491" i="7" s="1"/>
  <c r="F1491" i="7" s="1"/>
  <c r="G1491" i="7" s="1"/>
  <c r="D1490" i="7"/>
  <c r="E1490" i="7" s="1"/>
  <c r="F1490" i="7" s="1"/>
  <c r="G1490" i="7" s="1"/>
  <c r="D1489" i="7"/>
  <c r="E1489" i="7" s="1"/>
  <c r="F1489" i="7" s="1"/>
  <c r="G1489" i="7" s="1"/>
  <c r="D1488" i="7"/>
  <c r="E1488" i="7" s="1"/>
  <c r="F1488" i="7" s="1"/>
  <c r="G1488" i="7" s="1"/>
  <c r="D1487" i="7"/>
  <c r="E1487" i="7" s="1"/>
  <c r="F1487" i="7" s="1"/>
  <c r="G1487" i="7" s="1"/>
  <c r="D1486" i="7"/>
  <c r="E1486" i="7" s="1"/>
  <c r="F1486" i="7" s="1"/>
  <c r="G1486" i="7" s="1"/>
  <c r="D1485" i="7"/>
  <c r="E1485" i="7" s="1"/>
  <c r="F1485" i="7" s="1"/>
  <c r="G1485" i="7" s="1"/>
  <c r="D1484" i="7"/>
  <c r="E1484" i="7" s="1"/>
  <c r="F1484" i="7" s="1"/>
  <c r="G1484" i="7" s="1"/>
  <c r="D1483" i="7"/>
  <c r="E1483" i="7" s="1"/>
  <c r="F1483" i="7" s="1"/>
  <c r="G1483" i="7" s="1"/>
  <c r="D1482" i="7"/>
  <c r="E1482" i="7" s="1"/>
  <c r="F1482" i="7" s="1"/>
  <c r="G1482" i="7" s="1"/>
  <c r="D1481" i="7"/>
  <c r="E1481" i="7" s="1"/>
  <c r="F1481" i="7" s="1"/>
  <c r="G1481" i="7" s="1"/>
  <c r="D1480" i="7"/>
  <c r="E1480" i="7" s="1"/>
  <c r="F1480" i="7" s="1"/>
  <c r="G1480" i="7" s="1"/>
  <c r="D1479" i="7"/>
  <c r="E1479" i="7" s="1"/>
  <c r="F1479" i="7" s="1"/>
  <c r="G1479" i="7" s="1"/>
  <c r="D1478" i="7"/>
  <c r="E1478" i="7" s="1"/>
  <c r="F1478" i="7" s="1"/>
  <c r="G1478" i="7" s="1"/>
  <c r="D1477" i="7"/>
  <c r="E1477" i="7" s="1"/>
  <c r="F1477" i="7" s="1"/>
  <c r="G1477" i="7" s="1"/>
  <c r="D1476" i="7"/>
  <c r="E1476" i="7" s="1"/>
  <c r="F1476" i="7" s="1"/>
  <c r="G1476" i="7" s="1"/>
  <c r="D1475" i="7"/>
  <c r="E1475" i="7" s="1"/>
  <c r="F1475" i="7" s="1"/>
  <c r="G1475" i="7" s="1"/>
  <c r="D1474" i="7"/>
  <c r="E1474" i="7" s="1"/>
  <c r="F1474" i="7" s="1"/>
  <c r="G1474" i="7" s="1"/>
  <c r="D1473" i="7"/>
  <c r="E1473" i="7" s="1"/>
  <c r="F1473" i="7" s="1"/>
  <c r="G1473" i="7" s="1"/>
  <c r="D1472" i="7"/>
  <c r="E1472" i="7" s="1"/>
  <c r="F1472" i="7" s="1"/>
  <c r="G1472" i="7" s="1"/>
  <c r="D1471" i="7"/>
  <c r="E1471" i="7" s="1"/>
  <c r="F1471" i="7" s="1"/>
  <c r="G1471" i="7" s="1"/>
  <c r="D1470" i="7"/>
  <c r="E1470" i="7" s="1"/>
  <c r="F1470" i="7" s="1"/>
  <c r="G1470" i="7" s="1"/>
  <c r="D1469" i="7"/>
  <c r="E1469" i="7" s="1"/>
  <c r="F1469" i="7" s="1"/>
  <c r="G1469" i="7" s="1"/>
  <c r="D1468" i="7"/>
  <c r="E1468" i="7" s="1"/>
  <c r="F1468" i="7" s="1"/>
  <c r="G1468" i="7" s="1"/>
  <c r="D1467" i="7"/>
  <c r="E1467" i="7" s="1"/>
  <c r="F1467" i="7" s="1"/>
  <c r="G1467" i="7" s="1"/>
  <c r="D1466" i="7"/>
  <c r="E1466" i="7" s="1"/>
  <c r="F1466" i="7" s="1"/>
  <c r="G1466" i="7" s="1"/>
  <c r="D1465" i="7"/>
  <c r="E1465" i="7" s="1"/>
  <c r="F1465" i="7" s="1"/>
  <c r="G1465" i="7" s="1"/>
  <c r="D1464" i="7"/>
  <c r="E1464" i="7" s="1"/>
  <c r="F1464" i="7" s="1"/>
  <c r="G1464" i="7" s="1"/>
  <c r="D1463" i="7"/>
  <c r="E1463" i="7" s="1"/>
  <c r="F1463" i="7" s="1"/>
  <c r="G1463" i="7" s="1"/>
  <c r="D1462" i="7"/>
  <c r="E1462" i="7" s="1"/>
  <c r="F1462" i="7" s="1"/>
  <c r="G1462" i="7" s="1"/>
  <c r="D1461" i="7"/>
  <c r="E1461" i="7" s="1"/>
  <c r="F1461" i="7" s="1"/>
  <c r="G1461" i="7" s="1"/>
  <c r="D1460" i="7"/>
  <c r="E1460" i="7" s="1"/>
  <c r="F1460" i="7" s="1"/>
  <c r="G1460" i="7" s="1"/>
  <c r="D1459" i="7"/>
  <c r="E1459" i="7" s="1"/>
  <c r="F1459" i="7" s="1"/>
  <c r="G1459" i="7" s="1"/>
  <c r="D1458" i="7"/>
  <c r="E1458" i="7" s="1"/>
  <c r="F1458" i="7" s="1"/>
  <c r="G1458" i="7" s="1"/>
  <c r="D1457" i="7"/>
  <c r="E1457" i="7" s="1"/>
  <c r="F1457" i="7" s="1"/>
  <c r="G1457" i="7" s="1"/>
  <c r="D1456" i="7"/>
  <c r="E1456" i="7" s="1"/>
  <c r="F1456" i="7" s="1"/>
  <c r="G1456" i="7" s="1"/>
  <c r="D1455" i="7"/>
  <c r="E1455" i="7" s="1"/>
  <c r="F1455" i="7" s="1"/>
  <c r="G1455" i="7" s="1"/>
  <c r="D1454" i="7"/>
  <c r="E1454" i="7" s="1"/>
  <c r="F1454" i="7" s="1"/>
  <c r="G1454" i="7" s="1"/>
  <c r="D1453" i="7"/>
  <c r="E1453" i="7" s="1"/>
  <c r="F1453" i="7" s="1"/>
  <c r="G1453" i="7" s="1"/>
  <c r="D1452" i="7"/>
  <c r="E1452" i="7" s="1"/>
  <c r="F1452" i="7" s="1"/>
  <c r="G1452" i="7" s="1"/>
  <c r="D1451" i="7"/>
  <c r="E1451" i="7" s="1"/>
  <c r="F1451" i="7" s="1"/>
  <c r="G1451" i="7" s="1"/>
  <c r="D1450" i="7"/>
  <c r="E1450" i="7" s="1"/>
  <c r="F1450" i="7" s="1"/>
  <c r="G1450" i="7" s="1"/>
  <c r="D1449" i="7"/>
  <c r="E1449" i="7" s="1"/>
  <c r="F1449" i="7" s="1"/>
  <c r="G1449" i="7" s="1"/>
  <c r="D1448" i="7"/>
  <c r="E1448" i="7" s="1"/>
  <c r="F1448" i="7" s="1"/>
  <c r="G1448" i="7" s="1"/>
  <c r="D1447" i="7"/>
  <c r="E1447" i="7" s="1"/>
  <c r="F1447" i="7" s="1"/>
  <c r="G1447" i="7" s="1"/>
  <c r="D1446" i="7"/>
  <c r="E1446" i="7" s="1"/>
  <c r="F1446" i="7" s="1"/>
  <c r="G1446" i="7" s="1"/>
  <c r="D1445" i="7"/>
  <c r="E1445" i="7" s="1"/>
  <c r="F1445" i="7" s="1"/>
  <c r="G1445" i="7" s="1"/>
  <c r="D1444" i="7"/>
  <c r="E1444" i="7" s="1"/>
  <c r="F1444" i="7" s="1"/>
  <c r="G1444" i="7" s="1"/>
  <c r="D1443" i="7"/>
  <c r="E1443" i="7" s="1"/>
  <c r="F1443" i="7" s="1"/>
  <c r="G1443" i="7" s="1"/>
  <c r="D1442" i="7"/>
  <c r="E1442" i="7" s="1"/>
  <c r="F1442" i="7" s="1"/>
  <c r="G1442" i="7" s="1"/>
  <c r="D1441" i="7"/>
  <c r="E1441" i="7" s="1"/>
  <c r="F1441" i="7" s="1"/>
  <c r="G1441" i="7" s="1"/>
  <c r="D1440" i="7"/>
  <c r="E1440" i="7" s="1"/>
  <c r="F1440" i="7" s="1"/>
  <c r="G1440" i="7" s="1"/>
  <c r="D1439" i="7"/>
  <c r="E1439" i="7" s="1"/>
  <c r="F1439" i="7" s="1"/>
  <c r="G1439" i="7" s="1"/>
  <c r="D1438" i="7"/>
  <c r="E1438" i="7" s="1"/>
  <c r="F1438" i="7" s="1"/>
  <c r="G1438" i="7" s="1"/>
  <c r="D1437" i="7"/>
  <c r="E1437" i="7" s="1"/>
  <c r="F1437" i="7" s="1"/>
  <c r="G1437" i="7" s="1"/>
  <c r="D1436" i="7"/>
  <c r="E1436" i="7" s="1"/>
  <c r="F1436" i="7" s="1"/>
  <c r="G1436" i="7" s="1"/>
  <c r="D1435" i="7"/>
  <c r="E1435" i="7" s="1"/>
  <c r="F1435" i="7" s="1"/>
  <c r="G1435" i="7" s="1"/>
  <c r="D1434" i="7"/>
  <c r="E1434" i="7" s="1"/>
  <c r="F1434" i="7" s="1"/>
  <c r="G1434" i="7" s="1"/>
  <c r="D1433" i="7"/>
  <c r="E1433" i="7" s="1"/>
  <c r="F1433" i="7" s="1"/>
  <c r="G1433" i="7" s="1"/>
  <c r="D1432" i="7"/>
  <c r="E1432" i="7" s="1"/>
  <c r="F1432" i="7" s="1"/>
  <c r="G1432" i="7" s="1"/>
  <c r="D1431" i="7"/>
  <c r="E1431" i="7" s="1"/>
  <c r="F1431" i="7" s="1"/>
  <c r="G1431" i="7" s="1"/>
  <c r="D1430" i="7"/>
  <c r="E1430" i="7" s="1"/>
  <c r="F1430" i="7" s="1"/>
  <c r="G1430" i="7" s="1"/>
  <c r="D1429" i="7"/>
  <c r="E1429" i="7" s="1"/>
  <c r="F1429" i="7" s="1"/>
  <c r="G1429" i="7" s="1"/>
  <c r="D1428" i="7"/>
  <c r="E1428" i="7" s="1"/>
  <c r="F1428" i="7" s="1"/>
  <c r="G1428" i="7" s="1"/>
  <c r="D1427" i="7"/>
  <c r="E1427" i="7" s="1"/>
  <c r="F1427" i="7" s="1"/>
  <c r="G1427" i="7" s="1"/>
  <c r="D1426" i="7"/>
  <c r="E1426" i="7" s="1"/>
  <c r="F1426" i="7" s="1"/>
  <c r="G1426" i="7" s="1"/>
  <c r="D1425" i="7"/>
  <c r="E1425" i="7" s="1"/>
  <c r="F1425" i="7" s="1"/>
  <c r="G1425" i="7" s="1"/>
  <c r="D1424" i="7"/>
  <c r="E1424" i="7" s="1"/>
  <c r="F1424" i="7" s="1"/>
  <c r="G1424" i="7" s="1"/>
  <c r="D1423" i="7"/>
  <c r="E1423" i="7" s="1"/>
  <c r="F1423" i="7" s="1"/>
  <c r="G1423" i="7" s="1"/>
  <c r="D1422" i="7"/>
  <c r="E1422" i="7" s="1"/>
  <c r="F1422" i="7" s="1"/>
  <c r="G1422" i="7" s="1"/>
  <c r="D1421" i="7"/>
  <c r="E1421" i="7" s="1"/>
  <c r="F1421" i="7" s="1"/>
  <c r="G1421" i="7" s="1"/>
  <c r="D1420" i="7"/>
  <c r="E1420" i="7" s="1"/>
  <c r="F1420" i="7" s="1"/>
  <c r="G1420" i="7" s="1"/>
  <c r="D1419" i="7"/>
  <c r="E1419" i="7" s="1"/>
  <c r="F1419" i="7" s="1"/>
  <c r="G1419" i="7" s="1"/>
  <c r="D1418" i="7"/>
  <c r="E1418" i="7" s="1"/>
  <c r="F1418" i="7" s="1"/>
  <c r="G1418" i="7" s="1"/>
  <c r="D1417" i="7"/>
  <c r="E1417" i="7" s="1"/>
  <c r="F1417" i="7" s="1"/>
  <c r="G1417" i="7" s="1"/>
  <c r="D1416" i="7"/>
  <c r="E1416" i="7" s="1"/>
  <c r="F1416" i="7" s="1"/>
  <c r="G1416" i="7" s="1"/>
  <c r="D1415" i="7"/>
  <c r="E1415" i="7" s="1"/>
  <c r="F1415" i="7" s="1"/>
  <c r="G1415" i="7" s="1"/>
  <c r="D1414" i="7"/>
  <c r="E1414" i="7" s="1"/>
  <c r="F1414" i="7" s="1"/>
  <c r="G1414" i="7" s="1"/>
  <c r="D1413" i="7"/>
  <c r="E1413" i="7" s="1"/>
  <c r="F1413" i="7" s="1"/>
  <c r="G1413" i="7" s="1"/>
  <c r="D1412" i="7"/>
  <c r="E1412" i="7" s="1"/>
  <c r="F1412" i="7" s="1"/>
  <c r="G1412" i="7" s="1"/>
  <c r="D1411" i="7"/>
  <c r="E1411" i="7" s="1"/>
  <c r="F1411" i="7" s="1"/>
  <c r="G1411" i="7" s="1"/>
  <c r="D1410" i="7"/>
  <c r="E1410" i="7" s="1"/>
  <c r="F1410" i="7" s="1"/>
  <c r="G1410" i="7" s="1"/>
  <c r="D1409" i="7"/>
  <c r="E1409" i="7" s="1"/>
  <c r="F1409" i="7" s="1"/>
  <c r="G1409" i="7" s="1"/>
  <c r="D1408" i="7"/>
  <c r="E1408" i="7" s="1"/>
  <c r="F1408" i="7" s="1"/>
  <c r="G1408" i="7" s="1"/>
  <c r="D1407" i="7"/>
  <c r="E1407" i="7" s="1"/>
  <c r="F1407" i="7" s="1"/>
  <c r="G1407" i="7" s="1"/>
  <c r="D1406" i="7"/>
  <c r="E1406" i="7" s="1"/>
  <c r="F1406" i="7" s="1"/>
  <c r="G1406" i="7" s="1"/>
  <c r="D1405" i="7"/>
  <c r="E1405" i="7" s="1"/>
  <c r="F1405" i="7" s="1"/>
  <c r="G1405" i="7" s="1"/>
  <c r="D1404" i="7"/>
  <c r="E1404" i="7" s="1"/>
  <c r="F1404" i="7" s="1"/>
  <c r="G1404" i="7" s="1"/>
  <c r="D1403" i="7"/>
  <c r="E1403" i="7" s="1"/>
  <c r="F1403" i="7" s="1"/>
  <c r="G1403" i="7" s="1"/>
  <c r="D1402" i="7"/>
  <c r="E1402" i="7" s="1"/>
  <c r="F1402" i="7" s="1"/>
  <c r="G1402" i="7" s="1"/>
  <c r="D1401" i="7"/>
  <c r="E1401" i="7" s="1"/>
  <c r="F1401" i="7" s="1"/>
  <c r="G1401" i="7" s="1"/>
  <c r="D1400" i="7"/>
  <c r="E1400" i="7" s="1"/>
  <c r="F1400" i="7" s="1"/>
  <c r="G1400" i="7" s="1"/>
  <c r="D1399" i="7"/>
  <c r="E1399" i="7" s="1"/>
  <c r="F1399" i="7" s="1"/>
  <c r="G1399" i="7" s="1"/>
  <c r="D1398" i="7"/>
  <c r="E1398" i="7" s="1"/>
  <c r="F1398" i="7" s="1"/>
  <c r="G1398" i="7" s="1"/>
  <c r="D1397" i="7"/>
  <c r="E1397" i="7" s="1"/>
  <c r="F1397" i="7" s="1"/>
  <c r="G1397" i="7" s="1"/>
  <c r="D1396" i="7"/>
  <c r="E1396" i="7" s="1"/>
  <c r="F1396" i="7" s="1"/>
  <c r="G1396" i="7" s="1"/>
  <c r="D1395" i="7"/>
  <c r="E1395" i="7" s="1"/>
  <c r="F1395" i="7" s="1"/>
  <c r="G1395" i="7" s="1"/>
  <c r="D1394" i="7"/>
  <c r="E1394" i="7" s="1"/>
  <c r="F1394" i="7" s="1"/>
  <c r="G1394" i="7" s="1"/>
  <c r="D1393" i="7"/>
  <c r="E1393" i="7" s="1"/>
  <c r="F1393" i="7" s="1"/>
  <c r="G1393" i="7" s="1"/>
  <c r="D1392" i="7"/>
  <c r="E1392" i="7" s="1"/>
  <c r="F1392" i="7" s="1"/>
  <c r="G1392" i="7" s="1"/>
  <c r="D1391" i="7"/>
  <c r="E1391" i="7" s="1"/>
  <c r="F1391" i="7" s="1"/>
  <c r="G1391" i="7" s="1"/>
  <c r="D1390" i="7"/>
  <c r="E1390" i="7" s="1"/>
  <c r="F1390" i="7" s="1"/>
  <c r="G1390" i="7" s="1"/>
  <c r="D1389" i="7"/>
  <c r="E1389" i="7" s="1"/>
  <c r="F1389" i="7" s="1"/>
  <c r="G1389" i="7" s="1"/>
  <c r="D1388" i="7"/>
  <c r="E1388" i="7" s="1"/>
  <c r="F1388" i="7" s="1"/>
  <c r="G1388" i="7" s="1"/>
  <c r="D1387" i="7"/>
  <c r="E1387" i="7" s="1"/>
  <c r="F1387" i="7" s="1"/>
  <c r="G1387" i="7" s="1"/>
  <c r="D1386" i="7"/>
  <c r="E1386" i="7" s="1"/>
  <c r="F1386" i="7" s="1"/>
  <c r="G1386" i="7" s="1"/>
  <c r="D1385" i="7"/>
  <c r="E1385" i="7" s="1"/>
  <c r="F1385" i="7" s="1"/>
  <c r="G1385" i="7" s="1"/>
  <c r="D1384" i="7"/>
  <c r="E1384" i="7" s="1"/>
  <c r="F1384" i="7" s="1"/>
  <c r="G1384" i="7" s="1"/>
  <c r="D1383" i="7"/>
  <c r="E1383" i="7" s="1"/>
  <c r="F1383" i="7" s="1"/>
  <c r="G1383" i="7" s="1"/>
  <c r="D1382" i="7"/>
  <c r="E1382" i="7" s="1"/>
  <c r="F1382" i="7" s="1"/>
  <c r="G1382" i="7" s="1"/>
  <c r="D1381" i="7"/>
  <c r="E1381" i="7" s="1"/>
  <c r="F1381" i="7" s="1"/>
  <c r="G1381" i="7" s="1"/>
  <c r="D1380" i="7"/>
  <c r="E1380" i="7" s="1"/>
  <c r="F1380" i="7" s="1"/>
  <c r="G1380" i="7" s="1"/>
  <c r="D1379" i="7"/>
  <c r="E1379" i="7" s="1"/>
  <c r="F1379" i="7" s="1"/>
  <c r="G1379" i="7" s="1"/>
  <c r="D1378" i="7"/>
  <c r="E1378" i="7" s="1"/>
  <c r="F1378" i="7" s="1"/>
  <c r="G1378" i="7" s="1"/>
  <c r="D1377" i="7"/>
  <c r="E1377" i="7" s="1"/>
  <c r="F1377" i="7" s="1"/>
  <c r="G1377" i="7" s="1"/>
  <c r="D1376" i="7"/>
  <c r="E1376" i="7" s="1"/>
  <c r="F1376" i="7" s="1"/>
  <c r="G1376" i="7" s="1"/>
  <c r="D1375" i="7"/>
  <c r="E1375" i="7" s="1"/>
  <c r="F1375" i="7" s="1"/>
  <c r="G1375" i="7" s="1"/>
  <c r="D1374" i="7"/>
  <c r="E1374" i="7" s="1"/>
  <c r="F1374" i="7" s="1"/>
  <c r="G1374" i="7" s="1"/>
  <c r="D1373" i="7"/>
  <c r="E1373" i="7" s="1"/>
  <c r="F1373" i="7" s="1"/>
  <c r="G1373" i="7" s="1"/>
  <c r="D1372" i="7"/>
  <c r="E1372" i="7" s="1"/>
  <c r="F1372" i="7" s="1"/>
  <c r="G1372" i="7" s="1"/>
  <c r="D1371" i="7"/>
  <c r="E1371" i="7" s="1"/>
  <c r="F1371" i="7" s="1"/>
  <c r="G1371" i="7" s="1"/>
  <c r="D1370" i="7"/>
  <c r="E1370" i="7" s="1"/>
  <c r="F1370" i="7" s="1"/>
  <c r="G1370" i="7" s="1"/>
  <c r="D1369" i="7"/>
  <c r="E1369" i="7" s="1"/>
  <c r="F1369" i="7" s="1"/>
  <c r="G1369" i="7" s="1"/>
  <c r="D1368" i="7"/>
  <c r="E1368" i="7" s="1"/>
  <c r="F1368" i="7" s="1"/>
  <c r="G1368" i="7" s="1"/>
  <c r="D1367" i="7"/>
  <c r="E1367" i="7" s="1"/>
  <c r="F1367" i="7" s="1"/>
  <c r="G1367" i="7" s="1"/>
  <c r="D1366" i="7"/>
  <c r="E1366" i="7" s="1"/>
  <c r="F1366" i="7" s="1"/>
  <c r="G1366" i="7" s="1"/>
  <c r="D1365" i="7"/>
  <c r="E1365" i="7" s="1"/>
  <c r="F1365" i="7" s="1"/>
  <c r="G1365" i="7" s="1"/>
  <c r="D1364" i="7"/>
  <c r="E1364" i="7" s="1"/>
  <c r="F1364" i="7" s="1"/>
  <c r="G1364" i="7" s="1"/>
  <c r="D1363" i="7"/>
  <c r="E1363" i="7" s="1"/>
  <c r="F1363" i="7" s="1"/>
  <c r="G1363" i="7" s="1"/>
  <c r="D1362" i="7"/>
  <c r="E1362" i="7" s="1"/>
  <c r="F1362" i="7" s="1"/>
  <c r="G1362" i="7" s="1"/>
  <c r="D1361" i="7"/>
  <c r="E1361" i="7" s="1"/>
  <c r="F1361" i="7" s="1"/>
  <c r="G1361" i="7" s="1"/>
  <c r="D1360" i="7"/>
  <c r="E1360" i="7" s="1"/>
  <c r="F1360" i="7" s="1"/>
  <c r="G1360" i="7" s="1"/>
  <c r="D1359" i="7"/>
  <c r="E1359" i="7" s="1"/>
  <c r="F1359" i="7" s="1"/>
  <c r="G1359" i="7" s="1"/>
  <c r="D1358" i="7"/>
  <c r="E1358" i="7" s="1"/>
  <c r="F1358" i="7" s="1"/>
  <c r="G1358" i="7" s="1"/>
  <c r="D1357" i="7"/>
  <c r="E1357" i="7" s="1"/>
  <c r="F1357" i="7" s="1"/>
  <c r="G1357" i="7" s="1"/>
  <c r="D1356" i="7"/>
  <c r="E1356" i="7" s="1"/>
  <c r="F1356" i="7" s="1"/>
  <c r="G1356" i="7" s="1"/>
  <c r="D1355" i="7"/>
  <c r="E1355" i="7" s="1"/>
  <c r="F1355" i="7" s="1"/>
  <c r="G1355" i="7" s="1"/>
  <c r="D1354" i="7"/>
  <c r="E1354" i="7" s="1"/>
  <c r="F1354" i="7" s="1"/>
  <c r="G1354" i="7" s="1"/>
  <c r="D1353" i="7"/>
  <c r="E1353" i="7" s="1"/>
  <c r="F1353" i="7" s="1"/>
  <c r="G1353" i="7" s="1"/>
  <c r="D1352" i="7"/>
  <c r="E1352" i="7" s="1"/>
  <c r="F1352" i="7" s="1"/>
  <c r="G1352" i="7" s="1"/>
  <c r="D1351" i="7"/>
  <c r="E1351" i="7" s="1"/>
  <c r="F1351" i="7" s="1"/>
  <c r="G1351" i="7" s="1"/>
  <c r="D1350" i="7"/>
  <c r="E1350" i="7" s="1"/>
  <c r="F1350" i="7" s="1"/>
  <c r="G1350" i="7" s="1"/>
  <c r="D1349" i="7"/>
  <c r="E1349" i="7" s="1"/>
  <c r="F1349" i="7" s="1"/>
  <c r="G1349" i="7" s="1"/>
  <c r="D1348" i="7"/>
  <c r="E1348" i="7" s="1"/>
  <c r="F1348" i="7" s="1"/>
  <c r="G1348" i="7" s="1"/>
  <c r="D1347" i="7"/>
  <c r="E1347" i="7" s="1"/>
  <c r="F1347" i="7" s="1"/>
  <c r="G1347" i="7" s="1"/>
  <c r="D1346" i="7"/>
  <c r="E1346" i="7" s="1"/>
  <c r="F1346" i="7" s="1"/>
  <c r="G1346" i="7" s="1"/>
  <c r="D1345" i="7"/>
  <c r="E1345" i="7" s="1"/>
  <c r="F1345" i="7" s="1"/>
  <c r="G1345" i="7" s="1"/>
  <c r="D1344" i="7"/>
  <c r="E1344" i="7" s="1"/>
  <c r="F1344" i="7" s="1"/>
  <c r="G1344" i="7" s="1"/>
  <c r="D1343" i="7"/>
  <c r="E1343" i="7" s="1"/>
  <c r="F1343" i="7" s="1"/>
  <c r="G1343" i="7" s="1"/>
  <c r="D1342" i="7"/>
  <c r="E1342" i="7" s="1"/>
  <c r="F1342" i="7" s="1"/>
  <c r="G1342" i="7" s="1"/>
  <c r="D1341" i="7"/>
  <c r="E1341" i="7" s="1"/>
  <c r="F1341" i="7" s="1"/>
  <c r="G1341" i="7" s="1"/>
  <c r="D1340" i="7"/>
  <c r="E1340" i="7" s="1"/>
  <c r="F1340" i="7" s="1"/>
  <c r="G1340" i="7" s="1"/>
  <c r="D1339" i="7"/>
  <c r="E1339" i="7" s="1"/>
  <c r="F1339" i="7" s="1"/>
  <c r="G1339" i="7" s="1"/>
  <c r="D1338" i="7"/>
  <c r="E1338" i="7" s="1"/>
  <c r="F1338" i="7" s="1"/>
  <c r="G1338" i="7" s="1"/>
  <c r="D1337" i="7"/>
  <c r="E1337" i="7" s="1"/>
  <c r="F1337" i="7" s="1"/>
  <c r="G1337" i="7" s="1"/>
  <c r="D1336" i="7"/>
  <c r="E1336" i="7" s="1"/>
  <c r="F1336" i="7" s="1"/>
  <c r="G1336" i="7" s="1"/>
  <c r="D1335" i="7"/>
  <c r="E1335" i="7" s="1"/>
  <c r="F1335" i="7" s="1"/>
  <c r="G1335" i="7" s="1"/>
  <c r="D1334" i="7"/>
  <c r="E1334" i="7" s="1"/>
  <c r="F1334" i="7" s="1"/>
  <c r="G1334" i="7" s="1"/>
  <c r="D1333" i="7"/>
  <c r="E1333" i="7" s="1"/>
  <c r="F1333" i="7" s="1"/>
  <c r="G1333" i="7" s="1"/>
  <c r="D1332" i="7"/>
  <c r="E1332" i="7" s="1"/>
  <c r="F1332" i="7" s="1"/>
  <c r="G1332" i="7" s="1"/>
  <c r="D1331" i="7"/>
  <c r="E1331" i="7" s="1"/>
  <c r="F1331" i="7" s="1"/>
  <c r="G1331" i="7" s="1"/>
  <c r="D1330" i="7"/>
  <c r="E1330" i="7" s="1"/>
  <c r="F1330" i="7" s="1"/>
  <c r="G1330" i="7" s="1"/>
  <c r="D1329" i="7"/>
  <c r="E1329" i="7" s="1"/>
  <c r="F1329" i="7" s="1"/>
  <c r="G1329" i="7" s="1"/>
  <c r="D1328" i="7"/>
  <c r="E1328" i="7" s="1"/>
  <c r="F1328" i="7" s="1"/>
  <c r="G1328" i="7" s="1"/>
  <c r="D1327" i="7"/>
  <c r="E1327" i="7" s="1"/>
  <c r="F1327" i="7" s="1"/>
  <c r="G1327" i="7" s="1"/>
  <c r="D1326" i="7"/>
  <c r="E1326" i="7" s="1"/>
  <c r="F1326" i="7" s="1"/>
  <c r="G1326" i="7" s="1"/>
  <c r="D1325" i="7"/>
  <c r="E1325" i="7" s="1"/>
  <c r="F1325" i="7" s="1"/>
  <c r="G1325" i="7" s="1"/>
  <c r="D1324" i="7"/>
  <c r="E1324" i="7" s="1"/>
  <c r="F1324" i="7" s="1"/>
  <c r="G1324" i="7" s="1"/>
  <c r="D1323" i="7"/>
  <c r="E1323" i="7" s="1"/>
  <c r="F1323" i="7" s="1"/>
  <c r="G1323" i="7" s="1"/>
  <c r="D1322" i="7"/>
  <c r="E1322" i="7" s="1"/>
  <c r="F1322" i="7" s="1"/>
  <c r="G1322" i="7" s="1"/>
  <c r="D1321" i="7"/>
  <c r="E1321" i="7" s="1"/>
  <c r="F1321" i="7" s="1"/>
  <c r="G1321" i="7" s="1"/>
  <c r="D1320" i="7"/>
  <c r="E1320" i="7" s="1"/>
  <c r="F1320" i="7" s="1"/>
  <c r="G1320" i="7" s="1"/>
  <c r="D1319" i="7"/>
  <c r="E1319" i="7" s="1"/>
  <c r="F1319" i="7" s="1"/>
  <c r="G1319" i="7" s="1"/>
  <c r="D1318" i="7"/>
  <c r="E1318" i="7" s="1"/>
  <c r="F1318" i="7" s="1"/>
  <c r="G1318" i="7" s="1"/>
  <c r="D1317" i="7"/>
  <c r="E1317" i="7" s="1"/>
  <c r="F1317" i="7" s="1"/>
  <c r="G1317" i="7" s="1"/>
  <c r="D1316" i="7"/>
  <c r="E1316" i="7" s="1"/>
  <c r="F1316" i="7" s="1"/>
  <c r="G1316" i="7" s="1"/>
  <c r="D1315" i="7"/>
  <c r="E1315" i="7" s="1"/>
  <c r="F1315" i="7" s="1"/>
  <c r="G1315" i="7" s="1"/>
  <c r="D1314" i="7"/>
  <c r="E1314" i="7" s="1"/>
  <c r="F1314" i="7" s="1"/>
  <c r="G1314" i="7" s="1"/>
  <c r="D1313" i="7"/>
  <c r="E1313" i="7" s="1"/>
  <c r="F1313" i="7" s="1"/>
  <c r="G1313" i="7" s="1"/>
  <c r="D1312" i="7"/>
  <c r="E1312" i="7" s="1"/>
  <c r="F1312" i="7" s="1"/>
  <c r="G1312" i="7" s="1"/>
  <c r="D1311" i="7"/>
  <c r="E1311" i="7" s="1"/>
  <c r="F1311" i="7" s="1"/>
  <c r="G1311" i="7" s="1"/>
  <c r="D1310" i="7"/>
  <c r="E1310" i="7" s="1"/>
  <c r="F1310" i="7" s="1"/>
  <c r="G1310" i="7" s="1"/>
  <c r="D1309" i="7"/>
  <c r="E1309" i="7" s="1"/>
  <c r="F1309" i="7" s="1"/>
  <c r="G1309" i="7" s="1"/>
  <c r="D1308" i="7"/>
  <c r="E1308" i="7" s="1"/>
  <c r="F1308" i="7" s="1"/>
  <c r="G1308" i="7" s="1"/>
  <c r="D1307" i="7"/>
  <c r="E1307" i="7" s="1"/>
  <c r="F1307" i="7" s="1"/>
  <c r="G1307" i="7" s="1"/>
  <c r="D1306" i="7"/>
  <c r="E1306" i="7" s="1"/>
  <c r="F1306" i="7" s="1"/>
  <c r="G1306" i="7" s="1"/>
  <c r="D1305" i="7"/>
  <c r="E1305" i="7" s="1"/>
  <c r="F1305" i="7" s="1"/>
  <c r="G1305" i="7" s="1"/>
  <c r="D1304" i="7"/>
  <c r="E1304" i="7" s="1"/>
  <c r="F1304" i="7" s="1"/>
  <c r="G1304" i="7" s="1"/>
  <c r="D1303" i="7"/>
  <c r="E1303" i="7" s="1"/>
  <c r="F1303" i="7" s="1"/>
  <c r="G1303" i="7" s="1"/>
  <c r="D1302" i="7"/>
  <c r="E1302" i="7" s="1"/>
  <c r="F1302" i="7" s="1"/>
  <c r="G1302" i="7" s="1"/>
  <c r="D1301" i="7"/>
  <c r="E1301" i="7" s="1"/>
  <c r="F1301" i="7" s="1"/>
  <c r="G1301" i="7" s="1"/>
  <c r="D1300" i="7"/>
  <c r="E1300" i="7" s="1"/>
  <c r="F1300" i="7" s="1"/>
  <c r="G1300" i="7" s="1"/>
  <c r="D1299" i="7"/>
  <c r="E1299" i="7" s="1"/>
  <c r="F1299" i="7" s="1"/>
  <c r="G1299" i="7" s="1"/>
  <c r="D1298" i="7"/>
  <c r="E1298" i="7" s="1"/>
  <c r="F1298" i="7" s="1"/>
  <c r="G1298" i="7" s="1"/>
  <c r="D1297" i="7"/>
  <c r="E1297" i="7" s="1"/>
  <c r="F1297" i="7" s="1"/>
  <c r="G1297" i="7" s="1"/>
  <c r="D1296" i="7"/>
  <c r="E1296" i="7" s="1"/>
  <c r="F1296" i="7" s="1"/>
  <c r="G1296" i="7" s="1"/>
  <c r="D1295" i="7"/>
  <c r="E1295" i="7" s="1"/>
  <c r="F1295" i="7" s="1"/>
  <c r="G1295" i="7" s="1"/>
  <c r="D1294" i="7"/>
  <c r="E1294" i="7" s="1"/>
  <c r="F1294" i="7" s="1"/>
  <c r="G1294" i="7" s="1"/>
  <c r="D1293" i="7"/>
  <c r="E1293" i="7" s="1"/>
  <c r="F1293" i="7" s="1"/>
  <c r="G1293" i="7" s="1"/>
  <c r="D1292" i="7"/>
  <c r="E1292" i="7" s="1"/>
  <c r="F1292" i="7" s="1"/>
  <c r="G1292" i="7" s="1"/>
  <c r="D1291" i="7"/>
  <c r="E1291" i="7" s="1"/>
  <c r="F1291" i="7" s="1"/>
  <c r="G1291" i="7" s="1"/>
  <c r="D1290" i="7"/>
  <c r="E1290" i="7" s="1"/>
  <c r="F1290" i="7" s="1"/>
  <c r="G1290" i="7" s="1"/>
  <c r="D1289" i="7"/>
  <c r="E1289" i="7" s="1"/>
  <c r="F1289" i="7" s="1"/>
  <c r="G1289" i="7" s="1"/>
  <c r="D1288" i="7"/>
  <c r="E1288" i="7" s="1"/>
  <c r="F1288" i="7" s="1"/>
  <c r="G1288" i="7" s="1"/>
  <c r="D1287" i="7"/>
  <c r="E1287" i="7" s="1"/>
  <c r="F1287" i="7" s="1"/>
  <c r="G1287" i="7" s="1"/>
  <c r="D1286" i="7"/>
  <c r="E1286" i="7" s="1"/>
  <c r="F1286" i="7" s="1"/>
  <c r="G1286" i="7" s="1"/>
  <c r="D1285" i="7"/>
  <c r="E1285" i="7" s="1"/>
  <c r="F1285" i="7" s="1"/>
  <c r="G1285" i="7" s="1"/>
  <c r="D1284" i="7"/>
  <c r="E1284" i="7" s="1"/>
  <c r="F1284" i="7" s="1"/>
  <c r="G1284" i="7" s="1"/>
  <c r="D1283" i="7"/>
  <c r="E1283" i="7" s="1"/>
  <c r="F1283" i="7" s="1"/>
  <c r="G1283" i="7" s="1"/>
  <c r="D1282" i="7"/>
  <c r="E1282" i="7" s="1"/>
  <c r="F1282" i="7" s="1"/>
  <c r="G1282" i="7" s="1"/>
  <c r="D1281" i="7"/>
  <c r="E1281" i="7" s="1"/>
  <c r="F1281" i="7" s="1"/>
  <c r="G1281" i="7" s="1"/>
  <c r="D1280" i="7"/>
  <c r="E1280" i="7" s="1"/>
  <c r="F1280" i="7" s="1"/>
  <c r="G1280" i="7" s="1"/>
  <c r="D1279" i="7"/>
  <c r="E1279" i="7" s="1"/>
  <c r="F1279" i="7" s="1"/>
  <c r="G1279" i="7" s="1"/>
  <c r="D1278" i="7"/>
  <c r="E1278" i="7" s="1"/>
  <c r="F1278" i="7" s="1"/>
  <c r="G1278" i="7" s="1"/>
  <c r="D1277" i="7"/>
  <c r="E1277" i="7" s="1"/>
  <c r="F1277" i="7" s="1"/>
  <c r="G1277" i="7" s="1"/>
  <c r="D1276" i="7"/>
  <c r="E1276" i="7" s="1"/>
  <c r="F1276" i="7" s="1"/>
  <c r="G1276" i="7" s="1"/>
  <c r="D1275" i="7"/>
  <c r="E1275" i="7" s="1"/>
  <c r="F1275" i="7" s="1"/>
  <c r="G1275" i="7" s="1"/>
  <c r="D1274" i="7"/>
  <c r="E1274" i="7" s="1"/>
  <c r="F1274" i="7" s="1"/>
  <c r="G1274" i="7" s="1"/>
  <c r="D1273" i="7"/>
  <c r="E1273" i="7" s="1"/>
  <c r="F1273" i="7" s="1"/>
  <c r="G1273" i="7" s="1"/>
  <c r="D1272" i="7"/>
  <c r="E1272" i="7" s="1"/>
  <c r="F1272" i="7" s="1"/>
  <c r="G1272" i="7" s="1"/>
  <c r="D1271" i="7"/>
  <c r="E1271" i="7" s="1"/>
  <c r="F1271" i="7" s="1"/>
  <c r="G1271" i="7" s="1"/>
  <c r="D1270" i="7"/>
  <c r="E1270" i="7" s="1"/>
  <c r="F1270" i="7" s="1"/>
  <c r="G1270" i="7" s="1"/>
  <c r="D1269" i="7"/>
  <c r="E1269" i="7" s="1"/>
  <c r="F1269" i="7" s="1"/>
  <c r="G1269" i="7" s="1"/>
  <c r="D1268" i="7"/>
  <c r="E1268" i="7" s="1"/>
  <c r="F1268" i="7" s="1"/>
  <c r="G1268" i="7" s="1"/>
  <c r="D1267" i="7"/>
  <c r="E1267" i="7" s="1"/>
  <c r="F1267" i="7" s="1"/>
  <c r="G1267" i="7" s="1"/>
  <c r="D1266" i="7"/>
  <c r="E1266" i="7" s="1"/>
  <c r="F1266" i="7" s="1"/>
  <c r="G1266" i="7" s="1"/>
  <c r="D1265" i="7"/>
  <c r="E1265" i="7" s="1"/>
  <c r="F1265" i="7" s="1"/>
  <c r="G1265" i="7" s="1"/>
  <c r="D1264" i="7"/>
  <c r="E1264" i="7" s="1"/>
  <c r="F1264" i="7" s="1"/>
  <c r="G1264" i="7" s="1"/>
  <c r="D1263" i="7"/>
  <c r="E1263" i="7" s="1"/>
  <c r="F1263" i="7" s="1"/>
  <c r="G1263" i="7" s="1"/>
  <c r="D1262" i="7"/>
  <c r="E1262" i="7" s="1"/>
  <c r="F1262" i="7" s="1"/>
  <c r="G1262" i="7" s="1"/>
  <c r="D1261" i="7"/>
  <c r="E1261" i="7" s="1"/>
  <c r="F1261" i="7" s="1"/>
  <c r="G1261" i="7" s="1"/>
  <c r="D1260" i="7"/>
  <c r="E1260" i="7" s="1"/>
  <c r="F1260" i="7" s="1"/>
  <c r="G1260" i="7" s="1"/>
  <c r="D1259" i="7"/>
  <c r="E1259" i="7" s="1"/>
  <c r="F1259" i="7" s="1"/>
  <c r="G1259" i="7" s="1"/>
  <c r="D1258" i="7"/>
  <c r="E1258" i="7" s="1"/>
  <c r="F1258" i="7" s="1"/>
  <c r="G1258" i="7" s="1"/>
  <c r="D1257" i="7"/>
  <c r="E1257" i="7" s="1"/>
  <c r="F1257" i="7" s="1"/>
  <c r="G1257" i="7" s="1"/>
  <c r="D1256" i="7"/>
  <c r="E1256" i="7" s="1"/>
  <c r="F1256" i="7" s="1"/>
  <c r="G1256" i="7" s="1"/>
  <c r="D1255" i="7"/>
  <c r="E1255" i="7" s="1"/>
  <c r="F1255" i="7" s="1"/>
  <c r="G1255" i="7" s="1"/>
  <c r="D1254" i="7"/>
  <c r="E1254" i="7" s="1"/>
  <c r="F1254" i="7" s="1"/>
  <c r="G1254" i="7" s="1"/>
  <c r="D1253" i="7"/>
  <c r="E1253" i="7" s="1"/>
  <c r="F1253" i="7" s="1"/>
  <c r="G1253" i="7" s="1"/>
  <c r="D1252" i="7"/>
  <c r="E1252" i="7" s="1"/>
  <c r="F1252" i="7" s="1"/>
  <c r="G1252" i="7" s="1"/>
  <c r="D1251" i="7"/>
  <c r="E1251" i="7" s="1"/>
  <c r="F1251" i="7" s="1"/>
  <c r="G1251" i="7" s="1"/>
  <c r="D1250" i="7"/>
  <c r="E1250" i="7" s="1"/>
  <c r="F1250" i="7" s="1"/>
  <c r="G1250" i="7" s="1"/>
  <c r="D1249" i="7"/>
  <c r="E1249" i="7" s="1"/>
  <c r="F1249" i="7" s="1"/>
  <c r="G1249" i="7" s="1"/>
  <c r="D1248" i="7"/>
  <c r="E1248" i="7" s="1"/>
  <c r="F1248" i="7" s="1"/>
  <c r="G1248" i="7" s="1"/>
  <c r="D1247" i="7"/>
  <c r="E1247" i="7" s="1"/>
  <c r="F1247" i="7" s="1"/>
  <c r="G1247" i="7" s="1"/>
  <c r="D1246" i="7"/>
  <c r="E1246" i="7" s="1"/>
  <c r="F1246" i="7" s="1"/>
  <c r="G1246" i="7" s="1"/>
  <c r="D1245" i="7"/>
  <c r="E1245" i="7" s="1"/>
  <c r="F1245" i="7" s="1"/>
  <c r="G1245" i="7" s="1"/>
  <c r="D1244" i="7"/>
  <c r="E1244" i="7" s="1"/>
  <c r="F1244" i="7" s="1"/>
  <c r="G1244" i="7" s="1"/>
  <c r="D1243" i="7"/>
  <c r="E1243" i="7" s="1"/>
  <c r="F1243" i="7" s="1"/>
  <c r="G1243" i="7" s="1"/>
  <c r="D1242" i="7"/>
  <c r="E1242" i="7" s="1"/>
  <c r="F1242" i="7" s="1"/>
  <c r="G1242" i="7" s="1"/>
  <c r="D1241" i="7"/>
  <c r="E1241" i="7" s="1"/>
  <c r="F1241" i="7" s="1"/>
  <c r="G1241" i="7" s="1"/>
  <c r="D1240" i="7"/>
  <c r="E1240" i="7" s="1"/>
  <c r="F1240" i="7" s="1"/>
  <c r="G1240" i="7" s="1"/>
  <c r="D1239" i="7"/>
  <c r="E1239" i="7" s="1"/>
  <c r="F1239" i="7" s="1"/>
  <c r="G1239" i="7" s="1"/>
  <c r="D1238" i="7"/>
  <c r="E1238" i="7" s="1"/>
  <c r="F1238" i="7" s="1"/>
  <c r="G1238" i="7" s="1"/>
  <c r="D1237" i="7"/>
  <c r="E1237" i="7" s="1"/>
  <c r="F1237" i="7" s="1"/>
  <c r="G1237" i="7" s="1"/>
  <c r="D1236" i="7"/>
  <c r="E1236" i="7" s="1"/>
  <c r="F1236" i="7" s="1"/>
  <c r="G1236" i="7" s="1"/>
  <c r="D1235" i="7"/>
  <c r="E1235" i="7" s="1"/>
  <c r="F1235" i="7" s="1"/>
  <c r="G1235" i="7" s="1"/>
  <c r="D1234" i="7"/>
  <c r="E1234" i="7" s="1"/>
  <c r="F1234" i="7" s="1"/>
  <c r="G1234" i="7" s="1"/>
  <c r="D1233" i="7"/>
  <c r="E1233" i="7" s="1"/>
  <c r="F1233" i="7" s="1"/>
  <c r="G1233" i="7" s="1"/>
  <c r="D1232" i="7"/>
  <c r="E1232" i="7" s="1"/>
  <c r="F1232" i="7" s="1"/>
  <c r="G1232" i="7" s="1"/>
  <c r="D1231" i="7"/>
  <c r="E1231" i="7" s="1"/>
  <c r="F1231" i="7" s="1"/>
  <c r="G1231" i="7" s="1"/>
  <c r="D1230" i="7"/>
  <c r="E1230" i="7" s="1"/>
  <c r="F1230" i="7" s="1"/>
  <c r="G1230" i="7" s="1"/>
  <c r="D1229" i="7"/>
  <c r="E1229" i="7" s="1"/>
  <c r="F1229" i="7" s="1"/>
  <c r="G1229" i="7" s="1"/>
  <c r="D1228" i="7"/>
  <c r="E1228" i="7" s="1"/>
  <c r="F1228" i="7" s="1"/>
  <c r="G1228" i="7" s="1"/>
  <c r="D1227" i="7"/>
  <c r="E1227" i="7" s="1"/>
  <c r="F1227" i="7" s="1"/>
  <c r="G1227" i="7" s="1"/>
  <c r="D1226" i="7"/>
  <c r="E1226" i="7" s="1"/>
  <c r="F1226" i="7" s="1"/>
  <c r="G1226" i="7" s="1"/>
  <c r="D1225" i="7"/>
  <c r="E1225" i="7" s="1"/>
  <c r="F1225" i="7" s="1"/>
  <c r="G1225" i="7" s="1"/>
  <c r="D1224" i="7"/>
  <c r="E1224" i="7" s="1"/>
  <c r="F1224" i="7" s="1"/>
  <c r="G1224" i="7" s="1"/>
  <c r="D1223" i="7"/>
  <c r="E1223" i="7" s="1"/>
  <c r="F1223" i="7" s="1"/>
  <c r="G1223" i="7" s="1"/>
  <c r="D1222" i="7"/>
  <c r="E1222" i="7" s="1"/>
  <c r="F1222" i="7" s="1"/>
  <c r="G1222" i="7" s="1"/>
  <c r="D1221" i="7"/>
  <c r="E1221" i="7" s="1"/>
  <c r="F1221" i="7" s="1"/>
  <c r="G1221" i="7" s="1"/>
  <c r="D1220" i="7"/>
  <c r="E1220" i="7" s="1"/>
  <c r="F1220" i="7" s="1"/>
  <c r="G1220" i="7" s="1"/>
  <c r="D1219" i="7"/>
  <c r="E1219" i="7" s="1"/>
  <c r="F1219" i="7" s="1"/>
  <c r="G1219" i="7" s="1"/>
  <c r="D1218" i="7"/>
  <c r="E1218" i="7" s="1"/>
  <c r="F1218" i="7" s="1"/>
  <c r="G1218" i="7" s="1"/>
  <c r="D1217" i="7"/>
  <c r="E1217" i="7" s="1"/>
  <c r="F1217" i="7" s="1"/>
  <c r="G1217" i="7" s="1"/>
  <c r="D1216" i="7"/>
  <c r="E1216" i="7" s="1"/>
  <c r="F1216" i="7" s="1"/>
  <c r="G1216" i="7" s="1"/>
  <c r="D1215" i="7"/>
  <c r="E1215" i="7" s="1"/>
  <c r="F1215" i="7" s="1"/>
  <c r="G1215" i="7" s="1"/>
  <c r="D1214" i="7"/>
  <c r="E1214" i="7" s="1"/>
  <c r="F1214" i="7" s="1"/>
  <c r="G1214" i="7" s="1"/>
  <c r="D1213" i="7"/>
  <c r="E1213" i="7" s="1"/>
  <c r="F1213" i="7" s="1"/>
  <c r="G1213" i="7" s="1"/>
  <c r="D1212" i="7"/>
  <c r="E1212" i="7" s="1"/>
  <c r="F1212" i="7" s="1"/>
  <c r="G1212" i="7" s="1"/>
  <c r="D1211" i="7"/>
  <c r="E1211" i="7" s="1"/>
  <c r="F1211" i="7" s="1"/>
  <c r="G1211" i="7" s="1"/>
  <c r="D1210" i="7"/>
  <c r="E1210" i="7" s="1"/>
  <c r="F1210" i="7" s="1"/>
  <c r="G1210" i="7" s="1"/>
  <c r="D1209" i="7"/>
  <c r="E1209" i="7" s="1"/>
  <c r="F1209" i="7" s="1"/>
  <c r="G1209" i="7" s="1"/>
  <c r="D1208" i="7"/>
  <c r="E1208" i="7" s="1"/>
  <c r="F1208" i="7" s="1"/>
  <c r="G1208" i="7" s="1"/>
  <c r="D1207" i="7"/>
  <c r="E1207" i="7" s="1"/>
  <c r="F1207" i="7" s="1"/>
  <c r="G1207" i="7" s="1"/>
  <c r="D1206" i="7"/>
  <c r="E1206" i="7" s="1"/>
  <c r="F1206" i="7" s="1"/>
  <c r="G1206" i="7" s="1"/>
  <c r="D1205" i="7"/>
  <c r="E1205" i="7" s="1"/>
  <c r="F1205" i="7" s="1"/>
  <c r="G1205" i="7" s="1"/>
  <c r="D1204" i="7"/>
  <c r="E1204" i="7" s="1"/>
  <c r="F1204" i="7" s="1"/>
  <c r="G1204" i="7" s="1"/>
  <c r="D1203" i="7"/>
  <c r="E1203" i="7" s="1"/>
  <c r="F1203" i="7" s="1"/>
  <c r="G1203" i="7" s="1"/>
  <c r="D1202" i="7"/>
  <c r="E1202" i="7" s="1"/>
  <c r="F1202" i="7" s="1"/>
  <c r="G1202" i="7" s="1"/>
  <c r="D1201" i="7"/>
  <c r="E1201" i="7" s="1"/>
  <c r="F1201" i="7" s="1"/>
  <c r="G1201" i="7" s="1"/>
  <c r="D1200" i="7"/>
  <c r="E1200" i="7" s="1"/>
  <c r="F1200" i="7" s="1"/>
  <c r="G1200" i="7" s="1"/>
  <c r="D1199" i="7"/>
  <c r="E1199" i="7" s="1"/>
  <c r="F1199" i="7" s="1"/>
  <c r="G1199" i="7" s="1"/>
  <c r="D1198" i="7"/>
  <c r="E1198" i="7" s="1"/>
  <c r="F1198" i="7" s="1"/>
  <c r="G1198" i="7" s="1"/>
  <c r="D1197" i="7"/>
  <c r="E1197" i="7" s="1"/>
  <c r="F1197" i="7" s="1"/>
  <c r="G1197" i="7" s="1"/>
  <c r="D1196" i="7"/>
  <c r="E1196" i="7" s="1"/>
  <c r="F1196" i="7" s="1"/>
  <c r="G1196" i="7" s="1"/>
  <c r="D1195" i="7"/>
  <c r="E1195" i="7" s="1"/>
  <c r="F1195" i="7" s="1"/>
  <c r="G1195" i="7" s="1"/>
  <c r="D1194" i="7"/>
  <c r="E1194" i="7" s="1"/>
  <c r="F1194" i="7" s="1"/>
  <c r="G1194" i="7" s="1"/>
  <c r="D1193" i="7"/>
  <c r="E1193" i="7" s="1"/>
  <c r="F1193" i="7" s="1"/>
  <c r="G1193" i="7" s="1"/>
  <c r="D1192" i="7"/>
  <c r="E1192" i="7" s="1"/>
  <c r="F1192" i="7" s="1"/>
  <c r="G1192" i="7" s="1"/>
  <c r="D1191" i="7"/>
  <c r="E1191" i="7" s="1"/>
  <c r="F1191" i="7" s="1"/>
  <c r="G1191" i="7" s="1"/>
  <c r="D1190" i="7"/>
  <c r="E1190" i="7" s="1"/>
  <c r="F1190" i="7" s="1"/>
  <c r="G1190" i="7" s="1"/>
  <c r="D1189" i="7"/>
  <c r="E1189" i="7" s="1"/>
  <c r="F1189" i="7" s="1"/>
  <c r="G1189" i="7" s="1"/>
  <c r="D1188" i="7"/>
  <c r="E1188" i="7" s="1"/>
  <c r="F1188" i="7" s="1"/>
  <c r="G1188" i="7" s="1"/>
  <c r="D1187" i="7"/>
  <c r="E1187" i="7" s="1"/>
  <c r="F1187" i="7" s="1"/>
  <c r="G1187" i="7" s="1"/>
  <c r="D1186" i="7"/>
  <c r="E1186" i="7" s="1"/>
  <c r="F1186" i="7" s="1"/>
  <c r="G1186" i="7" s="1"/>
  <c r="D1185" i="7"/>
  <c r="E1185" i="7" s="1"/>
  <c r="F1185" i="7" s="1"/>
  <c r="G1185" i="7" s="1"/>
  <c r="D1184" i="7"/>
  <c r="E1184" i="7" s="1"/>
  <c r="F1184" i="7" s="1"/>
  <c r="G1184" i="7" s="1"/>
  <c r="D1183" i="7"/>
  <c r="E1183" i="7" s="1"/>
  <c r="F1183" i="7" s="1"/>
  <c r="G1183" i="7" s="1"/>
  <c r="D1182" i="7"/>
  <c r="E1182" i="7" s="1"/>
  <c r="F1182" i="7" s="1"/>
  <c r="G1182" i="7" s="1"/>
  <c r="D1181" i="7"/>
  <c r="E1181" i="7" s="1"/>
  <c r="F1181" i="7" s="1"/>
  <c r="G1181" i="7" s="1"/>
  <c r="D1180" i="7"/>
  <c r="E1180" i="7" s="1"/>
  <c r="F1180" i="7" s="1"/>
  <c r="G1180" i="7" s="1"/>
  <c r="D1179" i="7"/>
  <c r="E1179" i="7" s="1"/>
  <c r="F1179" i="7" s="1"/>
  <c r="G1179" i="7" s="1"/>
  <c r="D1178" i="7"/>
  <c r="E1178" i="7" s="1"/>
  <c r="F1178" i="7" s="1"/>
  <c r="G1178" i="7" s="1"/>
  <c r="D1177" i="7"/>
  <c r="E1177" i="7" s="1"/>
  <c r="F1177" i="7" s="1"/>
  <c r="G1177" i="7" s="1"/>
  <c r="D1176" i="7"/>
  <c r="E1176" i="7" s="1"/>
  <c r="F1176" i="7" s="1"/>
  <c r="G1176" i="7" s="1"/>
  <c r="D1175" i="7"/>
  <c r="E1175" i="7" s="1"/>
  <c r="F1175" i="7" s="1"/>
  <c r="G1175" i="7" s="1"/>
  <c r="D1174" i="7"/>
  <c r="E1174" i="7" s="1"/>
  <c r="F1174" i="7" s="1"/>
  <c r="G1174" i="7" s="1"/>
  <c r="D1173" i="7"/>
  <c r="E1173" i="7" s="1"/>
  <c r="F1173" i="7" s="1"/>
  <c r="G1173" i="7" s="1"/>
  <c r="D1172" i="7"/>
  <c r="E1172" i="7" s="1"/>
  <c r="F1172" i="7" s="1"/>
  <c r="G1172" i="7" s="1"/>
  <c r="D1171" i="7"/>
  <c r="E1171" i="7" s="1"/>
  <c r="F1171" i="7" s="1"/>
  <c r="G1171" i="7" s="1"/>
  <c r="D1170" i="7"/>
  <c r="E1170" i="7" s="1"/>
  <c r="F1170" i="7" s="1"/>
  <c r="G1170" i="7" s="1"/>
  <c r="D1169" i="7"/>
  <c r="E1169" i="7" s="1"/>
  <c r="F1169" i="7" s="1"/>
  <c r="G1169" i="7" s="1"/>
  <c r="D1168" i="7"/>
  <c r="E1168" i="7" s="1"/>
  <c r="F1168" i="7" s="1"/>
  <c r="G1168" i="7" s="1"/>
  <c r="D1167" i="7"/>
  <c r="E1167" i="7" s="1"/>
  <c r="F1167" i="7" s="1"/>
  <c r="G1167" i="7" s="1"/>
  <c r="D1166" i="7"/>
  <c r="E1166" i="7" s="1"/>
  <c r="F1166" i="7" s="1"/>
  <c r="G1166" i="7" s="1"/>
  <c r="D1165" i="7"/>
  <c r="E1165" i="7" s="1"/>
  <c r="F1165" i="7" s="1"/>
  <c r="G1165" i="7" s="1"/>
  <c r="D1164" i="7"/>
  <c r="E1164" i="7" s="1"/>
  <c r="F1164" i="7" s="1"/>
  <c r="G1164" i="7" s="1"/>
  <c r="D1163" i="7"/>
  <c r="E1163" i="7" s="1"/>
  <c r="F1163" i="7" s="1"/>
  <c r="G1163" i="7" s="1"/>
  <c r="D1162" i="7"/>
  <c r="E1162" i="7" s="1"/>
  <c r="F1162" i="7" s="1"/>
  <c r="G1162" i="7" s="1"/>
  <c r="D1161" i="7"/>
  <c r="E1161" i="7" s="1"/>
  <c r="F1161" i="7" s="1"/>
  <c r="G1161" i="7" s="1"/>
  <c r="D1160" i="7"/>
  <c r="E1160" i="7" s="1"/>
  <c r="F1160" i="7" s="1"/>
  <c r="G1160" i="7" s="1"/>
  <c r="D1159" i="7"/>
  <c r="E1159" i="7" s="1"/>
  <c r="F1159" i="7" s="1"/>
  <c r="G1159" i="7" s="1"/>
  <c r="D1158" i="7"/>
  <c r="E1158" i="7" s="1"/>
  <c r="F1158" i="7" s="1"/>
  <c r="G1158" i="7" s="1"/>
  <c r="D1157" i="7"/>
  <c r="E1157" i="7" s="1"/>
  <c r="F1157" i="7" s="1"/>
  <c r="G1157" i="7" s="1"/>
  <c r="D1156" i="7"/>
  <c r="E1156" i="7" s="1"/>
  <c r="F1156" i="7" s="1"/>
  <c r="G1156" i="7" s="1"/>
  <c r="D1155" i="7"/>
  <c r="E1155" i="7" s="1"/>
  <c r="F1155" i="7" s="1"/>
  <c r="G1155" i="7" s="1"/>
  <c r="D1154" i="7"/>
  <c r="E1154" i="7" s="1"/>
  <c r="F1154" i="7" s="1"/>
  <c r="G1154" i="7" s="1"/>
  <c r="D1153" i="7"/>
  <c r="E1153" i="7" s="1"/>
  <c r="F1153" i="7" s="1"/>
  <c r="G1153" i="7" s="1"/>
  <c r="D1152" i="7"/>
  <c r="E1152" i="7" s="1"/>
  <c r="F1152" i="7" s="1"/>
  <c r="G1152" i="7" s="1"/>
  <c r="D1151" i="7"/>
  <c r="E1151" i="7" s="1"/>
  <c r="F1151" i="7" s="1"/>
  <c r="G1151" i="7" s="1"/>
  <c r="D1150" i="7"/>
  <c r="E1150" i="7" s="1"/>
  <c r="F1150" i="7" s="1"/>
  <c r="G1150" i="7" s="1"/>
  <c r="D1149" i="7"/>
  <c r="E1149" i="7" s="1"/>
  <c r="F1149" i="7" s="1"/>
  <c r="G1149" i="7" s="1"/>
  <c r="D1148" i="7"/>
  <c r="E1148" i="7" s="1"/>
  <c r="F1148" i="7" s="1"/>
  <c r="G1148" i="7" s="1"/>
  <c r="D1147" i="7"/>
  <c r="E1147" i="7" s="1"/>
  <c r="F1147" i="7" s="1"/>
  <c r="G1147" i="7" s="1"/>
  <c r="D1146" i="7"/>
  <c r="E1146" i="7" s="1"/>
  <c r="F1146" i="7" s="1"/>
  <c r="G1146" i="7" s="1"/>
  <c r="D1145" i="7"/>
  <c r="E1145" i="7" s="1"/>
  <c r="F1145" i="7" s="1"/>
  <c r="G1145" i="7" s="1"/>
  <c r="D1144" i="7"/>
  <c r="E1144" i="7" s="1"/>
  <c r="F1144" i="7" s="1"/>
  <c r="G1144" i="7" s="1"/>
  <c r="D1143" i="7"/>
  <c r="E1143" i="7" s="1"/>
  <c r="F1143" i="7" s="1"/>
  <c r="G1143" i="7" s="1"/>
  <c r="D1142" i="7"/>
  <c r="E1142" i="7" s="1"/>
  <c r="F1142" i="7" s="1"/>
  <c r="G1142" i="7" s="1"/>
  <c r="D1141" i="7"/>
  <c r="E1141" i="7" s="1"/>
  <c r="F1141" i="7" s="1"/>
  <c r="G1141" i="7" s="1"/>
  <c r="D1140" i="7"/>
  <c r="E1140" i="7" s="1"/>
  <c r="F1140" i="7" s="1"/>
  <c r="G1140" i="7" s="1"/>
  <c r="D1139" i="7"/>
  <c r="E1139" i="7" s="1"/>
  <c r="F1139" i="7" s="1"/>
  <c r="G1139" i="7" s="1"/>
  <c r="D1138" i="7"/>
  <c r="E1138" i="7" s="1"/>
  <c r="F1138" i="7" s="1"/>
  <c r="G1138" i="7" s="1"/>
  <c r="D1137" i="7"/>
  <c r="E1137" i="7" s="1"/>
  <c r="F1137" i="7" s="1"/>
  <c r="G1137" i="7" s="1"/>
  <c r="D1136" i="7"/>
  <c r="E1136" i="7" s="1"/>
  <c r="F1136" i="7" s="1"/>
  <c r="G1136" i="7" s="1"/>
  <c r="D1135" i="7"/>
  <c r="E1135" i="7" s="1"/>
  <c r="F1135" i="7" s="1"/>
  <c r="G1135" i="7" s="1"/>
  <c r="D1134" i="7"/>
  <c r="E1134" i="7" s="1"/>
  <c r="F1134" i="7" s="1"/>
  <c r="G1134" i="7" s="1"/>
  <c r="D1133" i="7"/>
  <c r="E1133" i="7" s="1"/>
  <c r="F1133" i="7" s="1"/>
  <c r="G1133" i="7" s="1"/>
  <c r="D1132" i="7"/>
  <c r="E1132" i="7" s="1"/>
  <c r="F1132" i="7" s="1"/>
  <c r="G1132" i="7" s="1"/>
  <c r="D1131" i="7"/>
  <c r="E1131" i="7" s="1"/>
  <c r="F1131" i="7" s="1"/>
  <c r="G1131" i="7" s="1"/>
  <c r="D1130" i="7"/>
  <c r="E1130" i="7" s="1"/>
  <c r="F1130" i="7" s="1"/>
  <c r="G1130" i="7" s="1"/>
  <c r="D1129" i="7"/>
  <c r="E1129" i="7" s="1"/>
  <c r="F1129" i="7" s="1"/>
  <c r="G1129" i="7" s="1"/>
  <c r="D1128" i="7"/>
  <c r="E1128" i="7" s="1"/>
  <c r="F1128" i="7" s="1"/>
  <c r="G1128" i="7" s="1"/>
  <c r="D1127" i="7"/>
  <c r="E1127" i="7" s="1"/>
  <c r="F1127" i="7" s="1"/>
  <c r="G1127" i="7" s="1"/>
  <c r="D1126" i="7"/>
  <c r="E1126" i="7" s="1"/>
  <c r="F1126" i="7" s="1"/>
  <c r="G1126" i="7" s="1"/>
  <c r="D1125" i="7"/>
  <c r="E1125" i="7" s="1"/>
  <c r="F1125" i="7" s="1"/>
  <c r="G1125" i="7" s="1"/>
  <c r="D1124" i="7"/>
  <c r="E1124" i="7" s="1"/>
  <c r="F1124" i="7" s="1"/>
  <c r="G1124" i="7" s="1"/>
  <c r="D1123" i="7"/>
  <c r="E1123" i="7" s="1"/>
  <c r="F1123" i="7" s="1"/>
  <c r="G1123" i="7" s="1"/>
  <c r="D1122" i="7"/>
  <c r="E1122" i="7" s="1"/>
  <c r="F1122" i="7" s="1"/>
  <c r="G1122" i="7" s="1"/>
  <c r="D1121" i="7"/>
  <c r="E1121" i="7" s="1"/>
  <c r="F1121" i="7" s="1"/>
  <c r="G1121" i="7" s="1"/>
  <c r="D1120" i="7"/>
  <c r="E1120" i="7" s="1"/>
  <c r="F1120" i="7" s="1"/>
  <c r="G1120" i="7" s="1"/>
  <c r="D1119" i="7"/>
  <c r="E1119" i="7" s="1"/>
  <c r="F1119" i="7" s="1"/>
  <c r="G1119" i="7" s="1"/>
  <c r="D1118" i="7"/>
  <c r="E1118" i="7" s="1"/>
  <c r="F1118" i="7" s="1"/>
  <c r="G1118" i="7" s="1"/>
  <c r="D1117" i="7"/>
  <c r="E1117" i="7" s="1"/>
  <c r="F1117" i="7" s="1"/>
  <c r="G1117" i="7" s="1"/>
  <c r="D1116" i="7"/>
  <c r="E1116" i="7" s="1"/>
  <c r="F1116" i="7" s="1"/>
  <c r="G1116" i="7" s="1"/>
  <c r="D1115" i="7"/>
  <c r="E1115" i="7" s="1"/>
  <c r="F1115" i="7" s="1"/>
  <c r="G1115" i="7" s="1"/>
  <c r="D1114" i="7"/>
  <c r="E1114" i="7" s="1"/>
  <c r="F1114" i="7" s="1"/>
  <c r="G1114" i="7" s="1"/>
  <c r="D1113" i="7"/>
  <c r="E1113" i="7" s="1"/>
  <c r="F1113" i="7" s="1"/>
  <c r="G1113" i="7" s="1"/>
  <c r="D1112" i="7"/>
  <c r="E1112" i="7" s="1"/>
  <c r="F1112" i="7" s="1"/>
  <c r="G1112" i="7" s="1"/>
  <c r="D1111" i="7"/>
  <c r="E1111" i="7" s="1"/>
  <c r="F1111" i="7" s="1"/>
  <c r="G1111" i="7" s="1"/>
  <c r="D1110" i="7"/>
  <c r="E1110" i="7" s="1"/>
  <c r="F1110" i="7" s="1"/>
  <c r="G1110" i="7" s="1"/>
  <c r="D1109" i="7"/>
  <c r="E1109" i="7" s="1"/>
  <c r="F1109" i="7" s="1"/>
  <c r="G1109" i="7" s="1"/>
  <c r="D1108" i="7"/>
  <c r="E1108" i="7" s="1"/>
  <c r="F1108" i="7" s="1"/>
  <c r="G1108" i="7" s="1"/>
  <c r="D1107" i="7"/>
  <c r="E1107" i="7" s="1"/>
  <c r="F1107" i="7" s="1"/>
  <c r="G1107" i="7" s="1"/>
  <c r="D1106" i="7"/>
  <c r="E1106" i="7" s="1"/>
  <c r="F1106" i="7" s="1"/>
  <c r="G1106" i="7" s="1"/>
  <c r="D1105" i="7"/>
  <c r="E1105" i="7" s="1"/>
  <c r="F1105" i="7" s="1"/>
  <c r="G1105" i="7" s="1"/>
  <c r="D1104" i="7"/>
  <c r="E1104" i="7" s="1"/>
  <c r="F1104" i="7" s="1"/>
  <c r="G1104" i="7" s="1"/>
  <c r="D1103" i="7"/>
  <c r="E1103" i="7" s="1"/>
  <c r="F1103" i="7" s="1"/>
  <c r="G1103" i="7" s="1"/>
  <c r="D1102" i="7"/>
  <c r="E1102" i="7" s="1"/>
  <c r="F1102" i="7" s="1"/>
  <c r="G1102" i="7" s="1"/>
  <c r="D1101" i="7"/>
  <c r="E1101" i="7" s="1"/>
  <c r="F1101" i="7" s="1"/>
  <c r="G1101" i="7" s="1"/>
  <c r="D1100" i="7"/>
  <c r="E1100" i="7" s="1"/>
  <c r="F1100" i="7" s="1"/>
  <c r="G1100" i="7" s="1"/>
  <c r="D1099" i="7"/>
  <c r="E1099" i="7" s="1"/>
  <c r="F1099" i="7" s="1"/>
  <c r="G1099" i="7" s="1"/>
  <c r="D1098" i="7"/>
  <c r="E1098" i="7" s="1"/>
  <c r="F1098" i="7" s="1"/>
  <c r="G1098" i="7" s="1"/>
  <c r="D1097" i="7"/>
  <c r="E1097" i="7" s="1"/>
  <c r="F1097" i="7" s="1"/>
  <c r="G1097" i="7" s="1"/>
  <c r="D1096" i="7"/>
  <c r="E1096" i="7" s="1"/>
  <c r="F1096" i="7" s="1"/>
  <c r="G1096" i="7" s="1"/>
  <c r="D1095" i="7"/>
  <c r="E1095" i="7" s="1"/>
  <c r="F1095" i="7" s="1"/>
  <c r="G1095" i="7" s="1"/>
  <c r="D1094" i="7"/>
  <c r="E1094" i="7" s="1"/>
  <c r="F1094" i="7" s="1"/>
  <c r="G1094" i="7" s="1"/>
  <c r="D1093" i="7"/>
  <c r="E1093" i="7" s="1"/>
  <c r="F1093" i="7" s="1"/>
  <c r="G1093" i="7" s="1"/>
  <c r="D1092" i="7"/>
  <c r="E1092" i="7" s="1"/>
  <c r="F1092" i="7" s="1"/>
  <c r="G1092" i="7" s="1"/>
  <c r="D1091" i="7"/>
  <c r="E1091" i="7" s="1"/>
  <c r="F1091" i="7" s="1"/>
  <c r="G1091" i="7" s="1"/>
  <c r="D1090" i="7"/>
  <c r="E1090" i="7" s="1"/>
  <c r="F1090" i="7" s="1"/>
  <c r="G1090" i="7" s="1"/>
  <c r="D1089" i="7"/>
  <c r="E1089" i="7" s="1"/>
  <c r="F1089" i="7" s="1"/>
  <c r="G1089" i="7" s="1"/>
  <c r="D1088" i="7"/>
  <c r="E1088" i="7" s="1"/>
  <c r="F1088" i="7" s="1"/>
  <c r="G1088" i="7" s="1"/>
  <c r="D1087" i="7"/>
  <c r="E1087" i="7" s="1"/>
  <c r="F1087" i="7" s="1"/>
  <c r="G1087" i="7" s="1"/>
  <c r="D1086" i="7"/>
  <c r="E1086" i="7" s="1"/>
  <c r="F1086" i="7" s="1"/>
  <c r="G1086" i="7" s="1"/>
  <c r="D1085" i="7"/>
  <c r="E1085" i="7" s="1"/>
  <c r="F1085" i="7" s="1"/>
  <c r="G1085" i="7" s="1"/>
  <c r="D1084" i="7"/>
  <c r="E1084" i="7" s="1"/>
  <c r="F1084" i="7" s="1"/>
  <c r="G1084" i="7" s="1"/>
  <c r="D1083" i="7"/>
  <c r="E1083" i="7" s="1"/>
  <c r="F1083" i="7" s="1"/>
  <c r="G1083" i="7" s="1"/>
  <c r="D1082" i="7"/>
  <c r="E1082" i="7" s="1"/>
  <c r="F1082" i="7" s="1"/>
  <c r="D1081" i="7"/>
  <c r="E1081" i="7" s="1"/>
  <c r="F1081" i="7" s="1"/>
  <c r="D1080" i="7"/>
  <c r="E1080" i="7" s="1"/>
  <c r="F1080" i="7" s="1"/>
  <c r="D1079" i="7"/>
  <c r="E1079" i="7" s="1"/>
  <c r="F1079" i="7" s="1"/>
  <c r="D1078" i="7"/>
  <c r="E1078" i="7" s="1"/>
  <c r="F1078" i="7" s="1"/>
  <c r="D1077" i="7"/>
  <c r="E1077" i="7" s="1"/>
  <c r="F1077" i="7" s="1"/>
  <c r="D1076" i="7"/>
  <c r="E1076" i="7" s="1"/>
  <c r="F1076" i="7" s="1"/>
  <c r="D1075" i="7"/>
  <c r="E1075" i="7" s="1"/>
  <c r="F1075" i="7" s="1"/>
  <c r="D1074" i="7"/>
  <c r="E1074" i="7" s="1"/>
  <c r="F1074" i="7" s="1"/>
  <c r="D1073" i="7"/>
  <c r="E1073" i="7" s="1"/>
  <c r="F1073" i="7" s="1"/>
  <c r="D1072" i="7"/>
  <c r="E1072" i="7" s="1"/>
  <c r="F1072" i="7" s="1"/>
  <c r="D1071" i="7"/>
  <c r="E1071" i="7" s="1"/>
  <c r="F1071" i="7" s="1"/>
  <c r="D1070" i="7"/>
  <c r="E1070" i="7" s="1"/>
  <c r="F1070" i="7" s="1"/>
  <c r="D1069" i="7"/>
  <c r="E1069" i="7" s="1"/>
  <c r="F1069" i="7" s="1"/>
  <c r="D1068" i="7"/>
  <c r="E1068" i="7" s="1"/>
  <c r="F1068" i="7" s="1"/>
  <c r="D1067" i="7"/>
  <c r="E1067" i="7" s="1"/>
  <c r="F1067" i="7" s="1"/>
  <c r="D1066" i="7"/>
  <c r="E1066" i="7" s="1"/>
  <c r="F1066" i="7" s="1"/>
  <c r="D1065" i="7"/>
  <c r="E1065" i="7" s="1"/>
  <c r="F1065" i="7" s="1"/>
  <c r="D1064" i="7"/>
  <c r="E1064" i="7" s="1"/>
  <c r="F1064" i="7" s="1"/>
  <c r="D1063" i="7"/>
  <c r="E1063" i="7" s="1"/>
  <c r="F1063" i="7" s="1"/>
  <c r="D1062" i="7"/>
  <c r="E1062" i="7" s="1"/>
  <c r="F1062" i="7" s="1"/>
  <c r="D1061" i="7"/>
  <c r="E1061" i="7" s="1"/>
  <c r="F1061" i="7" s="1"/>
  <c r="D1060" i="7"/>
  <c r="E1060" i="7" s="1"/>
  <c r="F1060" i="7" s="1"/>
  <c r="D1059" i="7"/>
  <c r="E1059" i="7" s="1"/>
  <c r="F1059" i="7" s="1"/>
  <c r="D1058" i="7"/>
  <c r="E1058" i="7" s="1"/>
  <c r="F1058" i="7" s="1"/>
  <c r="D1057" i="7"/>
  <c r="E1057" i="7" s="1"/>
  <c r="F1057" i="7" s="1"/>
  <c r="D1056" i="7"/>
  <c r="E1056" i="7" s="1"/>
  <c r="F1056" i="7" s="1"/>
  <c r="D1055" i="7"/>
  <c r="E1055" i="7" s="1"/>
  <c r="F1055" i="7" s="1"/>
  <c r="D1054" i="7"/>
  <c r="E1054" i="7" s="1"/>
  <c r="F1054" i="7" s="1"/>
  <c r="D1053" i="7"/>
  <c r="E1053" i="7" s="1"/>
  <c r="F1053" i="7" s="1"/>
  <c r="D1052" i="7"/>
  <c r="E1052" i="7" s="1"/>
  <c r="F1052" i="7" s="1"/>
  <c r="D1051" i="7"/>
  <c r="E1051" i="7" s="1"/>
  <c r="F1051" i="7" s="1"/>
  <c r="D1050" i="7"/>
  <c r="E1050" i="7" s="1"/>
  <c r="F1050" i="7" s="1"/>
  <c r="D1049" i="7"/>
  <c r="E1049" i="7" s="1"/>
  <c r="F1049" i="7" s="1"/>
  <c r="D1048" i="7"/>
  <c r="E1048" i="7" s="1"/>
  <c r="F1048" i="7" s="1"/>
  <c r="D1047" i="7"/>
  <c r="E1047" i="7" s="1"/>
  <c r="F1047" i="7" s="1"/>
  <c r="D1046" i="7"/>
  <c r="E1046" i="7" s="1"/>
  <c r="F1046" i="7" s="1"/>
  <c r="G1046" i="7" s="1"/>
  <c r="D1045" i="7"/>
  <c r="E1045" i="7" s="1"/>
  <c r="F1045" i="7" s="1"/>
  <c r="G1045" i="7" s="1"/>
  <c r="D1044" i="7"/>
  <c r="E1044" i="7" s="1"/>
  <c r="F1044" i="7" s="1"/>
  <c r="G1044" i="7" s="1"/>
  <c r="D1043" i="7"/>
  <c r="E1043" i="7" s="1"/>
  <c r="F1043" i="7" s="1"/>
  <c r="G1043" i="7" s="1"/>
  <c r="D1042" i="7"/>
  <c r="E1042" i="7" s="1"/>
  <c r="F1042" i="7" s="1"/>
  <c r="G1042" i="7" s="1"/>
  <c r="D1041" i="7"/>
  <c r="E1041" i="7" s="1"/>
  <c r="F1041" i="7" s="1"/>
  <c r="G1041" i="7" s="1"/>
  <c r="D1040" i="7"/>
  <c r="E1040" i="7" s="1"/>
  <c r="F1040" i="7" s="1"/>
  <c r="G1040" i="7" s="1"/>
  <c r="D1039" i="7"/>
  <c r="E1039" i="7" s="1"/>
  <c r="F1039" i="7" s="1"/>
  <c r="G1039" i="7" s="1"/>
  <c r="D1038" i="7"/>
  <c r="E1038" i="7" s="1"/>
  <c r="F1038" i="7" s="1"/>
  <c r="G1038" i="7" s="1"/>
  <c r="D1037" i="7"/>
  <c r="E1037" i="7" s="1"/>
  <c r="F1037" i="7" s="1"/>
  <c r="G1037" i="7" s="1"/>
  <c r="D1036" i="7"/>
  <c r="E1036" i="7" s="1"/>
  <c r="F1036" i="7" s="1"/>
  <c r="G1036" i="7" s="1"/>
  <c r="D1035" i="7"/>
  <c r="E1035" i="7" s="1"/>
  <c r="F1035" i="7" s="1"/>
  <c r="G1035" i="7" s="1"/>
  <c r="D1034" i="7"/>
  <c r="E1034" i="7" s="1"/>
  <c r="F1034" i="7" s="1"/>
  <c r="G1034" i="7" s="1"/>
  <c r="D1033" i="7"/>
  <c r="E1033" i="7" s="1"/>
  <c r="F1033" i="7" s="1"/>
  <c r="G1033" i="7" s="1"/>
  <c r="D1032" i="7"/>
  <c r="E1032" i="7" s="1"/>
  <c r="F1032" i="7" s="1"/>
  <c r="G1032" i="7" s="1"/>
  <c r="D1031" i="7"/>
  <c r="E1031" i="7" s="1"/>
  <c r="F1031" i="7" s="1"/>
  <c r="G1031" i="7" s="1"/>
  <c r="D1030" i="7"/>
  <c r="E1030" i="7" s="1"/>
  <c r="F1030" i="7" s="1"/>
  <c r="G1030" i="7" s="1"/>
  <c r="D1029" i="7"/>
  <c r="E1029" i="7" s="1"/>
  <c r="F1029" i="7" s="1"/>
  <c r="G1029" i="7" s="1"/>
  <c r="D1028" i="7"/>
  <c r="E1028" i="7" s="1"/>
  <c r="F1028" i="7" s="1"/>
  <c r="G1028" i="7" s="1"/>
  <c r="D1027" i="7"/>
  <c r="E1027" i="7" s="1"/>
  <c r="F1027" i="7" s="1"/>
  <c r="G1027" i="7" s="1"/>
  <c r="D1026" i="7"/>
  <c r="E1026" i="7" s="1"/>
  <c r="F1026" i="7" s="1"/>
  <c r="G1026" i="7" s="1"/>
  <c r="D1025" i="7"/>
  <c r="E1025" i="7" s="1"/>
  <c r="F1025" i="7" s="1"/>
  <c r="G1025" i="7" s="1"/>
  <c r="D1024" i="7"/>
  <c r="E1024" i="7" s="1"/>
  <c r="F1024" i="7" s="1"/>
  <c r="G1024" i="7" s="1"/>
  <c r="D1023" i="7"/>
  <c r="E1023" i="7" s="1"/>
  <c r="F1023" i="7" s="1"/>
  <c r="G1023" i="7" s="1"/>
  <c r="D1022" i="7"/>
  <c r="E1022" i="7" s="1"/>
  <c r="F1022" i="7" s="1"/>
  <c r="G1022" i="7" s="1"/>
  <c r="D1021" i="7"/>
  <c r="E1021" i="7" s="1"/>
  <c r="F1021" i="7" s="1"/>
  <c r="G1021" i="7" s="1"/>
  <c r="D1020" i="7"/>
  <c r="E1020" i="7" s="1"/>
  <c r="F1020" i="7" s="1"/>
  <c r="G1020" i="7" s="1"/>
  <c r="D1019" i="7"/>
  <c r="E1019" i="7" s="1"/>
  <c r="F1019" i="7" s="1"/>
  <c r="G1019" i="7" s="1"/>
  <c r="D1018" i="7"/>
  <c r="E1018" i="7" s="1"/>
  <c r="F1018" i="7" s="1"/>
  <c r="G1018" i="7" s="1"/>
  <c r="D1017" i="7"/>
  <c r="E1017" i="7" s="1"/>
  <c r="F1017" i="7" s="1"/>
  <c r="G1017" i="7" s="1"/>
  <c r="D1016" i="7"/>
  <c r="E1016" i="7" s="1"/>
  <c r="F1016" i="7" s="1"/>
  <c r="G1016" i="7" s="1"/>
  <c r="D1015" i="7"/>
  <c r="E1015" i="7" s="1"/>
  <c r="F1015" i="7" s="1"/>
  <c r="G1015" i="7" s="1"/>
  <c r="D1014" i="7"/>
  <c r="E1014" i="7" s="1"/>
  <c r="F1014" i="7" s="1"/>
  <c r="G1014" i="7" s="1"/>
  <c r="D1013" i="7"/>
  <c r="E1013" i="7" s="1"/>
  <c r="F1013" i="7" s="1"/>
  <c r="G1013" i="7" s="1"/>
  <c r="D1012" i="7"/>
  <c r="E1012" i="7" s="1"/>
  <c r="F1012" i="7" s="1"/>
  <c r="G1012" i="7" s="1"/>
  <c r="D1011" i="7"/>
  <c r="E1011" i="7" s="1"/>
  <c r="F1011" i="7" s="1"/>
  <c r="G1011" i="7" s="1"/>
  <c r="D1010" i="7"/>
  <c r="E1010" i="7" s="1"/>
  <c r="F1010" i="7" s="1"/>
  <c r="G1010" i="7" s="1"/>
  <c r="D1009" i="7"/>
  <c r="E1009" i="7" s="1"/>
  <c r="F1009" i="7" s="1"/>
  <c r="G1009" i="7" s="1"/>
  <c r="D1008" i="7"/>
  <c r="E1008" i="7" s="1"/>
  <c r="F1008" i="7" s="1"/>
  <c r="G1008" i="7" s="1"/>
  <c r="D1007" i="7"/>
  <c r="E1007" i="7" s="1"/>
  <c r="F1007" i="7" s="1"/>
  <c r="G1007" i="7" s="1"/>
  <c r="D1006" i="7"/>
  <c r="E1006" i="7" s="1"/>
  <c r="F1006" i="7" s="1"/>
  <c r="G1006" i="7" s="1"/>
  <c r="D1005" i="7"/>
  <c r="E1005" i="7" s="1"/>
  <c r="F1005" i="7" s="1"/>
  <c r="G1005" i="7" s="1"/>
  <c r="D1004" i="7"/>
  <c r="E1004" i="7" s="1"/>
  <c r="F1004" i="7" s="1"/>
  <c r="G1004" i="7" s="1"/>
  <c r="D1003" i="7"/>
  <c r="E1003" i="7" s="1"/>
  <c r="F1003" i="7" s="1"/>
  <c r="G1003" i="7" s="1"/>
  <c r="D1002" i="7"/>
  <c r="E1002" i="7" s="1"/>
  <c r="F1002" i="7" s="1"/>
  <c r="G1002" i="7" s="1"/>
  <c r="D1001" i="7"/>
  <c r="E1001" i="7" s="1"/>
  <c r="F1001" i="7" s="1"/>
  <c r="G1001" i="7" s="1"/>
  <c r="D1000" i="7"/>
  <c r="E1000" i="7" s="1"/>
  <c r="F1000" i="7" s="1"/>
  <c r="G1000" i="7" s="1"/>
  <c r="D999" i="7"/>
  <c r="E999" i="7" s="1"/>
  <c r="F999" i="7" s="1"/>
  <c r="G999" i="7" s="1"/>
  <c r="D998" i="7"/>
  <c r="E998" i="7" s="1"/>
  <c r="F998" i="7" s="1"/>
  <c r="G998" i="7" s="1"/>
  <c r="D997" i="7"/>
  <c r="E997" i="7" s="1"/>
  <c r="F997" i="7" s="1"/>
  <c r="G997" i="7" s="1"/>
  <c r="D996" i="7"/>
  <c r="E996" i="7" s="1"/>
  <c r="F996" i="7" s="1"/>
  <c r="G996" i="7" s="1"/>
  <c r="D995" i="7"/>
  <c r="E995" i="7" s="1"/>
  <c r="F995" i="7" s="1"/>
  <c r="G995" i="7" s="1"/>
  <c r="D994" i="7"/>
  <c r="E994" i="7" s="1"/>
  <c r="F994" i="7" s="1"/>
  <c r="G994" i="7" s="1"/>
  <c r="D993" i="7"/>
  <c r="E993" i="7" s="1"/>
  <c r="F993" i="7" s="1"/>
  <c r="G993" i="7" s="1"/>
  <c r="D992" i="7"/>
  <c r="E992" i="7" s="1"/>
  <c r="F992" i="7" s="1"/>
  <c r="G992" i="7" s="1"/>
  <c r="D991" i="7"/>
  <c r="E991" i="7" s="1"/>
  <c r="F991" i="7" s="1"/>
  <c r="G991" i="7" s="1"/>
  <c r="D990" i="7"/>
  <c r="E990" i="7" s="1"/>
  <c r="F990" i="7" s="1"/>
  <c r="G990" i="7" s="1"/>
  <c r="D989" i="7"/>
  <c r="E989" i="7" s="1"/>
  <c r="F989" i="7" s="1"/>
  <c r="G989" i="7" s="1"/>
  <c r="D988" i="7"/>
  <c r="E988" i="7" s="1"/>
  <c r="F988" i="7" s="1"/>
  <c r="G988" i="7" s="1"/>
  <c r="D987" i="7"/>
  <c r="E987" i="7" s="1"/>
  <c r="F987" i="7" s="1"/>
  <c r="G987" i="7" s="1"/>
  <c r="D986" i="7"/>
  <c r="E986" i="7" s="1"/>
  <c r="F986" i="7" s="1"/>
  <c r="G986" i="7" s="1"/>
  <c r="D985" i="7"/>
  <c r="E985" i="7" s="1"/>
  <c r="F985" i="7" s="1"/>
  <c r="G985" i="7" s="1"/>
  <c r="D984" i="7"/>
  <c r="E984" i="7" s="1"/>
  <c r="F984" i="7" s="1"/>
  <c r="G984" i="7" s="1"/>
  <c r="D983" i="7"/>
  <c r="E983" i="7" s="1"/>
  <c r="F983" i="7" s="1"/>
  <c r="G983" i="7" s="1"/>
  <c r="D982" i="7"/>
  <c r="E982" i="7" s="1"/>
  <c r="F982" i="7" s="1"/>
  <c r="G982" i="7" s="1"/>
  <c r="D981" i="7"/>
  <c r="E981" i="7" s="1"/>
  <c r="F981" i="7" s="1"/>
  <c r="G981" i="7" s="1"/>
  <c r="D980" i="7"/>
  <c r="E980" i="7" s="1"/>
  <c r="F980" i="7" s="1"/>
  <c r="G980" i="7" s="1"/>
  <c r="D979" i="7"/>
  <c r="E979" i="7" s="1"/>
  <c r="F979" i="7" s="1"/>
  <c r="G979" i="7" s="1"/>
  <c r="D978" i="7"/>
  <c r="E978" i="7" s="1"/>
  <c r="F978" i="7" s="1"/>
  <c r="G978" i="7" s="1"/>
  <c r="D977" i="7"/>
  <c r="E977" i="7" s="1"/>
  <c r="F977" i="7" s="1"/>
  <c r="G977" i="7" s="1"/>
  <c r="D976" i="7"/>
  <c r="E976" i="7" s="1"/>
  <c r="F976" i="7" s="1"/>
  <c r="G976" i="7" s="1"/>
  <c r="D975" i="7"/>
  <c r="E975" i="7" s="1"/>
  <c r="F975" i="7" s="1"/>
  <c r="G975" i="7" s="1"/>
  <c r="D974" i="7"/>
  <c r="E974" i="7" s="1"/>
  <c r="F974" i="7" s="1"/>
  <c r="G974" i="7" s="1"/>
  <c r="D973" i="7"/>
  <c r="E973" i="7" s="1"/>
  <c r="F973" i="7" s="1"/>
  <c r="G973" i="7" s="1"/>
  <c r="D972" i="7"/>
  <c r="E972" i="7" s="1"/>
  <c r="F972" i="7" s="1"/>
  <c r="G972" i="7" s="1"/>
  <c r="D971" i="7"/>
  <c r="E971" i="7" s="1"/>
  <c r="F971" i="7" s="1"/>
  <c r="G971" i="7" s="1"/>
  <c r="D970" i="7"/>
  <c r="E970" i="7" s="1"/>
  <c r="F970" i="7" s="1"/>
  <c r="G970" i="7" s="1"/>
  <c r="D969" i="7"/>
  <c r="E969" i="7" s="1"/>
  <c r="F969" i="7" s="1"/>
  <c r="G969" i="7" s="1"/>
  <c r="D968" i="7"/>
  <c r="E968" i="7" s="1"/>
  <c r="F968" i="7" s="1"/>
  <c r="G968" i="7" s="1"/>
  <c r="D967" i="7"/>
  <c r="E967" i="7" s="1"/>
  <c r="F967" i="7" s="1"/>
  <c r="G967" i="7" s="1"/>
  <c r="D966" i="7"/>
  <c r="E966" i="7" s="1"/>
  <c r="F966" i="7" s="1"/>
  <c r="G966" i="7" s="1"/>
  <c r="D965" i="7"/>
  <c r="E965" i="7" s="1"/>
  <c r="F965" i="7" s="1"/>
  <c r="G965" i="7" s="1"/>
  <c r="D964" i="7"/>
  <c r="E964" i="7" s="1"/>
  <c r="F964" i="7" s="1"/>
  <c r="G964" i="7" s="1"/>
  <c r="D963" i="7"/>
  <c r="E963" i="7" s="1"/>
  <c r="F963" i="7" s="1"/>
  <c r="G963" i="7" s="1"/>
  <c r="D962" i="7"/>
  <c r="E962" i="7" s="1"/>
  <c r="F962" i="7" s="1"/>
  <c r="G962" i="7" s="1"/>
  <c r="D961" i="7"/>
  <c r="E961" i="7" s="1"/>
  <c r="F961" i="7" s="1"/>
  <c r="G961" i="7" s="1"/>
  <c r="D960" i="7"/>
  <c r="E960" i="7" s="1"/>
  <c r="F960" i="7" s="1"/>
  <c r="G960" i="7" s="1"/>
  <c r="D959" i="7"/>
  <c r="E959" i="7" s="1"/>
  <c r="F959" i="7" s="1"/>
  <c r="G959" i="7" s="1"/>
  <c r="D958" i="7"/>
  <c r="E958" i="7" s="1"/>
  <c r="F958" i="7" s="1"/>
  <c r="G958" i="7" s="1"/>
  <c r="D957" i="7"/>
  <c r="E957" i="7" s="1"/>
  <c r="F957" i="7" s="1"/>
  <c r="G957" i="7" s="1"/>
  <c r="D956" i="7"/>
  <c r="E956" i="7" s="1"/>
  <c r="F956" i="7" s="1"/>
  <c r="G956" i="7" s="1"/>
  <c r="D955" i="7"/>
  <c r="E955" i="7" s="1"/>
  <c r="F955" i="7" s="1"/>
  <c r="G955" i="7" s="1"/>
  <c r="D954" i="7"/>
  <c r="E954" i="7" s="1"/>
  <c r="F954" i="7" s="1"/>
  <c r="G954" i="7" s="1"/>
  <c r="D953" i="7"/>
  <c r="E953" i="7" s="1"/>
  <c r="F953" i="7" s="1"/>
  <c r="G953" i="7" s="1"/>
  <c r="D952" i="7"/>
  <c r="E952" i="7" s="1"/>
  <c r="F952" i="7" s="1"/>
  <c r="G952" i="7" s="1"/>
  <c r="D951" i="7"/>
  <c r="E951" i="7" s="1"/>
  <c r="F951" i="7" s="1"/>
  <c r="G951" i="7" s="1"/>
  <c r="D950" i="7"/>
  <c r="E950" i="7" s="1"/>
  <c r="F950" i="7" s="1"/>
  <c r="G950" i="7" s="1"/>
  <c r="D949" i="7"/>
  <c r="E949" i="7" s="1"/>
  <c r="F949" i="7" s="1"/>
  <c r="G949" i="7" s="1"/>
  <c r="D948" i="7"/>
  <c r="E948" i="7" s="1"/>
  <c r="F948" i="7" s="1"/>
  <c r="G948" i="7" s="1"/>
  <c r="D947" i="7"/>
  <c r="E947" i="7" s="1"/>
  <c r="F947" i="7" s="1"/>
  <c r="G947" i="7" s="1"/>
  <c r="D946" i="7"/>
  <c r="E946" i="7" s="1"/>
  <c r="F946" i="7" s="1"/>
  <c r="G946" i="7" s="1"/>
  <c r="D945" i="7"/>
  <c r="E945" i="7" s="1"/>
  <c r="F945" i="7" s="1"/>
  <c r="G945" i="7" s="1"/>
  <c r="D944" i="7"/>
  <c r="E944" i="7" s="1"/>
  <c r="F944" i="7" s="1"/>
  <c r="G944" i="7" s="1"/>
  <c r="D943" i="7"/>
  <c r="E943" i="7" s="1"/>
  <c r="F943" i="7" s="1"/>
  <c r="G943" i="7" s="1"/>
  <c r="D942" i="7"/>
  <c r="E942" i="7" s="1"/>
  <c r="F942" i="7" s="1"/>
  <c r="G942" i="7" s="1"/>
  <c r="D941" i="7"/>
  <c r="E941" i="7" s="1"/>
  <c r="F941" i="7" s="1"/>
  <c r="G941" i="7" s="1"/>
  <c r="D940" i="7"/>
  <c r="E940" i="7" s="1"/>
  <c r="F940" i="7" s="1"/>
  <c r="G940" i="7" s="1"/>
  <c r="D939" i="7"/>
  <c r="E939" i="7" s="1"/>
  <c r="F939" i="7" s="1"/>
  <c r="G939" i="7" s="1"/>
  <c r="D938" i="7"/>
  <c r="E938" i="7" s="1"/>
  <c r="F938" i="7" s="1"/>
  <c r="G938" i="7" s="1"/>
  <c r="D937" i="7"/>
  <c r="E937" i="7" s="1"/>
  <c r="F937" i="7" s="1"/>
  <c r="G937" i="7" s="1"/>
  <c r="D936" i="7"/>
  <c r="E936" i="7" s="1"/>
  <c r="F936" i="7" s="1"/>
  <c r="G936" i="7" s="1"/>
  <c r="D935" i="7"/>
  <c r="E935" i="7" s="1"/>
  <c r="F935" i="7" s="1"/>
  <c r="G935" i="7" s="1"/>
  <c r="D934" i="7"/>
  <c r="E934" i="7" s="1"/>
  <c r="F934" i="7" s="1"/>
  <c r="G934" i="7" s="1"/>
  <c r="D933" i="7"/>
  <c r="E933" i="7" s="1"/>
  <c r="F933" i="7" s="1"/>
  <c r="G933" i="7" s="1"/>
  <c r="D932" i="7"/>
  <c r="E932" i="7" s="1"/>
  <c r="F932" i="7" s="1"/>
  <c r="G932" i="7" s="1"/>
  <c r="D931" i="7"/>
  <c r="E931" i="7" s="1"/>
  <c r="F931" i="7" s="1"/>
  <c r="G931" i="7" s="1"/>
  <c r="D930" i="7"/>
  <c r="E930" i="7" s="1"/>
  <c r="F930" i="7" s="1"/>
  <c r="G930" i="7" s="1"/>
  <c r="D929" i="7"/>
  <c r="E929" i="7" s="1"/>
  <c r="F929" i="7" s="1"/>
  <c r="G929" i="7" s="1"/>
  <c r="D928" i="7"/>
  <c r="E928" i="7" s="1"/>
  <c r="F928" i="7" s="1"/>
  <c r="G928" i="7" s="1"/>
  <c r="D927" i="7"/>
  <c r="E927" i="7" s="1"/>
  <c r="F927" i="7" s="1"/>
  <c r="G927" i="7" s="1"/>
  <c r="D926" i="7"/>
  <c r="E926" i="7" s="1"/>
  <c r="F926" i="7" s="1"/>
  <c r="G926" i="7" s="1"/>
  <c r="D925" i="7"/>
  <c r="E925" i="7" s="1"/>
  <c r="F925" i="7" s="1"/>
  <c r="G925" i="7" s="1"/>
  <c r="D924" i="7"/>
  <c r="E924" i="7" s="1"/>
  <c r="F924" i="7" s="1"/>
  <c r="G924" i="7" s="1"/>
  <c r="D923" i="7"/>
  <c r="E923" i="7" s="1"/>
  <c r="F923" i="7" s="1"/>
  <c r="G923" i="7" s="1"/>
  <c r="D922" i="7"/>
  <c r="E922" i="7" s="1"/>
  <c r="F922" i="7" s="1"/>
  <c r="G922" i="7" s="1"/>
  <c r="D921" i="7"/>
  <c r="E921" i="7" s="1"/>
  <c r="F921" i="7" s="1"/>
  <c r="G921" i="7" s="1"/>
  <c r="D920" i="7"/>
  <c r="E920" i="7" s="1"/>
  <c r="F920" i="7" s="1"/>
  <c r="G920" i="7" s="1"/>
  <c r="D919" i="7"/>
  <c r="E919" i="7" s="1"/>
  <c r="F919" i="7" s="1"/>
  <c r="G919" i="7" s="1"/>
  <c r="D918" i="7"/>
  <c r="E918" i="7" s="1"/>
  <c r="F918" i="7" s="1"/>
  <c r="G918" i="7" s="1"/>
  <c r="D917" i="7"/>
  <c r="E917" i="7" s="1"/>
  <c r="F917" i="7" s="1"/>
  <c r="G917" i="7" s="1"/>
  <c r="D916" i="7"/>
  <c r="E916" i="7" s="1"/>
  <c r="F916" i="7" s="1"/>
  <c r="G916" i="7" s="1"/>
  <c r="D915" i="7"/>
  <c r="E915" i="7" s="1"/>
  <c r="F915" i="7" s="1"/>
  <c r="G915" i="7" s="1"/>
  <c r="D914" i="7"/>
  <c r="E914" i="7" s="1"/>
  <c r="F914" i="7" s="1"/>
  <c r="G914" i="7" s="1"/>
  <c r="D913" i="7"/>
  <c r="E913" i="7" s="1"/>
  <c r="F913" i="7" s="1"/>
  <c r="G913" i="7" s="1"/>
  <c r="D912" i="7"/>
  <c r="E912" i="7" s="1"/>
  <c r="F912" i="7" s="1"/>
  <c r="G912" i="7" s="1"/>
  <c r="D911" i="7"/>
  <c r="E911" i="7" s="1"/>
  <c r="F911" i="7" s="1"/>
  <c r="G911" i="7" s="1"/>
  <c r="D910" i="7"/>
  <c r="E910" i="7" s="1"/>
  <c r="F910" i="7" s="1"/>
  <c r="G910" i="7" s="1"/>
  <c r="D909" i="7"/>
  <c r="E909" i="7" s="1"/>
  <c r="F909" i="7" s="1"/>
  <c r="G909" i="7" s="1"/>
  <c r="D908" i="7"/>
  <c r="E908" i="7" s="1"/>
  <c r="F908" i="7" s="1"/>
  <c r="G908" i="7" s="1"/>
  <c r="D907" i="7"/>
  <c r="E907" i="7" s="1"/>
  <c r="F907" i="7" s="1"/>
  <c r="G907" i="7" s="1"/>
  <c r="D906" i="7"/>
  <c r="E906" i="7" s="1"/>
  <c r="F906" i="7" s="1"/>
  <c r="G906" i="7" s="1"/>
  <c r="D905" i="7"/>
  <c r="E905" i="7" s="1"/>
  <c r="F905" i="7" s="1"/>
  <c r="G905" i="7" s="1"/>
  <c r="D904" i="7"/>
  <c r="E904" i="7" s="1"/>
  <c r="F904" i="7" s="1"/>
  <c r="G904" i="7" s="1"/>
  <c r="D903" i="7"/>
  <c r="E903" i="7" s="1"/>
  <c r="F903" i="7" s="1"/>
  <c r="G903" i="7" s="1"/>
  <c r="D902" i="7"/>
  <c r="E902" i="7" s="1"/>
  <c r="F902" i="7" s="1"/>
  <c r="G902" i="7" s="1"/>
  <c r="D901" i="7"/>
  <c r="E901" i="7" s="1"/>
  <c r="F901" i="7" s="1"/>
  <c r="G901" i="7" s="1"/>
  <c r="D900" i="7"/>
  <c r="E900" i="7" s="1"/>
  <c r="F900" i="7" s="1"/>
  <c r="G900" i="7" s="1"/>
  <c r="D899" i="7"/>
  <c r="E899" i="7" s="1"/>
  <c r="F899" i="7" s="1"/>
  <c r="G899" i="7" s="1"/>
  <c r="D898" i="7"/>
  <c r="E898" i="7" s="1"/>
  <c r="F898" i="7" s="1"/>
  <c r="G898" i="7" s="1"/>
  <c r="D897" i="7"/>
  <c r="E897" i="7" s="1"/>
  <c r="F897" i="7" s="1"/>
  <c r="G897" i="7" s="1"/>
  <c r="D896" i="7"/>
  <c r="E896" i="7" s="1"/>
  <c r="F896" i="7" s="1"/>
  <c r="G896" i="7" s="1"/>
  <c r="D895" i="7"/>
  <c r="E895" i="7" s="1"/>
  <c r="F895" i="7" s="1"/>
  <c r="G895" i="7" s="1"/>
  <c r="D894" i="7"/>
  <c r="E894" i="7" s="1"/>
  <c r="F894" i="7" s="1"/>
  <c r="G894" i="7" s="1"/>
  <c r="D893" i="7"/>
  <c r="E893" i="7" s="1"/>
  <c r="F893" i="7" s="1"/>
  <c r="G893" i="7" s="1"/>
  <c r="D892" i="7"/>
  <c r="E892" i="7" s="1"/>
  <c r="F892" i="7" s="1"/>
  <c r="G892" i="7" s="1"/>
  <c r="D891" i="7"/>
  <c r="E891" i="7" s="1"/>
  <c r="F891" i="7" s="1"/>
  <c r="G891" i="7" s="1"/>
  <c r="D890" i="7"/>
  <c r="E890" i="7" s="1"/>
  <c r="F890" i="7" s="1"/>
  <c r="G890" i="7" s="1"/>
  <c r="D889" i="7"/>
  <c r="E889" i="7" s="1"/>
  <c r="F889" i="7" s="1"/>
  <c r="G889" i="7" s="1"/>
  <c r="D888" i="7"/>
  <c r="E888" i="7" s="1"/>
  <c r="F888" i="7" s="1"/>
  <c r="G888" i="7" s="1"/>
  <c r="D887" i="7"/>
  <c r="E887" i="7" s="1"/>
  <c r="F887" i="7" s="1"/>
  <c r="G887" i="7" s="1"/>
  <c r="D886" i="7"/>
  <c r="E886" i="7" s="1"/>
  <c r="F886" i="7" s="1"/>
  <c r="G886" i="7" s="1"/>
  <c r="D885" i="7"/>
  <c r="E885" i="7" s="1"/>
  <c r="F885" i="7" s="1"/>
  <c r="G885" i="7" s="1"/>
  <c r="D884" i="7"/>
  <c r="E884" i="7" s="1"/>
  <c r="F884" i="7" s="1"/>
  <c r="G884" i="7" s="1"/>
  <c r="D883" i="7"/>
  <c r="E883" i="7" s="1"/>
  <c r="F883" i="7" s="1"/>
  <c r="G883" i="7" s="1"/>
  <c r="D882" i="7"/>
  <c r="E882" i="7" s="1"/>
  <c r="F882" i="7" s="1"/>
  <c r="G882" i="7" s="1"/>
  <c r="D881" i="7"/>
  <c r="E881" i="7" s="1"/>
  <c r="F881" i="7" s="1"/>
  <c r="G881" i="7" s="1"/>
  <c r="D880" i="7"/>
  <c r="E880" i="7" s="1"/>
  <c r="F880" i="7" s="1"/>
  <c r="G880" i="7" s="1"/>
  <c r="D879" i="7"/>
  <c r="E879" i="7" s="1"/>
  <c r="F879" i="7" s="1"/>
  <c r="G879" i="7" s="1"/>
  <c r="D878" i="7"/>
  <c r="E878" i="7" s="1"/>
  <c r="F878" i="7" s="1"/>
  <c r="G878" i="7" s="1"/>
  <c r="D877" i="7"/>
  <c r="E877" i="7" s="1"/>
  <c r="F877" i="7" s="1"/>
  <c r="G877" i="7" s="1"/>
  <c r="D876" i="7"/>
  <c r="E876" i="7" s="1"/>
  <c r="F876" i="7" s="1"/>
  <c r="G876" i="7" s="1"/>
  <c r="D875" i="7"/>
  <c r="E875" i="7" s="1"/>
  <c r="F875" i="7" s="1"/>
  <c r="G875" i="7" s="1"/>
  <c r="D874" i="7"/>
  <c r="E874" i="7" s="1"/>
  <c r="F874" i="7" s="1"/>
  <c r="G874" i="7" s="1"/>
  <c r="D873" i="7"/>
  <c r="E873" i="7" s="1"/>
  <c r="F873" i="7" s="1"/>
  <c r="G873" i="7" s="1"/>
  <c r="D872" i="7"/>
  <c r="E872" i="7" s="1"/>
  <c r="F872" i="7" s="1"/>
  <c r="G872" i="7" s="1"/>
  <c r="D871" i="7"/>
  <c r="E871" i="7" s="1"/>
  <c r="F871" i="7" s="1"/>
  <c r="G871" i="7" s="1"/>
  <c r="D870" i="7"/>
  <c r="E870" i="7" s="1"/>
  <c r="F870" i="7" s="1"/>
  <c r="G870" i="7" s="1"/>
  <c r="D869" i="7"/>
  <c r="E869" i="7" s="1"/>
  <c r="F869" i="7" s="1"/>
  <c r="G869" i="7" s="1"/>
  <c r="D868" i="7"/>
  <c r="E868" i="7" s="1"/>
  <c r="F868" i="7" s="1"/>
  <c r="G868" i="7" s="1"/>
  <c r="D867" i="7"/>
  <c r="E867" i="7" s="1"/>
  <c r="F867" i="7" s="1"/>
  <c r="G867" i="7" s="1"/>
  <c r="D866" i="7"/>
  <c r="E866" i="7" s="1"/>
  <c r="F866" i="7" s="1"/>
  <c r="G866" i="7" s="1"/>
  <c r="D865" i="7"/>
  <c r="E865" i="7" s="1"/>
  <c r="F865" i="7" s="1"/>
  <c r="G865" i="7" s="1"/>
  <c r="D864" i="7"/>
  <c r="E864" i="7" s="1"/>
  <c r="F864" i="7" s="1"/>
  <c r="G864" i="7" s="1"/>
  <c r="D863" i="7"/>
  <c r="E863" i="7" s="1"/>
  <c r="F863" i="7" s="1"/>
  <c r="G863" i="7" s="1"/>
  <c r="D862" i="7"/>
  <c r="E862" i="7" s="1"/>
  <c r="F862" i="7" s="1"/>
  <c r="G862" i="7" s="1"/>
  <c r="D861" i="7"/>
  <c r="E861" i="7" s="1"/>
  <c r="F861" i="7" s="1"/>
  <c r="G861" i="7" s="1"/>
  <c r="D860" i="7"/>
  <c r="E860" i="7" s="1"/>
  <c r="F860" i="7" s="1"/>
  <c r="G860" i="7" s="1"/>
  <c r="D859" i="7"/>
  <c r="E859" i="7" s="1"/>
  <c r="F859" i="7" s="1"/>
  <c r="G859" i="7" s="1"/>
  <c r="D858" i="7"/>
  <c r="E858" i="7" s="1"/>
  <c r="F858" i="7" s="1"/>
  <c r="G858" i="7" s="1"/>
  <c r="D857" i="7"/>
  <c r="E857" i="7" s="1"/>
  <c r="F857" i="7" s="1"/>
  <c r="G857" i="7" s="1"/>
  <c r="D856" i="7"/>
  <c r="E856" i="7" s="1"/>
  <c r="F856" i="7" s="1"/>
  <c r="G856" i="7" s="1"/>
  <c r="D855" i="7"/>
  <c r="E855" i="7" s="1"/>
  <c r="F855" i="7" s="1"/>
  <c r="G855" i="7" s="1"/>
  <c r="D854" i="7"/>
  <c r="E854" i="7" s="1"/>
  <c r="F854" i="7" s="1"/>
  <c r="G854" i="7" s="1"/>
  <c r="D853" i="7"/>
  <c r="E853" i="7" s="1"/>
  <c r="F853" i="7" s="1"/>
  <c r="G853" i="7" s="1"/>
  <c r="D852" i="7"/>
  <c r="E852" i="7" s="1"/>
  <c r="F852" i="7" s="1"/>
  <c r="G852" i="7" s="1"/>
  <c r="D851" i="7"/>
  <c r="E851" i="7" s="1"/>
  <c r="F851" i="7" s="1"/>
  <c r="G851" i="7" s="1"/>
  <c r="D850" i="7"/>
  <c r="E850" i="7" s="1"/>
  <c r="F850" i="7" s="1"/>
  <c r="G850" i="7" s="1"/>
  <c r="D849" i="7"/>
  <c r="E849" i="7" s="1"/>
  <c r="F849" i="7" s="1"/>
  <c r="G849" i="7" s="1"/>
  <c r="D848" i="7"/>
  <c r="E848" i="7" s="1"/>
  <c r="F848" i="7" s="1"/>
  <c r="G848" i="7" s="1"/>
  <c r="D847" i="7"/>
  <c r="E847" i="7" s="1"/>
  <c r="F847" i="7" s="1"/>
  <c r="G847" i="7" s="1"/>
  <c r="D846" i="7"/>
  <c r="E846" i="7" s="1"/>
  <c r="F846" i="7" s="1"/>
  <c r="G846" i="7" s="1"/>
  <c r="D845" i="7"/>
  <c r="E845" i="7" s="1"/>
  <c r="F845" i="7" s="1"/>
  <c r="G845" i="7" s="1"/>
  <c r="D844" i="7"/>
  <c r="E844" i="7" s="1"/>
  <c r="F844" i="7" s="1"/>
  <c r="G844" i="7" s="1"/>
  <c r="D843" i="7"/>
  <c r="E843" i="7" s="1"/>
  <c r="F843" i="7" s="1"/>
  <c r="G843" i="7" s="1"/>
  <c r="D842" i="7"/>
  <c r="E842" i="7" s="1"/>
  <c r="F842" i="7" s="1"/>
  <c r="G842" i="7" s="1"/>
  <c r="D841" i="7"/>
  <c r="E841" i="7" s="1"/>
  <c r="F841" i="7" s="1"/>
  <c r="G841" i="7" s="1"/>
  <c r="D840" i="7"/>
  <c r="E840" i="7" s="1"/>
  <c r="F840" i="7" s="1"/>
  <c r="G840" i="7" s="1"/>
  <c r="D839" i="7"/>
  <c r="E839" i="7" s="1"/>
  <c r="F839" i="7" s="1"/>
  <c r="G839" i="7" s="1"/>
  <c r="D838" i="7"/>
  <c r="E838" i="7" s="1"/>
  <c r="F838" i="7" s="1"/>
  <c r="G838" i="7" s="1"/>
  <c r="D837" i="7"/>
  <c r="E837" i="7" s="1"/>
  <c r="F837" i="7" s="1"/>
  <c r="G837" i="7" s="1"/>
  <c r="D836" i="7"/>
  <c r="E836" i="7" s="1"/>
  <c r="F836" i="7" s="1"/>
  <c r="G836" i="7" s="1"/>
  <c r="D835" i="7"/>
  <c r="E835" i="7" s="1"/>
  <c r="F835" i="7" s="1"/>
  <c r="G835" i="7" s="1"/>
  <c r="D834" i="7"/>
  <c r="E834" i="7" s="1"/>
  <c r="F834" i="7" s="1"/>
  <c r="G834" i="7" s="1"/>
  <c r="D833" i="7"/>
  <c r="E833" i="7" s="1"/>
  <c r="F833" i="7" s="1"/>
  <c r="G833" i="7" s="1"/>
  <c r="D832" i="7"/>
  <c r="E832" i="7" s="1"/>
  <c r="F832" i="7" s="1"/>
  <c r="G832" i="7" s="1"/>
  <c r="D831" i="7"/>
  <c r="E831" i="7" s="1"/>
  <c r="F831" i="7" s="1"/>
  <c r="G831" i="7" s="1"/>
  <c r="D830" i="7"/>
  <c r="E830" i="7" s="1"/>
  <c r="F830" i="7" s="1"/>
  <c r="G830" i="7" s="1"/>
  <c r="D829" i="7"/>
  <c r="E829" i="7" s="1"/>
  <c r="F829" i="7" s="1"/>
  <c r="G829" i="7" s="1"/>
  <c r="D828" i="7"/>
  <c r="E828" i="7" s="1"/>
  <c r="F828" i="7" s="1"/>
  <c r="G828" i="7" s="1"/>
  <c r="D827" i="7"/>
  <c r="E827" i="7" s="1"/>
  <c r="F827" i="7" s="1"/>
  <c r="G827" i="7" s="1"/>
  <c r="D826" i="7"/>
  <c r="E826" i="7" s="1"/>
  <c r="F826" i="7" s="1"/>
  <c r="G826" i="7" s="1"/>
  <c r="D825" i="7"/>
  <c r="E825" i="7" s="1"/>
  <c r="F825" i="7" s="1"/>
  <c r="G825" i="7" s="1"/>
  <c r="D824" i="7"/>
  <c r="E824" i="7" s="1"/>
  <c r="F824" i="7" s="1"/>
  <c r="G824" i="7" s="1"/>
  <c r="D823" i="7"/>
  <c r="E823" i="7" s="1"/>
  <c r="F823" i="7" s="1"/>
  <c r="G823" i="7" s="1"/>
  <c r="D822" i="7"/>
  <c r="E822" i="7" s="1"/>
  <c r="F822" i="7" s="1"/>
  <c r="G822" i="7" s="1"/>
  <c r="D821" i="7"/>
  <c r="E821" i="7" s="1"/>
  <c r="F821" i="7" s="1"/>
  <c r="G821" i="7" s="1"/>
  <c r="D820" i="7"/>
  <c r="E820" i="7" s="1"/>
  <c r="F820" i="7" s="1"/>
  <c r="G820" i="7" s="1"/>
  <c r="D819" i="7"/>
  <c r="E819" i="7" s="1"/>
  <c r="F819" i="7" s="1"/>
  <c r="G819" i="7" s="1"/>
  <c r="D818" i="7"/>
  <c r="E818" i="7" s="1"/>
  <c r="F818" i="7" s="1"/>
  <c r="G818" i="7" s="1"/>
  <c r="D817" i="7"/>
  <c r="E817" i="7" s="1"/>
  <c r="F817" i="7" s="1"/>
  <c r="G817" i="7" s="1"/>
  <c r="D816" i="7"/>
  <c r="E816" i="7" s="1"/>
  <c r="F816" i="7" s="1"/>
  <c r="G816" i="7" s="1"/>
  <c r="D815" i="7"/>
  <c r="E815" i="7" s="1"/>
  <c r="F815" i="7" s="1"/>
  <c r="G815" i="7" s="1"/>
  <c r="D814" i="7"/>
  <c r="E814" i="7" s="1"/>
  <c r="F814" i="7" s="1"/>
  <c r="G814" i="7" s="1"/>
  <c r="D813" i="7"/>
  <c r="E813" i="7" s="1"/>
  <c r="F813" i="7" s="1"/>
  <c r="G813" i="7" s="1"/>
  <c r="D812" i="7"/>
  <c r="E812" i="7" s="1"/>
  <c r="F812" i="7" s="1"/>
  <c r="G812" i="7" s="1"/>
  <c r="D811" i="7"/>
  <c r="E811" i="7" s="1"/>
  <c r="F811" i="7" s="1"/>
  <c r="G811" i="7" s="1"/>
  <c r="D810" i="7"/>
  <c r="E810" i="7" s="1"/>
  <c r="F810" i="7" s="1"/>
  <c r="G810" i="7" s="1"/>
  <c r="D809" i="7"/>
  <c r="E809" i="7" s="1"/>
  <c r="F809" i="7" s="1"/>
  <c r="G809" i="7" s="1"/>
  <c r="D808" i="7"/>
  <c r="E808" i="7" s="1"/>
  <c r="F808" i="7" s="1"/>
  <c r="G808" i="7" s="1"/>
  <c r="D807" i="7"/>
  <c r="E807" i="7" s="1"/>
  <c r="F807" i="7" s="1"/>
  <c r="G807" i="7" s="1"/>
  <c r="D806" i="7"/>
  <c r="E806" i="7" s="1"/>
  <c r="F806" i="7" s="1"/>
  <c r="G806" i="7" s="1"/>
  <c r="D805" i="7"/>
  <c r="E805" i="7" s="1"/>
  <c r="F805" i="7" s="1"/>
  <c r="G805" i="7" s="1"/>
  <c r="D804" i="7"/>
  <c r="E804" i="7" s="1"/>
  <c r="F804" i="7" s="1"/>
  <c r="G804" i="7" s="1"/>
  <c r="D803" i="7"/>
  <c r="E803" i="7" s="1"/>
  <c r="F803" i="7" s="1"/>
  <c r="G803" i="7" s="1"/>
  <c r="D802" i="7"/>
  <c r="E802" i="7" s="1"/>
  <c r="F802" i="7" s="1"/>
  <c r="G802" i="7" s="1"/>
  <c r="D801" i="7"/>
  <c r="E801" i="7" s="1"/>
  <c r="F801" i="7" s="1"/>
  <c r="G801" i="7" s="1"/>
  <c r="D800" i="7"/>
  <c r="E800" i="7" s="1"/>
  <c r="F800" i="7" s="1"/>
  <c r="G800" i="7" s="1"/>
  <c r="D799" i="7"/>
  <c r="E799" i="7" s="1"/>
  <c r="F799" i="7" s="1"/>
  <c r="G799" i="7" s="1"/>
  <c r="D798" i="7"/>
  <c r="E798" i="7" s="1"/>
  <c r="F798" i="7" s="1"/>
  <c r="G798" i="7" s="1"/>
  <c r="D797" i="7"/>
  <c r="E797" i="7" s="1"/>
  <c r="F797" i="7" s="1"/>
  <c r="G797" i="7" s="1"/>
  <c r="D796" i="7"/>
  <c r="E796" i="7" s="1"/>
  <c r="F796" i="7" s="1"/>
  <c r="G796" i="7" s="1"/>
  <c r="D795" i="7"/>
  <c r="E795" i="7" s="1"/>
  <c r="F795" i="7" s="1"/>
  <c r="G795" i="7" s="1"/>
  <c r="D794" i="7"/>
  <c r="E794" i="7" s="1"/>
  <c r="F794" i="7" s="1"/>
  <c r="G794" i="7" s="1"/>
  <c r="D793" i="7"/>
  <c r="E793" i="7" s="1"/>
  <c r="F793" i="7" s="1"/>
  <c r="G793" i="7" s="1"/>
  <c r="D792" i="7"/>
  <c r="E792" i="7" s="1"/>
  <c r="F792" i="7" s="1"/>
  <c r="G792" i="7" s="1"/>
  <c r="D791" i="7"/>
  <c r="E791" i="7" s="1"/>
  <c r="F791" i="7" s="1"/>
  <c r="G791" i="7" s="1"/>
  <c r="D790" i="7"/>
  <c r="E790" i="7" s="1"/>
  <c r="F790" i="7" s="1"/>
  <c r="G790" i="7" s="1"/>
  <c r="D789" i="7"/>
  <c r="E789" i="7" s="1"/>
  <c r="F789" i="7" s="1"/>
  <c r="G789" i="7" s="1"/>
  <c r="D788" i="7"/>
  <c r="E788" i="7" s="1"/>
  <c r="F788" i="7" s="1"/>
  <c r="G788" i="7" s="1"/>
  <c r="D787" i="7"/>
  <c r="E787" i="7" s="1"/>
  <c r="F787" i="7" s="1"/>
  <c r="G787" i="7" s="1"/>
  <c r="D786" i="7"/>
  <c r="E786" i="7" s="1"/>
  <c r="F786" i="7" s="1"/>
  <c r="G786" i="7" s="1"/>
  <c r="D785" i="7"/>
  <c r="E785" i="7" s="1"/>
  <c r="F785" i="7" s="1"/>
  <c r="G785" i="7" s="1"/>
  <c r="D784" i="7"/>
  <c r="E784" i="7" s="1"/>
  <c r="F784" i="7" s="1"/>
  <c r="G784" i="7" s="1"/>
  <c r="D783" i="7"/>
  <c r="E783" i="7" s="1"/>
  <c r="F783" i="7" s="1"/>
  <c r="G783" i="7" s="1"/>
  <c r="D782" i="7"/>
  <c r="E782" i="7" s="1"/>
  <c r="F782" i="7" s="1"/>
  <c r="G782" i="7" s="1"/>
  <c r="D781" i="7"/>
  <c r="E781" i="7" s="1"/>
  <c r="F781" i="7" s="1"/>
  <c r="G781" i="7" s="1"/>
  <c r="D780" i="7"/>
  <c r="E780" i="7" s="1"/>
  <c r="F780" i="7" s="1"/>
  <c r="G780" i="7" s="1"/>
  <c r="D779" i="7"/>
  <c r="E779" i="7" s="1"/>
  <c r="F779" i="7" s="1"/>
  <c r="G779" i="7" s="1"/>
  <c r="D778" i="7"/>
  <c r="E778" i="7" s="1"/>
  <c r="F778" i="7" s="1"/>
  <c r="G778" i="7" s="1"/>
  <c r="D777" i="7"/>
  <c r="E777" i="7" s="1"/>
  <c r="F777" i="7" s="1"/>
  <c r="G777" i="7" s="1"/>
  <c r="D776" i="7"/>
  <c r="E776" i="7" s="1"/>
  <c r="F776" i="7" s="1"/>
  <c r="G776" i="7" s="1"/>
  <c r="D775" i="7"/>
  <c r="E775" i="7" s="1"/>
  <c r="F775" i="7" s="1"/>
  <c r="G775" i="7" s="1"/>
  <c r="D774" i="7"/>
  <c r="E774" i="7" s="1"/>
  <c r="F774" i="7" s="1"/>
  <c r="G774" i="7" s="1"/>
  <c r="D773" i="7"/>
  <c r="E773" i="7" s="1"/>
  <c r="F773" i="7" s="1"/>
  <c r="G773" i="7" s="1"/>
  <c r="D772" i="7"/>
  <c r="E772" i="7" s="1"/>
  <c r="F772" i="7" s="1"/>
  <c r="G772" i="7" s="1"/>
  <c r="D771" i="7"/>
  <c r="E771" i="7" s="1"/>
  <c r="F771" i="7" s="1"/>
  <c r="G771" i="7" s="1"/>
  <c r="D770" i="7"/>
  <c r="E770" i="7" s="1"/>
  <c r="F770" i="7" s="1"/>
  <c r="G770" i="7" s="1"/>
  <c r="D769" i="7"/>
  <c r="E769" i="7" s="1"/>
  <c r="F769" i="7" s="1"/>
  <c r="G769" i="7" s="1"/>
  <c r="D768" i="7"/>
  <c r="E768" i="7" s="1"/>
  <c r="F768" i="7" s="1"/>
  <c r="G768" i="7" s="1"/>
  <c r="D767" i="7"/>
  <c r="E767" i="7" s="1"/>
  <c r="F767" i="7" s="1"/>
  <c r="G767" i="7" s="1"/>
  <c r="D766" i="7"/>
  <c r="E766" i="7" s="1"/>
  <c r="F766" i="7" s="1"/>
  <c r="G766" i="7" s="1"/>
  <c r="D765" i="7"/>
  <c r="E765" i="7" s="1"/>
  <c r="F765" i="7" s="1"/>
  <c r="G765" i="7" s="1"/>
  <c r="D764" i="7"/>
  <c r="E764" i="7" s="1"/>
  <c r="F764" i="7" s="1"/>
  <c r="G764" i="7" s="1"/>
  <c r="D763" i="7"/>
  <c r="E763" i="7" s="1"/>
  <c r="F763" i="7" s="1"/>
  <c r="G763" i="7" s="1"/>
  <c r="D762" i="7"/>
  <c r="E762" i="7" s="1"/>
  <c r="F762" i="7" s="1"/>
  <c r="G762" i="7" s="1"/>
  <c r="D761" i="7"/>
  <c r="E761" i="7" s="1"/>
  <c r="F761" i="7" s="1"/>
  <c r="G761" i="7" s="1"/>
  <c r="D760" i="7"/>
  <c r="E760" i="7" s="1"/>
  <c r="F760" i="7" s="1"/>
  <c r="G760" i="7" s="1"/>
  <c r="D759" i="7"/>
  <c r="E759" i="7" s="1"/>
  <c r="F759" i="7" s="1"/>
  <c r="G759" i="7" s="1"/>
  <c r="D758" i="7"/>
  <c r="E758" i="7" s="1"/>
  <c r="F758" i="7" s="1"/>
  <c r="G758" i="7" s="1"/>
  <c r="D757" i="7"/>
  <c r="E757" i="7" s="1"/>
  <c r="F757" i="7" s="1"/>
  <c r="G757" i="7" s="1"/>
  <c r="D756" i="7"/>
  <c r="E756" i="7" s="1"/>
  <c r="F756" i="7" s="1"/>
  <c r="G756" i="7" s="1"/>
  <c r="D755" i="7"/>
  <c r="E755" i="7" s="1"/>
  <c r="F755" i="7" s="1"/>
  <c r="G755" i="7" s="1"/>
  <c r="D754" i="7"/>
  <c r="E754" i="7" s="1"/>
  <c r="F754" i="7" s="1"/>
  <c r="G754" i="7" s="1"/>
  <c r="D753" i="7"/>
  <c r="E753" i="7" s="1"/>
  <c r="F753" i="7" s="1"/>
  <c r="G753" i="7" s="1"/>
  <c r="D752" i="7"/>
  <c r="E752" i="7" s="1"/>
  <c r="F752" i="7" s="1"/>
  <c r="G752" i="7" s="1"/>
  <c r="D751" i="7"/>
  <c r="E751" i="7" s="1"/>
  <c r="F751" i="7" s="1"/>
  <c r="G751" i="7" s="1"/>
  <c r="D750" i="7"/>
  <c r="E750" i="7" s="1"/>
  <c r="F750" i="7" s="1"/>
  <c r="G750" i="7" s="1"/>
  <c r="D749" i="7"/>
  <c r="E749" i="7" s="1"/>
  <c r="F749" i="7" s="1"/>
  <c r="G749" i="7" s="1"/>
  <c r="D748" i="7"/>
  <c r="E748" i="7" s="1"/>
  <c r="F748" i="7" s="1"/>
  <c r="G748" i="7" s="1"/>
  <c r="D747" i="7"/>
  <c r="E747" i="7" s="1"/>
  <c r="F747" i="7" s="1"/>
  <c r="G747" i="7" s="1"/>
  <c r="D746" i="7"/>
  <c r="E746" i="7" s="1"/>
  <c r="F746" i="7" s="1"/>
  <c r="G746" i="7" s="1"/>
  <c r="D745" i="7"/>
  <c r="E745" i="7" s="1"/>
  <c r="F745" i="7" s="1"/>
  <c r="G745" i="7" s="1"/>
  <c r="D744" i="7"/>
  <c r="E744" i="7" s="1"/>
  <c r="F744" i="7" s="1"/>
  <c r="G744" i="7" s="1"/>
  <c r="D743" i="7"/>
  <c r="E743" i="7" s="1"/>
  <c r="F743" i="7" s="1"/>
  <c r="G743" i="7" s="1"/>
  <c r="D742" i="7"/>
  <c r="E742" i="7" s="1"/>
  <c r="F742" i="7" s="1"/>
  <c r="G742" i="7" s="1"/>
  <c r="D741" i="7"/>
  <c r="E741" i="7" s="1"/>
  <c r="F741" i="7" s="1"/>
  <c r="G741" i="7" s="1"/>
  <c r="D740" i="7"/>
  <c r="E740" i="7" s="1"/>
  <c r="F740" i="7" s="1"/>
  <c r="G740" i="7" s="1"/>
  <c r="D739" i="7"/>
  <c r="E739" i="7" s="1"/>
  <c r="F739" i="7" s="1"/>
  <c r="G739" i="7" s="1"/>
  <c r="D738" i="7"/>
  <c r="E738" i="7" s="1"/>
  <c r="F738" i="7" s="1"/>
  <c r="G738" i="7" s="1"/>
  <c r="D737" i="7"/>
  <c r="E737" i="7" s="1"/>
  <c r="F737" i="7" s="1"/>
  <c r="G737" i="7" s="1"/>
  <c r="D736" i="7"/>
  <c r="E736" i="7" s="1"/>
  <c r="F736" i="7" s="1"/>
  <c r="G736" i="7" s="1"/>
  <c r="D735" i="7"/>
  <c r="E735" i="7" s="1"/>
  <c r="F735" i="7" s="1"/>
  <c r="G735" i="7" s="1"/>
  <c r="D734" i="7"/>
  <c r="E734" i="7" s="1"/>
  <c r="F734" i="7" s="1"/>
  <c r="G734" i="7" s="1"/>
  <c r="D733" i="7"/>
  <c r="E733" i="7" s="1"/>
  <c r="F733" i="7" s="1"/>
  <c r="G733" i="7" s="1"/>
  <c r="D732" i="7"/>
  <c r="E732" i="7" s="1"/>
  <c r="F732" i="7" s="1"/>
  <c r="G732" i="7" s="1"/>
  <c r="D731" i="7"/>
  <c r="E731" i="7" s="1"/>
  <c r="F731" i="7" s="1"/>
  <c r="G731" i="7" s="1"/>
  <c r="D730" i="7"/>
  <c r="E730" i="7" s="1"/>
  <c r="F730" i="7" s="1"/>
  <c r="G730" i="7" s="1"/>
  <c r="D729" i="7"/>
  <c r="E729" i="7" s="1"/>
  <c r="F729" i="7" s="1"/>
  <c r="G729" i="7" s="1"/>
  <c r="D728" i="7"/>
  <c r="E728" i="7" s="1"/>
  <c r="F728" i="7" s="1"/>
  <c r="G728" i="7" s="1"/>
  <c r="D727" i="7"/>
  <c r="E727" i="7" s="1"/>
  <c r="F727" i="7" s="1"/>
  <c r="G727" i="7" s="1"/>
  <c r="D726" i="7"/>
  <c r="E726" i="7" s="1"/>
  <c r="F726" i="7" s="1"/>
  <c r="G726" i="7" s="1"/>
  <c r="D725" i="7"/>
  <c r="E725" i="7" s="1"/>
  <c r="F725" i="7" s="1"/>
  <c r="G725" i="7" s="1"/>
  <c r="D724" i="7"/>
  <c r="E724" i="7" s="1"/>
  <c r="F724" i="7" s="1"/>
  <c r="G724" i="7" s="1"/>
  <c r="D723" i="7"/>
  <c r="E723" i="7" s="1"/>
  <c r="F723" i="7" s="1"/>
  <c r="G723" i="7" s="1"/>
  <c r="D722" i="7"/>
  <c r="E722" i="7" s="1"/>
  <c r="F722" i="7" s="1"/>
  <c r="G722" i="7" s="1"/>
  <c r="D721" i="7"/>
  <c r="E721" i="7" s="1"/>
  <c r="F721" i="7" s="1"/>
  <c r="G721" i="7" s="1"/>
  <c r="D720" i="7"/>
  <c r="E720" i="7" s="1"/>
  <c r="F720" i="7" s="1"/>
  <c r="G720" i="7" s="1"/>
  <c r="D719" i="7"/>
  <c r="E719" i="7" s="1"/>
  <c r="F719" i="7" s="1"/>
  <c r="G719" i="7" s="1"/>
  <c r="D718" i="7"/>
  <c r="E718" i="7" s="1"/>
  <c r="F718" i="7" s="1"/>
  <c r="G718" i="7" s="1"/>
  <c r="D717" i="7"/>
  <c r="E717" i="7" s="1"/>
  <c r="F717" i="7" s="1"/>
  <c r="G717" i="7" s="1"/>
  <c r="D716" i="7"/>
  <c r="E716" i="7" s="1"/>
  <c r="F716" i="7" s="1"/>
  <c r="G716" i="7" s="1"/>
  <c r="D715" i="7"/>
  <c r="E715" i="7" s="1"/>
  <c r="F715" i="7" s="1"/>
  <c r="G715" i="7" s="1"/>
  <c r="D714" i="7"/>
  <c r="E714" i="7" s="1"/>
  <c r="F714" i="7" s="1"/>
  <c r="G714" i="7" s="1"/>
  <c r="D713" i="7"/>
  <c r="E713" i="7" s="1"/>
  <c r="F713" i="7" s="1"/>
  <c r="G713" i="7" s="1"/>
  <c r="D712" i="7"/>
  <c r="E712" i="7" s="1"/>
  <c r="F712" i="7" s="1"/>
  <c r="G712" i="7" s="1"/>
  <c r="D711" i="7"/>
  <c r="E711" i="7" s="1"/>
  <c r="F711" i="7" s="1"/>
  <c r="G711" i="7" s="1"/>
  <c r="D710" i="7"/>
  <c r="E710" i="7" s="1"/>
  <c r="F710" i="7" s="1"/>
  <c r="G710" i="7" s="1"/>
  <c r="D709" i="7"/>
  <c r="E709" i="7" s="1"/>
  <c r="F709" i="7" s="1"/>
  <c r="G709" i="7" s="1"/>
  <c r="D708" i="7"/>
  <c r="E708" i="7" s="1"/>
  <c r="F708" i="7" s="1"/>
  <c r="G708" i="7" s="1"/>
  <c r="D707" i="7"/>
  <c r="E707" i="7" s="1"/>
  <c r="F707" i="7" s="1"/>
  <c r="G707" i="7" s="1"/>
  <c r="D706" i="7"/>
  <c r="E706" i="7" s="1"/>
  <c r="F706" i="7" s="1"/>
  <c r="G706" i="7" s="1"/>
  <c r="D705" i="7"/>
  <c r="E705" i="7" s="1"/>
  <c r="F705" i="7" s="1"/>
  <c r="G705" i="7" s="1"/>
  <c r="D704" i="7"/>
  <c r="E704" i="7" s="1"/>
  <c r="F704" i="7" s="1"/>
  <c r="G704" i="7" s="1"/>
  <c r="D703" i="7"/>
  <c r="E703" i="7" s="1"/>
  <c r="F703" i="7" s="1"/>
  <c r="G703" i="7" s="1"/>
  <c r="D702" i="7"/>
  <c r="E702" i="7" s="1"/>
  <c r="F702" i="7" s="1"/>
  <c r="G702" i="7" s="1"/>
  <c r="D701" i="7"/>
  <c r="E701" i="7" s="1"/>
  <c r="F701" i="7" s="1"/>
  <c r="G701" i="7" s="1"/>
  <c r="D700" i="7"/>
  <c r="E700" i="7" s="1"/>
  <c r="F700" i="7" s="1"/>
  <c r="G700" i="7" s="1"/>
  <c r="D699" i="7"/>
  <c r="E699" i="7" s="1"/>
  <c r="F699" i="7" s="1"/>
  <c r="G699" i="7" s="1"/>
  <c r="D698" i="7"/>
  <c r="E698" i="7" s="1"/>
  <c r="F698" i="7" s="1"/>
  <c r="G698" i="7" s="1"/>
  <c r="D697" i="7"/>
  <c r="E697" i="7" s="1"/>
  <c r="F697" i="7" s="1"/>
  <c r="G697" i="7" s="1"/>
  <c r="D696" i="7"/>
  <c r="E696" i="7" s="1"/>
  <c r="F696" i="7" s="1"/>
  <c r="G696" i="7" s="1"/>
  <c r="D695" i="7"/>
  <c r="E695" i="7" s="1"/>
  <c r="F695" i="7" s="1"/>
  <c r="G695" i="7" s="1"/>
  <c r="D694" i="7"/>
  <c r="E694" i="7" s="1"/>
  <c r="F694" i="7" s="1"/>
  <c r="G694" i="7" s="1"/>
  <c r="D693" i="7"/>
  <c r="E693" i="7" s="1"/>
  <c r="F693" i="7" s="1"/>
  <c r="G693" i="7" s="1"/>
  <c r="D692" i="7"/>
  <c r="E692" i="7" s="1"/>
  <c r="F692" i="7" s="1"/>
  <c r="G692" i="7" s="1"/>
  <c r="D691" i="7"/>
  <c r="E691" i="7" s="1"/>
  <c r="F691" i="7" s="1"/>
  <c r="G691" i="7" s="1"/>
  <c r="D690" i="7"/>
  <c r="E690" i="7" s="1"/>
  <c r="F690" i="7" s="1"/>
  <c r="G690" i="7" s="1"/>
  <c r="D689" i="7"/>
  <c r="E689" i="7" s="1"/>
  <c r="F689" i="7" s="1"/>
  <c r="G689" i="7" s="1"/>
  <c r="D688" i="7"/>
  <c r="E688" i="7" s="1"/>
  <c r="F688" i="7" s="1"/>
  <c r="G688" i="7" s="1"/>
  <c r="D687" i="7"/>
  <c r="E687" i="7" s="1"/>
  <c r="F687" i="7" s="1"/>
  <c r="G687" i="7" s="1"/>
  <c r="D686" i="7"/>
  <c r="E686" i="7" s="1"/>
  <c r="F686" i="7" s="1"/>
  <c r="G686" i="7" s="1"/>
  <c r="D685" i="7"/>
  <c r="E685" i="7" s="1"/>
  <c r="F685" i="7" s="1"/>
  <c r="G685" i="7" s="1"/>
  <c r="D684" i="7"/>
  <c r="E684" i="7" s="1"/>
  <c r="F684" i="7" s="1"/>
  <c r="G684" i="7" s="1"/>
  <c r="D683" i="7"/>
  <c r="E683" i="7" s="1"/>
  <c r="F683" i="7" s="1"/>
  <c r="G683" i="7" s="1"/>
  <c r="D682" i="7"/>
  <c r="E682" i="7" s="1"/>
  <c r="F682" i="7" s="1"/>
  <c r="G682" i="7" s="1"/>
  <c r="D681" i="7"/>
  <c r="E681" i="7" s="1"/>
  <c r="F681" i="7" s="1"/>
  <c r="G681" i="7" s="1"/>
  <c r="D680" i="7"/>
  <c r="E680" i="7" s="1"/>
  <c r="F680" i="7" s="1"/>
  <c r="G680" i="7" s="1"/>
  <c r="D679" i="7"/>
  <c r="E679" i="7" s="1"/>
  <c r="F679" i="7" s="1"/>
  <c r="G679" i="7" s="1"/>
  <c r="D678" i="7"/>
  <c r="E678" i="7" s="1"/>
  <c r="F678" i="7" s="1"/>
  <c r="G678" i="7" s="1"/>
  <c r="D677" i="7"/>
  <c r="E677" i="7" s="1"/>
  <c r="F677" i="7" s="1"/>
  <c r="G677" i="7" s="1"/>
  <c r="D676" i="7"/>
  <c r="E676" i="7" s="1"/>
  <c r="F676" i="7" s="1"/>
  <c r="G676" i="7" s="1"/>
  <c r="D675" i="7"/>
  <c r="E675" i="7" s="1"/>
  <c r="F675" i="7" s="1"/>
  <c r="G675" i="7" s="1"/>
  <c r="D674" i="7"/>
  <c r="E674" i="7" s="1"/>
  <c r="F674" i="7" s="1"/>
  <c r="G674" i="7" s="1"/>
  <c r="D673" i="7"/>
  <c r="E673" i="7" s="1"/>
  <c r="F673" i="7" s="1"/>
  <c r="G673" i="7" s="1"/>
  <c r="D672" i="7"/>
  <c r="E672" i="7" s="1"/>
  <c r="F672" i="7" s="1"/>
  <c r="G672" i="7" s="1"/>
  <c r="D671" i="7"/>
  <c r="E671" i="7" s="1"/>
  <c r="F671" i="7" s="1"/>
  <c r="G671" i="7" s="1"/>
  <c r="D670" i="7"/>
  <c r="E670" i="7" s="1"/>
  <c r="F670" i="7" s="1"/>
  <c r="G670" i="7" s="1"/>
  <c r="D669" i="7"/>
  <c r="E669" i="7" s="1"/>
  <c r="F669" i="7" s="1"/>
  <c r="G669" i="7" s="1"/>
  <c r="D668" i="7"/>
  <c r="E668" i="7" s="1"/>
  <c r="F668" i="7" s="1"/>
  <c r="G668" i="7" s="1"/>
  <c r="D667" i="7"/>
  <c r="E667" i="7" s="1"/>
  <c r="F667" i="7" s="1"/>
  <c r="G667" i="7" s="1"/>
  <c r="D666" i="7"/>
  <c r="E666" i="7" s="1"/>
  <c r="F666" i="7" s="1"/>
  <c r="G666" i="7" s="1"/>
  <c r="D665" i="7"/>
  <c r="E665" i="7" s="1"/>
  <c r="F665" i="7" s="1"/>
  <c r="G665" i="7" s="1"/>
  <c r="D664" i="7"/>
  <c r="E664" i="7" s="1"/>
  <c r="F664" i="7" s="1"/>
  <c r="G664" i="7" s="1"/>
  <c r="D663" i="7"/>
  <c r="E663" i="7" s="1"/>
  <c r="F663" i="7" s="1"/>
  <c r="G663" i="7" s="1"/>
  <c r="D662" i="7"/>
  <c r="E662" i="7" s="1"/>
  <c r="F662" i="7" s="1"/>
  <c r="G662" i="7" s="1"/>
  <c r="D661" i="7"/>
  <c r="E661" i="7" s="1"/>
  <c r="F661" i="7" s="1"/>
  <c r="G661" i="7" s="1"/>
  <c r="D660" i="7"/>
  <c r="E660" i="7" s="1"/>
  <c r="F660" i="7" s="1"/>
  <c r="G660" i="7" s="1"/>
  <c r="D659" i="7"/>
  <c r="E659" i="7" s="1"/>
  <c r="F659" i="7" s="1"/>
  <c r="G659" i="7" s="1"/>
  <c r="D658" i="7"/>
  <c r="E658" i="7" s="1"/>
  <c r="F658" i="7" s="1"/>
  <c r="G658" i="7" s="1"/>
  <c r="D657" i="7"/>
  <c r="E657" i="7" s="1"/>
  <c r="F657" i="7" s="1"/>
  <c r="G657" i="7" s="1"/>
  <c r="D656" i="7"/>
  <c r="E656" i="7" s="1"/>
  <c r="F656" i="7" s="1"/>
  <c r="G656" i="7" s="1"/>
  <c r="D655" i="7"/>
  <c r="E655" i="7" s="1"/>
  <c r="F655" i="7" s="1"/>
  <c r="G655" i="7" s="1"/>
  <c r="D654" i="7"/>
  <c r="E654" i="7" s="1"/>
  <c r="F654" i="7" s="1"/>
  <c r="G654" i="7" s="1"/>
  <c r="D653" i="7"/>
  <c r="E653" i="7" s="1"/>
  <c r="F653" i="7" s="1"/>
  <c r="G653" i="7" s="1"/>
  <c r="D652" i="7"/>
  <c r="E652" i="7" s="1"/>
  <c r="F652" i="7" s="1"/>
  <c r="G652" i="7" s="1"/>
  <c r="D651" i="7"/>
  <c r="E651" i="7" s="1"/>
  <c r="F651" i="7" s="1"/>
  <c r="G651" i="7" s="1"/>
  <c r="D650" i="7"/>
  <c r="E650" i="7" s="1"/>
  <c r="F650" i="7" s="1"/>
  <c r="G650" i="7" s="1"/>
  <c r="D649" i="7"/>
  <c r="E649" i="7" s="1"/>
  <c r="F649" i="7" s="1"/>
  <c r="G649" i="7" s="1"/>
  <c r="D648" i="7"/>
  <c r="E648" i="7" s="1"/>
  <c r="F648" i="7" s="1"/>
  <c r="G648" i="7" s="1"/>
  <c r="D647" i="7"/>
  <c r="E647" i="7" s="1"/>
  <c r="F647" i="7" s="1"/>
  <c r="G647" i="7" s="1"/>
  <c r="D646" i="7"/>
  <c r="E646" i="7" s="1"/>
  <c r="F646" i="7" s="1"/>
  <c r="G646" i="7" s="1"/>
  <c r="D645" i="7"/>
  <c r="E645" i="7" s="1"/>
  <c r="F645" i="7" s="1"/>
  <c r="G645" i="7" s="1"/>
  <c r="D644" i="7"/>
  <c r="E644" i="7" s="1"/>
  <c r="F644" i="7" s="1"/>
  <c r="G644" i="7" s="1"/>
  <c r="D643" i="7"/>
  <c r="E643" i="7" s="1"/>
  <c r="F643" i="7" s="1"/>
  <c r="G643" i="7" s="1"/>
  <c r="D642" i="7"/>
  <c r="E642" i="7" s="1"/>
  <c r="F642" i="7" s="1"/>
  <c r="G642" i="7" s="1"/>
  <c r="D641" i="7"/>
  <c r="E641" i="7" s="1"/>
  <c r="F641" i="7" s="1"/>
  <c r="G641" i="7" s="1"/>
  <c r="D640" i="7"/>
  <c r="E640" i="7" s="1"/>
  <c r="F640" i="7" s="1"/>
  <c r="G640" i="7" s="1"/>
  <c r="D639" i="7"/>
  <c r="E639" i="7" s="1"/>
  <c r="F639" i="7" s="1"/>
  <c r="G639" i="7" s="1"/>
  <c r="D638" i="7"/>
  <c r="E638" i="7" s="1"/>
  <c r="F638" i="7" s="1"/>
  <c r="G638" i="7" s="1"/>
  <c r="D637" i="7"/>
  <c r="E637" i="7" s="1"/>
  <c r="F637" i="7" s="1"/>
  <c r="G637" i="7" s="1"/>
  <c r="D636" i="7"/>
  <c r="E636" i="7" s="1"/>
  <c r="F636" i="7" s="1"/>
  <c r="G636" i="7" s="1"/>
  <c r="D635" i="7"/>
  <c r="E635" i="7" s="1"/>
  <c r="F635" i="7" s="1"/>
  <c r="G635" i="7" s="1"/>
  <c r="D634" i="7"/>
  <c r="E634" i="7" s="1"/>
  <c r="F634" i="7" s="1"/>
  <c r="G634" i="7" s="1"/>
  <c r="D633" i="7"/>
  <c r="E633" i="7" s="1"/>
  <c r="F633" i="7" s="1"/>
  <c r="G633" i="7" s="1"/>
  <c r="D632" i="7"/>
  <c r="E632" i="7" s="1"/>
  <c r="F632" i="7" s="1"/>
  <c r="G632" i="7" s="1"/>
  <c r="D631" i="7"/>
  <c r="E631" i="7" s="1"/>
  <c r="F631" i="7" s="1"/>
  <c r="G631" i="7" s="1"/>
  <c r="D630" i="7"/>
  <c r="E630" i="7" s="1"/>
  <c r="F630" i="7" s="1"/>
  <c r="G630" i="7" s="1"/>
  <c r="D629" i="7"/>
  <c r="E629" i="7" s="1"/>
  <c r="F629" i="7" s="1"/>
  <c r="G629" i="7" s="1"/>
  <c r="D628" i="7"/>
  <c r="E628" i="7" s="1"/>
  <c r="F628" i="7" s="1"/>
  <c r="G628" i="7" s="1"/>
  <c r="D627" i="7"/>
  <c r="E627" i="7" s="1"/>
  <c r="F627" i="7" s="1"/>
  <c r="G627" i="7" s="1"/>
  <c r="D626" i="7"/>
  <c r="E626" i="7" s="1"/>
  <c r="F626" i="7" s="1"/>
  <c r="G626" i="7" s="1"/>
  <c r="D625" i="7"/>
  <c r="E625" i="7" s="1"/>
  <c r="F625" i="7" s="1"/>
  <c r="G625" i="7" s="1"/>
  <c r="D624" i="7"/>
  <c r="E624" i="7" s="1"/>
  <c r="F624" i="7" s="1"/>
  <c r="G624" i="7" s="1"/>
  <c r="D623" i="7"/>
  <c r="E623" i="7" s="1"/>
  <c r="F623" i="7" s="1"/>
  <c r="G623" i="7" s="1"/>
  <c r="D622" i="7"/>
  <c r="E622" i="7" s="1"/>
  <c r="F622" i="7" s="1"/>
  <c r="G622" i="7" s="1"/>
  <c r="D621" i="7"/>
  <c r="E621" i="7" s="1"/>
  <c r="F621" i="7" s="1"/>
  <c r="G621" i="7" s="1"/>
  <c r="D620" i="7"/>
  <c r="E620" i="7" s="1"/>
  <c r="F620" i="7" s="1"/>
  <c r="G620" i="7" s="1"/>
  <c r="D619" i="7"/>
  <c r="E619" i="7" s="1"/>
  <c r="F619" i="7" s="1"/>
  <c r="G619" i="7" s="1"/>
  <c r="D618" i="7"/>
  <c r="E618" i="7" s="1"/>
  <c r="F618" i="7" s="1"/>
  <c r="G618" i="7" s="1"/>
  <c r="D617" i="7"/>
  <c r="E617" i="7" s="1"/>
  <c r="F617" i="7" s="1"/>
  <c r="G617" i="7" s="1"/>
  <c r="D616" i="7"/>
  <c r="E616" i="7" s="1"/>
  <c r="F616" i="7" s="1"/>
  <c r="G616" i="7" s="1"/>
  <c r="D615" i="7"/>
  <c r="E615" i="7" s="1"/>
  <c r="F615" i="7" s="1"/>
  <c r="G615" i="7" s="1"/>
  <c r="D614" i="7"/>
  <c r="E614" i="7" s="1"/>
  <c r="F614" i="7" s="1"/>
  <c r="G614" i="7" s="1"/>
  <c r="D613" i="7"/>
  <c r="E613" i="7" s="1"/>
  <c r="F613" i="7" s="1"/>
  <c r="G613" i="7" s="1"/>
  <c r="D612" i="7"/>
  <c r="E612" i="7" s="1"/>
  <c r="F612" i="7" s="1"/>
  <c r="G612" i="7" s="1"/>
  <c r="D611" i="7"/>
  <c r="E611" i="7" s="1"/>
  <c r="F611" i="7" s="1"/>
  <c r="G611" i="7" s="1"/>
  <c r="D610" i="7"/>
  <c r="E610" i="7" s="1"/>
  <c r="F610" i="7" s="1"/>
  <c r="G610" i="7" s="1"/>
  <c r="D609" i="7"/>
  <c r="E609" i="7" s="1"/>
  <c r="F609" i="7" s="1"/>
  <c r="G609" i="7" s="1"/>
  <c r="D608" i="7"/>
  <c r="E608" i="7" s="1"/>
  <c r="F608" i="7" s="1"/>
  <c r="G608" i="7" s="1"/>
  <c r="D607" i="7"/>
  <c r="E607" i="7" s="1"/>
  <c r="F607" i="7" s="1"/>
  <c r="G607" i="7" s="1"/>
  <c r="D606" i="7"/>
  <c r="E606" i="7" s="1"/>
  <c r="F606" i="7" s="1"/>
  <c r="G606" i="7" s="1"/>
  <c r="D605" i="7"/>
  <c r="E605" i="7" s="1"/>
  <c r="F605" i="7" s="1"/>
  <c r="G605" i="7" s="1"/>
  <c r="D604" i="7"/>
  <c r="E604" i="7" s="1"/>
  <c r="F604" i="7" s="1"/>
  <c r="G604" i="7" s="1"/>
  <c r="D603" i="7"/>
  <c r="E603" i="7" s="1"/>
  <c r="F603" i="7" s="1"/>
  <c r="G603" i="7" s="1"/>
  <c r="D602" i="7"/>
  <c r="E602" i="7" s="1"/>
  <c r="F602" i="7" s="1"/>
  <c r="G602" i="7" s="1"/>
  <c r="D601" i="7"/>
  <c r="E601" i="7" s="1"/>
  <c r="F601" i="7" s="1"/>
  <c r="G601" i="7" s="1"/>
  <c r="D600" i="7"/>
  <c r="E600" i="7" s="1"/>
  <c r="F600" i="7" s="1"/>
  <c r="G600" i="7" s="1"/>
  <c r="D599" i="7"/>
  <c r="E599" i="7" s="1"/>
  <c r="F599" i="7" s="1"/>
  <c r="G599" i="7" s="1"/>
  <c r="D598" i="7"/>
  <c r="E598" i="7" s="1"/>
  <c r="F598" i="7" s="1"/>
  <c r="G598" i="7" s="1"/>
  <c r="D597" i="7"/>
  <c r="E597" i="7" s="1"/>
  <c r="F597" i="7" s="1"/>
  <c r="G597" i="7" s="1"/>
  <c r="D596" i="7"/>
  <c r="E596" i="7" s="1"/>
  <c r="F596" i="7" s="1"/>
  <c r="G596" i="7" s="1"/>
  <c r="D595" i="7"/>
  <c r="E595" i="7" s="1"/>
  <c r="F595" i="7" s="1"/>
  <c r="G595" i="7" s="1"/>
  <c r="D594" i="7"/>
  <c r="E594" i="7" s="1"/>
  <c r="F594" i="7" s="1"/>
  <c r="G594" i="7" s="1"/>
  <c r="D593" i="7"/>
  <c r="E593" i="7" s="1"/>
  <c r="F593" i="7" s="1"/>
  <c r="G593" i="7" s="1"/>
  <c r="D592" i="7"/>
  <c r="E592" i="7" s="1"/>
  <c r="F592" i="7" s="1"/>
  <c r="G592" i="7" s="1"/>
  <c r="D591" i="7"/>
  <c r="E591" i="7" s="1"/>
  <c r="F591" i="7" s="1"/>
  <c r="G591" i="7" s="1"/>
  <c r="D590" i="7"/>
  <c r="E590" i="7" s="1"/>
  <c r="F590" i="7" s="1"/>
  <c r="G590" i="7" s="1"/>
  <c r="D589" i="7"/>
  <c r="E589" i="7" s="1"/>
  <c r="F589" i="7" s="1"/>
  <c r="G589" i="7" s="1"/>
  <c r="D588" i="7"/>
  <c r="E588" i="7" s="1"/>
  <c r="F588" i="7" s="1"/>
  <c r="G588" i="7" s="1"/>
  <c r="D587" i="7"/>
  <c r="E587" i="7" s="1"/>
  <c r="F587" i="7" s="1"/>
  <c r="G587" i="7" s="1"/>
  <c r="D586" i="7"/>
  <c r="E586" i="7" s="1"/>
  <c r="F586" i="7" s="1"/>
  <c r="G586" i="7" s="1"/>
  <c r="D585" i="7"/>
  <c r="E585" i="7" s="1"/>
  <c r="F585" i="7" s="1"/>
  <c r="G585" i="7" s="1"/>
  <c r="D584" i="7"/>
  <c r="E584" i="7" s="1"/>
  <c r="F584" i="7" s="1"/>
  <c r="G584" i="7" s="1"/>
  <c r="D583" i="7"/>
  <c r="E583" i="7" s="1"/>
  <c r="F583" i="7" s="1"/>
  <c r="G583" i="7" s="1"/>
  <c r="D582" i="7"/>
  <c r="E582" i="7" s="1"/>
  <c r="F582" i="7" s="1"/>
  <c r="G582" i="7" s="1"/>
  <c r="D581" i="7"/>
  <c r="E581" i="7" s="1"/>
  <c r="F581" i="7" s="1"/>
  <c r="G581" i="7" s="1"/>
  <c r="D580" i="7"/>
  <c r="E580" i="7" s="1"/>
  <c r="F580" i="7" s="1"/>
  <c r="G580" i="7" s="1"/>
  <c r="D579" i="7"/>
  <c r="E579" i="7" s="1"/>
  <c r="F579" i="7" s="1"/>
  <c r="G579" i="7" s="1"/>
  <c r="D578" i="7"/>
  <c r="E578" i="7" s="1"/>
  <c r="F578" i="7" s="1"/>
  <c r="G578" i="7" s="1"/>
  <c r="D577" i="7"/>
  <c r="E577" i="7" s="1"/>
  <c r="F577" i="7" s="1"/>
  <c r="G577" i="7" s="1"/>
  <c r="D576" i="7"/>
  <c r="E576" i="7" s="1"/>
  <c r="F576" i="7" s="1"/>
  <c r="G576" i="7" s="1"/>
  <c r="D575" i="7"/>
  <c r="E575" i="7" s="1"/>
  <c r="F575" i="7" s="1"/>
  <c r="G575" i="7" s="1"/>
  <c r="D574" i="7"/>
  <c r="E574" i="7" s="1"/>
  <c r="F574" i="7" s="1"/>
  <c r="G574" i="7" s="1"/>
  <c r="D573" i="7"/>
  <c r="E573" i="7" s="1"/>
  <c r="F573" i="7" s="1"/>
  <c r="G573" i="7" s="1"/>
  <c r="D572" i="7"/>
  <c r="E572" i="7" s="1"/>
  <c r="F572" i="7" s="1"/>
  <c r="G572" i="7" s="1"/>
  <c r="D571" i="7"/>
  <c r="E571" i="7" s="1"/>
  <c r="F571" i="7" s="1"/>
  <c r="G571" i="7" s="1"/>
  <c r="D570" i="7"/>
  <c r="E570" i="7" s="1"/>
  <c r="F570" i="7" s="1"/>
  <c r="G570" i="7" s="1"/>
  <c r="D569" i="7"/>
  <c r="E569" i="7" s="1"/>
  <c r="F569" i="7" s="1"/>
  <c r="G569" i="7" s="1"/>
  <c r="D568" i="7"/>
  <c r="E568" i="7" s="1"/>
  <c r="F568" i="7" s="1"/>
  <c r="G568" i="7" s="1"/>
  <c r="D567" i="7"/>
  <c r="E567" i="7" s="1"/>
  <c r="F567" i="7" s="1"/>
  <c r="G567" i="7" s="1"/>
  <c r="D566" i="7"/>
  <c r="E566" i="7" s="1"/>
  <c r="F566" i="7" s="1"/>
  <c r="G566" i="7" s="1"/>
  <c r="D565" i="7"/>
  <c r="E565" i="7" s="1"/>
  <c r="F565" i="7" s="1"/>
  <c r="G565" i="7" s="1"/>
  <c r="D564" i="7"/>
  <c r="E564" i="7" s="1"/>
  <c r="F564" i="7" s="1"/>
  <c r="G564" i="7" s="1"/>
  <c r="D563" i="7"/>
  <c r="E563" i="7" s="1"/>
  <c r="F563" i="7" s="1"/>
  <c r="G563" i="7" s="1"/>
  <c r="D562" i="7"/>
  <c r="E562" i="7" s="1"/>
  <c r="F562" i="7" s="1"/>
  <c r="G562" i="7" s="1"/>
  <c r="D561" i="7"/>
  <c r="E561" i="7" s="1"/>
  <c r="F561" i="7" s="1"/>
  <c r="G561" i="7" s="1"/>
  <c r="D560" i="7"/>
  <c r="E560" i="7" s="1"/>
  <c r="F560" i="7" s="1"/>
  <c r="G560" i="7" s="1"/>
  <c r="D559" i="7"/>
  <c r="E559" i="7" s="1"/>
  <c r="F559" i="7" s="1"/>
  <c r="G559" i="7" s="1"/>
  <c r="D558" i="7"/>
  <c r="E558" i="7" s="1"/>
  <c r="F558" i="7" s="1"/>
  <c r="G558" i="7" s="1"/>
  <c r="D557" i="7"/>
  <c r="E557" i="7" s="1"/>
  <c r="F557" i="7" s="1"/>
  <c r="G557" i="7" s="1"/>
  <c r="D556" i="7"/>
  <c r="E556" i="7" s="1"/>
  <c r="F556" i="7" s="1"/>
  <c r="G556" i="7" s="1"/>
  <c r="D555" i="7"/>
  <c r="E555" i="7" s="1"/>
  <c r="F555" i="7" s="1"/>
  <c r="G555" i="7" s="1"/>
  <c r="D554" i="7"/>
  <c r="E554" i="7" s="1"/>
  <c r="F554" i="7" s="1"/>
  <c r="G554" i="7" s="1"/>
  <c r="D553" i="7"/>
  <c r="E553" i="7" s="1"/>
  <c r="F553" i="7" s="1"/>
  <c r="G553" i="7" s="1"/>
  <c r="D552" i="7"/>
  <c r="E552" i="7" s="1"/>
  <c r="F552" i="7" s="1"/>
  <c r="G552" i="7" s="1"/>
  <c r="D551" i="7"/>
  <c r="E551" i="7" s="1"/>
  <c r="F551" i="7" s="1"/>
  <c r="G551" i="7" s="1"/>
  <c r="D550" i="7"/>
  <c r="E550" i="7" s="1"/>
  <c r="F550" i="7" s="1"/>
  <c r="G550" i="7" s="1"/>
  <c r="D549" i="7"/>
  <c r="E549" i="7" s="1"/>
  <c r="F549" i="7" s="1"/>
  <c r="G549" i="7" s="1"/>
  <c r="D548" i="7"/>
  <c r="E548" i="7" s="1"/>
  <c r="F548" i="7" s="1"/>
  <c r="G548" i="7" s="1"/>
  <c r="D547" i="7"/>
  <c r="E547" i="7" s="1"/>
  <c r="F547" i="7" s="1"/>
  <c r="G547" i="7" s="1"/>
  <c r="D546" i="7"/>
  <c r="E546" i="7" s="1"/>
  <c r="F546" i="7" s="1"/>
  <c r="G546" i="7" s="1"/>
  <c r="D545" i="7"/>
  <c r="E545" i="7" s="1"/>
  <c r="F545" i="7" s="1"/>
  <c r="G545" i="7" s="1"/>
  <c r="D544" i="7"/>
  <c r="E544" i="7" s="1"/>
  <c r="F544" i="7" s="1"/>
  <c r="G544" i="7" s="1"/>
  <c r="D543" i="7"/>
  <c r="E543" i="7" s="1"/>
  <c r="F543" i="7" s="1"/>
  <c r="G543" i="7" s="1"/>
  <c r="D542" i="7"/>
  <c r="E542" i="7" s="1"/>
  <c r="F542" i="7" s="1"/>
  <c r="G542" i="7" s="1"/>
  <c r="D541" i="7"/>
  <c r="E541" i="7" s="1"/>
  <c r="F541" i="7" s="1"/>
  <c r="G541" i="7" s="1"/>
  <c r="D540" i="7"/>
  <c r="E540" i="7" s="1"/>
  <c r="F540" i="7" s="1"/>
  <c r="G540" i="7" s="1"/>
  <c r="D539" i="7"/>
  <c r="E539" i="7" s="1"/>
  <c r="F539" i="7" s="1"/>
  <c r="G539" i="7" s="1"/>
  <c r="D538" i="7"/>
  <c r="E538" i="7" s="1"/>
  <c r="F538" i="7" s="1"/>
  <c r="G538" i="7" s="1"/>
  <c r="D537" i="7"/>
  <c r="E537" i="7" s="1"/>
  <c r="F537" i="7" s="1"/>
  <c r="G537" i="7" s="1"/>
  <c r="D536" i="7"/>
  <c r="E536" i="7" s="1"/>
  <c r="F536" i="7" s="1"/>
  <c r="G536" i="7" s="1"/>
  <c r="D535" i="7"/>
  <c r="E535" i="7" s="1"/>
  <c r="F535" i="7" s="1"/>
  <c r="G535" i="7" s="1"/>
  <c r="D534" i="7"/>
  <c r="E534" i="7" s="1"/>
  <c r="F534" i="7" s="1"/>
  <c r="G534" i="7" s="1"/>
  <c r="D533" i="7"/>
  <c r="E533" i="7" s="1"/>
  <c r="F533" i="7" s="1"/>
  <c r="G533" i="7" s="1"/>
  <c r="D532" i="7"/>
  <c r="E532" i="7" s="1"/>
  <c r="F532" i="7" s="1"/>
  <c r="G532" i="7" s="1"/>
  <c r="D531" i="7"/>
  <c r="E531" i="7" s="1"/>
  <c r="F531" i="7" s="1"/>
  <c r="G531" i="7" s="1"/>
  <c r="D530" i="7"/>
  <c r="E530" i="7" s="1"/>
  <c r="F530" i="7" s="1"/>
  <c r="G530" i="7" s="1"/>
  <c r="D529" i="7"/>
  <c r="E529" i="7" s="1"/>
  <c r="F529" i="7" s="1"/>
  <c r="G529" i="7" s="1"/>
  <c r="D528" i="7"/>
  <c r="E528" i="7" s="1"/>
  <c r="F528" i="7" s="1"/>
  <c r="G528" i="7" s="1"/>
  <c r="D527" i="7"/>
  <c r="E527" i="7" s="1"/>
  <c r="F527" i="7" s="1"/>
  <c r="G527" i="7" s="1"/>
  <c r="D526" i="7"/>
  <c r="E526" i="7" s="1"/>
  <c r="F526" i="7" s="1"/>
  <c r="G526" i="7" s="1"/>
  <c r="D525" i="7"/>
  <c r="E525" i="7" s="1"/>
  <c r="F525" i="7" s="1"/>
  <c r="G525" i="7" s="1"/>
  <c r="D524" i="7"/>
  <c r="E524" i="7" s="1"/>
  <c r="F524" i="7" s="1"/>
  <c r="G524" i="7" s="1"/>
  <c r="D523" i="7"/>
  <c r="E523" i="7" s="1"/>
  <c r="F523" i="7" s="1"/>
  <c r="G523" i="7" s="1"/>
  <c r="D522" i="7"/>
  <c r="E522" i="7" s="1"/>
  <c r="F522" i="7" s="1"/>
  <c r="G522" i="7" s="1"/>
  <c r="D521" i="7"/>
  <c r="E521" i="7" s="1"/>
  <c r="F521" i="7" s="1"/>
  <c r="G521" i="7" s="1"/>
  <c r="D520" i="7"/>
  <c r="E520" i="7" s="1"/>
  <c r="F520" i="7" s="1"/>
  <c r="G520" i="7" s="1"/>
  <c r="D519" i="7"/>
  <c r="E519" i="7" s="1"/>
  <c r="F519" i="7" s="1"/>
  <c r="G519" i="7" s="1"/>
  <c r="D518" i="7"/>
  <c r="E518" i="7" s="1"/>
  <c r="F518" i="7" s="1"/>
  <c r="G518" i="7" s="1"/>
  <c r="D517" i="7"/>
  <c r="E517" i="7" s="1"/>
  <c r="F517" i="7" s="1"/>
  <c r="G517" i="7" s="1"/>
  <c r="D516" i="7"/>
  <c r="E516" i="7" s="1"/>
  <c r="F516" i="7" s="1"/>
  <c r="G516" i="7" s="1"/>
  <c r="D515" i="7"/>
  <c r="E515" i="7" s="1"/>
  <c r="F515" i="7" s="1"/>
  <c r="G515" i="7" s="1"/>
  <c r="D514" i="7"/>
  <c r="E514" i="7" s="1"/>
  <c r="F514" i="7" s="1"/>
  <c r="G514" i="7" s="1"/>
  <c r="D513" i="7"/>
  <c r="E513" i="7" s="1"/>
  <c r="F513" i="7" s="1"/>
  <c r="G513" i="7" s="1"/>
  <c r="D512" i="7"/>
  <c r="E512" i="7" s="1"/>
  <c r="F512" i="7" s="1"/>
  <c r="G512" i="7" s="1"/>
  <c r="D511" i="7"/>
  <c r="E511" i="7" s="1"/>
  <c r="F511" i="7" s="1"/>
  <c r="G511" i="7" s="1"/>
  <c r="D510" i="7"/>
  <c r="E510" i="7" s="1"/>
  <c r="F510" i="7" s="1"/>
  <c r="G510" i="7" s="1"/>
  <c r="D509" i="7"/>
  <c r="E509" i="7" s="1"/>
  <c r="F509" i="7" s="1"/>
  <c r="G509" i="7" s="1"/>
  <c r="D508" i="7"/>
  <c r="E508" i="7" s="1"/>
  <c r="F508" i="7" s="1"/>
  <c r="G508" i="7" s="1"/>
  <c r="D507" i="7"/>
  <c r="E507" i="7" s="1"/>
  <c r="F507" i="7" s="1"/>
  <c r="G507" i="7" s="1"/>
  <c r="D506" i="7"/>
  <c r="E506" i="7" s="1"/>
  <c r="F506" i="7" s="1"/>
  <c r="G506" i="7" s="1"/>
  <c r="D505" i="7"/>
  <c r="E505" i="7" s="1"/>
  <c r="F505" i="7" s="1"/>
  <c r="G505" i="7" s="1"/>
  <c r="D504" i="7"/>
  <c r="E504" i="7" s="1"/>
  <c r="F504" i="7" s="1"/>
  <c r="G504" i="7" s="1"/>
  <c r="D503" i="7"/>
  <c r="E503" i="7" s="1"/>
  <c r="F503" i="7" s="1"/>
  <c r="G503" i="7" s="1"/>
  <c r="D502" i="7"/>
  <c r="E502" i="7" s="1"/>
  <c r="F502" i="7" s="1"/>
  <c r="G502" i="7" s="1"/>
  <c r="D501" i="7"/>
  <c r="E501" i="7" s="1"/>
  <c r="F501" i="7" s="1"/>
  <c r="G501" i="7" s="1"/>
  <c r="D500" i="7"/>
  <c r="E500" i="7" s="1"/>
  <c r="F500" i="7" s="1"/>
  <c r="G500" i="7" s="1"/>
  <c r="D499" i="7"/>
  <c r="E499" i="7" s="1"/>
  <c r="F499" i="7" s="1"/>
  <c r="G499" i="7" s="1"/>
  <c r="D498" i="7"/>
  <c r="E498" i="7" s="1"/>
  <c r="F498" i="7" s="1"/>
  <c r="G498" i="7" s="1"/>
  <c r="D497" i="7"/>
  <c r="E497" i="7" s="1"/>
  <c r="F497" i="7" s="1"/>
  <c r="G497" i="7" s="1"/>
  <c r="D496" i="7"/>
  <c r="E496" i="7" s="1"/>
  <c r="F496" i="7" s="1"/>
  <c r="G496" i="7" s="1"/>
  <c r="D495" i="7"/>
  <c r="E495" i="7" s="1"/>
  <c r="F495" i="7" s="1"/>
  <c r="G495" i="7" s="1"/>
  <c r="D494" i="7"/>
  <c r="E494" i="7" s="1"/>
  <c r="F494" i="7" s="1"/>
  <c r="G494" i="7" s="1"/>
  <c r="D493" i="7"/>
  <c r="E493" i="7" s="1"/>
  <c r="F493" i="7" s="1"/>
  <c r="G493" i="7" s="1"/>
  <c r="D492" i="7"/>
  <c r="E492" i="7" s="1"/>
  <c r="F492" i="7" s="1"/>
  <c r="G492" i="7" s="1"/>
  <c r="D491" i="7"/>
  <c r="E491" i="7" s="1"/>
  <c r="F491" i="7" s="1"/>
  <c r="G491" i="7" s="1"/>
  <c r="D490" i="7"/>
  <c r="E490" i="7" s="1"/>
  <c r="F490" i="7" s="1"/>
  <c r="G490" i="7" s="1"/>
  <c r="D489" i="7"/>
  <c r="E489" i="7" s="1"/>
  <c r="F489" i="7" s="1"/>
  <c r="G489" i="7" s="1"/>
  <c r="D488" i="7"/>
  <c r="E488" i="7" s="1"/>
  <c r="F488" i="7" s="1"/>
  <c r="G488" i="7" s="1"/>
  <c r="D487" i="7"/>
  <c r="E487" i="7" s="1"/>
  <c r="F487" i="7" s="1"/>
  <c r="G487" i="7" s="1"/>
  <c r="D486" i="7"/>
  <c r="E486" i="7" s="1"/>
  <c r="F486" i="7" s="1"/>
  <c r="G486" i="7" s="1"/>
  <c r="D485" i="7"/>
  <c r="E485" i="7" s="1"/>
  <c r="F485" i="7" s="1"/>
  <c r="G485" i="7" s="1"/>
  <c r="D484" i="7"/>
  <c r="E484" i="7" s="1"/>
  <c r="F484" i="7" s="1"/>
  <c r="G484" i="7" s="1"/>
  <c r="D483" i="7"/>
  <c r="E483" i="7" s="1"/>
  <c r="F483" i="7" s="1"/>
  <c r="G483" i="7" s="1"/>
  <c r="D482" i="7"/>
  <c r="E482" i="7" s="1"/>
  <c r="F482" i="7" s="1"/>
  <c r="G482" i="7" s="1"/>
  <c r="D481" i="7"/>
  <c r="E481" i="7" s="1"/>
  <c r="F481" i="7" s="1"/>
  <c r="G481" i="7" s="1"/>
  <c r="D480" i="7"/>
  <c r="E480" i="7" s="1"/>
  <c r="F480" i="7" s="1"/>
  <c r="G480" i="7" s="1"/>
  <c r="D479" i="7"/>
  <c r="E479" i="7" s="1"/>
  <c r="F479" i="7" s="1"/>
  <c r="G479" i="7" s="1"/>
  <c r="D478" i="7"/>
  <c r="E478" i="7" s="1"/>
  <c r="F478" i="7" s="1"/>
  <c r="G478" i="7" s="1"/>
  <c r="D477" i="7"/>
  <c r="E477" i="7" s="1"/>
  <c r="F477" i="7" s="1"/>
  <c r="G477" i="7" s="1"/>
  <c r="D476" i="7"/>
  <c r="E476" i="7" s="1"/>
  <c r="F476" i="7" s="1"/>
  <c r="G476" i="7" s="1"/>
  <c r="D475" i="7"/>
  <c r="E475" i="7" s="1"/>
  <c r="F475" i="7" s="1"/>
  <c r="G475" i="7" s="1"/>
  <c r="D474" i="7"/>
  <c r="E474" i="7" s="1"/>
  <c r="F474" i="7" s="1"/>
  <c r="G474" i="7" s="1"/>
  <c r="D473" i="7"/>
  <c r="E473" i="7" s="1"/>
  <c r="F473" i="7" s="1"/>
  <c r="G473" i="7" s="1"/>
  <c r="D472" i="7"/>
  <c r="E472" i="7" s="1"/>
  <c r="F472" i="7" s="1"/>
  <c r="G472" i="7" s="1"/>
  <c r="D471" i="7"/>
  <c r="E471" i="7" s="1"/>
  <c r="F471" i="7" s="1"/>
  <c r="G471" i="7" s="1"/>
  <c r="D470" i="7"/>
  <c r="E470" i="7" s="1"/>
  <c r="F470" i="7" s="1"/>
  <c r="G470" i="7" s="1"/>
  <c r="D469" i="7"/>
  <c r="E469" i="7" s="1"/>
  <c r="F469" i="7" s="1"/>
  <c r="G469" i="7" s="1"/>
  <c r="D468" i="7"/>
  <c r="E468" i="7" s="1"/>
  <c r="F468" i="7" s="1"/>
  <c r="G468" i="7" s="1"/>
  <c r="D467" i="7"/>
  <c r="E467" i="7" s="1"/>
  <c r="F467" i="7" s="1"/>
  <c r="G467" i="7" s="1"/>
  <c r="D466" i="7"/>
  <c r="E466" i="7" s="1"/>
  <c r="F466" i="7" s="1"/>
  <c r="G466" i="7" s="1"/>
  <c r="D465" i="7"/>
  <c r="E465" i="7" s="1"/>
  <c r="F465" i="7" s="1"/>
  <c r="G465" i="7" s="1"/>
  <c r="D464" i="7"/>
  <c r="E464" i="7" s="1"/>
  <c r="F464" i="7" s="1"/>
  <c r="G464" i="7" s="1"/>
  <c r="D463" i="7"/>
  <c r="E463" i="7" s="1"/>
  <c r="F463" i="7" s="1"/>
  <c r="G463" i="7" s="1"/>
  <c r="D462" i="7"/>
  <c r="E462" i="7" s="1"/>
  <c r="F462" i="7" s="1"/>
  <c r="G462" i="7" s="1"/>
  <c r="D461" i="7"/>
  <c r="E461" i="7" s="1"/>
  <c r="F461" i="7" s="1"/>
  <c r="G461" i="7" s="1"/>
  <c r="D460" i="7"/>
  <c r="E460" i="7" s="1"/>
  <c r="F460" i="7" s="1"/>
  <c r="G460" i="7" s="1"/>
  <c r="D459" i="7"/>
  <c r="E459" i="7" s="1"/>
  <c r="F459" i="7" s="1"/>
  <c r="G459" i="7" s="1"/>
  <c r="D458" i="7"/>
  <c r="E458" i="7" s="1"/>
  <c r="F458" i="7" s="1"/>
  <c r="G458" i="7" s="1"/>
  <c r="D457" i="7"/>
  <c r="E457" i="7" s="1"/>
  <c r="F457" i="7" s="1"/>
  <c r="G457" i="7" s="1"/>
  <c r="D456" i="7"/>
  <c r="E456" i="7" s="1"/>
  <c r="F456" i="7" s="1"/>
  <c r="G456" i="7" s="1"/>
  <c r="D455" i="7"/>
  <c r="E455" i="7" s="1"/>
  <c r="F455" i="7" s="1"/>
  <c r="G455" i="7" s="1"/>
  <c r="D454" i="7"/>
  <c r="E454" i="7" s="1"/>
  <c r="F454" i="7" s="1"/>
  <c r="G454" i="7" s="1"/>
  <c r="D453" i="7"/>
  <c r="E453" i="7" s="1"/>
  <c r="F453" i="7" s="1"/>
  <c r="G453" i="7" s="1"/>
  <c r="D452" i="7"/>
  <c r="E452" i="7" s="1"/>
  <c r="F452" i="7" s="1"/>
  <c r="G452" i="7" s="1"/>
  <c r="D451" i="7"/>
  <c r="E451" i="7" s="1"/>
  <c r="F451" i="7" s="1"/>
  <c r="G451" i="7" s="1"/>
  <c r="D450" i="7"/>
  <c r="E450" i="7" s="1"/>
  <c r="F450" i="7" s="1"/>
  <c r="G450" i="7" s="1"/>
  <c r="D449" i="7"/>
  <c r="E449" i="7" s="1"/>
  <c r="F449" i="7" s="1"/>
  <c r="G449" i="7" s="1"/>
  <c r="D448" i="7"/>
  <c r="E448" i="7" s="1"/>
  <c r="F448" i="7" s="1"/>
  <c r="G448" i="7" s="1"/>
  <c r="D447" i="7"/>
  <c r="E447" i="7" s="1"/>
  <c r="F447" i="7" s="1"/>
  <c r="G447" i="7" s="1"/>
  <c r="D446" i="7"/>
  <c r="E446" i="7" s="1"/>
  <c r="F446" i="7" s="1"/>
  <c r="G446" i="7" s="1"/>
  <c r="D445" i="7"/>
  <c r="E445" i="7" s="1"/>
  <c r="F445" i="7" s="1"/>
  <c r="G445" i="7" s="1"/>
  <c r="D444" i="7"/>
  <c r="E444" i="7" s="1"/>
  <c r="F444" i="7" s="1"/>
  <c r="G444" i="7" s="1"/>
  <c r="D443" i="7"/>
  <c r="E443" i="7" s="1"/>
  <c r="F443" i="7" s="1"/>
  <c r="G443" i="7" s="1"/>
  <c r="D442" i="7"/>
  <c r="E442" i="7" s="1"/>
  <c r="F442" i="7" s="1"/>
  <c r="G442" i="7" s="1"/>
  <c r="D441" i="7"/>
  <c r="E441" i="7" s="1"/>
  <c r="F441" i="7" s="1"/>
  <c r="G441" i="7" s="1"/>
  <c r="D440" i="7"/>
  <c r="E440" i="7" s="1"/>
  <c r="F440" i="7" s="1"/>
  <c r="G440" i="7" s="1"/>
  <c r="D439" i="7"/>
  <c r="E439" i="7" s="1"/>
  <c r="F439" i="7" s="1"/>
  <c r="G439" i="7" s="1"/>
  <c r="D438" i="7"/>
  <c r="E438" i="7" s="1"/>
  <c r="F438" i="7" s="1"/>
  <c r="G438" i="7" s="1"/>
  <c r="D437" i="7"/>
  <c r="E437" i="7" s="1"/>
  <c r="F437" i="7" s="1"/>
  <c r="G437" i="7" s="1"/>
  <c r="D436" i="7"/>
  <c r="E436" i="7" s="1"/>
  <c r="F436" i="7" s="1"/>
  <c r="G436" i="7" s="1"/>
  <c r="D435" i="7"/>
  <c r="E435" i="7" s="1"/>
  <c r="F435" i="7" s="1"/>
  <c r="G435" i="7" s="1"/>
  <c r="D434" i="7"/>
  <c r="E434" i="7" s="1"/>
  <c r="F434" i="7" s="1"/>
  <c r="G434" i="7" s="1"/>
  <c r="D433" i="7"/>
  <c r="E433" i="7" s="1"/>
  <c r="F433" i="7" s="1"/>
  <c r="G433" i="7" s="1"/>
  <c r="D432" i="7"/>
  <c r="E432" i="7" s="1"/>
  <c r="F432" i="7" s="1"/>
  <c r="G432" i="7" s="1"/>
  <c r="D431" i="7"/>
  <c r="E431" i="7" s="1"/>
  <c r="F431" i="7" s="1"/>
  <c r="G431" i="7" s="1"/>
  <c r="D430" i="7"/>
  <c r="E430" i="7" s="1"/>
  <c r="F430" i="7" s="1"/>
  <c r="G430" i="7" s="1"/>
  <c r="D429" i="7"/>
  <c r="E429" i="7" s="1"/>
  <c r="F429" i="7" s="1"/>
  <c r="G429" i="7" s="1"/>
  <c r="D428" i="7"/>
  <c r="E428" i="7" s="1"/>
  <c r="F428" i="7" s="1"/>
  <c r="G428" i="7" s="1"/>
  <c r="D427" i="7"/>
  <c r="E427" i="7" s="1"/>
  <c r="F427" i="7" s="1"/>
  <c r="G427" i="7" s="1"/>
  <c r="D426" i="7"/>
  <c r="E426" i="7" s="1"/>
  <c r="F426" i="7" s="1"/>
  <c r="G426" i="7" s="1"/>
  <c r="D425" i="7"/>
  <c r="E425" i="7" s="1"/>
  <c r="F425" i="7" s="1"/>
  <c r="G425" i="7" s="1"/>
  <c r="D424" i="7"/>
  <c r="E424" i="7" s="1"/>
  <c r="F424" i="7" s="1"/>
  <c r="G424" i="7" s="1"/>
  <c r="D423" i="7"/>
  <c r="E423" i="7" s="1"/>
  <c r="F423" i="7" s="1"/>
  <c r="G423" i="7" s="1"/>
  <c r="D422" i="7"/>
  <c r="E422" i="7" s="1"/>
  <c r="F422" i="7" s="1"/>
  <c r="G422" i="7" s="1"/>
  <c r="D421" i="7"/>
  <c r="E421" i="7" s="1"/>
  <c r="F421" i="7" s="1"/>
  <c r="G421" i="7" s="1"/>
  <c r="D420" i="7"/>
  <c r="E420" i="7" s="1"/>
  <c r="F420" i="7" s="1"/>
  <c r="G420" i="7" s="1"/>
  <c r="D419" i="7"/>
  <c r="E419" i="7" s="1"/>
  <c r="F419" i="7" s="1"/>
  <c r="G419" i="7" s="1"/>
  <c r="D418" i="7"/>
  <c r="E418" i="7" s="1"/>
  <c r="F418" i="7" s="1"/>
  <c r="G418" i="7" s="1"/>
  <c r="D417" i="7"/>
  <c r="E417" i="7" s="1"/>
  <c r="F417" i="7" s="1"/>
  <c r="G417" i="7" s="1"/>
  <c r="D416" i="7"/>
  <c r="E416" i="7" s="1"/>
  <c r="F416" i="7" s="1"/>
  <c r="G416" i="7" s="1"/>
  <c r="D415" i="7"/>
  <c r="E415" i="7" s="1"/>
  <c r="F415" i="7" s="1"/>
  <c r="G415" i="7" s="1"/>
  <c r="D414" i="7"/>
  <c r="E414" i="7" s="1"/>
  <c r="F414" i="7" s="1"/>
  <c r="G414" i="7" s="1"/>
  <c r="D413" i="7"/>
  <c r="E413" i="7" s="1"/>
  <c r="F413" i="7" s="1"/>
  <c r="G413" i="7" s="1"/>
  <c r="D412" i="7"/>
  <c r="E412" i="7" s="1"/>
  <c r="F412" i="7" s="1"/>
  <c r="G412" i="7" s="1"/>
  <c r="D411" i="7"/>
  <c r="E411" i="7" s="1"/>
  <c r="F411" i="7" s="1"/>
  <c r="G411" i="7" s="1"/>
  <c r="D410" i="7"/>
  <c r="E410" i="7" s="1"/>
  <c r="F410" i="7" s="1"/>
  <c r="G410" i="7" s="1"/>
  <c r="D409" i="7"/>
  <c r="E409" i="7" s="1"/>
  <c r="F409" i="7" s="1"/>
  <c r="G409" i="7" s="1"/>
  <c r="D408" i="7"/>
  <c r="E408" i="7" s="1"/>
  <c r="F408" i="7" s="1"/>
  <c r="G408" i="7" s="1"/>
  <c r="D407" i="7"/>
  <c r="E407" i="7" s="1"/>
  <c r="F407" i="7" s="1"/>
  <c r="G407" i="7" s="1"/>
  <c r="D406" i="7"/>
  <c r="E406" i="7" s="1"/>
  <c r="F406" i="7" s="1"/>
  <c r="G406" i="7" s="1"/>
  <c r="D405" i="7"/>
  <c r="E405" i="7" s="1"/>
  <c r="F405" i="7" s="1"/>
  <c r="G405" i="7" s="1"/>
  <c r="D404" i="7"/>
  <c r="E404" i="7" s="1"/>
  <c r="F404" i="7" s="1"/>
  <c r="G404" i="7" s="1"/>
  <c r="D403" i="7"/>
  <c r="E403" i="7" s="1"/>
  <c r="F403" i="7" s="1"/>
  <c r="G403" i="7" s="1"/>
  <c r="D402" i="7"/>
  <c r="E402" i="7" s="1"/>
  <c r="F402" i="7" s="1"/>
  <c r="G402" i="7" s="1"/>
  <c r="D401" i="7"/>
  <c r="E401" i="7" s="1"/>
  <c r="F401" i="7" s="1"/>
  <c r="G401" i="7" s="1"/>
  <c r="D400" i="7"/>
  <c r="E400" i="7" s="1"/>
  <c r="F400" i="7" s="1"/>
  <c r="G400" i="7" s="1"/>
  <c r="D399" i="7"/>
  <c r="E399" i="7" s="1"/>
  <c r="F399" i="7" s="1"/>
  <c r="G399" i="7" s="1"/>
  <c r="D398" i="7"/>
  <c r="E398" i="7" s="1"/>
  <c r="F398" i="7" s="1"/>
  <c r="G398" i="7" s="1"/>
  <c r="D397" i="7"/>
  <c r="E397" i="7" s="1"/>
  <c r="F397" i="7" s="1"/>
  <c r="G397" i="7" s="1"/>
  <c r="D396" i="7"/>
  <c r="E396" i="7" s="1"/>
  <c r="F396" i="7" s="1"/>
  <c r="G396" i="7" s="1"/>
  <c r="D395" i="7"/>
  <c r="E395" i="7" s="1"/>
  <c r="F395" i="7" s="1"/>
  <c r="G395" i="7" s="1"/>
  <c r="D394" i="7"/>
  <c r="E394" i="7" s="1"/>
  <c r="F394" i="7" s="1"/>
  <c r="G394" i="7" s="1"/>
  <c r="D393" i="7"/>
  <c r="E393" i="7" s="1"/>
  <c r="F393" i="7" s="1"/>
  <c r="G393" i="7" s="1"/>
  <c r="D392" i="7"/>
  <c r="E392" i="7" s="1"/>
  <c r="F392" i="7" s="1"/>
  <c r="G392" i="7" s="1"/>
  <c r="D391" i="7"/>
  <c r="E391" i="7" s="1"/>
  <c r="F391" i="7" s="1"/>
  <c r="G391" i="7" s="1"/>
  <c r="D390" i="7"/>
  <c r="E390" i="7" s="1"/>
  <c r="F390" i="7" s="1"/>
  <c r="G390" i="7" s="1"/>
  <c r="D389" i="7"/>
  <c r="E389" i="7" s="1"/>
  <c r="F389" i="7" s="1"/>
  <c r="G389" i="7" s="1"/>
  <c r="D388" i="7"/>
  <c r="E388" i="7" s="1"/>
  <c r="F388" i="7" s="1"/>
  <c r="G388" i="7" s="1"/>
  <c r="D387" i="7"/>
  <c r="E387" i="7" s="1"/>
  <c r="F387" i="7" s="1"/>
  <c r="G387" i="7" s="1"/>
  <c r="D386" i="7"/>
  <c r="E386" i="7" s="1"/>
  <c r="F386" i="7" s="1"/>
  <c r="G386" i="7" s="1"/>
  <c r="D385" i="7"/>
  <c r="E385" i="7" s="1"/>
  <c r="F385" i="7" s="1"/>
  <c r="G385" i="7" s="1"/>
  <c r="D384" i="7"/>
  <c r="E384" i="7" s="1"/>
  <c r="F384" i="7" s="1"/>
  <c r="G384" i="7" s="1"/>
  <c r="D383" i="7"/>
  <c r="E383" i="7" s="1"/>
  <c r="F383" i="7" s="1"/>
  <c r="G383" i="7" s="1"/>
  <c r="D382" i="7"/>
  <c r="E382" i="7" s="1"/>
  <c r="F382" i="7" s="1"/>
  <c r="G382" i="7" s="1"/>
  <c r="D381" i="7"/>
  <c r="E381" i="7" s="1"/>
  <c r="F381" i="7" s="1"/>
  <c r="G381" i="7" s="1"/>
  <c r="D380" i="7"/>
  <c r="E380" i="7" s="1"/>
  <c r="F380" i="7" s="1"/>
  <c r="G380" i="7" s="1"/>
  <c r="D379" i="7"/>
  <c r="E379" i="7" s="1"/>
  <c r="F379" i="7" s="1"/>
  <c r="G379" i="7" s="1"/>
  <c r="D378" i="7"/>
  <c r="E378" i="7" s="1"/>
  <c r="F378" i="7" s="1"/>
  <c r="G378" i="7" s="1"/>
  <c r="D377" i="7"/>
  <c r="E377" i="7" s="1"/>
  <c r="F377" i="7" s="1"/>
  <c r="G377" i="7" s="1"/>
  <c r="D376" i="7"/>
  <c r="E376" i="7" s="1"/>
  <c r="F376" i="7" s="1"/>
  <c r="G376" i="7" s="1"/>
  <c r="D375" i="7"/>
  <c r="E375" i="7" s="1"/>
  <c r="F375" i="7" s="1"/>
  <c r="G375" i="7" s="1"/>
  <c r="D374" i="7"/>
  <c r="E374" i="7" s="1"/>
  <c r="F374" i="7" s="1"/>
  <c r="G374" i="7" s="1"/>
  <c r="D373" i="7"/>
  <c r="E373" i="7" s="1"/>
  <c r="F373" i="7" s="1"/>
  <c r="G373" i="7" s="1"/>
  <c r="D372" i="7"/>
  <c r="E372" i="7" s="1"/>
  <c r="F372" i="7" s="1"/>
  <c r="G372" i="7" s="1"/>
  <c r="D371" i="7"/>
  <c r="E371" i="7" s="1"/>
  <c r="F371" i="7" s="1"/>
  <c r="G371" i="7" s="1"/>
  <c r="D370" i="7"/>
  <c r="E370" i="7" s="1"/>
  <c r="F370" i="7" s="1"/>
  <c r="G370" i="7" s="1"/>
  <c r="D369" i="7"/>
  <c r="E369" i="7" s="1"/>
  <c r="F369" i="7" s="1"/>
  <c r="G369" i="7" s="1"/>
  <c r="D368" i="7"/>
  <c r="E368" i="7" s="1"/>
  <c r="F368" i="7" s="1"/>
  <c r="G368" i="7" s="1"/>
  <c r="D367" i="7"/>
  <c r="E367" i="7" s="1"/>
  <c r="F367" i="7" s="1"/>
  <c r="G367" i="7" s="1"/>
  <c r="D366" i="7"/>
  <c r="E366" i="7" s="1"/>
  <c r="F366" i="7" s="1"/>
  <c r="G366" i="7" s="1"/>
  <c r="D365" i="7"/>
  <c r="E365" i="7" s="1"/>
  <c r="F365" i="7" s="1"/>
  <c r="G365" i="7" s="1"/>
  <c r="D364" i="7"/>
  <c r="E364" i="7" s="1"/>
  <c r="F364" i="7" s="1"/>
  <c r="G364" i="7" s="1"/>
  <c r="D363" i="7"/>
  <c r="E363" i="7" s="1"/>
  <c r="F363" i="7" s="1"/>
  <c r="G363" i="7" s="1"/>
  <c r="D362" i="7"/>
  <c r="E362" i="7" s="1"/>
  <c r="F362" i="7" s="1"/>
  <c r="G362" i="7" s="1"/>
  <c r="D361" i="7"/>
  <c r="E361" i="7" s="1"/>
  <c r="F361" i="7" s="1"/>
  <c r="G361" i="7" s="1"/>
  <c r="D360" i="7"/>
  <c r="E360" i="7" s="1"/>
  <c r="F360" i="7" s="1"/>
  <c r="G360" i="7" s="1"/>
  <c r="D359" i="7"/>
  <c r="E359" i="7" s="1"/>
  <c r="F359" i="7" s="1"/>
  <c r="G359" i="7" s="1"/>
  <c r="D358" i="7"/>
  <c r="E358" i="7" s="1"/>
  <c r="F358" i="7" s="1"/>
  <c r="G358" i="7" s="1"/>
  <c r="D357" i="7"/>
  <c r="E357" i="7" s="1"/>
  <c r="F357" i="7" s="1"/>
  <c r="G357" i="7" s="1"/>
  <c r="D356" i="7"/>
  <c r="E356" i="7" s="1"/>
  <c r="F356" i="7" s="1"/>
  <c r="G356" i="7" s="1"/>
  <c r="D355" i="7"/>
  <c r="E355" i="7" s="1"/>
  <c r="F355" i="7" s="1"/>
  <c r="G355" i="7" s="1"/>
  <c r="D354" i="7"/>
  <c r="E354" i="7" s="1"/>
  <c r="F354" i="7" s="1"/>
  <c r="G354" i="7" s="1"/>
  <c r="D353" i="7"/>
  <c r="E353" i="7" s="1"/>
  <c r="F353" i="7" s="1"/>
  <c r="G353" i="7" s="1"/>
  <c r="D352" i="7"/>
  <c r="E352" i="7" s="1"/>
  <c r="F352" i="7" s="1"/>
  <c r="G352" i="7" s="1"/>
  <c r="D351" i="7"/>
  <c r="E351" i="7" s="1"/>
  <c r="F351" i="7" s="1"/>
  <c r="G351" i="7" s="1"/>
  <c r="D350" i="7"/>
  <c r="E350" i="7" s="1"/>
  <c r="F350" i="7" s="1"/>
  <c r="G350" i="7" s="1"/>
  <c r="D349" i="7"/>
  <c r="E349" i="7" s="1"/>
  <c r="F349" i="7" s="1"/>
  <c r="G349" i="7" s="1"/>
  <c r="D348" i="7"/>
  <c r="E348" i="7" s="1"/>
  <c r="F348" i="7" s="1"/>
  <c r="G348" i="7" s="1"/>
  <c r="D347" i="7"/>
  <c r="E347" i="7" s="1"/>
  <c r="F347" i="7" s="1"/>
  <c r="G347" i="7" s="1"/>
  <c r="D346" i="7"/>
  <c r="E346" i="7" s="1"/>
  <c r="F346" i="7" s="1"/>
  <c r="G346" i="7" s="1"/>
  <c r="D345" i="7"/>
  <c r="E345" i="7" s="1"/>
  <c r="F345" i="7" s="1"/>
  <c r="G345" i="7" s="1"/>
  <c r="D344" i="7"/>
  <c r="E344" i="7" s="1"/>
  <c r="F344" i="7" s="1"/>
  <c r="G344" i="7" s="1"/>
  <c r="D343" i="7"/>
  <c r="E343" i="7" s="1"/>
  <c r="F343" i="7" s="1"/>
  <c r="G343" i="7" s="1"/>
  <c r="D342" i="7"/>
  <c r="E342" i="7" s="1"/>
  <c r="F342" i="7" s="1"/>
  <c r="G342" i="7" s="1"/>
  <c r="D341" i="7"/>
  <c r="E341" i="7" s="1"/>
  <c r="F341" i="7" s="1"/>
  <c r="G341" i="7" s="1"/>
  <c r="D340" i="7"/>
  <c r="E340" i="7" s="1"/>
  <c r="F340" i="7" s="1"/>
  <c r="G340" i="7" s="1"/>
  <c r="D339" i="7"/>
  <c r="E339" i="7" s="1"/>
  <c r="F339" i="7" s="1"/>
  <c r="G339" i="7" s="1"/>
  <c r="D338" i="7"/>
  <c r="E338" i="7" s="1"/>
  <c r="F338" i="7" s="1"/>
  <c r="G338" i="7" s="1"/>
  <c r="D337" i="7"/>
  <c r="E337" i="7" s="1"/>
  <c r="F337" i="7" s="1"/>
  <c r="G337" i="7" s="1"/>
  <c r="D336" i="7"/>
  <c r="E336" i="7" s="1"/>
  <c r="F336" i="7" s="1"/>
  <c r="G336" i="7" s="1"/>
  <c r="D335" i="7"/>
  <c r="E335" i="7" s="1"/>
  <c r="F335" i="7" s="1"/>
  <c r="G335" i="7" s="1"/>
  <c r="D334" i="7"/>
  <c r="E334" i="7" s="1"/>
  <c r="F334" i="7" s="1"/>
  <c r="G334" i="7" s="1"/>
  <c r="D333" i="7"/>
  <c r="E333" i="7" s="1"/>
  <c r="F333" i="7" s="1"/>
  <c r="G333" i="7" s="1"/>
  <c r="D332" i="7"/>
  <c r="E332" i="7" s="1"/>
  <c r="F332" i="7" s="1"/>
  <c r="G332" i="7" s="1"/>
  <c r="D331" i="7"/>
  <c r="E331" i="7" s="1"/>
  <c r="F331" i="7" s="1"/>
  <c r="G331" i="7" s="1"/>
  <c r="D330" i="7"/>
  <c r="E330" i="7" s="1"/>
  <c r="F330" i="7" s="1"/>
  <c r="G330" i="7" s="1"/>
  <c r="D329" i="7"/>
  <c r="E329" i="7" s="1"/>
  <c r="F329" i="7" s="1"/>
  <c r="G329" i="7" s="1"/>
  <c r="D328" i="7"/>
  <c r="E328" i="7" s="1"/>
  <c r="F328" i="7" s="1"/>
  <c r="G328" i="7" s="1"/>
  <c r="D327" i="7"/>
  <c r="E327" i="7" s="1"/>
  <c r="F327" i="7" s="1"/>
  <c r="G327" i="7" s="1"/>
  <c r="D326" i="7"/>
  <c r="E326" i="7" s="1"/>
  <c r="F326" i="7" s="1"/>
  <c r="G326" i="7" s="1"/>
  <c r="D325" i="7"/>
  <c r="E325" i="7" s="1"/>
  <c r="F325" i="7" s="1"/>
  <c r="G325" i="7" s="1"/>
  <c r="D324" i="7"/>
  <c r="E324" i="7" s="1"/>
  <c r="F324" i="7" s="1"/>
  <c r="G324" i="7" s="1"/>
  <c r="D323" i="7"/>
  <c r="E323" i="7" s="1"/>
  <c r="F323" i="7" s="1"/>
  <c r="G323" i="7" s="1"/>
  <c r="D322" i="7"/>
  <c r="E322" i="7" s="1"/>
  <c r="F322" i="7" s="1"/>
  <c r="G322" i="7" s="1"/>
  <c r="D321" i="7"/>
  <c r="E321" i="7" s="1"/>
  <c r="F321" i="7" s="1"/>
  <c r="G321" i="7" s="1"/>
  <c r="D320" i="7"/>
  <c r="E320" i="7" s="1"/>
  <c r="F320" i="7" s="1"/>
  <c r="G320" i="7" s="1"/>
  <c r="D319" i="7"/>
  <c r="E319" i="7" s="1"/>
  <c r="F319" i="7" s="1"/>
  <c r="G319" i="7" s="1"/>
  <c r="D318" i="7"/>
  <c r="E318" i="7" s="1"/>
  <c r="F318" i="7" s="1"/>
  <c r="G318" i="7" s="1"/>
  <c r="D317" i="7"/>
  <c r="E317" i="7" s="1"/>
  <c r="F317" i="7" s="1"/>
  <c r="G317" i="7" s="1"/>
  <c r="D316" i="7"/>
  <c r="E316" i="7" s="1"/>
  <c r="F316" i="7" s="1"/>
  <c r="G316" i="7" s="1"/>
  <c r="D315" i="7"/>
  <c r="E315" i="7" s="1"/>
  <c r="F315" i="7" s="1"/>
  <c r="G315" i="7" s="1"/>
  <c r="D314" i="7"/>
  <c r="E314" i="7" s="1"/>
  <c r="F314" i="7" s="1"/>
  <c r="G314" i="7" s="1"/>
  <c r="D313" i="7"/>
  <c r="E313" i="7" s="1"/>
  <c r="F313" i="7" s="1"/>
  <c r="G313" i="7" s="1"/>
  <c r="D312" i="7"/>
  <c r="E312" i="7" s="1"/>
  <c r="F312" i="7" s="1"/>
  <c r="G312" i="7" s="1"/>
  <c r="D311" i="7"/>
  <c r="E311" i="7" s="1"/>
  <c r="F311" i="7" s="1"/>
  <c r="G311" i="7" s="1"/>
  <c r="D310" i="7"/>
  <c r="E310" i="7" s="1"/>
  <c r="F310" i="7" s="1"/>
  <c r="G310" i="7" s="1"/>
  <c r="D309" i="7"/>
  <c r="E309" i="7" s="1"/>
  <c r="F309" i="7" s="1"/>
  <c r="G309" i="7" s="1"/>
  <c r="D308" i="7"/>
  <c r="E308" i="7" s="1"/>
  <c r="F308" i="7" s="1"/>
  <c r="G308" i="7" s="1"/>
  <c r="D307" i="7"/>
  <c r="E307" i="7" s="1"/>
  <c r="F307" i="7" s="1"/>
  <c r="G307" i="7" s="1"/>
  <c r="D306" i="7"/>
  <c r="E306" i="7" s="1"/>
  <c r="F306" i="7" s="1"/>
  <c r="G306" i="7" s="1"/>
  <c r="D305" i="7"/>
  <c r="E305" i="7" s="1"/>
  <c r="F305" i="7" s="1"/>
  <c r="G305" i="7" s="1"/>
  <c r="D304" i="7"/>
  <c r="E304" i="7" s="1"/>
  <c r="F304" i="7" s="1"/>
  <c r="G304" i="7" s="1"/>
  <c r="D303" i="7"/>
  <c r="E303" i="7" s="1"/>
  <c r="F303" i="7" s="1"/>
  <c r="G303" i="7" s="1"/>
  <c r="D302" i="7"/>
  <c r="E302" i="7" s="1"/>
  <c r="F302" i="7" s="1"/>
  <c r="G302" i="7" s="1"/>
  <c r="D301" i="7"/>
  <c r="E301" i="7" s="1"/>
  <c r="F301" i="7" s="1"/>
  <c r="G301" i="7" s="1"/>
  <c r="D300" i="7"/>
  <c r="E300" i="7" s="1"/>
  <c r="F300" i="7" s="1"/>
  <c r="G300" i="7" s="1"/>
  <c r="D299" i="7"/>
  <c r="E299" i="7" s="1"/>
  <c r="F299" i="7" s="1"/>
  <c r="G299" i="7" s="1"/>
  <c r="D298" i="7"/>
  <c r="E298" i="7" s="1"/>
  <c r="F298" i="7" s="1"/>
  <c r="G298" i="7" s="1"/>
  <c r="D297" i="7"/>
  <c r="E297" i="7" s="1"/>
  <c r="F297" i="7" s="1"/>
  <c r="G297" i="7" s="1"/>
  <c r="D296" i="7"/>
  <c r="E296" i="7" s="1"/>
  <c r="F296" i="7" s="1"/>
  <c r="G296" i="7" s="1"/>
  <c r="D295" i="7"/>
  <c r="E295" i="7" s="1"/>
  <c r="F295" i="7" s="1"/>
  <c r="G295" i="7" s="1"/>
  <c r="D294" i="7"/>
  <c r="E294" i="7" s="1"/>
  <c r="F294" i="7" s="1"/>
  <c r="G294" i="7" s="1"/>
  <c r="D293" i="7"/>
  <c r="E293" i="7" s="1"/>
  <c r="F293" i="7" s="1"/>
  <c r="G293" i="7" s="1"/>
  <c r="D292" i="7"/>
  <c r="E292" i="7" s="1"/>
  <c r="F292" i="7" s="1"/>
  <c r="G292" i="7" s="1"/>
  <c r="D291" i="7"/>
  <c r="E291" i="7" s="1"/>
  <c r="F291" i="7" s="1"/>
  <c r="G291" i="7" s="1"/>
  <c r="D290" i="7"/>
  <c r="E290" i="7" s="1"/>
  <c r="F290" i="7" s="1"/>
  <c r="G290" i="7" s="1"/>
  <c r="D289" i="7"/>
  <c r="E289" i="7" s="1"/>
  <c r="F289" i="7" s="1"/>
  <c r="G289" i="7" s="1"/>
  <c r="D288" i="7"/>
  <c r="E288" i="7" s="1"/>
  <c r="F288" i="7" s="1"/>
  <c r="G288" i="7" s="1"/>
  <c r="D287" i="7"/>
  <c r="E287" i="7" s="1"/>
  <c r="F287" i="7" s="1"/>
  <c r="G287" i="7" s="1"/>
  <c r="D286" i="7"/>
  <c r="E286" i="7" s="1"/>
  <c r="F286" i="7" s="1"/>
  <c r="G286" i="7" s="1"/>
  <c r="D285" i="7"/>
  <c r="E285" i="7" s="1"/>
  <c r="F285" i="7" s="1"/>
  <c r="G285" i="7" s="1"/>
  <c r="D284" i="7"/>
  <c r="E284" i="7" s="1"/>
  <c r="F284" i="7" s="1"/>
  <c r="G284" i="7" s="1"/>
  <c r="D283" i="7"/>
  <c r="E283" i="7" s="1"/>
  <c r="F283" i="7" s="1"/>
  <c r="G283" i="7" s="1"/>
  <c r="D282" i="7"/>
  <c r="E282" i="7" s="1"/>
  <c r="F282" i="7" s="1"/>
  <c r="G282" i="7" s="1"/>
  <c r="D281" i="7"/>
  <c r="E281" i="7" s="1"/>
  <c r="F281" i="7" s="1"/>
  <c r="G281" i="7" s="1"/>
  <c r="D280" i="7"/>
  <c r="E280" i="7" s="1"/>
  <c r="F280" i="7" s="1"/>
  <c r="G280" i="7" s="1"/>
  <c r="D279" i="7"/>
  <c r="E279" i="7" s="1"/>
  <c r="F279" i="7" s="1"/>
  <c r="G279" i="7" s="1"/>
  <c r="D278" i="7"/>
  <c r="E278" i="7" s="1"/>
  <c r="F278" i="7" s="1"/>
  <c r="G278" i="7" s="1"/>
  <c r="D277" i="7"/>
  <c r="E277" i="7" s="1"/>
  <c r="F277" i="7" s="1"/>
  <c r="G277" i="7" s="1"/>
  <c r="D276" i="7"/>
  <c r="E276" i="7" s="1"/>
  <c r="F276" i="7" s="1"/>
  <c r="G276" i="7" s="1"/>
  <c r="D275" i="7"/>
  <c r="E275" i="7" s="1"/>
  <c r="F275" i="7" s="1"/>
  <c r="G275" i="7" s="1"/>
  <c r="D274" i="7"/>
  <c r="E274" i="7" s="1"/>
  <c r="F274" i="7" s="1"/>
  <c r="G274" i="7" s="1"/>
  <c r="D273" i="7"/>
  <c r="E273" i="7" s="1"/>
  <c r="F273" i="7" s="1"/>
  <c r="G273" i="7" s="1"/>
  <c r="D272" i="7"/>
  <c r="E272" i="7" s="1"/>
  <c r="F272" i="7" s="1"/>
  <c r="G272" i="7" s="1"/>
  <c r="D271" i="7"/>
  <c r="E271" i="7" s="1"/>
  <c r="F271" i="7" s="1"/>
  <c r="G271" i="7" s="1"/>
  <c r="D270" i="7"/>
  <c r="E270" i="7" s="1"/>
  <c r="F270" i="7" s="1"/>
  <c r="G270" i="7" s="1"/>
  <c r="D269" i="7"/>
  <c r="E269" i="7" s="1"/>
  <c r="F269" i="7" s="1"/>
  <c r="G269" i="7" s="1"/>
  <c r="D268" i="7"/>
  <c r="E268" i="7" s="1"/>
  <c r="F268" i="7" s="1"/>
  <c r="G268" i="7" s="1"/>
  <c r="D267" i="7"/>
  <c r="E267" i="7" s="1"/>
  <c r="F267" i="7" s="1"/>
  <c r="G267" i="7" s="1"/>
  <c r="D266" i="7"/>
  <c r="E266" i="7" s="1"/>
  <c r="F266" i="7" s="1"/>
  <c r="G266" i="7" s="1"/>
  <c r="D265" i="7"/>
  <c r="E265" i="7" s="1"/>
  <c r="F265" i="7" s="1"/>
  <c r="G265" i="7" s="1"/>
  <c r="D264" i="7"/>
  <c r="E264" i="7" s="1"/>
  <c r="F264" i="7" s="1"/>
  <c r="G264" i="7" s="1"/>
  <c r="D263" i="7"/>
  <c r="E263" i="7" s="1"/>
  <c r="F263" i="7" s="1"/>
  <c r="G263" i="7" s="1"/>
  <c r="D262" i="7"/>
  <c r="E262" i="7" s="1"/>
  <c r="F262" i="7" s="1"/>
  <c r="G262" i="7" s="1"/>
  <c r="D261" i="7"/>
  <c r="E261" i="7" s="1"/>
  <c r="F261" i="7" s="1"/>
  <c r="G261" i="7" s="1"/>
  <c r="D260" i="7"/>
  <c r="E260" i="7" s="1"/>
  <c r="F260" i="7" s="1"/>
  <c r="G260" i="7" s="1"/>
  <c r="D259" i="7"/>
  <c r="E259" i="7" s="1"/>
  <c r="F259" i="7" s="1"/>
  <c r="G259" i="7" s="1"/>
  <c r="D258" i="7"/>
  <c r="E258" i="7" s="1"/>
  <c r="F258" i="7" s="1"/>
  <c r="G258" i="7" s="1"/>
  <c r="D257" i="7"/>
  <c r="E257" i="7" s="1"/>
  <c r="F257" i="7" s="1"/>
  <c r="G257" i="7" s="1"/>
  <c r="D256" i="7"/>
  <c r="E256" i="7" s="1"/>
  <c r="F256" i="7" s="1"/>
  <c r="G256" i="7" s="1"/>
  <c r="D255" i="7"/>
  <c r="E255" i="7" s="1"/>
  <c r="F255" i="7" s="1"/>
  <c r="G255" i="7" s="1"/>
  <c r="D254" i="7"/>
  <c r="E254" i="7" s="1"/>
  <c r="F254" i="7" s="1"/>
  <c r="G254" i="7" s="1"/>
  <c r="D253" i="7"/>
  <c r="E253" i="7" s="1"/>
  <c r="F253" i="7" s="1"/>
  <c r="G253" i="7" s="1"/>
  <c r="D252" i="7"/>
  <c r="E252" i="7" s="1"/>
  <c r="F252" i="7" s="1"/>
  <c r="G252" i="7" s="1"/>
  <c r="D251" i="7"/>
  <c r="E251" i="7" s="1"/>
  <c r="F251" i="7" s="1"/>
  <c r="G251" i="7" s="1"/>
  <c r="D250" i="7"/>
  <c r="E250" i="7" s="1"/>
  <c r="F250" i="7" s="1"/>
  <c r="G250" i="7" s="1"/>
  <c r="D249" i="7"/>
  <c r="E249" i="7" s="1"/>
  <c r="F249" i="7" s="1"/>
  <c r="G249" i="7" s="1"/>
  <c r="D248" i="7"/>
  <c r="E248" i="7" s="1"/>
  <c r="F248" i="7" s="1"/>
  <c r="G248" i="7" s="1"/>
  <c r="D247" i="7"/>
  <c r="E247" i="7" s="1"/>
  <c r="F247" i="7" s="1"/>
  <c r="G247" i="7" s="1"/>
  <c r="D246" i="7"/>
  <c r="E246" i="7" s="1"/>
  <c r="F246" i="7" s="1"/>
  <c r="G246" i="7" s="1"/>
  <c r="D245" i="7"/>
  <c r="E245" i="7" s="1"/>
  <c r="F245" i="7" s="1"/>
  <c r="G245" i="7" s="1"/>
  <c r="D244" i="7"/>
  <c r="E244" i="7" s="1"/>
  <c r="F244" i="7" s="1"/>
  <c r="G244" i="7" s="1"/>
  <c r="D243" i="7"/>
  <c r="E243" i="7" s="1"/>
  <c r="F243" i="7" s="1"/>
  <c r="G243" i="7" s="1"/>
  <c r="D242" i="7"/>
  <c r="E242" i="7" s="1"/>
  <c r="F242" i="7" s="1"/>
  <c r="G242" i="7" s="1"/>
  <c r="D241" i="7"/>
  <c r="E241" i="7" s="1"/>
  <c r="F241" i="7" s="1"/>
  <c r="G241" i="7" s="1"/>
  <c r="D240" i="7"/>
  <c r="E240" i="7" s="1"/>
  <c r="F240" i="7" s="1"/>
  <c r="G240" i="7" s="1"/>
  <c r="D239" i="7"/>
  <c r="E239" i="7" s="1"/>
  <c r="F239" i="7" s="1"/>
  <c r="G239" i="7" s="1"/>
  <c r="D238" i="7"/>
  <c r="E238" i="7" s="1"/>
  <c r="F238" i="7" s="1"/>
  <c r="G238" i="7" s="1"/>
  <c r="D237" i="7"/>
  <c r="E237" i="7" s="1"/>
  <c r="F237" i="7" s="1"/>
  <c r="G237" i="7" s="1"/>
  <c r="D236" i="7"/>
  <c r="E236" i="7" s="1"/>
  <c r="F236" i="7" s="1"/>
  <c r="G236" i="7" s="1"/>
  <c r="D235" i="7"/>
  <c r="E235" i="7" s="1"/>
  <c r="F235" i="7" s="1"/>
  <c r="G235" i="7" s="1"/>
  <c r="D234" i="7"/>
  <c r="E234" i="7" s="1"/>
  <c r="F234" i="7" s="1"/>
  <c r="G234" i="7" s="1"/>
  <c r="D233" i="7"/>
  <c r="E233" i="7" s="1"/>
  <c r="F233" i="7" s="1"/>
  <c r="G233" i="7" s="1"/>
  <c r="D232" i="7"/>
  <c r="E232" i="7" s="1"/>
  <c r="F232" i="7" s="1"/>
  <c r="G232" i="7" s="1"/>
  <c r="D231" i="7"/>
  <c r="E231" i="7" s="1"/>
  <c r="F231" i="7" s="1"/>
  <c r="G231" i="7" s="1"/>
  <c r="D230" i="7"/>
  <c r="E230" i="7" s="1"/>
  <c r="F230" i="7" s="1"/>
  <c r="G230" i="7" s="1"/>
  <c r="D229" i="7"/>
  <c r="E229" i="7" s="1"/>
  <c r="F229" i="7" s="1"/>
  <c r="G229" i="7" s="1"/>
  <c r="D228" i="7"/>
  <c r="E228" i="7" s="1"/>
  <c r="F228" i="7" s="1"/>
  <c r="G228" i="7" s="1"/>
  <c r="D227" i="7"/>
  <c r="E227" i="7" s="1"/>
  <c r="F227" i="7" s="1"/>
  <c r="G227" i="7" s="1"/>
  <c r="D226" i="7"/>
  <c r="E226" i="7" s="1"/>
  <c r="F226" i="7" s="1"/>
  <c r="G226" i="7" s="1"/>
  <c r="D225" i="7"/>
  <c r="E225" i="7" s="1"/>
  <c r="F225" i="7" s="1"/>
  <c r="G225" i="7" s="1"/>
  <c r="D224" i="7"/>
  <c r="E224" i="7" s="1"/>
  <c r="F224" i="7" s="1"/>
  <c r="G224" i="7" s="1"/>
  <c r="D223" i="7"/>
  <c r="E223" i="7" s="1"/>
  <c r="F223" i="7" s="1"/>
  <c r="G223" i="7" s="1"/>
  <c r="D222" i="7"/>
  <c r="E222" i="7" s="1"/>
  <c r="F222" i="7" s="1"/>
  <c r="G222" i="7" s="1"/>
  <c r="D221" i="7"/>
  <c r="E221" i="7" s="1"/>
  <c r="F221" i="7" s="1"/>
  <c r="G221" i="7" s="1"/>
  <c r="D220" i="7"/>
  <c r="E220" i="7" s="1"/>
  <c r="F220" i="7" s="1"/>
  <c r="G220" i="7" s="1"/>
  <c r="D219" i="7"/>
  <c r="E219" i="7" s="1"/>
  <c r="F219" i="7" s="1"/>
  <c r="G219" i="7" s="1"/>
  <c r="D218" i="7"/>
  <c r="E218" i="7" s="1"/>
  <c r="F218" i="7" s="1"/>
  <c r="G218" i="7" s="1"/>
  <c r="D217" i="7"/>
  <c r="E217" i="7" s="1"/>
  <c r="F217" i="7" s="1"/>
  <c r="G217" i="7" s="1"/>
  <c r="D216" i="7"/>
  <c r="E216" i="7" s="1"/>
  <c r="F216" i="7" s="1"/>
  <c r="G216" i="7" s="1"/>
  <c r="D215" i="7"/>
  <c r="E215" i="7" s="1"/>
  <c r="F215" i="7" s="1"/>
  <c r="G215" i="7" s="1"/>
  <c r="D214" i="7"/>
  <c r="E214" i="7" s="1"/>
  <c r="F214" i="7" s="1"/>
  <c r="G214" i="7" s="1"/>
  <c r="D213" i="7"/>
  <c r="E213" i="7" s="1"/>
  <c r="F213" i="7" s="1"/>
  <c r="G213" i="7" s="1"/>
  <c r="D212" i="7"/>
  <c r="E212" i="7" s="1"/>
  <c r="F212" i="7" s="1"/>
  <c r="G212" i="7" s="1"/>
  <c r="D211" i="7"/>
  <c r="E211" i="7" s="1"/>
  <c r="F211" i="7" s="1"/>
  <c r="G211" i="7" s="1"/>
  <c r="D210" i="7"/>
  <c r="E210" i="7" s="1"/>
  <c r="F210" i="7" s="1"/>
  <c r="G210" i="7" s="1"/>
  <c r="D209" i="7"/>
  <c r="E209" i="7" s="1"/>
  <c r="F209" i="7" s="1"/>
  <c r="G209" i="7" s="1"/>
  <c r="D208" i="7"/>
  <c r="E208" i="7" s="1"/>
  <c r="F208" i="7" s="1"/>
  <c r="G208" i="7" s="1"/>
  <c r="D207" i="7"/>
  <c r="E207" i="7" s="1"/>
  <c r="F207" i="7" s="1"/>
  <c r="G207" i="7" s="1"/>
  <c r="D206" i="7"/>
  <c r="E206" i="7" s="1"/>
  <c r="F206" i="7" s="1"/>
  <c r="G206" i="7" s="1"/>
  <c r="D205" i="7"/>
  <c r="E205" i="7" s="1"/>
  <c r="F205" i="7" s="1"/>
  <c r="G205" i="7" s="1"/>
  <c r="D204" i="7"/>
  <c r="E204" i="7" s="1"/>
  <c r="F204" i="7" s="1"/>
  <c r="G204" i="7" s="1"/>
  <c r="D203" i="7"/>
  <c r="E203" i="7" s="1"/>
  <c r="F203" i="7" s="1"/>
  <c r="G203" i="7" s="1"/>
  <c r="D202" i="7"/>
  <c r="E202" i="7" s="1"/>
  <c r="F202" i="7" s="1"/>
  <c r="G202" i="7" s="1"/>
  <c r="D201" i="7"/>
  <c r="E201" i="7" s="1"/>
  <c r="F201" i="7" s="1"/>
  <c r="G201" i="7" s="1"/>
  <c r="D200" i="7"/>
  <c r="E200" i="7" s="1"/>
  <c r="F200" i="7" s="1"/>
  <c r="G200" i="7" s="1"/>
  <c r="D199" i="7"/>
  <c r="E199" i="7" s="1"/>
  <c r="F199" i="7" s="1"/>
  <c r="G199" i="7" s="1"/>
  <c r="D198" i="7"/>
  <c r="E198" i="7" s="1"/>
  <c r="F198" i="7" s="1"/>
  <c r="G198" i="7" s="1"/>
  <c r="D197" i="7"/>
  <c r="E197" i="7" s="1"/>
  <c r="F197" i="7" s="1"/>
  <c r="G197" i="7" s="1"/>
  <c r="D196" i="7"/>
  <c r="E196" i="7" s="1"/>
  <c r="F196" i="7" s="1"/>
  <c r="G196" i="7" s="1"/>
  <c r="D195" i="7"/>
  <c r="E195" i="7" s="1"/>
  <c r="F195" i="7" s="1"/>
  <c r="G195" i="7" s="1"/>
  <c r="D194" i="7"/>
  <c r="E194" i="7" s="1"/>
  <c r="F194" i="7" s="1"/>
  <c r="G194" i="7" s="1"/>
  <c r="D193" i="7"/>
  <c r="E193" i="7" s="1"/>
  <c r="F193" i="7" s="1"/>
  <c r="G193" i="7" s="1"/>
  <c r="D192" i="7"/>
  <c r="E192" i="7" s="1"/>
  <c r="F192" i="7" s="1"/>
  <c r="G192" i="7" s="1"/>
  <c r="D191" i="7"/>
  <c r="E191" i="7" s="1"/>
  <c r="F191" i="7" s="1"/>
  <c r="G191" i="7" s="1"/>
  <c r="D190" i="7"/>
  <c r="E190" i="7" s="1"/>
  <c r="F190" i="7" s="1"/>
  <c r="G190" i="7" s="1"/>
  <c r="D189" i="7"/>
  <c r="E189" i="7" s="1"/>
  <c r="F189" i="7" s="1"/>
  <c r="G189" i="7" s="1"/>
  <c r="D188" i="7"/>
  <c r="E188" i="7" s="1"/>
  <c r="F188" i="7" s="1"/>
  <c r="G188" i="7" s="1"/>
  <c r="D187" i="7"/>
  <c r="E187" i="7" s="1"/>
  <c r="F187" i="7" s="1"/>
  <c r="G187" i="7" s="1"/>
  <c r="D186" i="7"/>
  <c r="E186" i="7" s="1"/>
  <c r="F186" i="7" s="1"/>
  <c r="G186" i="7" s="1"/>
  <c r="D185" i="7"/>
  <c r="E185" i="7" s="1"/>
  <c r="F185" i="7" s="1"/>
  <c r="G185" i="7" s="1"/>
  <c r="D184" i="7"/>
  <c r="E184" i="7" s="1"/>
  <c r="F184" i="7" s="1"/>
  <c r="G184" i="7" s="1"/>
  <c r="D183" i="7"/>
  <c r="E183" i="7" s="1"/>
  <c r="F183" i="7" s="1"/>
  <c r="G183" i="7" s="1"/>
  <c r="D182" i="7"/>
  <c r="E182" i="7" s="1"/>
  <c r="F182" i="7" s="1"/>
  <c r="G182" i="7" s="1"/>
  <c r="D181" i="7"/>
  <c r="E181" i="7" s="1"/>
  <c r="F181" i="7" s="1"/>
  <c r="G181" i="7" s="1"/>
  <c r="D180" i="7"/>
  <c r="E180" i="7" s="1"/>
  <c r="F180" i="7" s="1"/>
  <c r="G180" i="7" s="1"/>
  <c r="D179" i="7"/>
  <c r="E179" i="7" s="1"/>
  <c r="F179" i="7" s="1"/>
  <c r="G179" i="7" s="1"/>
  <c r="D178" i="7"/>
  <c r="E178" i="7" s="1"/>
  <c r="F178" i="7" s="1"/>
  <c r="G178" i="7" s="1"/>
  <c r="D177" i="7"/>
  <c r="E177" i="7" s="1"/>
  <c r="F177" i="7" s="1"/>
  <c r="G177" i="7" s="1"/>
  <c r="D176" i="7"/>
  <c r="E176" i="7" s="1"/>
  <c r="F176" i="7" s="1"/>
  <c r="G176" i="7" s="1"/>
  <c r="D175" i="7"/>
  <c r="E175" i="7" s="1"/>
  <c r="F175" i="7" s="1"/>
  <c r="G175" i="7" s="1"/>
  <c r="D174" i="7"/>
  <c r="E174" i="7" s="1"/>
  <c r="F174" i="7" s="1"/>
  <c r="G174" i="7" s="1"/>
  <c r="D173" i="7"/>
  <c r="E173" i="7" s="1"/>
  <c r="F173" i="7" s="1"/>
  <c r="G173" i="7" s="1"/>
  <c r="D172" i="7"/>
  <c r="E172" i="7" s="1"/>
  <c r="F172" i="7" s="1"/>
  <c r="G172" i="7" s="1"/>
  <c r="D171" i="7"/>
  <c r="E171" i="7" s="1"/>
  <c r="F171" i="7" s="1"/>
  <c r="G171" i="7" s="1"/>
  <c r="D170" i="7"/>
  <c r="E170" i="7" s="1"/>
  <c r="F170" i="7" s="1"/>
  <c r="G170" i="7" s="1"/>
  <c r="D169" i="7"/>
  <c r="E169" i="7" s="1"/>
  <c r="F169" i="7" s="1"/>
  <c r="G169" i="7" s="1"/>
  <c r="D168" i="7"/>
  <c r="E168" i="7" s="1"/>
  <c r="F168" i="7" s="1"/>
  <c r="G168" i="7" s="1"/>
  <c r="D167" i="7"/>
  <c r="E167" i="7" s="1"/>
  <c r="F167" i="7" s="1"/>
  <c r="G167" i="7" s="1"/>
  <c r="D166" i="7"/>
  <c r="E166" i="7" s="1"/>
  <c r="F166" i="7" s="1"/>
  <c r="G166" i="7" s="1"/>
  <c r="D165" i="7"/>
  <c r="E165" i="7" s="1"/>
  <c r="F165" i="7" s="1"/>
  <c r="G165" i="7" s="1"/>
  <c r="D164" i="7"/>
  <c r="E164" i="7" s="1"/>
  <c r="F164" i="7" s="1"/>
  <c r="G164" i="7" s="1"/>
  <c r="D163" i="7"/>
  <c r="E163" i="7" s="1"/>
  <c r="F163" i="7" s="1"/>
  <c r="G163" i="7" s="1"/>
  <c r="D162" i="7"/>
  <c r="E162" i="7" s="1"/>
  <c r="F162" i="7" s="1"/>
  <c r="G162" i="7" s="1"/>
  <c r="D161" i="7"/>
  <c r="E161" i="7" s="1"/>
  <c r="F161" i="7" s="1"/>
  <c r="G161" i="7" s="1"/>
  <c r="D160" i="7"/>
  <c r="E160" i="7" s="1"/>
  <c r="F160" i="7" s="1"/>
  <c r="G160" i="7" s="1"/>
  <c r="D159" i="7"/>
  <c r="E159" i="7" s="1"/>
  <c r="F159" i="7" s="1"/>
  <c r="G159" i="7" s="1"/>
  <c r="D158" i="7"/>
  <c r="E158" i="7" s="1"/>
  <c r="F158" i="7" s="1"/>
  <c r="G158" i="7" s="1"/>
  <c r="D157" i="7"/>
  <c r="E157" i="7" s="1"/>
  <c r="F157" i="7" s="1"/>
  <c r="G157" i="7" s="1"/>
  <c r="D156" i="7"/>
  <c r="E156" i="7" s="1"/>
  <c r="F156" i="7" s="1"/>
  <c r="G156" i="7" s="1"/>
  <c r="D155" i="7"/>
  <c r="E155" i="7" s="1"/>
  <c r="F155" i="7" s="1"/>
  <c r="G155" i="7" s="1"/>
  <c r="D154" i="7"/>
  <c r="E154" i="7" s="1"/>
  <c r="F154" i="7" s="1"/>
  <c r="G154" i="7" s="1"/>
  <c r="D153" i="7"/>
  <c r="E153" i="7" s="1"/>
  <c r="F153" i="7" s="1"/>
  <c r="G153" i="7" s="1"/>
  <c r="D152" i="7"/>
  <c r="E152" i="7" s="1"/>
  <c r="F152" i="7" s="1"/>
  <c r="G152" i="7" s="1"/>
  <c r="D151" i="7"/>
  <c r="E151" i="7" s="1"/>
  <c r="F151" i="7" s="1"/>
  <c r="G151" i="7" s="1"/>
  <c r="D150" i="7"/>
  <c r="E150" i="7" s="1"/>
  <c r="F150" i="7" s="1"/>
  <c r="G150" i="7" s="1"/>
  <c r="D149" i="7"/>
  <c r="E149" i="7" s="1"/>
  <c r="F149" i="7" s="1"/>
  <c r="G149" i="7" s="1"/>
  <c r="D148" i="7"/>
  <c r="E148" i="7" s="1"/>
  <c r="F148" i="7" s="1"/>
  <c r="G148" i="7" s="1"/>
  <c r="D147" i="7"/>
  <c r="E147" i="7" s="1"/>
  <c r="F147" i="7" s="1"/>
  <c r="G147" i="7" s="1"/>
  <c r="D146" i="7"/>
  <c r="E146" i="7" s="1"/>
  <c r="F146" i="7" s="1"/>
  <c r="G146" i="7" s="1"/>
  <c r="D145" i="7"/>
  <c r="E145" i="7" s="1"/>
  <c r="F145" i="7" s="1"/>
  <c r="G145" i="7" s="1"/>
  <c r="D144" i="7"/>
  <c r="E144" i="7" s="1"/>
  <c r="F144" i="7" s="1"/>
  <c r="G144" i="7" s="1"/>
  <c r="D143" i="7"/>
  <c r="E143" i="7" s="1"/>
  <c r="F143" i="7" s="1"/>
  <c r="G143" i="7" s="1"/>
  <c r="D142" i="7"/>
  <c r="E142" i="7" s="1"/>
  <c r="F142" i="7" s="1"/>
  <c r="G142" i="7" s="1"/>
  <c r="D141" i="7"/>
  <c r="E141" i="7" s="1"/>
  <c r="F141" i="7" s="1"/>
  <c r="G141" i="7" s="1"/>
  <c r="D140" i="7"/>
  <c r="E140" i="7" s="1"/>
  <c r="F140" i="7" s="1"/>
  <c r="G140" i="7" s="1"/>
  <c r="D139" i="7"/>
  <c r="E139" i="7" s="1"/>
  <c r="F139" i="7" s="1"/>
  <c r="G139" i="7" s="1"/>
  <c r="D138" i="7"/>
  <c r="E138" i="7" s="1"/>
  <c r="F138" i="7" s="1"/>
  <c r="G138" i="7" s="1"/>
  <c r="D137" i="7"/>
  <c r="E137" i="7" s="1"/>
  <c r="F137" i="7" s="1"/>
  <c r="G137" i="7" s="1"/>
  <c r="D136" i="7"/>
  <c r="E136" i="7" s="1"/>
  <c r="F136" i="7" s="1"/>
  <c r="G136" i="7" s="1"/>
  <c r="D135" i="7"/>
  <c r="E135" i="7" s="1"/>
  <c r="F135" i="7" s="1"/>
  <c r="G135" i="7" s="1"/>
  <c r="D134" i="7"/>
  <c r="E134" i="7" s="1"/>
  <c r="F134" i="7" s="1"/>
  <c r="G134" i="7" s="1"/>
  <c r="D133" i="7"/>
  <c r="E133" i="7" s="1"/>
  <c r="F133" i="7" s="1"/>
  <c r="G133" i="7" s="1"/>
  <c r="D132" i="7"/>
  <c r="E132" i="7" s="1"/>
  <c r="F132" i="7" s="1"/>
  <c r="G132" i="7" s="1"/>
  <c r="D131" i="7"/>
  <c r="E131" i="7" s="1"/>
  <c r="F131" i="7" s="1"/>
  <c r="G131" i="7" s="1"/>
  <c r="D130" i="7"/>
  <c r="E130" i="7" s="1"/>
  <c r="F130" i="7" s="1"/>
  <c r="G130" i="7" s="1"/>
  <c r="D129" i="7"/>
  <c r="E129" i="7" s="1"/>
  <c r="F129" i="7" s="1"/>
  <c r="G129" i="7" s="1"/>
  <c r="D128" i="7"/>
  <c r="E128" i="7" s="1"/>
  <c r="F128" i="7" s="1"/>
  <c r="G128" i="7" s="1"/>
  <c r="D127" i="7"/>
  <c r="E127" i="7" s="1"/>
  <c r="F127" i="7" s="1"/>
  <c r="G127" i="7" s="1"/>
  <c r="D126" i="7"/>
  <c r="E126" i="7" s="1"/>
  <c r="F126" i="7" s="1"/>
  <c r="G126" i="7" s="1"/>
  <c r="D125" i="7"/>
  <c r="E125" i="7" s="1"/>
  <c r="F125" i="7" s="1"/>
  <c r="G125" i="7" s="1"/>
  <c r="D124" i="7"/>
  <c r="E124" i="7" s="1"/>
  <c r="F124" i="7" s="1"/>
  <c r="G124" i="7" s="1"/>
  <c r="D123" i="7"/>
  <c r="E123" i="7" s="1"/>
  <c r="F123" i="7" s="1"/>
  <c r="G123" i="7" s="1"/>
  <c r="D122" i="7"/>
  <c r="E122" i="7" s="1"/>
  <c r="F122" i="7" s="1"/>
  <c r="G122" i="7" s="1"/>
  <c r="D121" i="7"/>
  <c r="E121" i="7" s="1"/>
  <c r="F121" i="7" s="1"/>
  <c r="G121" i="7" s="1"/>
  <c r="D120" i="7"/>
  <c r="E120" i="7" s="1"/>
  <c r="F120" i="7" s="1"/>
  <c r="G120" i="7" s="1"/>
  <c r="D119" i="7"/>
  <c r="E119" i="7" s="1"/>
  <c r="F119" i="7" s="1"/>
  <c r="G119" i="7" s="1"/>
  <c r="D118" i="7"/>
  <c r="E118" i="7" s="1"/>
  <c r="F118" i="7" s="1"/>
  <c r="G118" i="7" s="1"/>
  <c r="D117" i="7"/>
  <c r="E117" i="7" s="1"/>
  <c r="F117" i="7" s="1"/>
  <c r="G117" i="7" s="1"/>
  <c r="D116" i="7"/>
  <c r="E116" i="7" s="1"/>
  <c r="F116" i="7" s="1"/>
  <c r="G116" i="7" s="1"/>
  <c r="D115" i="7"/>
  <c r="E115" i="7" s="1"/>
  <c r="F115" i="7" s="1"/>
  <c r="G115" i="7" s="1"/>
  <c r="D114" i="7"/>
  <c r="E114" i="7" s="1"/>
  <c r="F114" i="7" s="1"/>
  <c r="G114" i="7" s="1"/>
  <c r="D113" i="7"/>
  <c r="E113" i="7" s="1"/>
  <c r="F113" i="7" s="1"/>
  <c r="G113" i="7" s="1"/>
  <c r="D112" i="7"/>
  <c r="E112" i="7" s="1"/>
  <c r="F112" i="7" s="1"/>
  <c r="G112" i="7" s="1"/>
  <c r="D111" i="7"/>
  <c r="E111" i="7" s="1"/>
  <c r="F111" i="7" s="1"/>
  <c r="G111" i="7" s="1"/>
  <c r="D110" i="7"/>
  <c r="E110" i="7" s="1"/>
  <c r="F110" i="7" s="1"/>
  <c r="G110" i="7" s="1"/>
  <c r="D109" i="7"/>
  <c r="E109" i="7" s="1"/>
  <c r="F109" i="7" s="1"/>
  <c r="G109" i="7" s="1"/>
  <c r="D108" i="7"/>
  <c r="E108" i="7" s="1"/>
  <c r="F108" i="7" s="1"/>
  <c r="G108" i="7" s="1"/>
  <c r="D107" i="7"/>
  <c r="E107" i="7" s="1"/>
  <c r="F107" i="7" s="1"/>
  <c r="G107" i="7" s="1"/>
  <c r="D106" i="7"/>
  <c r="E106" i="7" s="1"/>
  <c r="F106" i="7" s="1"/>
  <c r="G106" i="7" s="1"/>
  <c r="D105" i="7"/>
  <c r="E105" i="7" s="1"/>
  <c r="F105" i="7" s="1"/>
  <c r="G105" i="7" s="1"/>
  <c r="D104" i="7"/>
  <c r="E104" i="7" s="1"/>
  <c r="F104" i="7" s="1"/>
  <c r="G104" i="7" s="1"/>
  <c r="D103" i="7"/>
  <c r="E103" i="7" s="1"/>
  <c r="F103" i="7" s="1"/>
  <c r="G103" i="7" s="1"/>
  <c r="D102" i="7"/>
  <c r="E102" i="7" s="1"/>
  <c r="F102" i="7" s="1"/>
  <c r="G102" i="7" s="1"/>
  <c r="D101" i="7"/>
  <c r="E101" i="7" s="1"/>
  <c r="F101" i="7" s="1"/>
  <c r="G101" i="7" s="1"/>
  <c r="D100" i="7"/>
  <c r="E100" i="7" s="1"/>
  <c r="F100" i="7" s="1"/>
  <c r="G100" i="7" s="1"/>
  <c r="D99" i="7"/>
  <c r="E99" i="7" s="1"/>
  <c r="F99" i="7" s="1"/>
  <c r="G99" i="7" s="1"/>
  <c r="D98" i="7"/>
  <c r="E98" i="7" s="1"/>
  <c r="F98" i="7" s="1"/>
  <c r="G98" i="7" s="1"/>
  <c r="D97" i="7"/>
  <c r="E97" i="7" s="1"/>
  <c r="F97" i="7" s="1"/>
  <c r="G97" i="7" s="1"/>
  <c r="D96" i="7"/>
  <c r="E96" i="7" s="1"/>
  <c r="F96" i="7" s="1"/>
  <c r="G96" i="7" s="1"/>
  <c r="D95" i="7"/>
  <c r="E95" i="7" s="1"/>
  <c r="F95" i="7" s="1"/>
  <c r="G95" i="7" s="1"/>
  <c r="D94" i="7"/>
  <c r="E94" i="7" s="1"/>
  <c r="F94" i="7" s="1"/>
  <c r="G94" i="7" s="1"/>
  <c r="D93" i="7"/>
  <c r="E93" i="7" s="1"/>
  <c r="F93" i="7" s="1"/>
  <c r="G93" i="7" s="1"/>
  <c r="D92" i="7"/>
  <c r="E92" i="7" s="1"/>
  <c r="F92" i="7" s="1"/>
  <c r="G92" i="7" s="1"/>
  <c r="D91" i="7"/>
  <c r="E91" i="7" s="1"/>
  <c r="F91" i="7" s="1"/>
  <c r="G91" i="7" s="1"/>
  <c r="D90" i="7"/>
  <c r="E90" i="7" s="1"/>
  <c r="F90" i="7" s="1"/>
  <c r="G90" i="7" s="1"/>
  <c r="D89" i="7"/>
  <c r="E89" i="7" s="1"/>
  <c r="F89" i="7" s="1"/>
  <c r="G89" i="7" s="1"/>
  <c r="D88" i="7"/>
  <c r="E88" i="7" s="1"/>
  <c r="F88" i="7" s="1"/>
  <c r="G88" i="7" s="1"/>
  <c r="D87" i="7"/>
  <c r="E87" i="7" s="1"/>
  <c r="F87" i="7" s="1"/>
  <c r="G87" i="7" s="1"/>
  <c r="D86" i="7"/>
  <c r="E86" i="7" s="1"/>
  <c r="F86" i="7" s="1"/>
  <c r="G86" i="7" s="1"/>
  <c r="D85" i="7"/>
  <c r="E85" i="7" s="1"/>
  <c r="F85" i="7" s="1"/>
  <c r="G85" i="7" s="1"/>
  <c r="D84" i="7"/>
  <c r="E84" i="7" s="1"/>
  <c r="F84" i="7" s="1"/>
  <c r="G84" i="7" s="1"/>
  <c r="D83" i="7"/>
  <c r="E83" i="7" s="1"/>
  <c r="F83" i="7" s="1"/>
  <c r="G83" i="7" s="1"/>
  <c r="D82" i="7"/>
  <c r="E82" i="7" s="1"/>
  <c r="F82" i="7" s="1"/>
  <c r="G82" i="7" s="1"/>
  <c r="D81" i="7"/>
  <c r="E81" i="7" s="1"/>
  <c r="F81" i="7" s="1"/>
  <c r="G81" i="7" s="1"/>
  <c r="D80" i="7"/>
  <c r="E80" i="7" s="1"/>
  <c r="F80" i="7" s="1"/>
  <c r="G80" i="7" s="1"/>
  <c r="D79" i="7"/>
  <c r="E79" i="7" s="1"/>
  <c r="F79" i="7" s="1"/>
  <c r="G79" i="7" s="1"/>
  <c r="D78" i="7"/>
  <c r="E78" i="7" s="1"/>
  <c r="F78" i="7" s="1"/>
  <c r="G78" i="7" s="1"/>
  <c r="D77" i="7"/>
  <c r="E77" i="7" s="1"/>
  <c r="F77" i="7" s="1"/>
  <c r="G77" i="7" s="1"/>
  <c r="D76" i="7"/>
  <c r="E76" i="7" s="1"/>
  <c r="F76" i="7" s="1"/>
  <c r="G76" i="7" s="1"/>
  <c r="D75" i="7"/>
  <c r="E75" i="7" s="1"/>
  <c r="F75" i="7" s="1"/>
  <c r="G75" i="7" s="1"/>
  <c r="D74" i="7"/>
  <c r="E74" i="7" s="1"/>
  <c r="F74" i="7" s="1"/>
  <c r="G74" i="7" s="1"/>
  <c r="D73" i="7"/>
  <c r="E73" i="7" s="1"/>
  <c r="F73" i="7" s="1"/>
  <c r="G73" i="7" s="1"/>
  <c r="D72" i="7"/>
  <c r="E72" i="7" s="1"/>
  <c r="F72" i="7" s="1"/>
  <c r="G72" i="7" s="1"/>
  <c r="D71" i="7"/>
  <c r="E71" i="7" s="1"/>
  <c r="F71" i="7" s="1"/>
  <c r="G71" i="7" s="1"/>
  <c r="D70" i="7"/>
  <c r="E70" i="7" s="1"/>
  <c r="F70" i="7" s="1"/>
  <c r="G70" i="7" s="1"/>
  <c r="D69" i="7"/>
  <c r="E69" i="7" s="1"/>
  <c r="F69" i="7" s="1"/>
  <c r="G69" i="7" s="1"/>
  <c r="D68" i="7"/>
  <c r="E68" i="7" s="1"/>
  <c r="F68" i="7" s="1"/>
  <c r="G68" i="7" s="1"/>
  <c r="D67" i="7"/>
  <c r="E67" i="7" s="1"/>
  <c r="F67" i="7" s="1"/>
  <c r="G67" i="7" s="1"/>
  <c r="D66" i="7"/>
  <c r="E66" i="7" s="1"/>
  <c r="F66" i="7" s="1"/>
  <c r="G66" i="7" s="1"/>
  <c r="D65" i="7"/>
  <c r="E65" i="7" s="1"/>
  <c r="F65" i="7" s="1"/>
  <c r="G65" i="7" s="1"/>
  <c r="D64" i="7"/>
  <c r="E64" i="7" s="1"/>
  <c r="F64" i="7" s="1"/>
  <c r="G64" i="7" s="1"/>
  <c r="D63" i="7"/>
  <c r="E63" i="7" s="1"/>
  <c r="F63" i="7" s="1"/>
  <c r="G63" i="7" s="1"/>
  <c r="D62" i="7"/>
  <c r="E62" i="7" s="1"/>
  <c r="F62" i="7" s="1"/>
  <c r="G62" i="7" s="1"/>
  <c r="D61" i="7"/>
  <c r="E61" i="7" s="1"/>
  <c r="F61" i="7" s="1"/>
  <c r="G61" i="7" s="1"/>
  <c r="D60" i="7"/>
  <c r="E60" i="7" s="1"/>
  <c r="F60" i="7" s="1"/>
  <c r="G60" i="7" s="1"/>
  <c r="D59" i="7"/>
  <c r="E59" i="7" s="1"/>
  <c r="F59" i="7" s="1"/>
  <c r="G59" i="7" s="1"/>
  <c r="D58" i="7"/>
  <c r="E58" i="7" s="1"/>
  <c r="F58" i="7" s="1"/>
  <c r="G58" i="7" s="1"/>
  <c r="D57" i="7"/>
  <c r="E57" i="7" s="1"/>
  <c r="F57" i="7" s="1"/>
  <c r="G57" i="7" s="1"/>
  <c r="D56" i="7"/>
  <c r="E56" i="7" s="1"/>
  <c r="F56" i="7" s="1"/>
  <c r="G56" i="7" s="1"/>
  <c r="D55" i="7"/>
  <c r="E55" i="7" s="1"/>
  <c r="F55" i="7" s="1"/>
  <c r="G55" i="7" s="1"/>
  <c r="D54" i="7"/>
  <c r="E54" i="7" s="1"/>
  <c r="F54" i="7" s="1"/>
  <c r="G54" i="7" s="1"/>
  <c r="D53" i="7"/>
  <c r="E53" i="7" s="1"/>
  <c r="F53" i="7" s="1"/>
  <c r="G53" i="7" s="1"/>
  <c r="D52" i="7"/>
  <c r="E52" i="7" s="1"/>
  <c r="F52" i="7" s="1"/>
  <c r="G52" i="7" s="1"/>
  <c r="D51" i="7"/>
  <c r="E51" i="7" s="1"/>
  <c r="F51" i="7" s="1"/>
  <c r="G51" i="7" s="1"/>
  <c r="D50" i="7"/>
  <c r="E50" i="7" s="1"/>
  <c r="F50" i="7" s="1"/>
  <c r="G50" i="7" s="1"/>
  <c r="D49" i="7"/>
  <c r="E49" i="7" s="1"/>
  <c r="F49" i="7" s="1"/>
  <c r="G49" i="7" s="1"/>
  <c r="D48" i="7"/>
  <c r="E48" i="7" s="1"/>
  <c r="F48" i="7" s="1"/>
  <c r="G48" i="7" s="1"/>
  <c r="D47" i="7"/>
  <c r="E47" i="7" s="1"/>
  <c r="F47" i="7" s="1"/>
  <c r="G47" i="7" s="1"/>
  <c r="D46" i="7"/>
  <c r="E46" i="7" s="1"/>
  <c r="F46" i="7" s="1"/>
  <c r="G46" i="7" s="1"/>
  <c r="D45" i="7"/>
  <c r="E45" i="7" s="1"/>
  <c r="F45" i="7" s="1"/>
  <c r="G45" i="7" s="1"/>
  <c r="D44" i="7"/>
  <c r="E44" i="7" s="1"/>
  <c r="F44" i="7" s="1"/>
  <c r="G44" i="7" s="1"/>
  <c r="D43" i="7"/>
  <c r="E43" i="7" s="1"/>
  <c r="F43" i="7" s="1"/>
  <c r="G43" i="7" s="1"/>
  <c r="D42" i="7"/>
  <c r="E42" i="7" s="1"/>
  <c r="F42" i="7" s="1"/>
  <c r="G42" i="7" s="1"/>
  <c r="D41" i="7"/>
  <c r="E41" i="7" s="1"/>
  <c r="F41" i="7" s="1"/>
  <c r="G41" i="7" s="1"/>
  <c r="D40" i="7"/>
  <c r="E40" i="7" s="1"/>
  <c r="F40" i="7" s="1"/>
  <c r="G40" i="7" s="1"/>
  <c r="D39" i="7"/>
  <c r="E39" i="7" s="1"/>
  <c r="F39" i="7" s="1"/>
  <c r="G39" i="7" s="1"/>
  <c r="D38" i="7"/>
  <c r="E38" i="7" s="1"/>
  <c r="F38" i="7" s="1"/>
  <c r="G38" i="7" s="1"/>
  <c r="D37" i="7"/>
  <c r="E37" i="7" s="1"/>
  <c r="F37" i="7" s="1"/>
  <c r="G37" i="7" s="1"/>
  <c r="D36" i="7"/>
  <c r="E36" i="7" s="1"/>
  <c r="F36" i="7" s="1"/>
  <c r="G36" i="7" s="1"/>
  <c r="D35" i="7"/>
  <c r="E35" i="7" s="1"/>
  <c r="F35" i="7" s="1"/>
  <c r="G35" i="7" s="1"/>
  <c r="D34" i="7"/>
  <c r="E34" i="7" s="1"/>
  <c r="F34" i="7" s="1"/>
  <c r="G34" i="7" s="1"/>
  <c r="D33" i="7"/>
  <c r="E33" i="7" s="1"/>
  <c r="F33" i="7" s="1"/>
  <c r="G33" i="7" s="1"/>
  <c r="D32" i="7"/>
  <c r="E32" i="7" s="1"/>
  <c r="F32" i="7" s="1"/>
  <c r="G32" i="7" s="1"/>
  <c r="D31" i="7"/>
  <c r="E31" i="7" s="1"/>
  <c r="F31" i="7" s="1"/>
  <c r="G31" i="7" s="1"/>
  <c r="D30" i="7"/>
  <c r="E30" i="7" s="1"/>
  <c r="F30" i="7" s="1"/>
  <c r="G30" i="7" s="1"/>
  <c r="D29" i="7"/>
  <c r="E29" i="7" s="1"/>
  <c r="F29" i="7" s="1"/>
  <c r="G29" i="7" s="1"/>
  <c r="D28" i="7"/>
  <c r="E28" i="7" s="1"/>
  <c r="F28" i="7" s="1"/>
  <c r="G28" i="7" s="1"/>
  <c r="D27" i="7"/>
  <c r="E27" i="7" s="1"/>
  <c r="F27" i="7" s="1"/>
  <c r="G27" i="7" s="1"/>
  <c r="D26" i="7"/>
  <c r="E26" i="7" s="1"/>
  <c r="F26" i="7" s="1"/>
  <c r="G26" i="7" s="1"/>
  <c r="D25" i="7"/>
  <c r="E25" i="7" s="1"/>
  <c r="F25" i="7" s="1"/>
  <c r="G25" i="7" s="1"/>
  <c r="D24" i="7"/>
  <c r="E24" i="7" s="1"/>
  <c r="F24" i="7" s="1"/>
  <c r="G24" i="7" s="1"/>
  <c r="D23" i="7"/>
  <c r="E23" i="7" s="1"/>
  <c r="F23" i="7" s="1"/>
  <c r="G23" i="7" s="1"/>
  <c r="D22" i="7"/>
  <c r="E22" i="7" s="1"/>
  <c r="F22" i="7" s="1"/>
  <c r="G22" i="7" s="1"/>
  <c r="D21" i="7"/>
  <c r="E21" i="7" s="1"/>
  <c r="F21" i="7" s="1"/>
  <c r="G21" i="7" s="1"/>
  <c r="D20" i="7"/>
  <c r="E20" i="7" s="1"/>
  <c r="F20" i="7" s="1"/>
  <c r="G20" i="7" s="1"/>
  <c r="D19" i="7"/>
  <c r="E19" i="7" s="1"/>
  <c r="F19" i="7" s="1"/>
  <c r="G19" i="7" s="1"/>
  <c r="D18" i="7"/>
  <c r="E18" i="7" s="1"/>
  <c r="F18" i="7" s="1"/>
  <c r="G18" i="7" s="1"/>
  <c r="D17" i="7"/>
  <c r="E17" i="7" s="1"/>
  <c r="F17" i="7" s="1"/>
  <c r="G17" i="7" s="1"/>
  <c r="D16" i="7"/>
  <c r="E16" i="7" s="1"/>
  <c r="F16" i="7" s="1"/>
  <c r="G16" i="7" s="1"/>
  <c r="D15" i="7"/>
  <c r="E15" i="7" s="1"/>
  <c r="F15" i="7" s="1"/>
  <c r="G15" i="7" s="1"/>
  <c r="D14" i="7"/>
  <c r="E14" i="7" s="1"/>
  <c r="F14" i="7" s="1"/>
  <c r="G14" i="7" s="1"/>
  <c r="D13" i="7"/>
  <c r="E13" i="7" s="1"/>
  <c r="F13" i="7" s="1"/>
  <c r="G13" i="7" s="1"/>
  <c r="D12" i="7"/>
  <c r="E12" i="7" s="1"/>
  <c r="F12" i="7" s="1"/>
  <c r="G12" i="7" s="1"/>
  <c r="D11" i="7"/>
  <c r="E11" i="7" s="1"/>
  <c r="F11" i="7" s="1"/>
  <c r="G11" i="7" s="1"/>
  <c r="D10" i="7"/>
  <c r="E10" i="7" s="1"/>
  <c r="F10" i="7" s="1"/>
  <c r="G10" i="7" s="1"/>
  <c r="D9" i="7"/>
  <c r="E9" i="7" s="1"/>
  <c r="F9" i="7" s="1"/>
  <c r="G9" i="7" s="1"/>
  <c r="D8" i="7"/>
  <c r="E8" i="7" s="1"/>
  <c r="F8" i="7" s="1"/>
  <c r="G8" i="7" s="1"/>
  <c r="D7" i="7"/>
  <c r="E7" i="7" s="1"/>
  <c r="F7" i="7" s="1"/>
  <c r="G7" i="7" s="1"/>
  <c r="D6" i="7"/>
  <c r="E6" i="7" s="1"/>
  <c r="F6" i="7" s="1"/>
  <c r="G6" i="7" s="1"/>
  <c r="D5" i="7"/>
  <c r="E5" i="7" s="1"/>
  <c r="F5" i="7" s="1"/>
  <c r="G5" i="7" s="1"/>
  <c r="D4" i="7"/>
  <c r="E4" i="7" s="1"/>
  <c r="F4" i="7" s="1"/>
  <c r="G4" i="7" s="1"/>
  <c r="D3" i="7"/>
  <c r="E3" i="7" s="1"/>
  <c r="F3" i="7" s="1"/>
  <c r="D2" i="7"/>
  <c r="E2" i="7" s="1"/>
  <c r="F2" i="7" s="1"/>
  <c r="G2" i="7" s="1"/>
  <c r="C2667" i="7" a="1"/>
  <c r="C2667" i="7" s="1"/>
  <c r="G2667" i="7" s="1"/>
  <c r="C2668" i="7" a="1"/>
  <c r="C2668" i="7" s="1"/>
  <c r="G2668" i="7" s="1"/>
  <c r="C2669" i="7" a="1"/>
  <c r="C2669" i="7" s="1"/>
  <c r="G2669" i="7" s="1"/>
  <c r="C2670" i="7" a="1"/>
  <c r="C2670" i="7"/>
  <c r="G2670" i="7" s="1"/>
  <c r="C2671" i="7" a="1"/>
  <c r="C2671" i="7" s="1"/>
  <c r="G2671" i="7" s="1"/>
  <c r="C2672" i="7" a="1"/>
  <c r="C2672" i="7" s="1"/>
  <c r="G2672" i="7" s="1"/>
  <c r="C2673" i="7" a="1"/>
  <c r="C2673" i="7" s="1"/>
  <c r="C2674" i="7" a="1"/>
  <c r="C2674" i="7" s="1"/>
  <c r="C2675" i="7" a="1"/>
  <c r="C2675" i="7" s="1"/>
  <c r="C2676" i="7" a="1"/>
  <c r="C2676" i="7" s="1"/>
  <c r="G2676" i="7" s="1"/>
  <c r="C2677" i="7" a="1"/>
  <c r="C2677" i="7" s="1"/>
  <c r="G2677" i="7" s="1"/>
  <c r="C2678" i="7" a="1"/>
  <c r="C2678" i="7" s="1"/>
  <c r="G2678" i="7" s="1"/>
  <c r="C2679" i="7" a="1"/>
  <c r="C2679" i="7" s="1"/>
  <c r="G2679" i="7" s="1"/>
  <c r="C2680" i="7" a="1"/>
  <c r="C2680" i="7" s="1"/>
  <c r="C2681" i="7" a="1"/>
  <c r="C2681" i="7" s="1"/>
  <c r="G2681" i="7" s="1"/>
  <c r="C2682" i="7" a="1"/>
  <c r="C2682" i="7" s="1"/>
  <c r="G2682" i="7" s="1"/>
  <c r="C2683" i="7" a="1"/>
  <c r="C2683" i="7"/>
  <c r="G2683" i="7" s="1"/>
  <c r="C2684" i="7" a="1"/>
  <c r="C2684" i="7" s="1"/>
  <c r="G2684" i="7" s="1"/>
  <c r="C2685" i="7" a="1"/>
  <c r="C2685" i="7" s="1"/>
  <c r="C2686" i="7" a="1"/>
  <c r="C2686" i="7" s="1"/>
  <c r="C2687" i="7" a="1"/>
  <c r="C2687" i="7" s="1"/>
  <c r="C2688" i="7" a="1"/>
  <c r="C2688" i="7" s="1"/>
  <c r="G2688" i="7" s="1"/>
  <c r="C2689" i="7" a="1"/>
  <c r="C2689" i="7"/>
  <c r="G2689" i="7" s="1"/>
  <c r="C2690" i="7" a="1"/>
  <c r="C2690" i="7" s="1"/>
  <c r="G2690" i="7" s="1"/>
  <c r="C2691" i="7" a="1"/>
  <c r="C2691" i="7" s="1"/>
  <c r="G2691" i="7" s="1"/>
  <c r="C2692" i="7" a="1"/>
  <c r="C2692" i="7" s="1"/>
  <c r="C2693" i="7" a="1"/>
  <c r="C2693" i="7" s="1"/>
  <c r="G2693" i="7" s="1"/>
  <c r="C2694" i="7" a="1"/>
  <c r="C2694" i="7" s="1"/>
  <c r="G2694" i="7" s="1"/>
  <c r="C2695" i="7" a="1"/>
  <c r="C2695" i="7" s="1"/>
  <c r="G2695" i="7" s="1"/>
  <c r="C2696" i="7" a="1"/>
  <c r="C2696" i="7" s="1"/>
  <c r="G2696" i="7" s="1"/>
  <c r="C2697" i="7" a="1"/>
  <c r="C2697" i="7" s="1"/>
  <c r="C2698" i="7" a="1"/>
  <c r="C2698" i="7" s="1"/>
  <c r="C2699" i="7" a="1"/>
  <c r="C2699" i="7" s="1"/>
  <c r="C2700" i="7" a="1"/>
  <c r="C2700" i="7"/>
  <c r="G2700" i="7" s="1"/>
  <c r="C2701" i="7" a="1"/>
  <c r="C2701" i="7" s="1"/>
  <c r="G2701" i="7" s="1"/>
  <c r="C2702" i="7" a="1"/>
  <c r="C2702" i="7" s="1"/>
  <c r="G2702" i="7" s="1"/>
  <c r="C2703" i="7" a="1"/>
  <c r="C2703" i="7" s="1"/>
  <c r="G2703" i="7" s="1"/>
  <c r="C2704" i="7" a="1"/>
  <c r="C2704" i="7" s="1"/>
  <c r="C2705" i="7" a="1"/>
  <c r="C2705" i="7" s="1"/>
  <c r="G2705" i="7" s="1"/>
  <c r="C2706" i="7" a="1"/>
  <c r="C2706" i="7" s="1"/>
  <c r="G2706" i="7" s="1"/>
  <c r="C2707" i="7" a="1"/>
  <c r="C2707" i="7" s="1"/>
  <c r="G2707" i="7" s="1"/>
  <c r="C2708" i="7" a="1"/>
  <c r="C2708" i="7" s="1"/>
  <c r="G2708" i="7" s="1"/>
  <c r="C2709" i="7" a="1"/>
  <c r="C2709" i="7" s="1"/>
  <c r="C2710" i="7" a="1"/>
  <c r="C2710" i="7" s="1"/>
  <c r="C2711" i="7" a="1"/>
  <c r="C2711" i="7" s="1"/>
  <c r="G2711" i="7" s="1"/>
  <c r="C2712" i="7" a="1"/>
  <c r="C2712" i="7"/>
  <c r="G2712" i="7" s="1"/>
  <c r="C2713" i="7" a="1"/>
  <c r="C2713" i="7" s="1"/>
  <c r="G2713" i="7" s="1"/>
  <c r="C2714" i="7" a="1"/>
  <c r="C2714" i="7" s="1"/>
  <c r="G2714" i="7" s="1"/>
  <c r="C2715" i="7" a="1"/>
  <c r="C2715" i="7" s="1"/>
  <c r="G2715" i="7" s="1"/>
  <c r="C2716" i="7" a="1"/>
  <c r="C2716" i="7" s="1"/>
  <c r="C2717" i="7" a="1"/>
  <c r="C2717" i="7" s="1"/>
  <c r="G2717" i="7" s="1"/>
  <c r="C2718" i="7" a="1"/>
  <c r="C2718" i="7" s="1"/>
  <c r="G2718" i="7" s="1"/>
  <c r="C2719" i="7" a="1"/>
  <c r="C2719" i="7"/>
  <c r="G2719" i="7" s="1"/>
  <c r="C2720" i="7" a="1"/>
  <c r="C2720" i="7" s="1"/>
  <c r="G2720" i="7" s="1"/>
  <c r="C2721" i="7" a="1"/>
  <c r="C2721" i="7" s="1"/>
  <c r="C2722" i="7" a="1"/>
  <c r="C2722" i="7" s="1"/>
  <c r="C2723" i="7" a="1"/>
  <c r="C2723" i="7" s="1"/>
  <c r="C2724" i="7" a="1"/>
  <c r="C2724" i="7" s="1"/>
  <c r="G2724" i="7" s="1"/>
  <c r="C2725" i="7" a="1"/>
  <c r="C2725" i="7" s="1"/>
  <c r="G2725" i="7" s="1"/>
  <c r="C2726" i="7" a="1"/>
  <c r="C2726" i="7" s="1"/>
  <c r="G2726" i="7" s="1"/>
  <c r="C2727" i="7" a="1"/>
  <c r="C2727" i="7" s="1"/>
  <c r="G2727" i="7" s="1"/>
  <c r="C2728" i="7" a="1"/>
  <c r="C2728" i="7" s="1"/>
  <c r="C2729" i="7" a="1"/>
  <c r="C2729" i="7" s="1"/>
  <c r="G2729" i="7" s="1"/>
  <c r="C2730" i="7" a="1"/>
  <c r="C2730" i="7" s="1"/>
  <c r="G2730" i="7" s="1"/>
  <c r="C2731" i="7" a="1"/>
  <c r="C2731" i="7" s="1"/>
  <c r="G2731" i="7" s="1"/>
  <c r="C2732" i="7" a="1"/>
  <c r="C2732" i="7"/>
  <c r="G2732" i="7" s="1"/>
  <c r="C2733" i="7" a="1"/>
  <c r="C2733" i="7" s="1"/>
  <c r="C2734" i="7" a="1"/>
  <c r="C2734" i="7" s="1"/>
  <c r="G2734" i="7" s="1"/>
  <c r="C2735" i="7" a="1"/>
  <c r="C2735" i="7" s="1"/>
  <c r="C2736" i="7" a="1"/>
  <c r="C2736" i="7"/>
  <c r="G2736" i="7" s="1"/>
  <c r="C2737" i="7" a="1"/>
  <c r="C2737" i="7"/>
  <c r="G2737" i="7" s="1"/>
  <c r="C2738" i="7" a="1"/>
  <c r="C2738" i="7" s="1"/>
  <c r="G2738" i="7" s="1"/>
  <c r="C2739" i="7" a="1"/>
  <c r="C2739" i="7" s="1"/>
  <c r="G2739" i="7" s="1"/>
  <c r="C2740" i="7" a="1"/>
  <c r="C2740" i="7" s="1"/>
  <c r="G2740" i="7" s="1"/>
  <c r="C2741" i="7" a="1"/>
  <c r="C2741" i="7" s="1"/>
  <c r="G2741" i="7" s="1"/>
  <c r="C2742" i="7" a="1"/>
  <c r="C2742" i="7" s="1"/>
  <c r="G2742" i="7" s="1"/>
  <c r="C2743" i="7" a="1"/>
  <c r="C2743" i="7" s="1"/>
  <c r="G2743" i="7" s="1"/>
  <c r="C2744" i="7" a="1"/>
  <c r="C2744" i="7" s="1"/>
  <c r="G2744" i="7" s="1"/>
  <c r="C2745" i="7" a="1"/>
  <c r="C2745" i="7" s="1"/>
  <c r="C2746" i="7" a="1"/>
  <c r="C2746" i="7" s="1"/>
  <c r="C2747" i="7" a="1"/>
  <c r="C2747" i="7" s="1"/>
  <c r="C2748" i="7" a="1"/>
  <c r="C2748" i="7"/>
  <c r="G2748" i="7" s="1"/>
  <c r="C2749" i="7" a="1"/>
  <c r="C2749" i="7" s="1"/>
  <c r="G2749" i="7" s="1"/>
  <c r="C2750" i="7" a="1"/>
  <c r="C2750" i="7" s="1"/>
  <c r="G2750" i="7" s="1"/>
  <c r="C2751" i="7" a="1"/>
  <c r="C2751" i="7" s="1"/>
  <c r="G2751" i="7" s="1"/>
  <c r="C2752" i="7" a="1"/>
  <c r="C2752" i="7" s="1"/>
  <c r="G2752" i="7" s="1"/>
  <c r="C2753" i="7" a="1"/>
  <c r="C2753" i="7" s="1"/>
  <c r="G2753" i="7" s="1"/>
  <c r="C2754" i="7" a="1"/>
  <c r="C2754" i="7" s="1"/>
  <c r="G2754" i="7" s="1"/>
  <c r="C2755" i="7" a="1"/>
  <c r="C2755" i="7" s="1"/>
  <c r="G2755" i="7" s="1"/>
  <c r="C2756" i="7" a="1"/>
  <c r="C2756" i="7" s="1"/>
  <c r="G2756" i="7" s="1"/>
  <c r="C2757" i="7" a="1"/>
  <c r="C2757" i="7" s="1"/>
  <c r="C2758" i="7" a="1"/>
  <c r="C2758" i="7" s="1"/>
  <c r="C2759" i="7" a="1"/>
  <c r="C2759" i="7" s="1"/>
  <c r="C2760" i="7" a="1"/>
  <c r="C2760" i="7" s="1"/>
  <c r="G2760" i="7" s="1"/>
  <c r="C2761" i="7" a="1"/>
  <c r="C2761" i="7" s="1"/>
  <c r="C2762" i="7" a="1"/>
  <c r="C2762" i="7" s="1"/>
  <c r="G2762" i="7" s="1"/>
  <c r="C2763" i="7" a="1"/>
  <c r="C2763" i="7" s="1"/>
  <c r="G2763" i="7" s="1"/>
  <c r="C2764" i="7" a="1"/>
  <c r="C2764" i="7" s="1"/>
  <c r="C2765" i="7" a="1"/>
  <c r="C2765" i="7" s="1"/>
  <c r="G2765" i="7" s="1"/>
  <c r="C2766" i="7" a="1"/>
  <c r="C2766" i="7" s="1"/>
  <c r="G2766" i="7" s="1"/>
  <c r="C2767" i="7" a="1"/>
  <c r="C2767" i="7" s="1"/>
  <c r="G2767" i="7" s="1"/>
  <c r="C2768" i="7" a="1"/>
  <c r="C2768" i="7" s="1"/>
  <c r="G2768" i="7" s="1"/>
  <c r="C2769" i="7" a="1"/>
  <c r="C2769" i="7" s="1"/>
  <c r="C2770" i="7" a="1"/>
  <c r="C2770" i="7" s="1"/>
  <c r="C2771" i="7" a="1"/>
  <c r="C2771" i="7" s="1"/>
  <c r="C2772" i="7" a="1"/>
  <c r="C2772" i="7" s="1"/>
  <c r="G2772" i="7" s="1"/>
  <c r="C2773" i="7" a="1"/>
  <c r="C2773" i="7" s="1"/>
  <c r="G2773" i="7" s="1"/>
  <c r="C2774" i="7" a="1"/>
  <c r="C2774" i="7" s="1"/>
  <c r="G2774" i="7" s="1"/>
  <c r="C2775" i="7" a="1"/>
  <c r="C2775" i="7" s="1"/>
  <c r="G2775" i="7" s="1"/>
  <c r="C2776" i="7" a="1"/>
  <c r="C2776" i="7" s="1"/>
  <c r="C2777" i="7" a="1"/>
  <c r="C2777" i="7" s="1"/>
  <c r="G2777" i="7" s="1"/>
  <c r="C2778" i="7" a="1"/>
  <c r="C2778" i="7" s="1"/>
  <c r="G2778" i="7" s="1"/>
  <c r="C2779" i="7" a="1"/>
  <c r="C2779" i="7"/>
  <c r="G2779" i="7" s="1"/>
  <c r="C2780" i="7" a="1"/>
  <c r="C2780" i="7" s="1"/>
  <c r="G2780" i="7" s="1"/>
  <c r="C1047" i="7" a="1"/>
  <c r="C1047" i="7" s="1"/>
  <c r="C1048" i="7" a="1"/>
  <c r="C1048" i="7" s="1"/>
  <c r="C1049" i="7" a="1"/>
  <c r="C1049" i="7" s="1"/>
  <c r="G1049" i="7" s="1"/>
  <c r="C1050" i="7" a="1"/>
  <c r="C1050" i="7"/>
  <c r="G1050" i="7" s="1"/>
  <c r="C1051" i="7" a="1"/>
  <c r="C1051" i="7"/>
  <c r="G1051" i="7" s="1"/>
  <c r="C1052" i="7" a="1"/>
  <c r="C1052" i="7" s="1"/>
  <c r="G1052" i="7" s="1"/>
  <c r="C1053" i="7" a="1"/>
  <c r="C1053" i="7" s="1"/>
  <c r="C1054" i="7" a="1"/>
  <c r="C1054" i="7" s="1"/>
  <c r="C1055" i="7" a="1"/>
  <c r="C1055" i="7" s="1"/>
  <c r="C1056" i="7" a="1"/>
  <c r="C1056" i="7" s="1"/>
  <c r="C1057" i="7" a="1"/>
  <c r="C1057" i="7" s="1"/>
  <c r="C1058" i="7" a="1"/>
  <c r="C1058" i="7" s="1"/>
  <c r="G1058" i="7" s="1"/>
  <c r="C1059" i="7" a="1"/>
  <c r="C1059" i="7" s="1"/>
  <c r="G1059" i="7" s="1"/>
  <c r="C1060" i="7" a="1"/>
  <c r="C1060" i="7" s="1"/>
  <c r="C1061" i="7" a="1"/>
  <c r="C1061" i="7" s="1"/>
  <c r="G1061" i="7" s="1"/>
  <c r="C1062" i="7" a="1"/>
  <c r="C1062" i="7" s="1"/>
  <c r="C1063" i="7" a="1"/>
  <c r="C1063" i="7" s="1"/>
  <c r="G1063" i="7" s="1"/>
  <c r="C1064" i="7" a="1"/>
  <c r="C1064" i="7" s="1"/>
  <c r="G1064" i="7" s="1"/>
  <c r="C1065" i="7" a="1"/>
  <c r="C1065" i="7" s="1"/>
  <c r="C1066" i="7" a="1"/>
  <c r="C1066" i="7" s="1"/>
  <c r="C1067" i="7" a="1"/>
  <c r="C1067" i="7" s="1"/>
  <c r="C1068" i="7" a="1"/>
  <c r="C1068" i="7" s="1"/>
  <c r="C1069" i="7" a="1"/>
  <c r="C1069" i="7" s="1"/>
  <c r="C1070" i="7" a="1"/>
  <c r="C1070" i="7" s="1"/>
  <c r="G1070" i="7" s="1"/>
  <c r="C1071" i="7" a="1"/>
  <c r="C1071" i="7" s="1"/>
  <c r="G1071" i="7" s="1"/>
  <c r="C1072" i="7" a="1"/>
  <c r="C1072" i="7" s="1"/>
  <c r="G1072" i="7" s="1"/>
  <c r="C1073" i="7" a="1"/>
  <c r="C1073" i="7" s="1"/>
  <c r="G1073" i="7" s="1"/>
  <c r="C1074" i="7" a="1"/>
  <c r="C1074" i="7"/>
  <c r="C1075" i="7" a="1"/>
  <c r="C1075" i="7" s="1"/>
  <c r="G1075" i="7" s="1"/>
  <c r="C1076" i="7" a="1"/>
  <c r="C1076" i="7" s="1"/>
  <c r="G1076" i="7" s="1"/>
  <c r="C1077" i="7" a="1"/>
  <c r="C1077" i="7" s="1"/>
  <c r="C1078" i="7" a="1"/>
  <c r="C1078" i="7" s="1"/>
  <c r="C1079" i="7" a="1"/>
  <c r="C1079" i="7" s="1"/>
  <c r="C1080" i="7" a="1"/>
  <c r="C1080" i="7" s="1"/>
  <c r="C1081" i="7" a="1"/>
  <c r="C1081" i="7" s="1"/>
  <c r="G1081" i="7" s="1"/>
  <c r="C1082" i="7" a="1"/>
  <c r="C1082" i="7"/>
  <c r="G1082" i="7" s="1"/>
  <c r="G1069" i="7" l="1"/>
  <c r="G2770" i="7"/>
  <c r="G2698" i="7"/>
  <c r="G2687" i="7"/>
  <c r="G2722" i="7"/>
  <c r="G2721" i="7"/>
  <c r="G2769" i="7"/>
  <c r="G2686" i="7"/>
  <c r="G2759" i="7"/>
  <c r="G2674" i="7"/>
  <c r="G2710" i="7"/>
  <c r="G2709" i="7"/>
  <c r="G2697" i="7"/>
  <c r="G1054" i="7"/>
  <c r="G2758" i="7"/>
  <c r="G2673" i="7"/>
  <c r="G1065" i="7"/>
  <c r="G2733" i="7"/>
  <c r="G2757" i="7"/>
  <c r="G2746" i="7"/>
  <c r="G2745" i="7"/>
  <c r="G1078" i="7"/>
  <c r="G2685" i="7"/>
  <c r="G1066" i="7"/>
  <c r="G1053" i="7"/>
  <c r="G2704" i="7"/>
  <c r="G1055" i="7"/>
  <c r="G2761" i="7"/>
  <c r="G1060" i="7"/>
  <c r="G2692" i="7"/>
  <c r="G1067" i="7"/>
  <c r="G2728" i="7"/>
  <c r="G2764" i="7"/>
  <c r="G2680" i="7"/>
  <c r="G2776" i="7"/>
  <c r="G1048" i="7"/>
  <c r="G1047" i="7"/>
  <c r="G2735" i="7"/>
  <c r="G2716" i="7"/>
  <c r="G1074" i="7"/>
  <c r="G1079" i="7"/>
  <c r="G1062" i="7"/>
  <c r="G1077" i="7"/>
  <c r="G2771" i="7"/>
  <c r="G2747" i="7"/>
  <c r="G2723" i="7"/>
  <c r="G2699" i="7"/>
  <c r="G2675" i="7"/>
  <c r="G3" i="7"/>
  <c r="G1056" i="7"/>
  <c r="G1068" i="7"/>
  <c r="G1080" i="7"/>
  <c r="G1057" i="7"/>
  <c r="F84" i="6"/>
  <c r="C2695" i="9" a="1"/>
  <c r="C2695" i="9" s="1"/>
  <c r="D37" i="1" l="1"/>
  <c r="D77" i="6"/>
  <c r="I64" i="4"/>
  <c r="I63" i="4"/>
  <c r="I62" i="4"/>
  <c r="W83" i="1"/>
  <c r="C2779" i="9" l="1" a="1"/>
  <c r="C2779" i="9" s="1"/>
  <c r="C2778" i="9" a="1"/>
  <c r="C2778" i="9" s="1"/>
  <c r="C2777" i="9" a="1"/>
  <c r="C2777" i="9" s="1"/>
  <c r="C322" i="9" a="1"/>
  <c r="C322" i="9" s="1"/>
  <c r="C2775" i="9" a="1"/>
  <c r="C2775" i="9" s="1"/>
  <c r="C2774" i="9" a="1"/>
  <c r="C2774" i="9" s="1"/>
  <c r="C2773" i="9" a="1"/>
  <c r="C2773" i="9" s="1"/>
  <c r="N79" i="6"/>
  <c r="M79" i="6"/>
  <c r="L79" i="6"/>
  <c r="K79" i="6"/>
  <c r="J79" i="6"/>
  <c r="I79" i="6"/>
  <c r="H79" i="6"/>
  <c r="G79" i="6"/>
  <c r="F79" i="6"/>
  <c r="E79" i="6"/>
  <c r="D79" i="6"/>
  <c r="C79"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s="1"/>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F15" i="12" l="1"/>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F4" i="12" s="1"/>
  <c r="D9" i="12" a="1"/>
  <c r="D9" i="12" s="1"/>
  <c r="D8" i="12" a="1"/>
  <c r="D8" i="12" s="1"/>
  <c r="G8" i="12" s="1"/>
  <c r="D2" i="12" a="1"/>
  <c r="D2" i="12" s="1"/>
  <c r="G2" i="12" s="1"/>
  <c r="C82" i="1"/>
  <c r="C81" i="1"/>
  <c r="C75" i="1"/>
  <c r="C50" i="1"/>
  <c r="C46" i="1"/>
  <c r="C44" i="1"/>
  <c r="C40" i="1"/>
  <c r="C39" i="1"/>
  <c r="C36" i="1"/>
  <c r="C30" i="1"/>
  <c r="C26" i="1"/>
  <c r="C19" i="1"/>
  <c r="C15" i="1"/>
  <c r="C6" i="1"/>
  <c r="C4" i="1"/>
  <c r="C3" i="1"/>
  <c r="D78" i="6"/>
  <c r="E78" i="6"/>
  <c r="F78" i="6"/>
  <c r="G78" i="6"/>
  <c r="H78" i="6"/>
  <c r="I78" i="6"/>
  <c r="J78" i="6"/>
  <c r="K78" i="6"/>
  <c r="L78" i="6"/>
  <c r="M78" i="6"/>
  <c r="N78" i="6"/>
  <c r="E77" i="6"/>
  <c r="F77" i="6"/>
  <c r="G77" i="6"/>
  <c r="H77" i="6"/>
  <c r="I77" i="6"/>
  <c r="J77" i="6"/>
  <c r="K77" i="6"/>
  <c r="L77" i="6"/>
  <c r="M77" i="6"/>
  <c r="N77" i="6"/>
  <c r="C77" i="6"/>
  <c r="C78" i="6"/>
  <c r="C76" i="6"/>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1186" i="9" a="1"/>
  <c r="C1186"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1618" i="9" a="1"/>
  <c r="C1618"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2554" i="9" a="1"/>
  <c r="C255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2122" i="9" a="1"/>
  <c r="C2122"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1042" i="9" a="1"/>
  <c r="C1042"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1114" i="9" a="1"/>
  <c r="C1114"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1726" i="9" a="1"/>
  <c r="C1726"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466" i="9" a="1"/>
  <c r="C466"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2776" i="9" a="1"/>
  <c r="C2776"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2698" i="9" a="1"/>
  <c r="C2698"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214" i="9" a="1"/>
  <c r="C214"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2410" i="9" a="1"/>
  <c r="C2410"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2734" i="9" a="1"/>
  <c r="C2734"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827" i="9" a="1"/>
  <c r="C827"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2266" i="9" a="1"/>
  <c r="C2266"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2770" i="9" a="1"/>
  <c r="C2770"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98" i="9" a="1"/>
  <c r="C1798"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62" i="9" a="1"/>
  <c r="C1762"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2338" i="9" a="1"/>
  <c r="C2338"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590" i="9" a="1"/>
  <c r="C2590"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626" i="9" a="1"/>
  <c r="C262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934" i="9" a="1"/>
  <c r="C934"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394" i="9" a="1"/>
  <c r="C394"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1402" i="9" a="1"/>
  <c r="C140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1150" i="9" a="1"/>
  <c r="C1150"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430" i="9" a="1"/>
  <c r="C43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1942" i="9" a="1"/>
  <c r="C1942"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392" i="9" a="1"/>
  <c r="C392" i="9" s="1"/>
  <c r="C2697" i="9" a="1"/>
  <c r="C2697" i="9" s="1"/>
  <c r="C1546" i="9" a="1"/>
  <c r="C1546"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1366" i="9" a="1"/>
  <c r="C1366"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482" i="9" a="1"/>
  <c r="C2482" i="9" s="1"/>
  <c r="C2771" i="9" a="1"/>
  <c r="C2771" i="9" s="1"/>
  <c r="C2772" i="9" a="1"/>
  <c r="C2772" i="9" s="1"/>
  <c r="C2" i="9" a="1"/>
  <c r="C2" i="9" s="1"/>
  <c r="H18" i="12" l="1"/>
  <c r="J18" i="12" s="1"/>
  <c r="F9"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6" i="6"/>
  <c r="E76" i="6"/>
  <c r="F76" i="6"/>
  <c r="G76" i="6"/>
  <c r="H76" i="6"/>
  <c r="I76" i="6"/>
  <c r="J76" i="6"/>
  <c r="K76" i="6"/>
  <c r="L76" i="6"/>
  <c r="M76" i="6"/>
  <c r="N76" i="6"/>
  <c r="C75" i="6"/>
  <c r="N75" i="6"/>
  <c r="M75" i="6"/>
  <c r="L75" i="6"/>
  <c r="K75" i="6"/>
  <c r="J75" i="6"/>
  <c r="I75" i="6"/>
  <c r="H75" i="6"/>
  <c r="G75" i="6"/>
  <c r="F75" i="6"/>
  <c r="E75" i="6"/>
  <c r="D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J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I62" i="6"/>
  <c r="H62" i="6"/>
  <c r="G62" i="6"/>
  <c r="F62" i="6"/>
  <c r="E62" i="6"/>
  <c r="D62" i="6"/>
  <c r="C62" i="6"/>
  <c r="N61" i="6"/>
  <c r="M61" i="6"/>
  <c r="L61" i="6"/>
  <c r="K61" i="6"/>
  <c r="J61" i="6"/>
  <c r="I61" i="6"/>
  <c r="H61" i="6"/>
  <c r="G61" i="6"/>
  <c r="F61" i="6"/>
  <c r="E61" i="6"/>
  <c r="D61" i="6"/>
  <c r="C61" i="6"/>
  <c r="N60" i="6"/>
  <c r="M60" i="6"/>
  <c r="L60" i="6"/>
  <c r="K60" i="6"/>
  <c r="J60" i="6"/>
  <c r="I60" i="6"/>
  <c r="H60" i="6"/>
  <c r="G60" i="6"/>
  <c r="E60" i="6"/>
  <c r="D60" i="6"/>
  <c r="C60" i="6"/>
  <c r="N59" i="6"/>
  <c r="M59" i="6"/>
  <c r="L59" i="6"/>
  <c r="K59" i="6"/>
  <c r="J59" i="6"/>
  <c r="I59" i="6"/>
  <c r="H59" i="6"/>
  <c r="G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J63" i="6"/>
  <c r="E60" i="4"/>
  <c r="F60" i="6" s="1"/>
  <c r="L8" i="4"/>
  <c r="M8" i="6" s="1"/>
  <c r="D2715" i="9" l="1" a="1"/>
  <c r="D2715" i="9" s="1"/>
  <c r="E2715" i="9" s="1"/>
  <c r="F2715" i="9" s="1"/>
  <c r="F59" i="6"/>
  <c r="D2704" i="9" a="1"/>
  <c r="D2704" i="9" s="1"/>
  <c r="E2704" i="9" s="1"/>
  <c r="F2704" i="9" s="1"/>
  <c r="K18" i="12"/>
  <c r="G9" i="12"/>
  <c r="H9" i="12" s="1"/>
  <c r="K9" i="12" s="1"/>
  <c r="D2607" i="9" a="1"/>
  <c r="D2607" i="9" s="1"/>
  <c r="E2607" i="9" s="1"/>
  <c r="F2607" i="9" s="1"/>
  <c r="J62" i="6"/>
  <c r="F16" i="12"/>
  <c r="H16" i="12" s="1"/>
  <c r="J16" i="12" s="1"/>
  <c r="J64" i="6"/>
  <c r="F17" i="12"/>
  <c r="H17" i="12" s="1"/>
  <c r="K17" i="12" s="1"/>
  <c r="H4" i="12"/>
  <c r="J4" i="12" s="1"/>
  <c r="J21" i="12"/>
  <c r="J24" i="12"/>
  <c r="K24" i="12"/>
  <c r="J13" i="12"/>
  <c r="K13" i="12"/>
  <c r="J19" i="12"/>
  <c r="K19" i="12"/>
  <c r="J20" i="12"/>
  <c r="K20" i="12"/>
  <c r="J12" i="12"/>
  <c r="K12" i="12"/>
  <c r="J2" i="12"/>
  <c r="H8" i="12"/>
  <c r="H10" i="12"/>
  <c r="D2667" i="9" l="1" a="1"/>
  <c r="D2667" i="9" s="1"/>
  <c r="E2667" i="9" s="1"/>
  <c r="F2667" i="9" s="1"/>
  <c r="D2655" i="9" a="1"/>
  <c r="D2655" i="9" s="1"/>
  <c r="E2655" i="9" s="1"/>
  <c r="F2655" i="9" s="1"/>
  <c r="D2679" i="9" a="1"/>
  <c r="D2679" i="9" s="1"/>
  <c r="E2679" i="9" s="1"/>
  <c r="F2679" i="9" s="1"/>
  <c r="D2716" i="9" a="1"/>
  <c r="D2716" i="9" s="1"/>
  <c r="E2716" i="9" s="1"/>
  <c r="F2716" i="9" s="1"/>
  <c r="D2779" i="9" a="1"/>
  <c r="D2779" i="9" s="1"/>
  <c r="E2779" i="9" s="1"/>
  <c r="F2779" i="9" s="1"/>
  <c r="D2774" i="9" a="1"/>
  <c r="D2774" i="9" s="1"/>
  <c r="E2774" i="9" s="1"/>
  <c r="F2774" i="9" s="1"/>
  <c r="D2773" i="9" a="1"/>
  <c r="D2773" i="9" s="1"/>
  <c r="E2773" i="9" s="1"/>
  <c r="F2773" i="9" s="1"/>
  <c r="D2778" i="9" a="1"/>
  <c r="D2778" i="9" s="1"/>
  <c r="E2778" i="9" s="1"/>
  <c r="F2778" i="9" s="1"/>
  <c r="D2777" i="9" a="1"/>
  <c r="D2777" i="9" s="1"/>
  <c r="E2777" i="9" s="1"/>
  <c r="F2777" i="9" s="1"/>
  <c r="D322" i="9" a="1"/>
  <c r="D322" i="9" s="1"/>
  <c r="E322" i="9" s="1"/>
  <c r="F322" i="9" s="1"/>
  <c r="D2775" i="9" a="1"/>
  <c r="D2775" i="9" s="1"/>
  <c r="E2775" i="9" s="1"/>
  <c r="F2775" i="9" s="1"/>
  <c r="D2461" i="9"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1546" i="9" a="1"/>
  <c r="D1546" i="9" s="1"/>
  <c r="E1546" i="9" s="1"/>
  <c r="F1546"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430" i="9" a="1"/>
  <c r="D430" i="9" s="1"/>
  <c r="E430" i="9" s="1"/>
  <c r="F43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1150" i="9" a="1"/>
  <c r="D1150" i="9" s="1"/>
  <c r="E1150" i="9" s="1"/>
  <c r="F1150"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482" i="9" a="1"/>
  <c r="D2482" i="9" s="1"/>
  <c r="E2482" i="9" s="1"/>
  <c r="F2482"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1942" i="9" a="1"/>
  <c r="D1942" i="9" s="1"/>
  <c r="E1942" i="9" s="1"/>
  <c r="F1942"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1402" i="9" a="1"/>
  <c r="D1402" i="9" s="1"/>
  <c r="E1402" i="9" s="1"/>
  <c r="F1402" i="9" s="1"/>
  <c r="D2505" i="9" a="1"/>
  <c r="D2505" i="9" s="1"/>
  <c r="E2505" i="9" s="1"/>
  <c r="F2505" i="9" s="1"/>
  <c r="D1366" i="9" a="1"/>
  <c r="D1366" i="9" s="1"/>
  <c r="E1366" i="9" s="1"/>
  <c r="F1366"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626" i="9" a="1"/>
  <c r="D2626" i="9" s="1"/>
  <c r="E2626" i="9" s="1"/>
  <c r="F262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934" i="9" a="1"/>
  <c r="D934" i="9" s="1"/>
  <c r="E934" i="9" s="1"/>
  <c r="F934"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394" i="9" a="1"/>
  <c r="D394" i="9" s="1"/>
  <c r="E394" i="9" s="1"/>
  <c r="F394"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590" i="9" a="1"/>
  <c r="D2590" i="9" s="1"/>
  <c r="E2590" i="9" s="1"/>
  <c r="F2590"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827" i="9" a="1"/>
  <c r="D827" i="9" s="1"/>
  <c r="E827" i="9" s="1"/>
  <c r="F827"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2770" i="9" a="1"/>
  <c r="D2770" i="9" s="1"/>
  <c r="E2770" i="9" s="1"/>
  <c r="F2770"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1114" i="9" a="1"/>
  <c r="D1114" i="9" s="1"/>
  <c r="E1114" i="9" s="1"/>
  <c r="F1114" i="9" s="1"/>
  <c r="D970" i="9" a="1"/>
  <c r="D970" i="9" s="1"/>
  <c r="E970" i="9" s="1"/>
  <c r="F970" i="9" s="1"/>
  <c r="D2776" i="9" a="1"/>
  <c r="D2776" i="9" s="1"/>
  <c r="E2776" i="9" s="1"/>
  <c r="F2776" i="9" s="1"/>
  <c r="D1258" i="9" a="1"/>
  <c r="D1258" i="9" s="1"/>
  <c r="E1258" i="9" s="1"/>
  <c r="F1258" i="9" s="1"/>
  <c r="D2734" i="9" a="1"/>
  <c r="D2734" i="9" s="1"/>
  <c r="E2734" i="9" s="1"/>
  <c r="F2734"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98" i="9" a="1"/>
  <c r="D1798" i="9" s="1"/>
  <c r="E1798" i="9" s="1"/>
  <c r="F1798"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2266" i="9" a="1"/>
  <c r="D2266" i="9" s="1"/>
  <c r="E2266" i="9" s="1"/>
  <c r="F2266" i="9" s="1"/>
  <c r="D1774" i="9" a="1"/>
  <c r="D1774" i="9" s="1"/>
  <c r="E1774" i="9" s="1"/>
  <c r="F1774" i="9" s="1"/>
  <c r="D2338" i="9" a="1"/>
  <c r="D2338" i="9" s="1"/>
  <c r="E2338" i="9" s="1"/>
  <c r="F2338"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62" i="9" a="1"/>
  <c r="D1762" i="9" s="1"/>
  <c r="E1762" i="9" s="1"/>
  <c r="F1762"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1726" i="9" a="1"/>
  <c r="D1726" i="9" s="1"/>
  <c r="E1726" i="9" s="1"/>
  <c r="F1726" i="9" s="1"/>
  <c r="D1174" i="9" a="1"/>
  <c r="D1174" i="9" s="1"/>
  <c r="E1174" i="9" s="1"/>
  <c r="F1174" i="9" s="1"/>
  <c r="D2410" i="9" a="1"/>
  <c r="D2410" i="9" s="1"/>
  <c r="E2410" i="9" s="1"/>
  <c r="F2410"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214" i="9" a="1"/>
  <c r="D214" i="9" s="1"/>
  <c r="E214" i="9" s="1"/>
  <c r="F214"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2554" i="9" a="1"/>
  <c r="D2554" i="9" s="1"/>
  <c r="E2554" i="9" s="1"/>
  <c r="F255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466" i="9" a="1"/>
  <c r="D466" i="9" s="1"/>
  <c r="E466" i="9" s="1"/>
  <c r="F466"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1618" i="9" a="1"/>
  <c r="D1618" i="9" s="1"/>
  <c r="E1618" i="9" s="1"/>
  <c r="F1618"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1186" i="9" a="1"/>
  <c r="D1186"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2698" i="9" a="1"/>
  <c r="D2698" i="9" s="1"/>
  <c r="E2698" i="9" s="1"/>
  <c r="F2698"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2122" i="9" a="1"/>
  <c r="D2122" i="9" s="1"/>
  <c r="E2122" i="9" s="1"/>
  <c r="F2122"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1042" i="9" a="1"/>
  <c r="D1042" i="9" s="1"/>
  <c r="E1042" i="9" s="1"/>
  <c r="F1042"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 r="E1186" i="9" l="1"/>
  <c r="F1186"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A1" authorId="0" shapeId="0" xr:uid="{70913653-B1C5-43E9-959F-67DAC023593A}">
      <text>
        <r>
          <rPr>
            <b/>
            <sz val="9"/>
            <color indexed="81"/>
            <rFont val="Tahoma"/>
            <family val="2"/>
          </rPr>
          <t>Mathakgale Mohale:</t>
        </r>
        <r>
          <rPr>
            <sz val="9"/>
            <color indexed="81"/>
            <rFont val="Tahoma"/>
            <family val="2"/>
          </rPr>
          <t xml:space="preserve">
Sep-26 values (C34:C2701 Sep rows, and new rows 2717:2722): Source: 261001 kWh Registration_September.xlsx, Meter Overview sheet, Total kWh column, uploaded 2026-10-05.</t>
        </r>
      </text>
    </comment>
    <comment ref="C321" authorId="0" shapeId="0" xr:uid="{5810436F-CEBB-419A-9068-C538AA34BE2A}">
      <text>
        <r>
          <rPr>
            <b/>
            <sz val="9"/>
            <color indexed="81"/>
            <rFont val="Tahoma"/>
            <family val="2"/>
          </rPr>
          <t>Mathakgale Mohale:</t>
        </r>
        <r>
          <rPr>
            <sz val="9"/>
            <color indexed="81"/>
            <rFont val="Tahoma"/>
            <family val="2"/>
          </rPr>
          <t xml:space="preserve">
Aug-2026 measured. Offline 01/08 - 04/08. Source: 260901 kWh Registration_August.xlsx, Meter Overview</t>
        </r>
      </text>
    </comment>
    <comment ref="C1437" authorId="0" shapeId="0" xr:uid="{4663AF63-283D-4865-B746-A45870AE179A}">
      <text>
        <r>
          <rPr>
            <b/>
            <sz val="9"/>
            <color indexed="81"/>
            <rFont val="Tahoma"/>
            <family val="2"/>
          </rPr>
          <t>Mathakgale Mohale:</t>
        </r>
        <r>
          <rPr>
            <sz val="9"/>
            <color indexed="81"/>
            <rFont val="Tahoma"/>
            <family val="2"/>
          </rPr>
          <t xml:space="preserve">
Inverter readings. Source: 260901 kWh Registration_August.xlsx, Meter Overview</t>
        </r>
      </text>
    </comment>
    <comment ref="C1761" authorId="0" shapeId="0" xr:uid="{A64265D3-4F4D-4122-9F6C-C6EFE4E7B0C4}">
      <text>
        <r>
          <rPr>
            <b/>
            <sz val="9"/>
            <color indexed="81"/>
            <rFont val="Tahoma"/>
            <family val="2"/>
          </rPr>
          <t>Mathakgale Mohale:</t>
        </r>
        <r>
          <rPr>
            <sz val="9"/>
            <color indexed="81"/>
            <rFont val="Tahoma"/>
            <family val="2"/>
          </rPr>
          <t xml:space="preserve">
System offline until 17/08 (municipal fault). Source: 260901 kWh Registration_August.xlsx, Meter Overview</t>
        </r>
      </text>
    </comment>
    <comment ref="C2013" authorId="0" shapeId="0" xr:uid="{EAE735D6-5EA9-40C5-AD78-784FB9B86B89}">
      <text>
        <r>
          <rPr>
            <b/>
            <sz val="9"/>
            <color indexed="81"/>
            <rFont val="Tahoma"/>
            <family val="2"/>
          </rPr>
          <t>Mathakgale Mohale:</t>
        </r>
        <r>
          <rPr>
            <sz val="9"/>
            <color indexed="81"/>
            <rFont val="Tahoma"/>
            <family val="2"/>
          </rPr>
          <t xml:space="preserve">
System off due to grid unavailability. Source: 260901 kWh Registration_August.xlsx, Meter Overview</t>
        </r>
      </text>
    </comment>
    <comment ref="C2553" authorId="0" shapeId="0" xr:uid="{F07CCDB8-0DB7-4427-9FF5-0574B3480D84}">
      <text>
        <r>
          <rPr>
            <b/>
            <sz val="9"/>
            <color indexed="81"/>
            <rFont val="Tahoma"/>
            <family val="2"/>
          </rPr>
          <t>Mathakgale Mohale:</t>
        </r>
        <r>
          <rPr>
            <sz val="9"/>
            <color indexed="81"/>
            <rFont val="Tahoma"/>
            <family val="2"/>
          </rPr>
          <t xml:space="preserve">
Inverter readings. Source: 260901 kWh Registration_August.xlsx, Meter Overview</t>
        </r>
      </text>
    </comment>
    <comment ref="C2714" authorId="0" shapeId="0" xr:uid="{ECA30480-0CF7-413B-9B9F-93CD9B374593}">
      <text>
        <r>
          <rPr>
            <b/>
            <sz val="9"/>
            <color indexed="81"/>
            <rFont val="Tahoma"/>
            <family val="2"/>
          </rPr>
          <t>Mathakgale Mohale:</t>
        </r>
        <r>
          <rPr>
            <sz val="9"/>
            <color indexed="81"/>
            <rFont val="Tahoma"/>
            <family val="2"/>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<sst xmlns="http://schemas.openxmlformats.org/spreadsheetml/2006/main" count="15695" uniqueCount="1119">
  <si>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</si>
  <si>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</si>
  <si>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</si>
  <si>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</si>
  <si>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</si>
  <si>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</si>
  <si>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</si>
  <si>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</si>
  <si>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</si>
  <si>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</si>
  <si>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</si>
  <si>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</si>
  <si>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</si>
  <si>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</si>
  <si>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</si>
  <si>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</si>
  <si>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</si>
  <si>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</si>
  <si>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</si>
  <si>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</si>
  <si>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</si>
  <si>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</si>
  <si>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</si>
  <si>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</si>
  <si>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</si>
  <si>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</si>
  <si>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</si>
  <si>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</si>
  <si>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</si>
  <si>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</si>
  <si>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</si>
  <si>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</si>
  <si>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</si>
  <si>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</si>
  <si>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</si>
  <si>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</si>
  <si>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</si>
  <si>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</si>
  <si>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</si>
  <si>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</si>
  <si>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</si>
  <si>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</si>
  <si>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</si>
  <si>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</si>
  <si>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</si>
  <si>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</si>
  <si>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</si>
  <si>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</si>
  <si>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</si>
  <si>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</si>
  <si>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</si>
  <si>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</si>
  <si>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</si>
  <si>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</si>
  <si>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</si>
  <si>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</si>
  <si>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</si>
  <si>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</si>
  <si>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</si>
  <si>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</si>
  <si>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</si>
  <si>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</si>
  <si>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</si>
  <si>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</si>
  <si>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</si>
  <si>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</si>
  <si>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</si>
  <si>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</si>
  <si>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</si>
  <si>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</si>
  <si>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</si>
  <si>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</si>
  <si>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</si>
  <si>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</si>
  <si>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</si>
  <si>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</si>
  <si>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</si>
  <si>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</si>
  <si>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</si>
  <si>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</si>
  <si>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</si>
  <si>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</si>
  <si>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</si>
  <si>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</si>
  <si>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</si>
  <si>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</si>
  <si>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</si>
  <si>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</si>
  <si>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</si>
  <si>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</si>
  <si>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</si>
  <si>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</si>
  <si>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</si>
  <si>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</si>
  <si>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</si>
  <si>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</si>
  <si>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</si>
  <si>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</si>
  <si>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</si>
  <si>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</si>
  <si>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</si>
  <si>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</si>
  <si>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</si>
  <si>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</si>
  <si>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</si>
  <si>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</si>
  <si>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</si>
  <si>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</si>
  <si>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</si>
  <si>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</si>
  <si>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</si>
  <si>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</si>
  <si>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</si>
  <si>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</si>
  <si>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</si>
  <si>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</si>
  <si>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</si>
  <si>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</si>
  <si>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</si>
  <si>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</si>
  <si>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</si>
  <si>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</si>
  <si>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</si>
  <si>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</si>
  <si>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</si>
  <si>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</si>
  <si>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</si>
  <si>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</si>
  <si>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</si>
  <si>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</si>
  <si>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</si>
  <si>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</si>
  <si>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</si>
  <si>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</si>
  <si>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</si>
  <si>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</si>
  <si>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</si>
  <si>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</si>
  <si>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</si>
  <si>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</si>
  <si>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</si>
  <si>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</si>
  <si>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</si>
  <si>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</si>
  <si>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</si>
  <si>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</si>
  <si>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</si>
  <si>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</si>
  <si>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</si>
  <si>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</si>
  <si>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</si>
  <si>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</si>
  <si>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</si>
  <si>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</si>
  <si>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</si>
  <si>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</si>
  <si>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</si>
  <si>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</si>
  <si>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</si>
  <si>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</si>
  <si>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</si>
  <si>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</si>
  <si>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</si>
  <si>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</si>
  <si>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</si>
  <si>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</si>
  <si>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</si>
  <si>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</si>
  <si>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</si>
  <si>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</si>
  <si>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</si>
  <si>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</si>
  <si>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</si>
  <si>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</si>
  <si>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</si>
  <si>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</si>
  <si>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</si>
  <si>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</si>
  <si>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</si>
  <si>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</si>
  <si>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</si>
  <si>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</si>
  <si>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</si>
  <si>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</si>
  <si>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</si>
  <si>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</si>
  <si>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</si>
  <si>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</si>
  <si>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</si>
  <si>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</si>
  <si>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</si>
  <si>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</si>
  <si>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</si>
  <si>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</si>
  <si>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</si>
  <si>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</si>
  <si>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</si>
  <si>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</si>
  <si>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</si>
  <si>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</si>
  <si>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</si>
  <si>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</si>
  <si>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</si>
  <si>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</si>
  <si>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</si>
  <si>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</si>
  <si>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</si>
  <si>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</si>
  <si>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</si>
  <si>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</si>
  <si>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</si>
  <si>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</si>
  <si>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</si>
  <si>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</si>
  <si>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</si>
  <si>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</si>
  <si>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</si>
  <si>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</si>
  <si>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</si>
  <si>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</si>
  <si>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</si>
  <si>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</si>
  <si>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</si>
  <si>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</si>
  <si>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</si>
  <si>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</si>
  <si>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</si>
  <si>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</si>
  <si>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</si>
  <si>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</si>
  <si>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</si>
  <si>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</si>
  <si>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</si>
  <si>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</si>
  <si>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</si>
  <si>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</si>
  <si>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</si>
  <si>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</si>
  <si>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</si>
  <si>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</si>
  <si>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</si>
  <si>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</si>
  <si>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</si>
  <si>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</si>
  <si>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</si>
  <si>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</si>
  <si>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</si>
  <si>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</si>
  <si>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</si>
  <si>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</si>
  <si>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</si>
  <si>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</si>
  <si>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</si>
  <si>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</si>
  <si>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</si>
  <si>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</si>
  <si>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</si>
  <si>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</si>
  <si>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</si>
  <si>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</si>
  <si>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</si>
  <si>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</si>
  <si>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</si>
  <si>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</si>
  <si>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</si>
  <si>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</si>
  <si>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</si>
  <si>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</si>
  <si>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</si>
  <si>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</si>
  <si>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</si>
  <si>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</si>
  <si>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</si>
  <si>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</si>
  <si>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</si>
  <si>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</si>
  <si>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</si>
  <si>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</si>
  <si>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</si>
  <si>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</si>
  <si>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</si>
  <si>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</si>
  <si>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</si>
  <si>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</si>
  <si>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</si>
  <si>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</si>
  <si>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</si>
  <si>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</si>
  <si>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</si>
  <si>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</si>
  <si>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</si>
  <si>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</si>
  <si>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</si>
  <si>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</si>
  <si>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</si>
  <si>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</si>
  <si>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</si>
  <si>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</si>
  <si>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</si>
  <si>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</si>
  <si>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</si>
  <si>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</si>
  <si>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</si>
  <si>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</si>
  <si>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</si>
  <si>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</si>
  <si>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</si>
  <si>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</si>
  <si>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</si>
  <si>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</si>
  <si>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</si>
  <si>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</si>
  <si>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</si>
  <si>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</si>
  <si>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</si>
  <si>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</si>
  <si>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</si>
  <si>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</si>
  <si>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</si>
  <si>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</si>
  <si>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</si>
  <si>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</si>
  <si>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</si>
  <si>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</si>
  <si>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</si>
  <si>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</si>
  <si>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</si>
  <si>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</si>
  <si>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</si>
  <si>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</si>
  <si>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</si>
  <si>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</si>
  <si>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</si>
  <si>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</si>
  <si>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</si>
  <si>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</si>
  <si>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</si>
  <si>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</si>
  <si>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</si>
  <si>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</si>
  <si>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</si>
  <si>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</si>
  <si>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</si>
  <si>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</si>
  <si>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</si>
  <si>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</si>
  <si>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</si>
  <si>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</si>
  <si>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</si>
  <si>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</si>
  <si>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</si>
  <si>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</si>
  <si>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</si>
  <si>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</si>
  <si>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</si>
  <si>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</si>
  <si>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</si>
  <si>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</si>
  <si>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</si>
  <si>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</si>
  <si>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</si>
  <si>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</si>
  <si>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</si>
  <si>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</si>
  <si>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</si>
  <si>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</si>
  <si>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</si>
  <si>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</si>
  <si>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</si>
  <si>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</si>
  <si>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</si>
  <si>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</si>
  <si>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</si>
  <si>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</si>
  <si>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</si>
  <si>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</si>
  <si>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</si>
  <si>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</si>
  <si>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</si>
  <si>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</si>
  <si>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</si>
  <si>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</si>
  <si>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</si>
  <si>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</si>
  <si>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</si>
  <si>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</si>
  <si>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</si>
  <si>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</si>
  <si>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</si>
  <si>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</si>
  <si>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</si>
  <si>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</si>
  <si>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</si>
  <si>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</si>
  <si>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</si>
  <si>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</si>
  <si>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</si>
  <si>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</si>
  <si>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</si>
  <si>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</si>
  <si>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</si>
  <si>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</si>
  <si>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</si>
  <si>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</si>
  <si>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</si>
  <si>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</si>
  <si>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</si>
  <si>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</si>
  <si>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</si>
  <si>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</si>
  <si>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</si>
  <si>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</si>
  <si>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</si>
  <si>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</si>
  <si>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</si>
  <si>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</si>
  <si>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</si>
  <si>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</si>
  <si>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</si>
  <si>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</si>
  <si>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</si>
  <si>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</si>
  <si>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</si>
  <si>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</si>
  <si>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</si>
  <si>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</si>
  <si>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</si>
  <si>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</si>
  <si>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</si>
  <si>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</si>
  <si>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</si>
  <si>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</si>
  <si>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</si>
  <si>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</si>
  <si>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</si>
  <si>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</si>
  <si>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</si>
  <si>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</si>
  <si>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</si>
  <si>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</si>
  <si>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</si>
  <si>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</si>
  <si>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</si>
  <si>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</si>
  <si>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</si>
  <si>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</si>
  <si>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</si>
  <si>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</si>
  <si>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</si>
  <si>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</si>
  <si>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</si>
  <si>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</si>
  <si>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</si>
  <si>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</si>
  <si>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</si>
  <si>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</si>
  <si>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</si>
  <si>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</si>
  <si>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</si>
  <si>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</si>
  <si>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</si>
  <si>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</si>
  <si>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</si>
  <si>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</si>
  <si>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</si>
  <si>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</si>
  <si>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</si>
  <si>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</si>
  <si>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</si>
  <si>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</si>
  <si>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</si>
  <si>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</si>
  <si>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</si>
  <si>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</si>
  <si>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</si>
  <si>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</si>
  <si>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</si>
  <si>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</si>
  <si>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</si>
  <si>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</si>
  <si>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</si>
  <si>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</si>
  <si>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</si>
  <si>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</si>
  <si>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</si>
  <si>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</si>
  <si>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</si>
  <si>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</si>
  <si>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</si>
  <si>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</si>
  <si>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</si>
  <si>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</si>
  <si>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</si>
  <si>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</si>
  <si>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</si>
  <si>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</si>
  <si>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</si>
  <si>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</si>
  <si>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</si>
  <si>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</si>
  <si>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</si>
  <si>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</si>
  <si>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</si>
  <si>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</si>
  <si>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</si>
  <si>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</si>
  <si>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</si>
  <si>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</si>
  <si>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</si>
  <si>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</si>
  <si>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</si>
  <si>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</si>
  <si>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</si>
  <si>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</si>
  <si>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</si>
  <si>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</si>
  <si>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</si>
  <si>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</si>
  <si>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</si>
  <si>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</si>
  <si>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</si>
  <si>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</si>
  <si>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</si>
  <si>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</si>
  <si>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</si>
  <si>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</si>
  <si>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</si>
  <si>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</si>
  <si>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</si>
  <si>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</si>
  <si>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</si>
  <si>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</si>
  <si>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</si>
  <si>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</si>
  <si>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</si>
  <si>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</si>
  <si>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</si>
  <si>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</si>
  <si>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</si>
  <si>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</si>
  <si>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</si>
  <si>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</si>
  <si>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</si>
  <si>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</si>
  <si>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</si>
  <si>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</si>
  <si>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</si>
  <si>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</si>
  <si>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</si>
  <si>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</si>
  <si>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</si>
  <si>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</si>
  <si>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</si>
  <si>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</si>
  <si>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</si>
  <si>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</si>
  <si>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</si>
  <si>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</si>
  <si>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</si>
  <si>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</si>
  <si>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</si>
  <si>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</si>
  <si>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</si>
  <si>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</si>
  <si>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</si>
  <si>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</si>
  <si>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</si>
  <si>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</si>
  <si>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</si>
  <si>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</si>
  <si>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</si>
  <si>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</si>
  <si>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</si>
  <si>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</si>
  <si>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</si>
  <si>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</si>
  <si>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</si>
  <si>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</si>
  <si>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</si>
  <si>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</si>
  <si>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</si>
  <si>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</si>
  <si>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</si>
  <si>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</si>
  <si>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</si>
  <si>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</si>
  <si>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</si>
  <si>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</si>
  <si>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</si>
  <si>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</si>
  <si>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</si>
  <si>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</si>
  <si>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</si>
  <si>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</si>
  <si>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</si>
  <si>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</si>
  <si>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</si>
  <si>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</si>
  <si>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</si>
  <si>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</si>
  <si>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</si>
  <si>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</si>
  <si>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</si>
  <si>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</si>
  <si>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</si>
  <si>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</si>
  <si>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</si>
  <si>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</si>
  <si>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</si>
  <si>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</si>
  <si>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</si>
  <si>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</si>
  <si>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</si>
  <si>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</si>
  <si>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</si>
  <si>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</si>
  <si>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</si>
  <si>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</si>
  <si>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</si>
  <si>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</si>
  <si>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</si>
  <si>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</si>
  <si>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</si>
  <si>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</si>
  <si>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</si>
  <si>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</si>
  <si>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</si>
  <si>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</si>
  <si>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</si>
  <si>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</si>
  <si>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</si>
  <si>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</si>
  <si>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</si>
  <si>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</si>
  <si>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</si>
  <si>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</si>
  <si>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</si>
  <si>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</si>
  <si>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</si>
  <si>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</si>
  <si>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</si>
  <si>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</si>
  <si>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</si>
  <si>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</si>
  <si>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</si>
  <si>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</si>
  <si>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</si>
  <si>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</si>
  <si>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</si>
  <si>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</si>
  <si>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</si>
  <si>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</si>
  <si>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</si>
  <si>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</si>
  <si>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</si>
  <si>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</si>
  <si>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</si>
  <si>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</si>
  <si>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</si>
  <si>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</si>
  <si>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</si>
  <si>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</si>
  <si>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</si>
  <si>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</si>
  <si>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</si>
  <si>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</si>
  <si>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</si>
  <si>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</si>
  <si>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</si>
  <si>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</si>
  <si>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</si>
  <si>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</si>
  <si>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</si>
  <si>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</si>
  <si>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</si>
  <si>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</si>
  <si>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</si>
  <si>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</si>
  <si>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</si>
  <si>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</si>
  <si>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</si>
  <si>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</si>
  <si>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</si>
  <si>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</si>
  <si>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</si>
  <si>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</si>
  <si>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</si>
  <si>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</si>
  <si>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</si>
  <si>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</si>
  <si>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</si>
  <si>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</si>
  <si>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</si>
  <si>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</si>
  <si>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</si>
  <si>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</si>
  <si>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</si>
  <si>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</si>
  <si>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</si>
  <si>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</si>
  <si>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</si>
  <si>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</si>
  <si>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</si>
  <si>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</si>
  <si>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</si>
  <si>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</si>
  <si>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</si>
  <si>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</si>
  <si>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</si>
  <si>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</si>
  <si>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</si>
  <si>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</si>
  <si>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</si>
  <si>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</si>
  <si>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</si>
  <si>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</si>
  <si>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</si>
  <si>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</si>
  <si>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</si>
  <si>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</si>
  <si>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</si>
  <si>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</si>
  <si>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</si>
  <si>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</si>
  <si>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</si>
  <si>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</si>
  <si>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</si>
  <si>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</si>
  <si>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</si>
  <si>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</si>
  <si>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</si>
  <si>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</si>
  <si>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</si>
  <si>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</si>
  <si>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</si>
  <si>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</si>
  <si>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</si>
  <si>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</si>
  <si>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</si>
  <si>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</si>
  <si>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</si>
  <si>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</si>
  <si>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</si>
  <si>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</si>
  <si>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</si>
  <si>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</si>
  <si>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</si>
  <si>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</si>
  <si>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</si>
  <si>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</si>
  <si>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</si>
  <si>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</si>
  <si>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</si>
  <si>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</si>
  <si>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</si>
  <si>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</si>
  <si>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</si>
  <si>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</si>
  <si>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</si>
  <si>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</si>
  <si>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</si>
  <si>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</si>
  <si>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</si>
  <si>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</si>
  <si>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</si>
  <si>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</si>
  <si>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</si>
  <si>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</si>
  <si>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</si>
  <si>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</si>
  <si>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</si>
  <si>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</si>
  <si>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</si>
  <si>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</si>
  <si>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</si>
  <si>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</si>
  <si>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</si>
  <si>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</si>
  <si>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</si>
  <si>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</si>
  <si>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</si>
  <si>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</si>
  <si>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</si>
  <si>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</si>
  <si>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</si>
  <si>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</si>
  <si>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</si>
  <si>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</si>
  <si>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</si>
  <si>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</si>
  <si>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</si>
  <si>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</si>
  <si>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</si>
  <si>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</si>
  <si>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</si>
  <si>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</si>
  <si>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</si>
  <si>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</si>
  <si>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</si>
  <si>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</si>
  <si>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</si>
  <si>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</si>
  <si>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</si>
  <si>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</si>
  <si>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</si>
  <si>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</si>
  <si>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</si>
  <si>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</si>
  <si>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</si>
  <si>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</si>
  <si>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</si>
  <si>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</si>
  <si>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</si>
  <si>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</si>
  <si>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</si>
  <si>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</si>
  <si>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</si>
  <si>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</si>
  <si>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</si>
  <si>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</si>
  <si>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</si>
  <si>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</si>
  <si>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</si>
  <si>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</si>
  <si>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</si>
  <si>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</si>
  <si>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</si>
  <si>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</si>
  <si>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</si>
  <si>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</si>
  <si>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</si>
  <si>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</si>
  <si>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</si>
  <si>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</si>
  <si>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</si>
  <si>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</si>
  <si>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</si>
  <si>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</si>
  <si>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</si>
  <si>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</si>
  <si>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</si>
  <si>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</si>
  <si>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</si>
  <si>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</si>
  <si>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</si>
  <si>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</si>
  <si>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</si>
  <si>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</si>
  <si>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</si>
  <si>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</si>
  <si>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</si>
  <si>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</si>
  <si>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</si>
  <si>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</si>
  <si>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</si>
  <si>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</si>
  <si>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</si>
  <si>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</si>
  <si>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</si>
  <si>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</si>
  <si>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</si>
  <si>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</si>
  <si>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</si>
  <si>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</si>
  <si>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</si>
  <si>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</si>
  <si>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</si>
  <si>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</si>
  <si>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</si>
  <si>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</si>
  <si>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</si>
  <si>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</si>
  <si>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</si>
  <si>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</si>
  <si>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</si>
  <si>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</si>
  <si>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</si>
  <si>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</si>
  <si>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</si>
  <si>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</si>
  <si>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</si>
  <si>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</si>
  <si>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</si>
  <si>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</si>
  <si>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</si>
  <si>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</si>
  <si>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</si>
  <si>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</si>
  <si>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</si>
  <si>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</si>
  <si>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</si>
  <si>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</si>
  <si>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</si>
  <si>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</si>
  <si>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</si>
  <si>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</si>
  <si>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</si>
  <si>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</si>
  <si>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</si>
  <si>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</si>
  <si>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</si>
  <si>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</si>
  <si>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</si>
  <si>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</si>
  <si>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</si>
  <si>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</si>
  <si>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</si>
  <si>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</si>
  <si>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</si>
  <si>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</si>
  <si>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</si>
  <si>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</si>
  <si>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</si>
  <si>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</si>
  <si>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</si>
  <si>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</si>
  <si>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</si>
  <si>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</si>
  <si>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</si>
  <si>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</si>
  <si>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</si>
  <si>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</si>
  <si>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</si>
  <si>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</si>
  <si>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</si>
  <si>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</si>
  <si>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</si>
  <si>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</si>
  <si>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</si>
  <si>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</si>
  <si>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</si>
  <si>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</si>
  <si>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</si>
  <si>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</si>
  <si>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</si>
  <si>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</si>
  <si>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</si>
  <si>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</si>
  <si>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</si>
  <si>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</si>
  <si>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</si>
  <si>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</si>
  <si>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</si>
  <si>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</si>
  <si>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</si>
  <si>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</si>
  <si>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</si>
  <si>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</si>
  <si>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</si>
  <si>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</si>
  <si>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</si>
  <si>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</si>
  <si>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</si>
  <si>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</si>
  <si>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</si>
  <si>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</si>
  <si>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</si>
  <si>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</si>
  <si>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</si>
  <si>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</si>
  <si>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</si>
  <si>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</si>
  <si>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</si>
  <si>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</si>
  <si>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</si>
  <si>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</si>
  <si>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</si>
  <si>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</si>
  <si>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</si>
  <si>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</si>
  <si>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</si>
  <si>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</si>
  <si>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</si>
  <si>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</si>
  <si>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</si>
  <si>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</si>
  <si>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</si>
  <si>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</si>
  <si>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</si>
  <si>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</si>
  <si>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</si>
  <si>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</si>
  <si>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</si>
  <si>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</si>
  <si>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</si>
  <si>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</si>
  <si>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</si>
  <si>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</si>
  <si>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</si>
  <si>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</si>
  <si>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</si>
  <si>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</si>
  <si>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</si>
  <si>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</si>
  <si>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</si>
  <si>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</si>
  <si>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</si>
  <si>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</si>
  <si>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</si>
  <si>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</si>
  <si>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</si>
  <si>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</si>
  <si>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</si>
  <si>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</si>
  <si>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</si>
  <si>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</si>
  <si>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</si>
  <si>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</si>
  <si>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</si>
  <si>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</si>
  <si>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</si>
  <si>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</si>
  <si>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</si>
  <si>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</si>
  <si>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</si>
  <si>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</si>
  <si>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</si>
  <si>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</si>
  <si>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</si>
  <si>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</si>
  <si>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</si>
  <si>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</si>
  <si>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</si>
  <si>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</si>
  <si>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</si>
  <si>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</si>
  <si>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</si>
  <si>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</si>
  <si>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</si>
  <si>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</si>
  <si>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</si>
  <si>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</si>
  <si>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</si>
  <si>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</si>
  <si>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</si>
  <si>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</si>
  <si>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</si>
  <si>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</si>
  <si>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</si>
  <si>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</si>
  <si>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</si>
  <si>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</si>
  <si>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</si>
  <si>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</si>
  <si>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</si>
  <si>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</si>
  <si>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</si>
  <si>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</si>
  <si>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</si>
  <si>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</si>
  <si>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</si>
  <si>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</si>
  <si>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</si>
  <si>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</si>
  <si>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</si>
  <si>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</si>
  <si>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</si>
  <si>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</si>
  <si>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</si>
  <si>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</si>
  <si>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</si>
  <si>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</si>
  <si>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</si>
  <si>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</si>
  <si>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</si>
  <si>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</si>
  <si>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</si>
  <si>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</si>
  <si>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</si>
  <si>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</si>
  <si>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</si>
  <si>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</si>
  <si>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</si>
  <si>
    <t>Energy production was limited by load demand</t>
  </si>
  <si>
    <t xml:space="preserve">4 days, 8-10, 26th </t>
  </si>
  <si>
    <t xml:space="preserve">Grid over frequency </t>
  </si>
  <si>
    <t>The inverter went to safe mode</t>
  </si>
  <si>
    <t xml:space="preserve">Energy production was limited by load demand and downtimes </t>
  </si>
  <si>
    <t>Battery cell imbalance</t>
  </si>
  <si>
    <t xml:space="preserve">4 days, 1-4th </t>
  </si>
  <si>
    <t>The system is switched off as per client request</t>
  </si>
  <si>
    <t>2 days, 14-15th</t>
  </si>
  <si>
    <t>Energy production was limited by reduced load demand and unavailability du to power outage</t>
  </si>
  <si>
    <t>Business has shut down</t>
  </si>
  <si>
    <t xml:space="preserve">19 days, 1-19th </t>
  </si>
  <si>
    <t xml:space="preserve">11 days </t>
  </si>
  <si>
    <t>Energy production was limited by unavailability due to power outage due to transformer repairs</t>
  </si>
  <si>
    <t>2 days, 11-12th</t>
  </si>
  <si>
    <t xml:space="preserve">transfomer repairs </t>
  </si>
  <si>
    <t xml:space="preserve">Energy production was limited by reduced load demand and grid unavailability </t>
  </si>
  <si>
    <t>Grid unavailable</t>
  </si>
  <si>
    <t>Power Limit</t>
  </si>
  <si>
    <t>Zero Export</t>
  </si>
  <si>
    <t xml:space="preserve">Exporting </t>
  </si>
  <si>
    <t>Comms issue</t>
  </si>
  <si>
    <t>Atess</t>
  </si>
  <si>
    <t>ATESS PCS250</t>
  </si>
  <si>
    <t>Missing data from 19th - 27th due to offline comms (per Sep kWh registration)</t>
  </si>
  <si>
    <t>System switched off - client requested the system to be shut down (per Sep kWh registration)</t>
  </si>
  <si>
    <t>kWh based on inverter readings (per Sep kWh registration)</t>
  </si>
  <si>
    <t>System off due to business closure (per Sep kWh registration)</t>
  </si>
  <si>
    <t>System off due to grid unavailability (per Sep kWh registration)</t>
  </si>
  <si>
    <t>PV system isolated from the 2nd - 30th due to client roof leakage maintenance; energy production estimated from Sep 2025 readings (per Sep kWh registration)</t>
  </si>
  <si>
    <t>Base Expected (kWh)</t>
  </si>
  <si>
    <t>Commissioned Date</t>
  </si>
  <si>
    <t>Age (yrs)</t>
  </si>
  <si>
    <t>Degradation Factor</t>
  </si>
  <si>
    <t>Annual degradation rate</t>
  </si>
  <si>
    <t xml:space="preserve">The system performed poorly due to morning shading from the 1st to the 19th </t>
  </si>
  <si>
    <t xml:space="preserve">The system performed poorly due to the load demand reduction </t>
  </si>
  <si>
    <t>8 days,19th-27th</t>
  </si>
  <si>
    <t>The system performed poorly due to the load demand reduction, rainy and cloudy weather</t>
  </si>
  <si>
    <t>The system performed poorly due to rainy and cloudy weather</t>
  </si>
  <si>
    <t>monitoring comms offline</t>
  </si>
  <si>
    <t>The system performed poorly due to the load demand reduction</t>
  </si>
  <si>
    <t>2 day, 29-30th</t>
  </si>
  <si>
    <t xml:space="preserve">Internet connectivity </t>
  </si>
  <si>
    <t>The system performed poorly due to the load demand reduction, offline days, rainy and cloudy weather</t>
  </si>
  <si>
    <t>client roof maintanance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</si>
</sst>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0.0%"/>
    <numFmt numFmtId="165" formatCode="_(\R* #,##0.00_);_(\R* \(#,##0.00\);_(\R* \-??_);_(@_)"/>
    <numFmt numFmtId="166" formatCode="dd/mm/yyyy"/>
    <numFmt numFmtId="167" formatCode="0.0"/>
    <numFmt numFmtId="168" formatCode="_(* #,##0_);_(* \(#,##0\);_(* &quot;-&quot;??_);_(@_)"/>
    <numFmt numFmtId="169" formatCode="_-* #,##0_-;\-* #,##0_-;_-* &quot;-&quot;??_-;_-@_-"/>
    <numFmt numFmtId="171" formatCode="0.0000"/>
    <numFmt numFmtId="172" formatCode="#,##0.0"/>
  </numFmts>
  <fonts count="12"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family val="2"/>
    </font>
    <font>
      <b/>
      <sz val="9"/>
      <color indexed="81"/>
      <name val="Tahoma"/>
      <family val="2"/>
    </font>
    <font>
      <sz val="11"/>
      <color rgb="FF0000FF"/>
      <name val="Calibri"/>
      <family val="2"/>
      <charset val="1"/>
    </font>
    <font>
      <b/>
      <sz val="11"/>
      <color theme="1"/>
      <name val="Calibri"/>
      <family val="2"/>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53">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5" borderId="0" xfId="0" applyFill="1" applyAlignment="1">
      <alignment vertical="top" wrapText="1"/>
    </xf>
    <xf numFmtId="0" fontId="0" fillId="0" borderId="2" xfId="0" applyBorder="1"/>
    <xf numFmtId="169" fontId="0" fillId="0" borderId="0" xfId="2" applyNumberFormat="1" applyFont="1"/>
    <xf numFmtId="2" fontId="0" fillId="0" borderId="0" xfId="0" applyNumberFormat="1"/>
    <xf numFmtId="15" fontId="0" fillId="0" borderId="0" xfId="0" applyNumberFormat="1"/>
    <xf numFmtId="171" fontId="0" fillId="0" borderId="0" xfId="0" applyNumberFormat="1"/>
    <xf numFmtId="164" fontId="10" fillId="0" borderId="0" xfId="0" applyNumberFormat="1" applyFont="1"/>
    <xf numFmtId="0" fontId="11" fillId="0" borderId="0" xfId="0" applyFont="1"/>
    <xf numFmtId="172" fontId="0" fillId="0" borderId="0" xfId="0" applyNumberFormat="1"/>
  </cellXfs>
  <cellStyles count="3">
    <cellStyle name="Comma" xfId="2" builtinId="3"/>
    <cellStyle name="Normal" xfId="0" builtinId="0"/>
    <cellStyle name="Valuta 2" xfId="1" xr:uid="{00000000-0005-0000-0000-000001000000}"/>
  </cellStyles>
  <dxfs count="16">
    <dxf>
      <numFmt numFmtId="22" formatCode="mmm\-yy"/>
    </dxf>
    <dxf>
      <numFmt numFmtId="22" formatCode="mmm\-yy"/>
    </dxf>
    <dxf>
      <numFmt numFmtId="22" formatCode="mmm\-yy"/>
    </dxf>
    <dxf>
      <numFmt numFmtId="22" formatCode="mmm\-yy"/>
    </dxf>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83" totalsRowShown="0">
  <autoFilter ref="A1:Z83" xr:uid="{00000000-000C-0000-FFFF-FFFF00000000}"/>
  <sortState xmlns:xlrd2="http://schemas.microsoft.com/office/spreadsheetml/2017/richdata2" ref="A2:Y82">
    <sortCondition ref="A1:A82"/>
  </sortState>
  <tableColumns count="26">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5"/>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4">
      <calculatedColumnFormula>IF(ISNUMBER(S2),(TODAY()-S2)/365.25,"")</calculatedColumnFormula>
    </tableColumn>
    <tableColumn id="24" xr3:uid="{84D960D5-BA58-48E6-953B-EC2032022D73}" name="Soiling Intensity"/>
    <tableColumn id="25" xr3:uid="{C9261493-CB3A-4FCD-8445-AB87B9440EC1}" name="Shading"/>
    <tableColumn id="26" xr3:uid="{608B2AA4-3FB3-4D63-9397-AB21B6AA17EF}" name="Power Limi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79" totalsRowShown="0">
  <autoFilter ref="A1:M79"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13">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12">
      <calculatedColumnFormula array="1">IFERROR(INDEX('Expected Production'!$B$2:$B$79,MATCH(TRIM($A2),INDEX(TRIM('Expected Production'!$A$2:$A$79),0),0)),"Not found")</calculatedColumnFormula>
    </tableColumn>
    <tableColumn id="13" xr3:uid="{8104C470-3726-4704-8062-56A3F77C5887}" name="Age" dataDxfId="11">
      <calculatedColumnFormula array="1">_xlfn.IFNA(_xlfn.XLOOKUP(TRIM(A2),TRIM(site_tech_info!$A$2:$A$79),site_tech_info!$W$2:$W$79),"")</calculatedColumnFormula>
    </tableColumn>
    <tableColumn id="5" xr3:uid="{5CDB8975-4633-444F-A2A3-86921149ABC6}" name="As-Built kWh" dataDxfId="10">
      <calculatedColumnFormula array="1">IFERROR(SUM(INDEX('Simulated Production'!$B$2:$M$79,MATCH(TRIM($A2),INDEX(TRIM('Simulated Production'!$A$2:$A$79),0),0),0)),"Not found")</calculatedColumnFormula>
    </tableColumn>
    <tableColumn id="6" xr3:uid="{9411D1CF-D195-4EB2-B5CC-6A6DDABFDFBF}" name="Guaranteed Generation (kWh)" dataDxfId="9">
      <calculatedColumnFormula>(Table2[[#This Row],[As-Built kWh]]*Table2[[#This Row],[Expected Utilisation%]])*(1-0.007)^(Table2[[#This Row],[Age]])</calculatedColumnFormula>
    </tableColumn>
    <tableColumn id="7" xr3:uid="{E5EE1C6E-29BD-4B62-A08A-2B20A22AB1CE}" name="Unavailability kWh" dataDxfId="8"/>
    <tableColumn id="8" xr3:uid="{669A1871-958D-42FB-84C1-6EF903BC020E}" name="Correct kWh" dataDxfId="7">
      <calculatedColumnFormula>F2-G2</calculatedColumnFormula>
    </tableColumn>
    <tableColumn id="9" xr3:uid="{1B81CD85-F3BF-495A-AE3C-95AF0C51FA3B}" name="Actual Generation (kWh)" dataDxfId="6">
      <calculatedColumnFormula array="1">SUMPRODUCT((TRIM(measured[Site Name])=TRIM($A2))*(measured[Date]&gt;=DATE(2025,7,1))*(measured[Date]&lt;=DATE(2026,6,30))*measured[Measured Value (kWh)])</calculatedColumnFormula>
    </tableColumn>
    <tableColumn id="10" xr3:uid="{6A7719DF-ACA5-460E-82C4-665ED3FB49E3}" name="Shortfall (kWh)" dataDxfId="5">
      <calculatedColumnFormula>I2-H2</calculatedColumnFormula>
    </tableColumn>
    <tableColumn id="12" xr3:uid="{9328A0B8-C03E-4D3E-8642-11E7F2830AAA}" name="Performance Rate" dataDxfId="4">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22" totalsRowShown="0">
  <autoFilter ref="A1:C2722" xr:uid="{00000000-0009-0000-0100-000006000000}">
    <filterColumn colId="1">
      <filters>
        <dateGroupItem year="2026" month="9"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79" totalsRowShown="0">
  <autoFilter ref="A1:N79"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G2780" totalsRowShown="0">
  <autoFilter ref="A1:G2780" xr:uid="{00000000-0009-0000-0100-000005000000}">
    <filterColumn colId="0">
      <filters>
        <filter val="Beyerskloof"/>
      </filters>
    </filterColumn>
    <filterColumn colId="1">
      <filters>
        <dateGroupItem year="2026" month="9" dateTimeGrouping="month"/>
      </filters>
    </filterColumn>
  </autoFilter>
  <tableColumns count="7">
    <tableColumn id="1" xr3:uid="{00000000-0010-0000-0400-000001000000}" name="Site Name"/>
    <tableColumn id="2" xr3:uid="{00000000-0010-0000-0400-000002000000}" name="Date"/>
    <tableColumn id="4" xr3:uid="{008CA2A7-302C-4F22-86BD-4C901A176512}" name="Base Expected (kWh)" dataDxfId="3"/>
    <tableColumn id="5" xr3:uid="{E08F9DF0-6959-4867-8607-919871937B17}" name="Commissioned Date" dataDxfId="2">
      <calculatedColumnFormula>_xlfn.XLOOKUP(expected_production[[#This Row],[Site Name]],Table1[[Site Name ]],Table1[Commisioned Date],"")</calculatedColumnFormula>
    </tableColumn>
    <tableColumn id="6" xr3:uid="{C7DB44FF-2B04-4F1C-A223-C767C8B337DE}" name="Age (yrs)" dataDxfId="1">
      <calculatedColumnFormula>IF(ISNUMBER(expected_production[[#This Row],[Commissioned Date]]),MAX(0,(expected_production[[#This Row],[Date]]-expected_production[[#This Row],[Commissioned Date]])/365.25),"")</calculatedColumnFormula>
    </tableColumn>
    <tableColumn id="7" xr3:uid="{9507671A-983A-469F-AD24-86B77C234BC2}" name="Degradation Factor" dataDxfId="0">
      <calculatedColumnFormula>IF(expected_production[[#This Row],[Age (yrs)]]="",1,(1-DegradationRate)^expected_production[[#This Row],[Age (yrs)]])</calculatedColumnFormula>
    </tableColumn>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9" dateTimeGrouping="month"/>
      </filters>
    </filterColumn>
  </autoFilter>
  <sortState xmlns:xlrd2="http://schemas.microsoft.com/office/spreadsheetml/2017/richdata2" ref="A214:G2776">
    <sortCondition ref="E1:E2779"/>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90">
  <autoFilter ref="A1:H1890" xr:uid="{00000000-0009-0000-0100-000008000000}">
    <filterColumn colId="1">
      <filters>
        <dateGroupItem year="2026" month="9" dateTimeGrouping="month"/>
      </filters>
    </filterColumn>
  </autoFilter>
  <sortState xmlns:xlrd2="http://schemas.microsoft.com/office/spreadsheetml/2017/richdata2" ref="A246:H1890">
    <sortCondition ref="A1:A189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8"/>
  <sheetViews>
    <sheetView zoomScale="98" zoomScaleNormal="98" workbookViewId="0">
      <pane xSplit="1" ySplit="1" topLeftCell="P8" activePane="bottomRight" state="frozen"/>
      <selection pane="topRight" activeCell="B1" sqref="B1"/>
      <selection pane="bottomLeft" activeCell="A2" sqref="A2"/>
      <selection pane="bottomRight" activeCell="A16" sqref="A16:XFD16"/>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 min="26" max="26" width="12.88671875" bestFit="1" customWidth="1"/>
  </cols>
  <sheetData>
    <row r="1" spans="1:26"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c r="Z1" t="s">
        <v>1091</v>
      </c>
    </row>
    <row r="2" spans="1:26"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3.6605065023956196</v>
      </c>
      <c r="X2" t="s">
        <v>1000</v>
      </c>
      <c r="Y2" t="s">
        <v>1000</v>
      </c>
      <c r="Z2" t="s">
        <v>1092</v>
      </c>
    </row>
    <row r="3" spans="1:26"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3.0225872689938398</v>
      </c>
      <c r="X3" t="s">
        <v>1009</v>
      </c>
      <c r="Y3" t="s">
        <v>1000</v>
      </c>
      <c r="Z3" t="s">
        <v>1092</v>
      </c>
    </row>
    <row r="4" spans="1:26"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1.7577002053388091</v>
      </c>
      <c r="X4" t="s">
        <v>1000</v>
      </c>
      <c r="Y4" t="s">
        <v>1000</v>
      </c>
      <c r="Z4" t="s">
        <v>1092</v>
      </c>
    </row>
    <row r="5" spans="1:26"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0.43805612594113619</v>
      </c>
      <c r="X5" t="s">
        <v>1000</v>
      </c>
      <c r="Y5" t="s">
        <v>1000</v>
      </c>
      <c r="Z5" t="s">
        <v>1092</v>
      </c>
    </row>
    <row r="6" spans="1:26"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3.8110882956878851</v>
      </c>
      <c r="X6" t="s">
        <v>1000</v>
      </c>
      <c r="Y6" t="s">
        <v>1008</v>
      </c>
      <c r="Z6" t="s">
        <v>1092</v>
      </c>
    </row>
    <row r="7" spans="1:26"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2.8145106091718</v>
      </c>
      <c r="X7" t="s">
        <v>1000</v>
      </c>
      <c r="Y7" t="s">
        <v>1008</v>
      </c>
      <c r="Z7" t="s">
        <v>1092</v>
      </c>
    </row>
    <row r="8" spans="1:26"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2.8145106091718</v>
      </c>
      <c r="X8" t="s">
        <v>1000</v>
      </c>
      <c r="Y8" t="s">
        <v>1000</v>
      </c>
      <c r="Z8" t="s">
        <v>1092</v>
      </c>
    </row>
    <row r="9" spans="1:26"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1.8891170431211499</v>
      </c>
      <c r="X9" t="s">
        <v>1000</v>
      </c>
      <c r="Y9" t="s">
        <v>1008</v>
      </c>
      <c r="Z9" t="s">
        <v>1092</v>
      </c>
    </row>
    <row r="10" spans="1:26" ht="14.25" customHeight="1" x14ac:dyDescent="0.3">
      <c r="A10" s="1" t="s">
        <v>66</v>
      </c>
      <c r="B10" s="1">
        <v>15000</v>
      </c>
      <c r="C10" s="1" t="s">
        <v>36</v>
      </c>
      <c r="D10" s="13">
        <v>57200</v>
      </c>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3.0581793292265571</v>
      </c>
      <c r="X10" t="s">
        <v>1000</v>
      </c>
      <c r="Y10" t="s">
        <v>1008</v>
      </c>
      <c r="Z10" t="s">
        <v>1092</v>
      </c>
    </row>
    <row r="11" spans="1:26"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2.3299110198494182</v>
      </c>
      <c r="X11" t="s">
        <v>1000</v>
      </c>
      <c r="Y11" t="s">
        <v>1000</v>
      </c>
      <c r="Z11" t="s">
        <v>1092</v>
      </c>
    </row>
    <row r="12" spans="1:26"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0.46817248459958932</v>
      </c>
      <c r="X12" t="s">
        <v>1008</v>
      </c>
      <c r="Y12" t="s">
        <v>1000</v>
      </c>
      <c r="Z12" t="s">
        <v>1092</v>
      </c>
    </row>
    <row r="13" spans="1:26"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c r="Z13" t="s">
        <v>1092</v>
      </c>
    </row>
    <row r="14" spans="1:26"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c r="Z14" t="s">
        <v>1092</v>
      </c>
    </row>
    <row r="15" spans="1:26"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2.2696783025325118</v>
      </c>
      <c r="X15" t="s">
        <v>1000</v>
      </c>
      <c r="Y15" t="s">
        <v>1000</v>
      </c>
      <c r="Z15" t="s">
        <v>1092</v>
      </c>
    </row>
    <row r="16" spans="1:26"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4.476386036960986</v>
      </c>
      <c r="X16" t="s">
        <v>1000</v>
      </c>
      <c r="Y16" t="s">
        <v>1000</v>
      </c>
      <c r="Z16" t="s">
        <v>1092</v>
      </c>
    </row>
    <row r="17" spans="1:26"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4.5366187542778915</v>
      </c>
      <c r="X17" t="s">
        <v>1000</v>
      </c>
      <c r="Y17" t="s">
        <v>1000</v>
      </c>
      <c r="Z17" t="s">
        <v>1093</v>
      </c>
    </row>
    <row r="18" spans="1:26" ht="14.25" customHeight="1" x14ac:dyDescent="0.3">
      <c r="A18" s="1" t="s">
        <v>93</v>
      </c>
      <c r="B18" s="1">
        <v>65000</v>
      </c>
      <c r="C18" s="1">
        <v>110</v>
      </c>
      <c r="D18" s="1">
        <v>171600</v>
      </c>
      <c r="E18" s="1" t="s">
        <v>1095</v>
      </c>
      <c r="F18" s="1" t="s">
        <v>1096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2.1656399726214923</v>
      </c>
      <c r="X18" t="s">
        <v>1000</v>
      </c>
      <c r="Y18" t="s">
        <v>1000</v>
      </c>
      <c r="Z18" t="s">
        <v>1092</v>
      </c>
    </row>
    <row r="19" spans="1:26"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2.299794661190965</v>
      </c>
      <c r="X19" t="s">
        <v>1000</v>
      </c>
      <c r="Y19" t="s">
        <v>1000</v>
      </c>
      <c r="Z19" t="s">
        <v>1092</v>
      </c>
    </row>
    <row r="20" spans="1:26"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0.37782340862422997</v>
      </c>
      <c r="X20" t="s">
        <v>1001</v>
      </c>
      <c r="Y20" t="s">
        <v>1000</v>
      </c>
      <c r="Z20" t="s">
        <v>1092</v>
      </c>
    </row>
    <row r="21" spans="1:26"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0.95550992470910334</v>
      </c>
      <c r="X21" t="s">
        <v>1000</v>
      </c>
      <c r="Y21" t="s">
        <v>1000</v>
      </c>
      <c r="Z21" t="s">
        <v>1092</v>
      </c>
    </row>
    <row r="22" spans="1:26" ht="14.25" customHeight="1" x14ac:dyDescent="0.3">
      <c r="A22" s="1" t="s">
        <v>98</v>
      </c>
      <c r="B22" s="1">
        <v>123360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4.9856262833675569</v>
      </c>
      <c r="X22" t="s">
        <v>1000</v>
      </c>
      <c r="Y22" t="s">
        <v>1000</v>
      </c>
      <c r="Z22" t="s">
        <v>1092</v>
      </c>
    </row>
    <row r="23" spans="1:26"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4.9856262833675569</v>
      </c>
      <c r="X23" t="s">
        <v>1000</v>
      </c>
      <c r="Y23" t="s">
        <v>1000</v>
      </c>
      <c r="Z23" t="s">
        <v>1092</v>
      </c>
    </row>
    <row r="24" spans="1:26"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3.3593429158110881</v>
      </c>
      <c r="X24" t="s">
        <v>1000</v>
      </c>
      <c r="Y24" t="s">
        <v>1000</v>
      </c>
      <c r="Z24" t="s">
        <v>1092</v>
      </c>
    </row>
    <row r="25" spans="1:26"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3.3620807665982202</v>
      </c>
      <c r="X25" t="s">
        <v>1000</v>
      </c>
      <c r="Y25" t="s">
        <v>1000</v>
      </c>
      <c r="Z25" t="s">
        <v>1092</v>
      </c>
    </row>
    <row r="26" spans="1:26"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0.58590006844626963</v>
      </c>
      <c r="X26" t="s">
        <v>1000</v>
      </c>
      <c r="Y26" t="s">
        <v>1000</v>
      </c>
      <c r="Z26" t="s">
        <v>1092</v>
      </c>
    </row>
    <row r="27" spans="1:26"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2.4449007529089664</v>
      </c>
      <c r="X27" t="s">
        <v>1000</v>
      </c>
      <c r="Y27" t="s">
        <v>1000</v>
      </c>
      <c r="Z27" t="s">
        <v>1092</v>
      </c>
    </row>
    <row r="28" spans="1:26"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7.1184120465434635</v>
      </c>
      <c r="X28" t="s">
        <v>1000</v>
      </c>
      <c r="Y28" t="s">
        <v>1000</v>
      </c>
      <c r="Z28" t="s">
        <v>1092</v>
      </c>
    </row>
    <row r="29" spans="1:26"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3.4058863791923342</v>
      </c>
      <c r="X29" t="s">
        <v>1000</v>
      </c>
      <c r="Y29" t="s">
        <v>1000</v>
      </c>
      <c r="Z29" t="s">
        <v>1092</v>
      </c>
    </row>
    <row r="30" spans="1:26"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2.2915811088295688</v>
      </c>
      <c r="X30" t="s">
        <v>1000</v>
      </c>
      <c r="Y30" t="s">
        <v>1000</v>
      </c>
      <c r="Z30" t="s">
        <v>1092</v>
      </c>
    </row>
    <row r="31" spans="1:26"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1.0020533880903491</v>
      </c>
      <c r="X31" t="s">
        <v>1000</v>
      </c>
      <c r="Y31" t="s">
        <v>1000</v>
      </c>
      <c r="Z31" t="s">
        <v>1092</v>
      </c>
    </row>
    <row r="32" spans="1:26"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1.0020533880903491</v>
      </c>
      <c r="X32" t="s">
        <v>1000</v>
      </c>
      <c r="Y32" t="s">
        <v>1000</v>
      </c>
      <c r="Z32" t="s">
        <v>1092</v>
      </c>
    </row>
    <row r="33" spans="1:26"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c r="Z33" t="s">
        <v>1092</v>
      </c>
    </row>
    <row r="34" spans="1:26" ht="14.25" customHeight="1" x14ac:dyDescent="0.3">
      <c r="A34" t="s">
        <v>236</v>
      </c>
      <c r="B34">
        <v>120000</v>
      </c>
      <c r="C34" t="s">
        <v>22</v>
      </c>
      <c r="D34">
        <v>171600</v>
      </c>
      <c r="E34" s="1" t="s">
        <v>36</v>
      </c>
      <c r="F34" s="1">
        <v>250</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3.4223134839151266</v>
      </c>
      <c r="X34" t="s">
        <v>1000</v>
      </c>
      <c r="Y34" t="s">
        <v>1000</v>
      </c>
      <c r="Z34" t="s">
        <v>1092</v>
      </c>
    </row>
    <row r="35" spans="1:26"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3.890485968514716</v>
      </c>
      <c r="X35" t="s">
        <v>1001</v>
      </c>
      <c r="Y35" t="s">
        <v>1000</v>
      </c>
      <c r="Z35" t="s">
        <v>1092</v>
      </c>
    </row>
    <row r="36" spans="1:26"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4.4024640657084193</v>
      </c>
      <c r="X36" t="s">
        <v>1000</v>
      </c>
      <c r="Y36" t="s">
        <v>1000</v>
      </c>
      <c r="Z36" t="s">
        <v>1092</v>
      </c>
    </row>
    <row r="37" spans="1:26" ht="14.25" customHeight="1" x14ac:dyDescent="0.3">
      <c r="A37" s="1" t="s">
        <v>127</v>
      </c>
      <c r="B37" s="1">
        <v>114000</v>
      </c>
      <c r="C37" s="1" t="s">
        <v>22</v>
      </c>
      <c r="D37" s="1">
        <f>228800*2</f>
        <v>457600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2.4668035592060233</v>
      </c>
      <c r="X37" t="s">
        <v>1000</v>
      </c>
      <c r="Y37" t="s">
        <v>1000</v>
      </c>
      <c r="Z37" t="s">
        <v>1092</v>
      </c>
    </row>
    <row r="38" spans="1:26"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1.6071184120465434</v>
      </c>
      <c r="X38" t="s">
        <v>1000</v>
      </c>
      <c r="Y38" t="s">
        <v>1000</v>
      </c>
      <c r="Z38" t="s">
        <v>1092</v>
      </c>
    </row>
    <row r="39" spans="1:26"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2.8802190280629705</v>
      </c>
      <c r="X39" t="s">
        <v>1000</v>
      </c>
      <c r="Y39" t="s">
        <v>1000</v>
      </c>
      <c r="Z39" t="s">
        <v>1092</v>
      </c>
    </row>
    <row r="40" spans="1:26"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2.5982203969883639</v>
      </c>
      <c r="X40" t="s">
        <v>1000</v>
      </c>
      <c r="Y40" t="s">
        <v>1000</v>
      </c>
      <c r="Z40" t="s">
        <v>1092</v>
      </c>
    </row>
    <row r="41" spans="1:26"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3.0609171800136892</v>
      </c>
      <c r="X41" t="s">
        <v>1000</v>
      </c>
      <c r="Y41" t="s">
        <v>1000</v>
      </c>
      <c r="Z41" t="s">
        <v>1092</v>
      </c>
    </row>
    <row r="42" spans="1:26"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1.0294318959616702</v>
      </c>
      <c r="X42" t="s">
        <v>1001</v>
      </c>
      <c r="Y42" t="s">
        <v>1000</v>
      </c>
      <c r="Z42" t="s">
        <v>1092</v>
      </c>
    </row>
    <row r="43" spans="1:26"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1.0294318959616702</v>
      </c>
      <c r="X43" t="s">
        <v>1001</v>
      </c>
      <c r="Y43" t="s">
        <v>1000</v>
      </c>
      <c r="Z43" t="s">
        <v>1092</v>
      </c>
    </row>
    <row r="44" spans="1:26"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3.0828199863107462</v>
      </c>
      <c r="X44" t="s">
        <v>1000</v>
      </c>
      <c r="Y44" t="s">
        <v>1000</v>
      </c>
      <c r="Z44" t="s">
        <v>1092</v>
      </c>
    </row>
    <row r="45" spans="1:26"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3.2826830937713893</v>
      </c>
      <c r="X45" s="21" t="s">
        <v>1000</v>
      </c>
      <c r="Y45" t="s">
        <v>1000</v>
      </c>
      <c r="Z45" t="s">
        <v>1092</v>
      </c>
    </row>
    <row r="46" spans="1:26"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4.4134154688569476</v>
      </c>
      <c r="X46" t="s">
        <v>1000</v>
      </c>
      <c r="Y46" t="s">
        <v>1000</v>
      </c>
      <c r="Z46" t="s">
        <v>1092</v>
      </c>
    </row>
    <row r="47" spans="1:26"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5.8562628336755651</v>
      </c>
      <c r="X47" t="s">
        <v>1000</v>
      </c>
      <c r="Y47" t="s">
        <v>1000</v>
      </c>
      <c r="Z47" t="s">
        <v>1092</v>
      </c>
    </row>
    <row r="48" spans="1:26"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3.3073237508555784</v>
      </c>
      <c r="X48" t="s">
        <v>1000</v>
      </c>
      <c r="Y48" t="s">
        <v>1000</v>
      </c>
      <c r="Z48" t="s">
        <v>1092</v>
      </c>
    </row>
    <row r="49" spans="1:26"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4.4818617385352502</v>
      </c>
      <c r="X49" t="s">
        <v>1000</v>
      </c>
      <c r="Y49" t="s">
        <v>1000</v>
      </c>
      <c r="Z49" t="s">
        <v>1092</v>
      </c>
    </row>
    <row r="50" spans="1:26"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3.40041067761807</v>
      </c>
      <c r="X50" t="s">
        <v>1000</v>
      </c>
      <c r="Y50" t="s">
        <v>1000</v>
      </c>
      <c r="Z50" t="s">
        <v>1092</v>
      </c>
    </row>
    <row r="51" spans="1:26" ht="14.25" customHeight="1" x14ac:dyDescent="0.3">
      <c r="A51" t="s">
        <v>244</v>
      </c>
      <c r="B51">
        <v>127440</v>
      </c>
      <c r="C51">
        <v>100</v>
      </c>
      <c r="D51">
        <v>246000</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0.50924024640657084</v>
      </c>
      <c r="X51" t="s">
        <v>1008</v>
      </c>
      <c r="Y51" t="s">
        <v>1000</v>
      </c>
      <c r="Z51" t="s">
        <v>1092</v>
      </c>
    </row>
    <row r="52" spans="1:26"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c r="Z52" t="s">
        <v>1092</v>
      </c>
    </row>
    <row r="53" spans="1:26"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3.2580424366872007</v>
      </c>
      <c r="X53" t="s">
        <v>1000</v>
      </c>
      <c r="Y53" t="s">
        <v>1000</v>
      </c>
      <c r="Z53" t="s">
        <v>1092</v>
      </c>
    </row>
    <row r="54" spans="1:26"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3.2553045859000687</v>
      </c>
      <c r="X54" t="s">
        <v>1000</v>
      </c>
      <c r="Y54" t="s">
        <v>1000</v>
      </c>
      <c r="Z54" t="s">
        <v>1092</v>
      </c>
    </row>
    <row r="55" spans="1:26"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3.2553045859000687</v>
      </c>
      <c r="X55" t="s">
        <v>1000</v>
      </c>
      <c r="Y55" t="s">
        <v>1000</v>
      </c>
      <c r="Z55" t="s">
        <v>1092</v>
      </c>
    </row>
    <row r="56" spans="1:26"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5.8617385352498292</v>
      </c>
      <c r="X56" t="s">
        <v>1000</v>
      </c>
      <c r="Y56" t="s">
        <v>1000</v>
      </c>
      <c r="Z56" t="s">
        <v>1092</v>
      </c>
    </row>
    <row r="57" spans="1:26"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4.1889117043121153</v>
      </c>
      <c r="X57" t="s">
        <v>1000</v>
      </c>
      <c r="Y57" t="s">
        <v>1000</v>
      </c>
      <c r="Z57" t="s">
        <v>1092</v>
      </c>
    </row>
    <row r="58" spans="1:26"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4.1889117043121153</v>
      </c>
      <c r="X58" t="s">
        <v>1000</v>
      </c>
      <c r="Y58" t="s">
        <v>1000</v>
      </c>
      <c r="Z58" t="s">
        <v>1092</v>
      </c>
    </row>
    <row r="59" spans="1:26"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1.7357973990417521</v>
      </c>
      <c r="X59" t="s">
        <v>1000</v>
      </c>
      <c r="Y59" t="s">
        <v>1000</v>
      </c>
      <c r="Z59" t="s">
        <v>1092</v>
      </c>
    </row>
    <row r="60" spans="1:26"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0.63518138261464752</v>
      </c>
      <c r="X60" t="s">
        <v>1008</v>
      </c>
      <c r="Y60" t="s">
        <v>1000</v>
      </c>
      <c r="Z60" t="s">
        <v>1092</v>
      </c>
    </row>
    <row r="61" spans="1:26"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1.9438740588637919</v>
      </c>
      <c r="X61" t="s">
        <v>1000</v>
      </c>
      <c r="Y61" t="s">
        <v>1001</v>
      </c>
      <c r="Z61" t="s">
        <v>1092</v>
      </c>
    </row>
    <row r="62" spans="1:26"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2.0314852840520192</v>
      </c>
      <c r="X62" t="s">
        <v>1000</v>
      </c>
      <c r="Y62" t="s">
        <v>1000</v>
      </c>
      <c r="Z62" t="s">
        <v>1092</v>
      </c>
    </row>
    <row r="63" spans="1:26"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0.13415468856947296</v>
      </c>
      <c r="X63" t="s">
        <v>1008</v>
      </c>
      <c r="Y63" t="s">
        <v>1000</v>
      </c>
      <c r="Z63" t="s">
        <v>1092</v>
      </c>
    </row>
    <row r="64" spans="1:26"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2.1054072553045859</v>
      </c>
      <c r="X64" t="s">
        <v>1000</v>
      </c>
      <c r="Y64" t="s">
        <v>1000</v>
      </c>
      <c r="Z64" t="s">
        <v>1092</v>
      </c>
    </row>
    <row r="65" spans="1:26"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2.0807665982203969</v>
      </c>
      <c r="X65" t="s">
        <v>1001</v>
      </c>
      <c r="Y65" t="s">
        <v>1000</v>
      </c>
      <c r="Z65" t="s">
        <v>1092</v>
      </c>
    </row>
    <row r="66" spans="1:26"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0.84325804243668723</v>
      </c>
      <c r="X66" t="s">
        <v>1000</v>
      </c>
      <c r="Y66" t="s">
        <v>1000</v>
      </c>
      <c r="Z66" t="s">
        <v>1092</v>
      </c>
    </row>
    <row r="67" spans="1:26"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0.21902806297056809</v>
      </c>
      <c r="X67" t="s">
        <v>1008</v>
      </c>
      <c r="Y67" t="s">
        <v>1000</v>
      </c>
      <c r="Z67" t="s">
        <v>1092</v>
      </c>
    </row>
    <row r="68" spans="1:26"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1.5112936344969199</v>
      </c>
      <c r="X68" t="s">
        <v>1001</v>
      </c>
      <c r="Y68" t="s">
        <v>1000</v>
      </c>
      <c r="Z68" t="s">
        <v>1092</v>
      </c>
    </row>
    <row r="69" spans="1:26"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4.8405201916495555</v>
      </c>
      <c r="X69" t="s">
        <v>1000</v>
      </c>
      <c r="Y69" t="s">
        <v>1000</v>
      </c>
      <c r="Z69" t="s">
        <v>1092</v>
      </c>
    </row>
    <row r="70" spans="1:26"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1.1252566735112937</v>
      </c>
      <c r="X70" t="s">
        <v>1001</v>
      </c>
      <c r="Y70" t="s">
        <v>1000</v>
      </c>
      <c r="Z70" t="s">
        <v>1092</v>
      </c>
    </row>
    <row r="71" spans="1:26"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1.1252566735112937</v>
      </c>
      <c r="X71" t="s">
        <v>1001</v>
      </c>
      <c r="Y71" t="s">
        <v>1000</v>
      </c>
      <c r="Z71" t="s">
        <v>1092</v>
      </c>
    </row>
    <row r="72" spans="1:26"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1.1252566735112937</v>
      </c>
      <c r="X72" t="s">
        <v>1001</v>
      </c>
      <c r="Y72" t="s">
        <v>1000</v>
      </c>
      <c r="Z72" t="s">
        <v>1092</v>
      </c>
    </row>
    <row r="73" spans="1:26"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2.8829568788501025</v>
      </c>
      <c r="X73" t="s">
        <v>1000</v>
      </c>
      <c r="Y73" t="s">
        <v>1000</v>
      </c>
      <c r="Z73" t="s">
        <v>1092</v>
      </c>
    </row>
    <row r="74" spans="1:26"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3.3730321697467489</v>
      </c>
      <c r="X74" t="s">
        <v>1000</v>
      </c>
      <c r="Y74" t="s">
        <v>1000</v>
      </c>
      <c r="Z74" t="s">
        <v>1092</v>
      </c>
    </row>
    <row r="75" spans="1:26"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4.6078028747433262</v>
      </c>
      <c r="X75" t="s">
        <v>1000</v>
      </c>
      <c r="Y75" t="s">
        <v>1000</v>
      </c>
      <c r="Z75" t="s">
        <v>1093</v>
      </c>
    </row>
    <row r="76" spans="1:26"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5.3360711841204651</v>
      </c>
      <c r="X76" t="s">
        <v>1000</v>
      </c>
      <c r="Y76" t="s">
        <v>1000</v>
      </c>
      <c r="Z76" t="s">
        <v>1092</v>
      </c>
    </row>
    <row r="77" spans="1:26"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4.9171800136892543</v>
      </c>
      <c r="X77" t="s">
        <v>1000</v>
      </c>
      <c r="Y77" t="s">
        <v>1000</v>
      </c>
      <c r="Z77" t="s">
        <v>1092</v>
      </c>
    </row>
    <row r="78" spans="1:26"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1.2019164955509924</v>
      </c>
      <c r="X78" t="s">
        <v>1000</v>
      </c>
      <c r="Y78" t="s">
        <v>1000</v>
      </c>
      <c r="Z78" t="s">
        <v>1092</v>
      </c>
    </row>
    <row r="79" spans="1:26"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0.31485284052019163</v>
      </c>
      <c r="X79" t="s">
        <v>1008</v>
      </c>
      <c r="Y79" t="s">
        <v>1000</v>
      </c>
      <c r="Z79" t="s">
        <v>1092</v>
      </c>
    </row>
    <row r="80" spans="1:26"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c r="Z80" t="s">
        <v>1092</v>
      </c>
    </row>
    <row r="81" spans="1:26"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3.3976728268309375</v>
      </c>
      <c r="X81" t="s">
        <v>1000</v>
      </c>
      <c r="Y81" t="s">
        <v>1000</v>
      </c>
      <c r="Z81" t="s">
        <v>1092</v>
      </c>
    </row>
    <row r="82" spans="1:26" ht="14.25" customHeight="1" x14ac:dyDescent="0.3">
      <c r="A82" s="1" t="s">
        <v>206</v>
      </c>
      <c r="B82" s="1">
        <v>27000</v>
      </c>
      <c r="C82" s="1">
        <f>1*33</f>
        <v>33</v>
      </c>
      <c r="D82" s="1">
        <v>0</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3.0444900752908968</v>
      </c>
      <c r="X82" t="s">
        <v>1000</v>
      </c>
      <c r="Y82" t="s">
        <v>1000</v>
      </c>
      <c r="Z82" t="s">
        <v>1092</v>
      </c>
    </row>
    <row r="83" spans="1:26" ht="14.25" customHeight="1" x14ac:dyDescent="0.3">
      <c r="A83" t="s">
        <v>1068</v>
      </c>
      <c r="B83">
        <v>1113000</v>
      </c>
      <c r="C83">
        <v>785</v>
      </c>
      <c r="D83">
        <v>480000</v>
      </c>
      <c r="E83" t="s">
        <v>1069</v>
      </c>
      <c r="F83" t="s">
        <v>1069</v>
      </c>
      <c r="G83" t="s">
        <v>36</v>
      </c>
      <c r="H83" t="s">
        <v>36</v>
      </c>
      <c r="I83" t="s">
        <v>803</v>
      </c>
      <c r="J83" t="s">
        <v>1071</v>
      </c>
      <c r="K83" t="s">
        <v>1070</v>
      </c>
      <c r="L83" t="s">
        <v>22</v>
      </c>
      <c r="M83" t="s">
        <v>26</v>
      </c>
      <c r="N83" s="1" t="s">
        <v>27</v>
      </c>
      <c r="Q83" s="1" t="s">
        <v>29</v>
      </c>
      <c r="R83" t="s">
        <v>22</v>
      </c>
      <c r="T83" t="s">
        <v>1072</v>
      </c>
      <c r="W83" t="str">
        <f ca="1">IF(ISNUMBER(S83),(TODAY()-S83)/365.25,"")</f>
        <v/>
      </c>
      <c r="X83" t="s">
        <v>1008</v>
      </c>
      <c r="Y83" t="s">
        <v>1008</v>
      </c>
      <c r="Z83" t="s">
        <v>1092</v>
      </c>
    </row>
    <row r="84" spans="1:26" ht="14.25" customHeight="1" x14ac:dyDescent="0.3"/>
    <row r="85" spans="1:26" ht="14.25" customHeight="1" x14ac:dyDescent="0.3"/>
    <row r="86" spans="1:26" ht="14.25" customHeight="1" x14ac:dyDescent="0.3"/>
    <row r="87" spans="1:26" ht="14.25" customHeight="1" x14ac:dyDescent="0.3"/>
    <row r="88" spans="1:26" ht="14.25" customHeight="1" x14ac:dyDescent="0.3"/>
    <row r="89" spans="1:26" ht="14.25" customHeight="1" x14ac:dyDescent="0.3"/>
    <row r="90" spans="1:26" ht="14.25" customHeight="1" x14ac:dyDescent="0.3"/>
    <row r="91" spans="1:26" ht="14.25" customHeight="1" x14ac:dyDescent="0.3"/>
    <row r="92" spans="1:26" ht="14.25" customHeight="1" x14ac:dyDescent="0.3"/>
    <row r="93" spans="1:26" ht="14.25" customHeight="1" x14ac:dyDescent="0.3"/>
    <row r="94" spans="1:26" ht="14.25" customHeight="1" x14ac:dyDescent="0.3"/>
    <row r="95" spans="1:26" ht="14.25" customHeight="1" x14ac:dyDescent="0.3"/>
    <row r="96" spans="1:2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79"/>
  <sheetViews>
    <sheetView zoomScaleNormal="100" workbookViewId="0">
      <pane xSplit="1" ySplit="1" topLeftCell="B2" activePane="bottomRight" state="frozen"/>
      <selection pane="topRight" activeCell="B1" sqref="B1"/>
      <selection pane="bottomLeft" activeCell="A2" sqref="A2"/>
      <selection pane="bottomRight" activeCell="M81" sqref="M81"/>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109</v>
      </c>
      <c r="B23" s="5">
        <v>4706</v>
      </c>
      <c r="C23" s="5">
        <v>4110</v>
      </c>
      <c r="D23" s="5">
        <v>4209</v>
      </c>
      <c r="E23" s="5">
        <v>3538</v>
      </c>
      <c r="F23" s="5">
        <v>3392</v>
      </c>
      <c r="G23" s="5">
        <v>3058</v>
      </c>
      <c r="H23" s="5">
        <v>3366</v>
      </c>
      <c r="I23" s="5">
        <v>3941</v>
      </c>
      <c r="J23" s="5">
        <v>4346</v>
      </c>
      <c r="K23" s="5">
        <v>4559</v>
      </c>
      <c r="L23" s="5">
        <v>4578</v>
      </c>
      <c r="M23" s="5">
        <v>4864</v>
      </c>
    </row>
    <row r="24" spans="1:13" ht="14.25" customHeight="1" x14ac:dyDescent="0.3">
      <c r="A24" t="s">
        <v>113</v>
      </c>
      <c r="B24" s="5">
        <v>44000.9</v>
      </c>
      <c r="C24" s="5">
        <v>36738.800000000003</v>
      </c>
      <c r="D24" s="5">
        <v>35799.5</v>
      </c>
      <c r="E24" s="5">
        <v>26238.2</v>
      </c>
      <c r="F24" s="5">
        <v>19947.3</v>
      </c>
      <c r="G24" s="5">
        <v>16584</v>
      </c>
      <c r="H24" s="5">
        <v>18638.7</v>
      </c>
      <c r="I24" s="5">
        <v>23207.5</v>
      </c>
      <c r="J24" s="5">
        <v>29655.5</v>
      </c>
      <c r="K24" s="5">
        <v>36694.1</v>
      </c>
      <c r="L24" s="5">
        <v>41235.300000000003</v>
      </c>
      <c r="M24" s="5">
        <v>44584.1</v>
      </c>
    </row>
    <row r="25" spans="1:13" ht="14.25" customHeight="1" x14ac:dyDescent="0.3">
      <c r="A25" t="s">
        <v>114</v>
      </c>
      <c r="B25" s="5">
        <v>32657</v>
      </c>
      <c r="C25" s="5">
        <v>28530</v>
      </c>
      <c r="D25" s="5">
        <v>26894</v>
      </c>
      <c r="E25" s="5">
        <v>23945</v>
      </c>
      <c r="F25" s="5">
        <v>21446</v>
      </c>
      <c r="G25" s="5">
        <v>18974</v>
      </c>
      <c r="H25" s="5">
        <v>21123</v>
      </c>
      <c r="I25" s="5">
        <v>24633</v>
      </c>
      <c r="J25" s="5">
        <v>27402</v>
      </c>
      <c r="K25" s="5">
        <v>30501</v>
      </c>
      <c r="L25" s="5">
        <v>32028</v>
      </c>
      <c r="M25" s="5">
        <v>31475</v>
      </c>
    </row>
    <row r="26" spans="1:13" ht="14.25" customHeight="1" x14ac:dyDescent="0.3">
      <c r="A26" t="s">
        <v>117</v>
      </c>
      <c r="B26" s="5">
        <v>33572</v>
      </c>
      <c r="C26" s="5">
        <v>29313</v>
      </c>
      <c r="D26" s="5">
        <v>30629</v>
      </c>
      <c r="E26" s="5">
        <v>26386</v>
      </c>
      <c r="F26" s="5">
        <v>25077</v>
      </c>
      <c r="G26" s="5">
        <v>22476</v>
      </c>
      <c r="H26" s="5">
        <v>24838</v>
      </c>
      <c r="I26" s="5">
        <v>29965</v>
      </c>
      <c r="J26" s="5">
        <v>32045</v>
      </c>
      <c r="K26" s="5">
        <v>33620</v>
      </c>
      <c r="L26" s="5">
        <v>32645</v>
      </c>
      <c r="M26" s="5">
        <v>34688</v>
      </c>
    </row>
    <row r="27" spans="1:13" ht="14.25" customHeight="1" x14ac:dyDescent="0.3">
      <c r="A27" t="s">
        <v>225</v>
      </c>
      <c r="B27">
        <v>8415</v>
      </c>
      <c r="C27">
        <v>7237.5</v>
      </c>
      <c r="D27">
        <v>7601.5</v>
      </c>
      <c r="E27">
        <v>6870</v>
      </c>
      <c r="F27">
        <v>6583</v>
      </c>
      <c r="G27">
        <v>5884</v>
      </c>
      <c r="H27">
        <v>6428</v>
      </c>
      <c r="I27">
        <v>7317</v>
      </c>
      <c r="J27">
        <v>7798.5</v>
      </c>
      <c r="K27">
        <v>8310.5</v>
      </c>
      <c r="L27">
        <v>8392</v>
      </c>
      <c r="M27">
        <v>8239</v>
      </c>
    </row>
    <row r="28" spans="1:13" ht="14.25" customHeight="1" x14ac:dyDescent="0.3">
      <c r="A28" t="s">
        <v>223</v>
      </c>
      <c r="B28">
        <v>8415</v>
      </c>
      <c r="C28">
        <v>7237.5</v>
      </c>
      <c r="D28">
        <v>7601.5</v>
      </c>
      <c r="E28">
        <v>6870</v>
      </c>
      <c r="F28">
        <v>6583</v>
      </c>
      <c r="G28">
        <v>5884</v>
      </c>
      <c r="H28">
        <v>6428</v>
      </c>
      <c r="I28">
        <v>7317</v>
      </c>
      <c r="J28">
        <v>7798.5</v>
      </c>
      <c r="K28">
        <v>8310.5</v>
      </c>
      <c r="L28">
        <v>8392</v>
      </c>
      <c r="M28">
        <v>8239</v>
      </c>
    </row>
    <row r="29" spans="1:13" ht="14.25" customHeight="1" x14ac:dyDescent="0.3">
      <c r="A29" t="s">
        <v>120</v>
      </c>
      <c r="B29" s="5">
        <v>13570</v>
      </c>
      <c r="C29" s="5">
        <v>11745</v>
      </c>
      <c r="D29" s="5">
        <v>11799</v>
      </c>
      <c r="E29" s="5">
        <v>10155</v>
      </c>
      <c r="F29" s="5">
        <v>9548</v>
      </c>
      <c r="G29" s="5">
        <v>8534</v>
      </c>
      <c r="H29" s="5">
        <v>9501</v>
      </c>
      <c r="I29" s="5">
        <v>11108</v>
      </c>
      <c r="J29" s="5">
        <v>11891</v>
      </c>
      <c r="K29" s="5">
        <v>13149</v>
      </c>
      <c r="L29" s="5">
        <v>13477</v>
      </c>
      <c r="M29" s="5">
        <v>14443</v>
      </c>
    </row>
    <row r="30" spans="1:13" ht="14.25" customHeight="1" x14ac:dyDescent="0.3">
      <c r="A30" t="s">
        <v>236</v>
      </c>
      <c r="B30" s="46">
        <v>18447.710505874198</v>
      </c>
      <c r="C30" s="46">
        <v>16628.945590496696</v>
      </c>
      <c r="D30" s="46">
        <v>18150.539495474699</v>
      </c>
      <c r="E30" s="46">
        <v>16778.1675410235</v>
      </c>
      <c r="F30" s="46">
        <v>16967.828248484399</v>
      </c>
      <c r="G30" s="46">
        <v>15742.2303779175</v>
      </c>
      <c r="H30" s="46">
        <v>16856.988846912001</v>
      </c>
      <c r="I30" s="46">
        <v>18183.8304818127</v>
      </c>
      <c r="J30" s="46">
        <v>18093.2594160402</v>
      </c>
      <c r="K30" s="46">
        <v>17656.755836349599</v>
      </c>
      <c r="L30" s="46">
        <v>17048.020359692695</v>
      </c>
      <c r="M30" s="46">
        <v>18068.487005618099</v>
      </c>
    </row>
    <row r="31" spans="1:13" ht="14.25" customHeight="1" x14ac:dyDescent="0.3">
      <c r="A31" t="s">
        <v>122</v>
      </c>
      <c r="B31" s="5">
        <v>24713</v>
      </c>
      <c r="C31" s="5">
        <v>21612</v>
      </c>
      <c r="D31" s="5">
        <v>21750</v>
      </c>
      <c r="E31" s="5">
        <v>17547</v>
      </c>
      <c r="F31" s="5">
        <v>14975</v>
      </c>
      <c r="G31" s="5">
        <v>13472</v>
      </c>
      <c r="H31" s="5">
        <v>14555</v>
      </c>
      <c r="I31" s="5">
        <v>17167</v>
      </c>
      <c r="J31" s="5">
        <v>18426</v>
      </c>
      <c r="K31" s="5">
        <v>21592</v>
      </c>
      <c r="L31" s="5">
        <v>22234</v>
      </c>
      <c r="M31" s="5">
        <v>24984</v>
      </c>
    </row>
    <row r="32" spans="1:13" ht="14.25" customHeight="1" x14ac:dyDescent="0.3">
      <c r="A32" t="s">
        <v>124</v>
      </c>
      <c r="B32" s="5">
        <v>72121</v>
      </c>
      <c r="C32" s="5">
        <v>65458</v>
      </c>
      <c r="D32" s="5">
        <v>68264</v>
      </c>
      <c r="E32" s="5">
        <v>57584</v>
      </c>
      <c r="F32" s="5">
        <v>52130</v>
      </c>
      <c r="G32" s="5">
        <v>48157</v>
      </c>
      <c r="H32" s="5">
        <v>51738</v>
      </c>
      <c r="I32" s="5">
        <v>57201</v>
      </c>
      <c r="J32" s="5">
        <v>59213</v>
      </c>
      <c r="K32" s="5">
        <v>64977</v>
      </c>
      <c r="L32" s="5">
        <v>66569</v>
      </c>
      <c r="M32" s="5">
        <v>71854</v>
      </c>
    </row>
    <row r="33" spans="1:13" ht="14.25" customHeight="1" x14ac:dyDescent="0.3">
      <c r="A33" t="s">
        <v>127</v>
      </c>
      <c r="B33" s="5">
        <v>17634</v>
      </c>
      <c r="C33" s="5">
        <v>16473</v>
      </c>
      <c r="D33" s="5">
        <v>19238</v>
      </c>
      <c r="E33" s="5">
        <v>17065</v>
      </c>
      <c r="F33" s="5">
        <v>16886</v>
      </c>
      <c r="G33" s="5">
        <v>16099</v>
      </c>
      <c r="H33" s="5">
        <v>17101</v>
      </c>
      <c r="I33" s="5">
        <v>17348</v>
      </c>
      <c r="J33" s="5">
        <v>16879</v>
      </c>
      <c r="K33" s="5">
        <v>15944</v>
      </c>
      <c r="L33" s="5">
        <v>14731</v>
      </c>
      <c r="M33" s="5">
        <v>15377</v>
      </c>
    </row>
    <row r="34" spans="1:13" ht="14.25" customHeight="1" x14ac:dyDescent="0.3">
      <c r="A34" t="s">
        <v>234</v>
      </c>
      <c r="B34">
        <v>59291</v>
      </c>
      <c r="C34">
        <v>48612</v>
      </c>
      <c r="D34">
        <v>45479</v>
      </c>
      <c r="E34">
        <v>32312</v>
      </c>
      <c r="F34">
        <v>23816</v>
      </c>
      <c r="G34">
        <v>19426</v>
      </c>
      <c r="H34">
        <v>21982</v>
      </c>
      <c r="I34">
        <v>28360</v>
      </c>
      <c r="J34">
        <v>37091</v>
      </c>
      <c r="K34">
        <v>47820</v>
      </c>
      <c r="L34">
        <v>55073</v>
      </c>
      <c r="M34">
        <v>60151</v>
      </c>
    </row>
    <row r="35" spans="1:13" ht="14.25" customHeight="1" x14ac:dyDescent="0.3">
      <c r="A35" t="s">
        <v>131</v>
      </c>
      <c r="B35" s="5">
        <v>5957</v>
      </c>
      <c r="C35" s="5">
        <v>5410</v>
      </c>
      <c r="D35" s="5">
        <v>5967</v>
      </c>
      <c r="E35" s="5">
        <v>5723</v>
      </c>
      <c r="F35" s="5">
        <v>6086</v>
      </c>
      <c r="G35" s="5">
        <v>5885</v>
      </c>
      <c r="H35" s="5">
        <v>6334</v>
      </c>
      <c r="I35" s="5">
        <v>6633</v>
      </c>
      <c r="J35" s="5">
        <v>6573</v>
      </c>
      <c r="K35" s="5">
        <v>6461</v>
      </c>
      <c r="L35" s="5">
        <v>6012</v>
      </c>
      <c r="M35" s="5">
        <v>6145</v>
      </c>
    </row>
    <row r="36" spans="1:13" ht="14.25" customHeight="1" x14ac:dyDescent="0.3">
      <c r="A36" t="s">
        <v>134</v>
      </c>
      <c r="B36" s="5">
        <v>44907</v>
      </c>
      <c r="C36" s="5">
        <v>37765</v>
      </c>
      <c r="D36" s="5">
        <v>39036</v>
      </c>
      <c r="E36" s="5">
        <v>33226</v>
      </c>
      <c r="F36" s="5">
        <v>31537</v>
      </c>
      <c r="G36" s="5">
        <v>28491</v>
      </c>
      <c r="H36" s="5">
        <v>31513</v>
      </c>
      <c r="I36" s="5">
        <v>36674</v>
      </c>
      <c r="J36" s="5">
        <v>40579</v>
      </c>
      <c r="K36" s="5">
        <v>44092</v>
      </c>
      <c r="L36" s="5">
        <v>44165</v>
      </c>
      <c r="M36" s="5">
        <v>47244</v>
      </c>
    </row>
    <row r="37" spans="1:13" ht="14.25" customHeight="1" x14ac:dyDescent="0.3">
      <c r="A37" t="s">
        <v>138</v>
      </c>
      <c r="B37" s="5">
        <v>23544</v>
      </c>
      <c r="C37" s="5">
        <v>21677</v>
      </c>
      <c r="D37" s="5">
        <v>24212</v>
      </c>
      <c r="E37" s="5">
        <v>20861</v>
      </c>
      <c r="F37" s="5">
        <v>20012</v>
      </c>
      <c r="G37" s="5">
        <v>18485</v>
      </c>
      <c r="H37" s="5">
        <v>20016</v>
      </c>
      <c r="I37" s="5">
        <v>21052</v>
      </c>
      <c r="J37" s="5">
        <v>21403</v>
      </c>
      <c r="K37" s="5">
        <v>20962</v>
      </c>
      <c r="L37" s="5">
        <v>19856</v>
      </c>
      <c r="M37" s="5">
        <v>21184</v>
      </c>
    </row>
    <row r="38" spans="1:13" ht="14.25" customHeight="1" x14ac:dyDescent="0.3">
      <c r="A38" t="s">
        <v>220</v>
      </c>
      <c r="B38" s="5">
        <v>52080</v>
      </c>
      <c r="C38" s="5">
        <v>45544</v>
      </c>
      <c r="D38" s="5">
        <v>44433</v>
      </c>
      <c r="E38" s="5">
        <v>38648</v>
      </c>
      <c r="F38" s="5">
        <v>35710</v>
      </c>
      <c r="G38" s="5">
        <v>31508</v>
      </c>
      <c r="H38" s="5">
        <v>34699</v>
      </c>
      <c r="I38" s="5">
        <v>40906</v>
      </c>
      <c r="J38" s="5">
        <v>45309</v>
      </c>
      <c r="K38" s="5">
        <v>51347</v>
      </c>
      <c r="L38" s="5">
        <v>51837</v>
      </c>
      <c r="M38" s="5">
        <v>52952</v>
      </c>
    </row>
    <row r="39" spans="1:13" ht="14.25" customHeight="1" x14ac:dyDescent="0.3">
      <c r="A39" t="s">
        <v>222</v>
      </c>
      <c r="B39" s="5">
        <v>13744</v>
      </c>
      <c r="C39" s="5">
        <v>12002</v>
      </c>
      <c r="D39" s="5">
        <v>11708</v>
      </c>
      <c r="E39" s="5">
        <v>10193</v>
      </c>
      <c r="F39" s="5">
        <v>9448</v>
      </c>
      <c r="G39" s="5">
        <v>8384</v>
      </c>
      <c r="H39" s="5">
        <v>9230</v>
      </c>
      <c r="I39" s="5">
        <v>10801</v>
      </c>
      <c r="J39" s="5">
        <v>11951</v>
      </c>
      <c r="K39" s="5">
        <v>13545</v>
      </c>
      <c r="L39" s="5">
        <v>13626</v>
      </c>
      <c r="M39" s="5">
        <v>13933</v>
      </c>
    </row>
    <row r="40" spans="1:13" ht="14.25" customHeight="1" x14ac:dyDescent="0.3">
      <c r="A40" t="s">
        <v>142</v>
      </c>
      <c r="B40" s="5">
        <v>6317</v>
      </c>
      <c r="C40" s="5">
        <v>5312</v>
      </c>
      <c r="D40" s="5">
        <v>5484</v>
      </c>
      <c r="E40" s="5">
        <v>4844</v>
      </c>
      <c r="F40" s="5">
        <v>4660</v>
      </c>
      <c r="G40" s="5">
        <v>4243</v>
      </c>
      <c r="H40" s="5">
        <v>4686</v>
      </c>
      <c r="I40" s="5">
        <v>5383</v>
      </c>
      <c r="J40" s="5">
        <v>5889</v>
      </c>
      <c r="K40" s="5">
        <v>6297</v>
      </c>
      <c r="L40" s="5">
        <v>6249</v>
      </c>
      <c r="M40" s="5">
        <v>6662</v>
      </c>
    </row>
    <row r="41" spans="1:13" ht="14.25" customHeight="1" x14ac:dyDescent="0.3">
      <c r="A41" t="s">
        <v>145</v>
      </c>
      <c r="B41" s="5">
        <v>45787.199999999997</v>
      </c>
      <c r="C41" s="5">
        <v>39973.5</v>
      </c>
      <c r="D41" s="5">
        <v>40622.199999999997</v>
      </c>
      <c r="E41" s="5">
        <v>37337.9</v>
      </c>
      <c r="F41" s="5">
        <v>36620.699999999997</v>
      </c>
      <c r="G41" s="5">
        <v>33353.579100000003</v>
      </c>
      <c r="H41" s="5">
        <v>36066.455099999999</v>
      </c>
      <c r="I41" s="5">
        <v>40562.361900000004</v>
      </c>
      <c r="J41" s="5">
        <v>41523.188699999999</v>
      </c>
      <c r="K41" s="5">
        <v>44647.762499999997</v>
      </c>
      <c r="L41" s="5">
        <v>44811.7068</v>
      </c>
      <c r="M41" s="5">
        <v>47334.919800000003</v>
      </c>
    </row>
    <row r="42" spans="1:13" ht="14.25" customHeight="1" x14ac:dyDescent="0.3">
      <c r="A42" t="s">
        <v>149</v>
      </c>
      <c r="B42" s="5">
        <v>11454.7</v>
      </c>
      <c r="C42" s="5">
        <v>9955.2999999999993</v>
      </c>
      <c r="D42" s="5">
        <v>10575.8</v>
      </c>
      <c r="E42" s="5">
        <v>9316.2000000000007</v>
      </c>
      <c r="F42" s="5">
        <v>9144.7000000000007</v>
      </c>
      <c r="G42" s="5">
        <v>8500.6</v>
      </c>
      <c r="H42" s="5">
        <v>9262.2999999999993</v>
      </c>
      <c r="I42" s="5">
        <v>10470.200000000001</v>
      </c>
      <c r="J42" s="5">
        <v>11129.4</v>
      </c>
      <c r="K42" s="5">
        <v>11715.5</v>
      </c>
      <c r="L42" s="5">
        <v>11402.4</v>
      </c>
      <c r="M42" s="5">
        <v>12145.4</v>
      </c>
    </row>
    <row r="43" spans="1:13" ht="14.25" customHeight="1" x14ac:dyDescent="0.3">
      <c r="A43" t="s">
        <v>152</v>
      </c>
      <c r="B43" s="5">
        <v>14426.2</v>
      </c>
      <c r="C43" s="5">
        <v>12327.9</v>
      </c>
      <c r="D43" s="5">
        <v>12931.8</v>
      </c>
      <c r="E43" s="5">
        <v>11024.4</v>
      </c>
      <c r="F43" s="5">
        <v>10672.6</v>
      </c>
      <c r="G43" s="5">
        <v>9625</v>
      </c>
      <c r="H43" s="5">
        <v>10609</v>
      </c>
      <c r="I43" s="5">
        <v>12263.1</v>
      </c>
      <c r="J43" s="5">
        <v>13383.1</v>
      </c>
      <c r="K43" s="5">
        <v>14263</v>
      </c>
      <c r="L43" s="5">
        <v>14175.5</v>
      </c>
      <c r="M43" s="5">
        <v>15128.2</v>
      </c>
    </row>
    <row r="44" spans="1:13" ht="14.25" customHeight="1" x14ac:dyDescent="0.3">
      <c r="A44" t="s">
        <v>155</v>
      </c>
      <c r="B44" s="5">
        <v>5438.1</v>
      </c>
      <c r="C44" s="5">
        <v>5030.5</v>
      </c>
      <c r="D44" s="5">
        <v>5282.5</v>
      </c>
      <c r="E44" s="5">
        <v>4635.1000000000004</v>
      </c>
      <c r="F44" s="5">
        <v>4575</v>
      </c>
      <c r="G44" s="5">
        <v>4143.3999999999996</v>
      </c>
      <c r="H44" s="5">
        <v>4561.7</v>
      </c>
      <c r="I44" s="5">
        <v>5138.7</v>
      </c>
      <c r="J44" s="5">
        <v>5330</v>
      </c>
      <c r="K44" s="5">
        <v>5632.2</v>
      </c>
      <c r="L44" s="5">
        <v>5403.2</v>
      </c>
      <c r="M44" s="5">
        <v>5647.1</v>
      </c>
    </row>
    <row r="45" spans="1:13" ht="14.25" customHeight="1" x14ac:dyDescent="0.3">
      <c r="A45" t="s">
        <v>157</v>
      </c>
      <c r="B45" s="5">
        <v>6558.3</v>
      </c>
      <c r="C45" s="5">
        <v>5888</v>
      </c>
      <c r="D45" s="5">
        <v>6335.4</v>
      </c>
      <c r="E45" s="5">
        <v>5651</v>
      </c>
      <c r="F45" s="5">
        <v>5782.9</v>
      </c>
      <c r="G45" s="5">
        <v>5360.4</v>
      </c>
      <c r="H45" s="5">
        <v>5892.4</v>
      </c>
      <c r="I45" s="5">
        <v>6481.2</v>
      </c>
      <c r="J45" s="5">
        <v>6690.9</v>
      </c>
      <c r="K45" s="5">
        <v>6809.9</v>
      </c>
      <c r="L45" s="5">
        <v>6587.3</v>
      </c>
      <c r="M45" s="5">
        <v>6874.1</v>
      </c>
    </row>
    <row r="46" spans="1:13" ht="14.25" customHeight="1" x14ac:dyDescent="0.3">
      <c r="A46" t="s">
        <v>160</v>
      </c>
      <c r="B46" s="5">
        <v>20117</v>
      </c>
      <c r="C46" s="5">
        <v>17684</v>
      </c>
      <c r="D46" s="5">
        <v>19164</v>
      </c>
      <c r="E46" s="5">
        <v>16765</v>
      </c>
      <c r="F46" s="5">
        <v>17392</v>
      </c>
      <c r="G46" s="5">
        <v>16319</v>
      </c>
      <c r="H46" s="5">
        <v>17777</v>
      </c>
      <c r="I46" s="5">
        <v>19722</v>
      </c>
      <c r="J46" s="5">
        <v>19924</v>
      </c>
      <c r="K46" s="5">
        <v>20687</v>
      </c>
      <c r="L46" s="5">
        <v>19526</v>
      </c>
      <c r="M46" s="5">
        <v>20860</v>
      </c>
    </row>
    <row r="47" spans="1:13" ht="14.25" customHeight="1" x14ac:dyDescent="0.3">
      <c r="A47" t="s">
        <v>163</v>
      </c>
      <c r="B47" s="5">
        <v>6141.4</v>
      </c>
      <c r="C47" s="5">
        <v>5508.6</v>
      </c>
      <c r="D47" s="5">
        <v>5936.5</v>
      </c>
      <c r="E47" s="5">
        <v>5321.7</v>
      </c>
      <c r="F47" s="5">
        <v>5446.5</v>
      </c>
      <c r="G47" s="5">
        <v>5045.8999999999996</v>
      </c>
      <c r="H47" s="5">
        <v>5553.9</v>
      </c>
      <c r="I47" s="5">
        <v>6085.5</v>
      </c>
      <c r="J47" s="5">
        <v>6263.9</v>
      </c>
      <c r="K47" s="5">
        <v>6378</v>
      </c>
      <c r="L47" s="5">
        <v>6164.1</v>
      </c>
      <c r="M47" s="5">
        <v>6435</v>
      </c>
    </row>
    <row r="48" spans="1:13" ht="14.25" customHeight="1" x14ac:dyDescent="0.3">
      <c r="A48" t="s">
        <v>166</v>
      </c>
      <c r="B48" s="5">
        <v>25562</v>
      </c>
      <c r="C48" s="5">
        <v>22098</v>
      </c>
      <c r="D48" s="5">
        <v>24392</v>
      </c>
      <c r="E48" s="5">
        <v>23827</v>
      </c>
      <c r="F48" s="5">
        <v>22987</v>
      </c>
      <c r="G48" s="5">
        <v>20718</v>
      </c>
      <c r="H48" s="5">
        <v>21811</v>
      </c>
      <c r="I48" s="5">
        <v>25554</v>
      </c>
      <c r="J48" s="5">
        <v>25189</v>
      </c>
      <c r="K48" s="5">
        <v>24495</v>
      </c>
      <c r="L48" s="5">
        <v>24514</v>
      </c>
      <c r="M48" s="5">
        <v>25926</v>
      </c>
    </row>
    <row r="49" spans="1:13" ht="14.25" customHeight="1" x14ac:dyDescent="0.3">
      <c r="A49" t="s">
        <v>169</v>
      </c>
      <c r="B49" s="5">
        <v>3892.3</v>
      </c>
      <c r="C49" s="5">
        <v>3360.7</v>
      </c>
      <c r="D49" s="5">
        <v>3712.5</v>
      </c>
      <c r="E49" s="5">
        <v>3625.7</v>
      </c>
      <c r="F49" s="5">
        <v>3497.5</v>
      </c>
      <c r="G49" s="5">
        <v>3151.4</v>
      </c>
      <c r="H49" s="5">
        <v>3316.5</v>
      </c>
      <c r="I49" s="5">
        <v>3887.5</v>
      </c>
      <c r="J49" s="5">
        <v>3830.3</v>
      </c>
      <c r="K49" s="5">
        <v>3729.7</v>
      </c>
      <c r="L49" s="5">
        <v>3733.1</v>
      </c>
      <c r="M49" s="5">
        <v>3946.1</v>
      </c>
    </row>
    <row r="50" spans="1:13" ht="14.25" customHeight="1" x14ac:dyDescent="0.3">
      <c r="A50" t="s">
        <v>171</v>
      </c>
      <c r="B50" s="5">
        <v>13146.9</v>
      </c>
      <c r="C50" s="5">
        <v>11450.2</v>
      </c>
      <c r="D50" s="5">
        <v>11470.9</v>
      </c>
      <c r="E50" s="5">
        <v>9218.9</v>
      </c>
      <c r="F50" s="5">
        <v>7841.5</v>
      </c>
      <c r="G50" s="5">
        <v>7108.1</v>
      </c>
      <c r="H50" s="5">
        <v>7657.1</v>
      </c>
      <c r="I50" s="5">
        <v>9019.7000000000007</v>
      </c>
      <c r="J50" s="5">
        <v>9680</v>
      </c>
      <c r="K50" s="5">
        <v>11319.5</v>
      </c>
      <c r="L50" s="5">
        <v>11746.6</v>
      </c>
      <c r="M50" s="5">
        <v>13355.6</v>
      </c>
    </row>
    <row r="51" spans="1:13" ht="14.25" customHeight="1" x14ac:dyDescent="0.3">
      <c r="A51" t="s">
        <v>172</v>
      </c>
      <c r="B51" s="5">
        <v>13913.7</v>
      </c>
      <c r="C51" s="5">
        <v>11543.3</v>
      </c>
      <c r="D51" s="5">
        <v>12043.3</v>
      </c>
      <c r="E51" s="5">
        <v>10530.6</v>
      </c>
      <c r="F51" s="5">
        <v>9452.2000000000007</v>
      </c>
      <c r="G51" s="5">
        <v>8210.7999999999993</v>
      </c>
      <c r="H51" s="5">
        <v>9090.2000000000007</v>
      </c>
      <c r="I51" s="5">
        <v>10347.299999999999</v>
      </c>
      <c r="J51" s="5">
        <v>11125.2</v>
      </c>
      <c r="K51" s="5">
        <v>12217.2</v>
      </c>
      <c r="L51" s="5">
        <v>13140.3</v>
      </c>
      <c r="M51" s="5">
        <v>14098.5</v>
      </c>
    </row>
    <row r="52" spans="1:13" ht="14.25" customHeight="1" x14ac:dyDescent="0.3">
      <c r="A52" t="s">
        <v>265</v>
      </c>
      <c r="B52" s="5">
        <v>25627.8</v>
      </c>
      <c r="C52" s="5">
        <v>22616.5</v>
      </c>
      <c r="D52" s="5">
        <v>24129.3</v>
      </c>
      <c r="E52" s="5">
        <v>20942.099999999999</v>
      </c>
      <c r="F52" s="5">
        <v>20778.8</v>
      </c>
      <c r="G52" s="5">
        <v>19071.599999999999</v>
      </c>
      <c r="H52" s="5">
        <v>20913.3</v>
      </c>
      <c r="I52" s="5">
        <v>23886.3</v>
      </c>
      <c r="J52" s="5">
        <v>25209.3</v>
      </c>
      <c r="K52" s="5">
        <v>25379.5</v>
      </c>
      <c r="L52" s="5">
        <v>25008.799999999999</v>
      </c>
      <c r="M52" s="5">
        <v>26105.1</v>
      </c>
    </row>
    <row r="53" spans="1:13" ht="14.25" customHeight="1" x14ac:dyDescent="0.3">
      <c r="A53" t="s">
        <v>177</v>
      </c>
      <c r="B53" s="5">
        <v>4844</v>
      </c>
      <c r="C53" s="5">
        <v>4251</v>
      </c>
      <c r="D53" s="5">
        <v>4530</v>
      </c>
      <c r="E53" s="5">
        <v>3971</v>
      </c>
      <c r="F53" s="5">
        <v>4026</v>
      </c>
      <c r="G53" s="5">
        <v>3734</v>
      </c>
      <c r="H53" s="5">
        <v>4073</v>
      </c>
      <c r="I53" s="5">
        <v>4560</v>
      </c>
      <c r="J53" s="5">
        <v>4749</v>
      </c>
      <c r="K53" s="5">
        <v>4766</v>
      </c>
      <c r="L53" s="5">
        <v>4722</v>
      </c>
      <c r="M53" s="5">
        <v>4940</v>
      </c>
    </row>
    <row r="54" spans="1:13" ht="14.25" customHeight="1" x14ac:dyDescent="0.3">
      <c r="A54" t="s">
        <v>180</v>
      </c>
      <c r="B54" s="5">
        <v>26360</v>
      </c>
      <c r="C54" s="5">
        <v>22720</v>
      </c>
      <c r="D54" s="5">
        <v>22207</v>
      </c>
      <c r="E54" s="5">
        <v>19091</v>
      </c>
      <c r="F54" s="5">
        <v>17077</v>
      </c>
      <c r="G54" s="5">
        <v>14868</v>
      </c>
      <c r="H54" s="5">
        <v>16693</v>
      </c>
      <c r="I54" s="5">
        <v>20079</v>
      </c>
      <c r="J54" s="5">
        <v>22828</v>
      </c>
      <c r="K54" s="5">
        <v>26013</v>
      </c>
      <c r="L54" s="5">
        <v>26204</v>
      </c>
      <c r="M54" s="5">
        <v>26697</v>
      </c>
    </row>
    <row r="55" spans="1:13" ht="14.25" customHeight="1" x14ac:dyDescent="0.3">
      <c r="A55" t="s">
        <v>182</v>
      </c>
      <c r="B55" s="5">
        <v>21647</v>
      </c>
      <c r="C55" s="5">
        <v>18412</v>
      </c>
      <c r="D55" s="5">
        <v>19207</v>
      </c>
      <c r="E55" s="5">
        <v>16103</v>
      </c>
      <c r="F55" s="5">
        <v>15740</v>
      </c>
      <c r="G55" s="5">
        <v>13974</v>
      </c>
      <c r="H55" s="5">
        <v>15451</v>
      </c>
      <c r="I55" s="5">
        <v>17961</v>
      </c>
      <c r="J55" s="5">
        <v>19934</v>
      </c>
      <c r="K55" s="5">
        <v>21559</v>
      </c>
      <c r="L55" s="5">
        <v>21438</v>
      </c>
      <c r="M55" s="5">
        <v>23043</v>
      </c>
    </row>
    <row r="56" spans="1:13" ht="14.25" customHeight="1" x14ac:dyDescent="0.3">
      <c r="A56" t="s">
        <v>184</v>
      </c>
      <c r="B56" s="5">
        <v>39488</v>
      </c>
      <c r="C56" s="5">
        <v>32855</v>
      </c>
      <c r="D56" s="5">
        <v>31263.3</v>
      </c>
      <c r="E56" s="5">
        <v>26209</v>
      </c>
      <c r="F56" s="5">
        <v>23138</v>
      </c>
      <c r="G56" s="5">
        <v>19982</v>
      </c>
      <c r="H56" s="5">
        <v>22686</v>
      </c>
      <c r="I56" s="5">
        <v>27412</v>
      </c>
      <c r="J56" s="5">
        <v>31462</v>
      </c>
      <c r="K56" s="5">
        <v>36532</v>
      </c>
      <c r="L56" s="5">
        <v>38823</v>
      </c>
      <c r="M56" s="5">
        <v>42222</v>
      </c>
    </row>
    <row r="57" spans="1:13" ht="14.25" customHeight="1" x14ac:dyDescent="0.3">
      <c r="A57" t="s">
        <v>186</v>
      </c>
      <c r="B57" s="5">
        <v>37861</v>
      </c>
      <c r="C57" s="5">
        <v>31552</v>
      </c>
      <c r="D57" s="5">
        <v>31851</v>
      </c>
      <c r="E57" s="5">
        <v>27124</v>
      </c>
      <c r="F57" s="5">
        <v>24741</v>
      </c>
      <c r="G57" s="5">
        <v>21991</v>
      </c>
      <c r="H57" s="5">
        <v>24194</v>
      </c>
      <c r="I57" s="5">
        <v>28859</v>
      </c>
      <c r="J57" s="5">
        <v>32205</v>
      </c>
      <c r="K57" s="5">
        <v>36732</v>
      </c>
      <c r="L57" s="5">
        <v>38185</v>
      </c>
      <c r="M57" s="5">
        <v>40356</v>
      </c>
    </row>
    <row r="58" spans="1:13" ht="14.25" customHeight="1" x14ac:dyDescent="0.3">
      <c r="A58" t="s">
        <v>188</v>
      </c>
      <c r="B58" s="5">
        <v>22876</v>
      </c>
      <c r="C58" s="5">
        <v>19487</v>
      </c>
      <c r="D58" s="5">
        <v>19886</v>
      </c>
      <c r="E58" s="5">
        <v>16305</v>
      </c>
      <c r="F58" s="5">
        <v>14747</v>
      </c>
      <c r="G58" s="5">
        <v>12857</v>
      </c>
      <c r="H58" s="5">
        <v>14434</v>
      </c>
      <c r="I58" s="5">
        <v>17635</v>
      </c>
      <c r="J58" s="5">
        <v>20353</v>
      </c>
      <c r="K58" s="5">
        <v>22357</v>
      </c>
      <c r="L58" s="5">
        <v>22859</v>
      </c>
      <c r="M58" s="5">
        <v>24367</v>
      </c>
    </row>
    <row r="59" spans="1:13" ht="14.25" customHeight="1" x14ac:dyDescent="0.3">
      <c r="A59" t="s">
        <v>226</v>
      </c>
      <c r="B59">
        <v>34135</v>
      </c>
      <c r="C59">
        <v>26981</v>
      </c>
      <c r="D59">
        <v>26829</v>
      </c>
      <c r="E59">
        <v>20433</v>
      </c>
      <c r="F59">
        <v>21068</v>
      </c>
      <c r="G59">
        <v>16978</v>
      </c>
      <c r="H59">
        <v>19291</v>
      </c>
      <c r="I59">
        <v>21448</v>
      </c>
      <c r="J59">
        <v>20157</v>
      </c>
      <c r="K59">
        <v>25054</v>
      </c>
      <c r="L59">
        <v>25471</v>
      </c>
      <c r="M59">
        <v>31547</v>
      </c>
    </row>
    <row r="60" spans="1:13" ht="14.25" customHeight="1" x14ac:dyDescent="0.3">
      <c r="A60" t="s">
        <v>208</v>
      </c>
      <c r="B60" s="5">
        <v>20649</v>
      </c>
      <c r="C60" s="5">
        <v>17891</v>
      </c>
      <c r="D60" s="5">
        <v>17668</v>
      </c>
      <c r="E60" s="8">
        <f>15178</f>
        <v>15178</v>
      </c>
      <c r="F60" s="5">
        <v>14023</v>
      </c>
      <c r="G60" s="5">
        <v>12327</v>
      </c>
      <c r="H60" s="5">
        <v>13742</v>
      </c>
      <c r="I60" s="5">
        <v>16094</v>
      </c>
      <c r="J60" s="5">
        <v>17988</v>
      </c>
      <c r="K60" s="5">
        <v>20737</v>
      </c>
      <c r="L60" s="5">
        <v>20655</v>
      </c>
      <c r="M60" s="5">
        <v>21136</v>
      </c>
    </row>
    <row r="61" spans="1:13" ht="14.25" customHeight="1" x14ac:dyDescent="0.3">
      <c r="A61" t="s">
        <v>190</v>
      </c>
      <c r="B61" s="5">
        <v>19574.900000000001</v>
      </c>
      <c r="C61" s="5">
        <v>16723.599999999999</v>
      </c>
      <c r="D61" s="5">
        <v>17808.599999999999</v>
      </c>
      <c r="E61" s="5">
        <v>15502.2</v>
      </c>
      <c r="F61" s="5">
        <v>15075</v>
      </c>
      <c r="G61" s="5">
        <v>13622.2</v>
      </c>
      <c r="H61" s="5">
        <v>15167.7</v>
      </c>
      <c r="I61" s="5">
        <v>17455.2</v>
      </c>
      <c r="J61" s="5">
        <v>18819</v>
      </c>
      <c r="K61" s="5">
        <v>19760.2</v>
      </c>
      <c r="L61" s="5">
        <v>19368.5</v>
      </c>
      <c r="M61" s="5">
        <v>20469.3</v>
      </c>
    </row>
    <row r="62" spans="1:13" ht="14.25" customHeight="1" x14ac:dyDescent="0.3">
      <c r="A62" t="s">
        <v>213</v>
      </c>
      <c r="B62" s="5">
        <v>10342</v>
      </c>
      <c r="C62" s="5">
        <v>8891</v>
      </c>
      <c r="D62" s="5">
        <v>8671</v>
      </c>
      <c r="E62" s="5">
        <v>7539</v>
      </c>
      <c r="F62" s="5">
        <v>6938</v>
      </c>
      <c r="G62" s="5">
        <v>6138</v>
      </c>
      <c r="H62" s="5">
        <v>6763</v>
      </c>
      <c r="I62" s="8">
        <f>7916</f>
        <v>7916</v>
      </c>
      <c r="J62" s="5">
        <v>8738</v>
      </c>
      <c r="K62" s="5">
        <v>10008</v>
      </c>
      <c r="L62" s="5">
        <v>9999</v>
      </c>
      <c r="M62" s="5">
        <v>10268</v>
      </c>
    </row>
    <row r="63" spans="1:13" ht="14.25" customHeight="1" x14ac:dyDescent="0.3">
      <c r="A63" t="s">
        <v>216</v>
      </c>
      <c r="B63" s="5">
        <v>31888.400000000001</v>
      </c>
      <c r="C63" s="5">
        <v>27677</v>
      </c>
      <c r="D63" s="5">
        <v>27300</v>
      </c>
      <c r="E63" s="5">
        <v>23765</v>
      </c>
      <c r="F63" s="5">
        <v>21915</v>
      </c>
      <c r="G63" s="5">
        <v>19368</v>
      </c>
      <c r="H63" s="5">
        <v>21313</v>
      </c>
      <c r="I63" s="8">
        <f>24908</f>
        <v>24908</v>
      </c>
      <c r="J63" s="5">
        <v>27534</v>
      </c>
      <c r="K63" s="5">
        <v>31253</v>
      </c>
      <c r="L63" s="5">
        <v>31179</v>
      </c>
      <c r="M63" s="5">
        <v>31893</v>
      </c>
    </row>
    <row r="64" spans="1:13" ht="14.25" customHeight="1" x14ac:dyDescent="0.3">
      <c r="A64" t="s">
        <v>218</v>
      </c>
      <c r="B64" s="5">
        <v>10668.8</v>
      </c>
      <c r="C64" s="5">
        <v>9218.6</v>
      </c>
      <c r="D64" s="5">
        <v>9045</v>
      </c>
      <c r="E64" s="5">
        <v>7797</v>
      </c>
      <c r="F64" s="5">
        <v>7144.8</v>
      </c>
      <c r="G64" s="5">
        <v>6299.2</v>
      </c>
      <c r="H64" s="5">
        <v>6941.6</v>
      </c>
      <c r="I64" s="8">
        <f>8155.7</f>
        <v>8155.7</v>
      </c>
      <c r="J64" s="5">
        <v>9060</v>
      </c>
      <c r="K64" s="5">
        <v>10392</v>
      </c>
      <c r="L64" s="5">
        <v>10393</v>
      </c>
      <c r="M64" s="5">
        <v>10647</v>
      </c>
    </row>
    <row r="65" spans="1:13" ht="14.25" customHeight="1" x14ac:dyDescent="0.3">
      <c r="A65" t="s">
        <v>192</v>
      </c>
      <c r="B65" s="5"/>
      <c r="C65" s="5"/>
      <c r="D65" s="5"/>
      <c r="E65" s="5"/>
      <c r="F65" s="5"/>
      <c r="G65" s="5"/>
      <c r="H65" s="5"/>
      <c r="I65" s="5"/>
      <c r="J65" s="5"/>
      <c r="K65" s="5"/>
      <c r="L65" s="5"/>
      <c r="M65" s="5"/>
    </row>
    <row r="66" spans="1:13" ht="14.25" customHeight="1" x14ac:dyDescent="0.3">
      <c r="A66" t="s">
        <v>194</v>
      </c>
      <c r="B66" s="5">
        <v>8222</v>
      </c>
      <c r="C66" s="5">
        <v>6998</v>
      </c>
      <c r="D66" s="5">
        <v>7059</v>
      </c>
      <c r="E66" s="5">
        <v>5574</v>
      </c>
      <c r="F66" s="5">
        <v>5282</v>
      </c>
      <c r="G66" s="5">
        <v>4730</v>
      </c>
      <c r="H66" s="5">
        <v>5256</v>
      </c>
      <c r="I66" s="5">
        <v>6045</v>
      </c>
      <c r="J66" s="5">
        <v>7051</v>
      </c>
      <c r="K66" s="5">
        <v>8056</v>
      </c>
      <c r="L66" s="5">
        <v>8145</v>
      </c>
      <c r="M66" s="5">
        <v>8740</v>
      </c>
    </row>
    <row r="67" spans="1:13" ht="14.25" customHeight="1" x14ac:dyDescent="0.3">
      <c r="A67" t="s">
        <v>196</v>
      </c>
      <c r="B67" s="5">
        <v>5698.8</v>
      </c>
      <c r="C67" s="5">
        <v>5080.8</v>
      </c>
      <c r="D67" s="5">
        <v>5209.7</v>
      </c>
      <c r="E67" s="5">
        <v>4357.5</v>
      </c>
      <c r="F67" s="5">
        <v>3906.6</v>
      </c>
      <c r="G67" s="5">
        <v>3553</v>
      </c>
      <c r="H67" s="5">
        <v>3801.5</v>
      </c>
      <c r="I67" s="5">
        <v>4316</v>
      </c>
      <c r="J67" s="5">
        <v>4437</v>
      </c>
      <c r="K67" s="5">
        <v>5034.3</v>
      </c>
      <c r="L67" s="5">
        <v>5106.1000000000004</v>
      </c>
      <c r="M67" s="5">
        <v>5754.2</v>
      </c>
    </row>
    <row r="68" spans="1:13" ht="14.25" customHeight="1" x14ac:dyDescent="0.3">
      <c r="A68" t="s">
        <v>199</v>
      </c>
      <c r="B68" s="5">
        <v>5045.8999999999996</v>
      </c>
      <c r="C68" s="5">
        <v>4360.2</v>
      </c>
      <c r="D68" s="5">
        <v>4711.1000000000004</v>
      </c>
      <c r="E68" s="5">
        <v>4084.1</v>
      </c>
      <c r="F68" s="5">
        <v>4125.1000000000004</v>
      </c>
      <c r="G68" s="5">
        <v>3778.7</v>
      </c>
      <c r="H68" s="5">
        <v>4137.8</v>
      </c>
      <c r="I68" s="5">
        <v>4655.3999999999996</v>
      </c>
      <c r="J68" s="5">
        <v>4964.6000000000004</v>
      </c>
      <c r="K68" s="5">
        <v>5199.2</v>
      </c>
      <c r="L68" s="5">
        <v>4977</v>
      </c>
      <c r="M68" s="5">
        <v>5354.9</v>
      </c>
    </row>
    <row r="69" spans="1:13" ht="14.25" customHeight="1" x14ac:dyDescent="0.3">
      <c r="A69" t="s">
        <v>201</v>
      </c>
      <c r="B69" s="5">
        <v>15814.1</v>
      </c>
      <c r="C69" s="5">
        <v>14182.5</v>
      </c>
      <c r="D69" s="5">
        <v>15127.6</v>
      </c>
      <c r="E69" s="5">
        <v>13566.2</v>
      </c>
      <c r="F69" s="5">
        <v>13865.8</v>
      </c>
      <c r="G69" s="5">
        <v>12963.1</v>
      </c>
      <c r="H69" s="5">
        <v>14146.2</v>
      </c>
      <c r="I69" s="5">
        <v>15603.1</v>
      </c>
      <c r="J69" s="5">
        <v>15929.8</v>
      </c>
      <c r="K69" s="5">
        <v>16382.7</v>
      </c>
      <c r="L69" s="5">
        <v>15892.2</v>
      </c>
      <c r="M69" s="5">
        <v>16746.5</v>
      </c>
    </row>
    <row r="70" spans="1:13" ht="14.25" customHeight="1" x14ac:dyDescent="0.3">
      <c r="A70" t="s">
        <v>211</v>
      </c>
      <c r="B70" s="5">
        <v>8111</v>
      </c>
      <c r="C70" s="5">
        <v>6915</v>
      </c>
      <c r="D70" s="5">
        <v>6721</v>
      </c>
      <c r="E70" s="5">
        <v>5701</v>
      </c>
      <c r="F70" s="5">
        <v>5135</v>
      </c>
      <c r="G70" s="5">
        <v>4368</v>
      </c>
      <c r="H70" s="5">
        <v>4517</v>
      </c>
      <c r="I70" s="5">
        <v>5248</v>
      </c>
      <c r="J70" s="5">
        <v>5835</v>
      </c>
      <c r="K70" s="5">
        <v>7211</v>
      </c>
      <c r="L70" s="5">
        <v>7571</v>
      </c>
      <c r="M70" s="5">
        <v>8107</v>
      </c>
    </row>
    <row r="71" spans="1:13" ht="14.25" customHeight="1" x14ac:dyDescent="0.3">
      <c r="A71" t="s">
        <v>202</v>
      </c>
      <c r="B71" s="5">
        <v>31142</v>
      </c>
      <c r="C71" s="5">
        <v>26504</v>
      </c>
      <c r="D71" s="5">
        <v>26827</v>
      </c>
      <c r="E71" s="5">
        <v>22270</v>
      </c>
      <c r="F71" s="5">
        <v>21135</v>
      </c>
      <c r="G71" s="5">
        <v>18949</v>
      </c>
      <c r="H71" s="5">
        <v>21000</v>
      </c>
      <c r="I71" s="5">
        <v>24518</v>
      </c>
      <c r="J71" s="5">
        <v>27252</v>
      </c>
      <c r="K71" s="5">
        <v>30285</v>
      </c>
      <c r="L71" s="5">
        <v>29971</v>
      </c>
      <c r="M71" s="5">
        <v>32254</v>
      </c>
    </row>
    <row r="72" spans="1:13" ht="14.25" customHeight="1" x14ac:dyDescent="0.3">
      <c r="A72" t="s">
        <v>206</v>
      </c>
      <c r="B72" s="5" t="s">
        <v>36</v>
      </c>
      <c r="C72" s="5" t="s">
        <v>36</v>
      </c>
      <c r="D72" s="5" t="s">
        <v>36</v>
      </c>
      <c r="E72" s="5" t="s">
        <v>36</v>
      </c>
      <c r="F72" s="5" t="s">
        <v>36</v>
      </c>
      <c r="G72" s="5" t="s">
        <v>36</v>
      </c>
      <c r="H72" s="5" t="s">
        <v>36</v>
      </c>
      <c r="I72" s="5" t="s">
        <v>36</v>
      </c>
      <c r="J72" s="5" t="s">
        <v>36</v>
      </c>
      <c r="K72" s="5" t="s">
        <v>36</v>
      </c>
      <c r="L72" s="5" t="s">
        <v>36</v>
      </c>
      <c r="M72" s="5" t="s">
        <v>36</v>
      </c>
    </row>
    <row r="73" spans="1:13" ht="14.25" customHeight="1" x14ac:dyDescent="0.3">
      <c r="A73" t="s">
        <v>241</v>
      </c>
      <c r="B73">
        <v>31534</v>
      </c>
      <c r="C73">
        <v>27088</v>
      </c>
      <c r="D73">
        <v>25946</v>
      </c>
      <c r="E73">
        <v>22097</v>
      </c>
      <c r="F73">
        <v>19717</v>
      </c>
      <c r="G73">
        <v>17225</v>
      </c>
      <c r="H73">
        <v>19287</v>
      </c>
      <c r="I73">
        <v>23158</v>
      </c>
      <c r="J73">
        <v>26490</v>
      </c>
      <c r="K73">
        <v>30317</v>
      </c>
      <c r="L73">
        <v>30935</v>
      </c>
      <c r="M73">
        <v>31977</v>
      </c>
    </row>
    <row r="74" spans="1:13" ht="14.25" customHeight="1" x14ac:dyDescent="0.3">
      <c r="A74" t="s">
        <v>228</v>
      </c>
      <c r="B74">
        <v>32305</v>
      </c>
      <c r="C74">
        <v>29685</v>
      </c>
      <c r="D74">
        <v>31046</v>
      </c>
      <c r="E74">
        <v>28456</v>
      </c>
      <c r="F74">
        <v>28669</v>
      </c>
      <c r="G74">
        <v>26032</v>
      </c>
      <c r="H74">
        <v>28480</v>
      </c>
      <c r="I74">
        <v>31722</v>
      </c>
      <c r="J74">
        <v>32846</v>
      </c>
      <c r="K74">
        <v>34908</v>
      </c>
      <c r="L74">
        <v>33468</v>
      </c>
      <c r="M74">
        <v>32717</v>
      </c>
    </row>
    <row r="75" spans="1:13" ht="14.25" customHeight="1" x14ac:dyDescent="0.3">
      <c r="A75" t="s">
        <v>244</v>
      </c>
      <c r="B75">
        <v>20178</v>
      </c>
      <c r="C75">
        <v>17954</v>
      </c>
      <c r="D75">
        <v>19150</v>
      </c>
      <c r="E75">
        <v>18060</v>
      </c>
      <c r="F75">
        <v>18124</v>
      </c>
      <c r="G75">
        <v>15908</v>
      </c>
      <c r="H75">
        <v>16827</v>
      </c>
      <c r="I75">
        <v>19405</v>
      </c>
      <c r="J75">
        <v>19981</v>
      </c>
      <c r="K75">
        <v>22401</v>
      </c>
      <c r="L75">
        <v>20125</v>
      </c>
      <c r="M75">
        <v>20771</v>
      </c>
    </row>
    <row r="76" spans="1:13" x14ac:dyDescent="0.3">
      <c r="A76" t="s">
        <v>271</v>
      </c>
      <c r="B76">
        <v>19301</v>
      </c>
      <c r="C76">
        <v>16753</v>
      </c>
      <c r="D76">
        <v>16260</v>
      </c>
      <c r="E76">
        <v>13800</v>
      </c>
      <c r="F76">
        <v>12669</v>
      </c>
      <c r="G76">
        <v>11099</v>
      </c>
      <c r="H76">
        <v>12207</v>
      </c>
      <c r="I76">
        <v>14565.3</v>
      </c>
      <c r="J76">
        <v>16481.3</v>
      </c>
      <c r="K76">
        <v>18948</v>
      </c>
      <c r="L76">
        <v>19155</v>
      </c>
      <c r="M76">
        <v>19406</v>
      </c>
    </row>
    <row r="77" spans="1:13" x14ac:dyDescent="0.3">
      <c r="A77" t="s">
        <v>251</v>
      </c>
      <c r="B77">
        <v>29390</v>
      </c>
      <c r="C77">
        <v>25795</v>
      </c>
      <c r="D77">
        <v>25594</v>
      </c>
      <c r="E77">
        <v>22145</v>
      </c>
      <c r="F77">
        <v>20838</v>
      </c>
      <c r="G77">
        <v>18631</v>
      </c>
      <c r="H77">
        <v>20290</v>
      </c>
      <c r="I77">
        <v>23679</v>
      </c>
      <c r="J77">
        <v>26288</v>
      </c>
      <c r="K77">
        <v>29851</v>
      </c>
      <c r="L77">
        <v>30171</v>
      </c>
      <c r="M77">
        <v>30447</v>
      </c>
    </row>
    <row r="78" spans="1:13" x14ac:dyDescent="0.3">
      <c r="A78" t="s">
        <v>250</v>
      </c>
      <c r="B78">
        <v>32086</v>
      </c>
      <c r="C78">
        <v>28761</v>
      </c>
      <c r="D78">
        <v>30379</v>
      </c>
      <c r="E78">
        <v>30915</v>
      </c>
      <c r="F78">
        <v>33245</v>
      </c>
      <c r="G78">
        <v>31827</v>
      </c>
      <c r="H78">
        <v>31168</v>
      </c>
      <c r="I78">
        <v>35166</v>
      </c>
      <c r="J78">
        <v>31389</v>
      </c>
      <c r="K78">
        <v>31629</v>
      </c>
      <c r="L78">
        <v>32213</v>
      </c>
      <c r="M78">
        <v>32115</v>
      </c>
    </row>
    <row r="79" spans="1:13" x14ac:dyDescent="0.3">
      <c r="A79" t="s">
        <v>1004</v>
      </c>
      <c r="B79">
        <v>6637</v>
      </c>
      <c r="C79">
        <v>5857</v>
      </c>
      <c r="D79">
        <v>5923</v>
      </c>
      <c r="E79">
        <v>5363</v>
      </c>
      <c r="F79">
        <v>5166</v>
      </c>
      <c r="G79">
        <v>4726</v>
      </c>
      <c r="H79">
        <v>5161</v>
      </c>
      <c r="I79">
        <v>5838</v>
      </c>
      <c r="J79">
        <v>6186</v>
      </c>
      <c r="K79">
        <v>6701</v>
      </c>
      <c r="L79">
        <v>6553</v>
      </c>
      <c r="M79">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F4" sqref="F4"/>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6" t="s">
        <v>49</v>
      </c>
      <c r="B2" s="27" t="s">
        <v>875</v>
      </c>
      <c r="C2" s="28" cm="1">
        <f t="array" ref="C2">IFERROR(INDEX('Expected Production'!$B$2:$B$79,MATCH(TRIM($A2),INDEX(TRIM('Expected Production'!$A$2:$A$79),0),0)),"Not found")</f>
        <v>0.9</v>
      </c>
      <c r="D2" s="29" cm="1">
        <f t="array" aca="1" ref="D2" ca="1">_xlfn.IFNA(_xlfn.XLOOKUP(TRIM(A2),TRIM(site_tech_info!$A$2:$A$79),site_tech_info!$W$2:$W$79),"")</f>
        <v>1.7577002053388091</v>
      </c>
      <c r="E2" s="30" cm="1">
        <f t="array" ref="E2">IFERROR(SUM(INDEX('Simulated Production'!$B$2:$M$79,MATCH(TRIM($A2),INDEX(TRIM('Simulated Production'!$A$2:$A$79),0),0),0)),"Not found")</f>
        <v>63342</v>
      </c>
      <c r="F2" s="31">
        <f ca="1">(Table2[[#This Row],[As-Built kWh]]*Table2[[#This Row],[Expected Utilisation%]])*(1-0.007)^(Table2[[#This Row],[Age]])</f>
        <v>56308.242828488626</v>
      </c>
      <c r="G2" s="31">
        <f ca="1">(4681+4732*(9/31)+4546*(10/31)+4620*(3/30)+4991+4762)*(1-0.007)^(Table2[[#This Row],[Age]])</f>
        <v>17518.611943725489</v>
      </c>
      <c r="H2" s="30">
        <f ca="1">F2-G2</f>
        <v>38789.630884763137</v>
      </c>
      <c r="I2" s="30" cm="1">
        <f t="array" ref="I2">SUMPRODUCT((TRIM(measured[Site Name])=TRIM($A2))*(measured[Date]&gt;=DATE(2025,7,1))*(measured[Date]&lt;=DATE(2026,6,30))*measured[Measured Value (kWh)])</f>
        <v>34917.199999999997</v>
      </c>
      <c r="J2" s="30">
        <f ca="1">I2-H2</f>
        <v>-3872.4308847631401</v>
      </c>
      <c r="K2" s="30">
        <f ca="1">(Table2[[#This Row],[Actual Generation (kWh)]]/Table2[[#This Row],[Correct kWh]])*100</f>
        <v>90.016840077010727</v>
      </c>
      <c r="L2" s="27" t="s">
        <v>983</v>
      </c>
    </row>
    <row r="3" spans="1:12" x14ac:dyDescent="0.3">
      <c r="A3" s="26" t="s">
        <v>81</v>
      </c>
      <c r="B3" s="27" t="s">
        <v>875</v>
      </c>
      <c r="C3" s="28" cm="1">
        <f t="array" ref="C3">IFERROR(INDEX('Expected Production'!$B$2:$B$79,MATCH(TRIM($A3),INDEX(TRIM('Expected Production'!$A$2:$A$79),0),0)),"Not found")</f>
        <v>0.9</v>
      </c>
      <c r="D3" s="29" cm="1">
        <f t="array" aca="1" ref="D3" ca="1">_xlfn.IFNA(_xlfn.XLOOKUP(TRIM(A3),TRIM(site_tech_info!$A$2:$A$79),site_tech_info!$W$2:$W$79),"")</f>
        <v>2.2696783025325118</v>
      </c>
      <c r="E3" s="30" cm="1">
        <f t="array" ref="E3">IFERROR(SUM(INDEX('Simulated Production'!$B$2:$M$79,MATCH(TRIM($A3),INDEX(TRIM('Simulated Production'!$A$2:$A$79),0),0),0)),"Not found")</f>
        <v>94580</v>
      </c>
      <c r="F3" s="31">
        <f ca="1">(Table2[[#This Row],[As-Built kWh]]*Table2[[#This Row],[Expected Utilisation%]])*(1-0.007)^(Table2[[#This Row],[Age]])</f>
        <v>83775.609199643834</v>
      </c>
      <c r="G3" s="31">
        <f ca="1">(8100*(1/2)+7806*(1/2))*(1-0.007)^(Table2[[#This Row],[Age]])</f>
        <v>7827.2058923047798</v>
      </c>
      <c r="H3" s="30">
        <f t="shared" ref="H3:H24" ca="1" si="0">F3-G3</f>
        <v>75948.40330733906</v>
      </c>
      <c r="I3" s="30" cm="1">
        <f t="array" ref="I3">SUMPRODUCT((TRIM(measured[Site Name])=TRIM($A3))*(measured[Date]&gt;=DATE(2025,7,1))*(measured[Date]&lt;=DATE(2026,6,30))*measured[Measured Value (kWh)])</f>
        <v>76046.755900000004</v>
      </c>
      <c r="J3" s="30">
        <f t="shared" ref="J3:J23" ca="1" si="1">I3-H3</f>
        <v>98.352592660943628</v>
      </c>
      <c r="K3" s="30">
        <f ca="1">(Table2[[#This Row],[Actual Generation (kWh)]]/Table2[[#This Row],[Correct kWh]])*100</f>
        <v>100.12949922365443</v>
      </c>
      <c r="L3" s="27" t="s">
        <v>980</v>
      </c>
    </row>
    <row r="4" spans="1:12" x14ac:dyDescent="0.3">
      <c r="A4" s="26" t="s">
        <v>95</v>
      </c>
      <c r="B4" s="27" t="s">
        <v>875</v>
      </c>
      <c r="C4" s="28" cm="1">
        <f t="array" ref="C4">IFERROR(INDEX('Expected Production'!$B$2:$B$79,MATCH(TRIM($A4),INDEX(TRIM('Expected Production'!$A$2:$A$79),0),0)),"Not found")</f>
        <v>0.8</v>
      </c>
      <c r="D4" s="29" cm="1">
        <f t="array" aca="1" ref="D4" ca="1">_xlfn.IFNA(_xlfn.XLOOKUP(TRIM(A4),TRIM(site_tech_info!$A$2:$A$79),site_tech_info!$W$2:$W$79),"")</f>
        <v>2.299794661190965</v>
      </c>
      <c r="E4" s="30" cm="1">
        <f t="array" ref="E4">IFERROR(SUM(INDEX('Simulated Production'!$B$2:$M$79,MATCH(TRIM($A4),INDEX(TRIM('Simulated Production'!$A$2:$A$79),0),0),0)),"Not found")</f>
        <v>428379</v>
      </c>
      <c r="F4" s="31">
        <f ca="1">(Table2[[#This Row],[As-Built kWh]]*Table2[[#This Row],[Expected Utilisation%]])*(1-0.007)^(Table2[[#This Row],[Age]])</f>
        <v>337211.2520099798</v>
      </c>
      <c r="G4" s="31">
        <f ca="1">(23255*(7/30)+35066*(2/30))*(1-0.007)^(Table2[[#This Row],[Age]])</f>
        <v>7639.4805752624488</v>
      </c>
      <c r="H4" s="30">
        <f t="shared" ca="1" si="0"/>
        <v>329571.77143471735</v>
      </c>
      <c r="I4" s="30" cm="1">
        <f t="array" ref="I4">SUMPRODUCT((TRIM(measured[Site Name])=TRIM($A4))*(measured[Date]&gt;=DATE(2025,7,1))*(measured[Date]&lt;=DATE(2026,6,30))*measured[Measured Value (kWh)])</f>
        <v>166060.42000000001</v>
      </c>
      <c r="J4" s="30">
        <f t="shared" ca="1" si="1"/>
        <v>-163511.35143471733</v>
      </c>
      <c r="K4" s="30">
        <f ca="1">(Table2[[#This Row],[Actual Generation (kWh)]]/Table2[[#This Row],[Correct kWh]])*100</f>
        <v>50.386724347504931</v>
      </c>
      <c r="L4" s="27" t="s">
        <v>981</v>
      </c>
    </row>
    <row r="5" spans="1:12" x14ac:dyDescent="0.3">
      <c r="A5" s="35" t="s">
        <v>104</v>
      </c>
      <c r="B5" s="36" t="s">
        <v>875</v>
      </c>
      <c r="C5" s="37" cm="1">
        <f t="array" ref="C5">IFERROR(INDEX('Expected Production'!$B$2:$B$79,MATCH(TRIM($A5),INDEX(TRIM('Expected Production'!$A$2:$A$79),0),0)),"Not found")</f>
        <v>0.9</v>
      </c>
      <c r="D5" s="38" cm="1">
        <f t="array" aca="1" ref="D5" ca="1">_xlfn.IFNA(_xlfn.XLOOKUP(TRIM(A5),TRIM(site_tech_info!$A$2:$A$79),site_tech_info!$W$2:$W$79),"")</f>
        <v>3.3593429158110881</v>
      </c>
      <c r="E5" s="39" cm="1">
        <f t="array" ref="E5">IFERROR(SUM(INDEX('Simulated Production'!$B$2:$M$79,MATCH(TRIM($A5),INDEX(TRIM('Simulated Production'!$A$2:$A$79),0),0),0)),"Not found")</f>
        <v>45617</v>
      </c>
      <c r="F5" s="40">
        <f ca="1">(Table2[[#This Row],[As-Built kWh]]*Table2[[#This Row],[Expected Utilisation%]])*(1-0.007)^(Table2[[#This Row],[Age]])</f>
        <v>40097.815157588222</v>
      </c>
      <c r="G5" s="40">
        <f ca="1">(4681+3499*(9/31)+2081*(10/31)+4317*(3/30)+4991*(18/31))*(1-0.007)^(Table2[[#This Row],[Age]])</f>
        <v>9471.6578849838279</v>
      </c>
      <c r="H5" s="39">
        <f t="shared" ca="1" si="0"/>
        <v>30626.157272604396</v>
      </c>
      <c r="I5" s="39" cm="1">
        <f t="array" ref="I5">SUMPRODUCT((TRIM(measured[Site Name])=TRIM($A5))*(measured[Date]&gt;=DATE(2025,7,1))*(measured[Date]&lt;=DATE(2026,6,30))*measured[Measured Value (kWh)])</f>
        <v>24341.599999999999</v>
      </c>
      <c r="J5" s="39">
        <f t="shared" ca="1" si="1"/>
        <v>-6284.5572726043974</v>
      </c>
      <c r="K5" s="39">
        <f ca="1">(Table2[[#This Row],[Actual Generation (kWh)]]/Table2[[#This Row],[Correct kWh]])*100</f>
        <v>79.479772089376567</v>
      </c>
    </row>
    <row r="6" spans="1:12" x14ac:dyDescent="0.3">
      <c r="A6" s="1" t="s">
        <v>107</v>
      </c>
      <c r="B6" t="s">
        <v>875</v>
      </c>
      <c r="C6" s="9" cm="1">
        <f t="array" ref="C6">IFERROR(INDEX('Expected Production'!$B$2:$B$79,MATCH(TRIM($A6),INDEX(TRIM('Expected Production'!$A$2:$A$79),0),0)),"Not found")</f>
        <v>0.9</v>
      </c>
      <c r="D6" s="20" cm="1">
        <f t="array" aca="1" ref="D6" ca="1">_xlfn.IFNA(_xlfn.XLOOKUP(TRIM(A6),TRIM(site_tech_info!$A$2:$A$79),site_tech_info!$W$2:$W$79),"")</f>
        <v>3.3620807665982202</v>
      </c>
      <c r="E6" s="14" cm="1">
        <f t="array" ref="E6">IFERROR(SUM(INDEX('Simulated Production'!$B$2:$M$79,MATCH(TRIM($A6),INDEX(TRIM('Simulated Production'!$A$2:$A$79),0),0),0)),"Not found")</f>
        <v>40942</v>
      </c>
      <c r="F6" s="5">
        <f ca="1">(Table2[[#This Row],[As-Built kWh]]*Table2[[#This Row],[Expected Utilisation%]])*(1-0.007)^(Table2[[#This Row],[Age]])</f>
        <v>35987.749633557047</v>
      </c>
      <c r="G6" s="5">
        <f ca="1">(2974*(24/31)+3147*(2/30))*(1-0.007)^(Table2[[#This Row],[Age]])</f>
        <v>2453.6141116066947</v>
      </c>
      <c r="H6" s="14">
        <f t="shared" ca="1" si="0"/>
        <v>33534.135521950353</v>
      </c>
      <c r="I6" s="14" cm="1">
        <f t="array" ref="I6">SUMPRODUCT((TRIM(measured[Site Name])=TRIM($A6))*(measured[Date]&gt;=DATE(2025,7,1))*(measured[Date]&lt;=DATE(2026,6,30))*measured[Measured Value (kWh)])</f>
        <v>32105.499999999996</v>
      </c>
      <c r="J6" s="14">
        <f t="shared" ca="1" si="1"/>
        <v>-1428.6355219503566</v>
      </c>
      <c r="K6" s="14">
        <f ca="1">(Table2[[#This Row],[Actual Generation (kWh)]]/Table2[[#This Row],[Correct kWh]])*100</f>
        <v>95.739757415200941</v>
      </c>
      <c r="L6" t="s">
        <v>880</v>
      </c>
    </row>
    <row r="7" spans="1:12" x14ac:dyDescent="0.3">
      <c r="A7" s="26" t="s">
        <v>114</v>
      </c>
      <c r="B7" s="27" t="s">
        <v>875</v>
      </c>
      <c r="C7" s="28" cm="1">
        <f t="array" ref="C7">IFERROR(INDEX('Expected Production'!$B$2:$B$79,MATCH(TRIM($A7),INDEX(TRIM('Expected Production'!$A$2:$A$79),0),0)),"Not found")</f>
        <v>0.85</v>
      </c>
      <c r="D7" s="29" cm="1">
        <f t="array" aca="1" ref="D7" ca="1">_xlfn.IFNA(_xlfn.XLOOKUP(TRIM(A7),TRIM(site_tech_info!$A$2:$A$79),site_tech_info!$W$2:$W$79),"")</f>
        <v>3.4058863791923342</v>
      </c>
      <c r="E7" s="30" cm="1">
        <f t="array" ref="E7">IFERROR(SUM(INDEX('Simulated Production'!$B$2:$M$79,MATCH(TRIM($A7),INDEX(TRIM('Simulated Production'!$A$2:$A$79),0),0),0)),"Not found")</f>
        <v>319608</v>
      </c>
      <c r="F7" s="31">
        <f ca="1">(Table2[[#This Row],[As-Built kWh]]*Table2[[#This Row],[Expected Utilisation%]])*(1-0.007)^(Table2[[#This Row],[Age]])</f>
        <v>265244.29653465532</v>
      </c>
      <c r="G7" s="31">
        <v>0</v>
      </c>
      <c r="H7" s="30">
        <f t="shared" ca="1" si="0"/>
        <v>265244.29653465532</v>
      </c>
      <c r="I7" s="30" cm="1">
        <f t="array" ref="I7">SUMPRODUCT((TRIM(measured[Site Name])=TRIM($A7))*(measured[Date]&gt;=DATE(2025,7,1))*(measured[Date]&lt;=DATE(2026,6,30))*measured[Measured Value (kWh)])</f>
        <v>254905.02</v>
      </c>
      <c r="J7" s="30">
        <f t="shared" ca="1" si="1"/>
        <v>-10339.276534655335</v>
      </c>
      <c r="K7" s="30">
        <f ca="1">(Table2[[#This Row],[Actual Generation (kWh)]]/Table2[[#This Row],[Correct kWh]])*100</f>
        <v>96.101979695799244</v>
      </c>
      <c r="L7" s="27" t="s">
        <v>984</v>
      </c>
    </row>
    <row r="8" spans="1:12" x14ac:dyDescent="0.3">
      <c r="A8" s="26" t="s">
        <v>117</v>
      </c>
      <c r="B8" s="27" t="s">
        <v>875</v>
      </c>
      <c r="C8" s="28" cm="1">
        <f t="array" ref="C8">IFERROR(INDEX('Expected Production'!$B$2:$B$79,MATCH(TRIM($A8),INDEX(TRIM('Expected Production'!$A$2:$A$79),0),0)),"Not found")</f>
        <v>0.9</v>
      </c>
      <c r="D8" s="29" cm="1">
        <f t="array" aca="1" ref="D8" ca="1">_xlfn.IFNA(_xlfn.XLOOKUP(TRIM(A8),TRIM(site_tech_info!$A$2:$A$79),site_tech_info!$W$2:$W$79),"")</f>
        <v>2.2915811088295688</v>
      </c>
      <c r="E8" s="30" cm="1">
        <f t="array" ref="E8">IFERROR(SUM(INDEX('Simulated Production'!$B$2:$M$79,MATCH(TRIM($A8),INDEX(TRIM('Simulated Production'!$A$2:$A$79),0),0),0)),"Not found")</f>
        <v>355254</v>
      </c>
      <c r="F8" s="31">
        <f ca="1">(Table2[[#This Row],[As-Built kWh]]*Table2[[#This Row],[Expected Utilisation%]])*(1-0.007)^(Table2[[#This Row],[Age]])</f>
        <v>314622.9809289985</v>
      </c>
      <c r="G8" s="31">
        <f ca="1">((22354*(0.5)+26969*(7/31))*(1-0.007)^(Table2[[#This Row],[Age]]))*(1-0.007)^(Table2[[#This Row],[Age]])</f>
        <v>16719.724633469272</v>
      </c>
      <c r="H8" s="30">
        <f t="shared" ca="1" si="0"/>
        <v>297903.25629552925</v>
      </c>
      <c r="I8" s="30" cm="1">
        <f t="array" ref="I8">SUMPRODUCT((TRIM(measured[Site Name])=TRIM($A8))*(measured[Date]&gt;=DATE(2025,7,1))*(measured[Date]&lt;=DATE(2026,6,30))*measured[Measured Value (kWh)])</f>
        <v>271722.179</v>
      </c>
      <c r="J8" s="30">
        <f t="shared" ca="1" si="1"/>
        <v>-26181.077295529249</v>
      </c>
      <c r="K8" s="30">
        <f ca="1">(Table2[[#This Row],[Actual Generation (kWh)]]/Table2[[#This Row],[Correct kWh]])*100</f>
        <v>91.211550480818914</v>
      </c>
      <c r="L8" s="27" t="s">
        <v>988</v>
      </c>
    </row>
    <row r="9" spans="1:12" s="27" customFormat="1" x14ac:dyDescent="0.3">
      <c r="A9" s="26" t="s">
        <v>127</v>
      </c>
      <c r="B9" s="27" t="s">
        <v>875</v>
      </c>
      <c r="C9" s="28" cm="1">
        <f t="array" ref="C9">IFERROR(INDEX('Expected Production'!$B$2:$B$79,MATCH(TRIM($A9),INDEX(TRIM('Expected Production'!$A$2:$A$79),0),0)),"Not found")</f>
        <v>0.8</v>
      </c>
      <c r="D9" s="29" cm="1">
        <f t="array" aca="1" ref="D9" ca="1">_xlfn.IFNA(_xlfn.XLOOKUP(TRIM(A9),TRIM(site_tech_info!$A$2:$A$79),site_tech_info!$W$2:$W$79),"")</f>
        <v>2.4668035592060233</v>
      </c>
      <c r="E9" s="30" cm="1">
        <f t="array" ref="E9">IFERROR(SUM(INDEX('Simulated Production'!$B$2:$M$79,MATCH(TRIM($A9),INDEX(TRIM('Simulated Production'!$A$2:$A$79),0),0),0)),"Not found")</f>
        <v>200775</v>
      </c>
      <c r="F9" s="31">
        <f ca="1">(Table2[[#This Row],[As-Built kWh]]*Table2[[#This Row],[Expected Utilisation%]])*(1-0.007)^(Table2[[#This Row],[Age]])</f>
        <v>157860.69732464859</v>
      </c>
      <c r="G9" s="31">
        <f ca="1">('Expected Production'!I33*0.5+'Expected Production'!C33*0.8)*(1-0.007)^(Table2[[#This Row],[Age]])</f>
        <v>17814.769377525543</v>
      </c>
      <c r="H9" s="30">
        <f t="shared" ca="1" si="0"/>
        <v>140045.92794712304</v>
      </c>
      <c r="I9" s="30" cm="1">
        <f t="array" ref="I9">SUMPRODUCT((TRIM(measured[Site Name])=TRIM($A9))*(measured[Date]&gt;=DATE(2025,7,1))*(measured[Date]&lt;=DATE(2026,6,30))*measured[Measured Value (kWh)])</f>
        <v>147166.31</v>
      </c>
      <c r="J9" s="30">
        <f t="shared" ca="1" si="1"/>
        <v>7120.3820528769575</v>
      </c>
      <c r="K9" s="30">
        <f ca="1">(Table2[[#This Row],[Actual Generation (kWh)]]/Table2[[#This Row],[Correct kWh]])*100</f>
        <v>105.08431923530499</v>
      </c>
      <c r="L9" s="27" t="s">
        <v>989</v>
      </c>
    </row>
    <row r="10" spans="1:12" s="27" customFormat="1" x14ac:dyDescent="0.3">
      <c r="A10" s="26" t="s">
        <v>131</v>
      </c>
      <c r="B10" s="27" t="s">
        <v>875</v>
      </c>
      <c r="C10" s="28" cm="1">
        <f t="array" ref="C10">IFERROR(INDEX('Expected Production'!$B$2:$B$79,MATCH(TRIM($A10),INDEX(TRIM('Expected Production'!$A$2:$A$79),0),0)),"Not found")</f>
        <v>0.9</v>
      </c>
      <c r="D10" s="29" cm="1">
        <f t="array" aca="1" ref="D10" ca="1">_xlfn.IFNA(_xlfn.XLOOKUP(TRIM(A10),TRIM(site_tech_info!$A$2:$A$79),site_tech_info!$W$2:$W$79),"")</f>
        <v>2.8802190280629705</v>
      </c>
      <c r="E10" s="30" cm="1">
        <f t="array" ref="E10">IFERROR(SUM(INDEX('Simulated Production'!$B$2:$M$79,MATCH(TRIM($A10),INDEX(TRIM('Simulated Production'!$A$2:$A$79),0),0),0)),"Not found")</f>
        <v>73186</v>
      </c>
      <c r="F10" s="31">
        <f ca="1">(Table2[[#This Row],[As-Built kWh]]*Table2[[#This Row],[Expected Utilisation%]])*(1-0.007)^(Table2[[#This Row],[Age]])</f>
        <v>64548.133453228162</v>
      </c>
      <c r="G10" s="31">
        <v>0</v>
      </c>
      <c r="H10" s="30">
        <f t="shared" ca="1" si="0"/>
        <v>64548.133453228162</v>
      </c>
      <c r="I10" s="30" cm="1">
        <f t="array" ref="I10">SUMPRODUCT((TRIM(measured[Site Name])=TRIM($A10))*(measured[Date]&gt;=DATE(2025,7,1))*(measured[Date]&lt;=DATE(2026,6,30))*measured[Measured Value (kWh)])</f>
        <v>61467.39</v>
      </c>
      <c r="J10" s="30">
        <f t="shared" ca="1" si="1"/>
        <v>-3080.7434532281623</v>
      </c>
      <c r="K10" s="30">
        <f ca="1">(Table2[[#This Row],[Actual Generation (kWh)]]/Table2[[#This Row],[Correct kWh]])*100</f>
        <v>95.22721527577481</v>
      </c>
      <c r="L10" s="27" t="s">
        <v>981</v>
      </c>
    </row>
    <row r="11" spans="1:12" x14ac:dyDescent="0.3">
      <c r="A11" s="1" t="s">
        <v>142</v>
      </c>
      <c r="B11" t="s">
        <v>875</v>
      </c>
      <c r="C11" s="9" cm="1">
        <f t="array" ref="C11">IFERROR(INDEX('Expected Production'!$B$2:$B$79,MATCH(TRIM($A11),INDEX(TRIM('Expected Production'!$A$2:$A$79),0),0)),"Not found")</f>
        <v>0.9</v>
      </c>
      <c r="D11" s="20" cm="1">
        <f t="array" aca="1" ref="D11" ca="1">_xlfn.IFNA(_xlfn.XLOOKUP(TRIM(A11),TRIM(site_tech_info!$A$2:$A$79),site_tech_info!$W$2:$W$79),"")</f>
        <v>3.0828199863107462</v>
      </c>
      <c r="E11" s="14" cm="1">
        <f t="array" ref="E11">IFERROR(SUM(INDEX('Simulated Production'!$B$2:$M$79,MATCH(TRIM($A11),INDEX(TRIM('Simulated Production'!$A$2:$A$79),0),0),0)),"Not found")</f>
        <v>66026</v>
      </c>
      <c r="F11" s="5">
        <f ca="1">(Table2[[#This Row],[As-Built kWh]]*Table2[[#This Row],[Expected Utilisation%]])*(1-0.007)^(Table2[[#This Row],[Age]])</f>
        <v>58150.382971363746</v>
      </c>
      <c r="G11" s="5">
        <v>0</v>
      </c>
      <c r="H11" s="14">
        <f t="shared" ca="1" si="0"/>
        <v>58150.382971363746</v>
      </c>
      <c r="I11" s="14" cm="1">
        <f t="array" ref="I11">SUMPRODUCT((TRIM(measured[Site Name])=TRIM($A11))*(measured[Date]&gt;=DATE(2025,7,1))*(measured[Date]&lt;=DATE(2026,6,30))*measured[Measured Value (kWh)])</f>
        <v>46668.700000000004</v>
      </c>
      <c r="J11" s="14">
        <f t="shared" ca="1" si="1"/>
        <v>-11481.682971363742</v>
      </c>
      <c r="K11" s="14">
        <f ca="1">(Table2[[#This Row],[Actual Generation (kWh)]]/Table2[[#This Row],[Correct kWh]])*100</f>
        <v>80.255189416348443</v>
      </c>
      <c r="L11" t="s">
        <v>880</v>
      </c>
    </row>
    <row r="12" spans="1:12" x14ac:dyDescent="0.3">
      <c r="A12" s="1" t="s">
        <v>149</v>
      </c>
      <c r="B12" t="s">
        <v>875</v>
      </c>
      <c r="C12" s="9" cm="1">
        <f t="array" ref="C12">IFERROR(INDEX('Expected Production'!$B$2:$B$79,MATCH(TRIM($A12),INDEX(TRIM('Expected Production'!$A$2:$A$79),0),0)),"Not found")</f>
        <v>0.75</v>
      </c>
      <c r="D12" s="20" cm="1">
        <f t="array" aca="1" ref="D12" ca="1">_xlfn.IFNA(_xlfn.XLOOKUP(TRIM(A12),TRIM(site_tech_info!$A$2:$A$79),site_tech_info!$W$2:$W$79),"")</f>
        <v>4.4134154688569476</v>
      </c>
      <c r="E12" s="14" cm="1">
        <f t="array" ref="E12">IFERROR(SUM(INDEX('Simulated Production'!$B$2:$M$79,MATCH(TRIM($A12),INDEX(TRIM('Simulated Production'!$A$2:$A$79),0),0),0)),"Not found")</f>
        <v>125072.49999999997</v>
      </c>
      <c r="F12" s="5">
        <f ca="1">(Table2[[#This Row],[As-Built kWh]]*Table2[[#This Row],[Expected Utilisation%]])*(1-0.007)^(Table2[[#This Row],[Age]])</f>
        <v>90940.818835913116</v>
      </c>
      <c r="G12" s="5">
        <f ca="1">(5691*0.3*(1-0.007)^(Table2[[#This Row],[Age]]))*(1-0.007)^(Table2[[#This Row],[Age]])</f>
        <v>1604.6538873947732</v>
      </c>
      <c r="H12" s="14">
        <f t="shared" ca="1" si="0"/>
        <v>89336.164948518344</v>
      </c>
      <c r="I12" s="14" cm="1">
        <f t="array" ref="I12">SUMPRODUCT((TRIM(measured[Site Name])=TRIM($A12))*(measured[Date]&gt;=DATE(2025,7,1))*(measured[Date]&lt;=DATE(2026,6,30))*measured[Measured Value (kWh)])</f>
        <v>72438</v>
      </c>
      <c r="J12" s="14">
        <f t="shared" ca="1" si="1"/>
        <v>-16898.164948518344</v>
      </c>
      <c r="K12" s="14">
        <f ca="1">(Table2[[#This Row],[Actual Generation (kWh)]]/Table2[[#This Row],[Correct kWh]])*100</f>
        <v>81.084743274735118</v>
      </c>
      <c r="L12" t="s">
        <v>880</v>
      </c>
    </row>
    <row r="13" spans="1:12" x14ac:dyDescent="0.3">
      <c r="A13" s="1" t="s">
        <v>160</v>
      </c>
      <c r="B13" t="s">
        <v>875</v>
      </c>
      <c r="C13" s="9" cm="1">
        <f t="array" ref="C13">IFERROR(INDEX('Expected Production'!$B$2:$B$79,MATCH(TRIM($A13),INDEX(TRIM('Expected Production'!$A$2:$A$79),0),0)),"Not found")</f>
        <v>0.85</v>
      </c>
      <c r="D13" s="20" cm="1">
        <f t="array" aca="1" ref="D13" ca="1">_xlfn.IFNA(_xlfn.XLOOKUP(TRIM(A13),TRIM(site_tech_info!$A$2:$A$79),site_tech_info!$W$2:$W$79),"")</f>
        <v>3.40041067761807</v>
      </c>
      <c r="E13" s="14" cm="1">
        <f t="array" ref="E13">IFERROR(SUM(INDEX('Simulated Production'!$B$2:$M$79,MATCH(TRIM($A13),INDEX(TRIM('Simulated Production'!$A$2:$A$79),0),0),0)),"Not found")</f>
        <v>225937</v>
      </c>
      <c r="F13" s="5">
        <f ca="1">(Table2[[#This Row],[As-Built kWh]]*Table2[[#This Row],[Expected Utilisation%]])*(1-0.007)^(Table2[[#This Row],[Age]])</f>
        <v>187513.47213457298</v>
      </c>
      <c r="G13" s="5">
        <v>0</v>
      </c>
      <c r="H13" s="14">
        <f t="shared" ca="1" si="0"/>
        <v>187513.47213457298</v>
      </c>
      <c r="I13" s="14" cm="1">
        <f t="array" ref="I13">SUMPRODUCT((TRIM(measured[Site Name])=TRIM($A13))*(measured[Date]&gt;=DATE(2025,7,1))*(measured[Date]&lt;=DATE(2026,6,30))*measured[Measured Value (kWh)])</f>
        <v>176720.45</v>
      </c>
      <c r="J13" s="14">
        <f t="shared" ca="1" si="1"/>
        <v>-10793.022134572966</v>
      </c>
      <c r="K13" s="14">
        <f ca="1">(Table2[[#This Row],[Actual Generation (kWh)]]/Table2[[#This Row],[Correct kWh]])*100</f>
        <v>94.244135095089533</v>
      </c>
      <c r="L13" t="s">
        <v>880</v>
      </c>
    </row>
    <row r="14" spans="1:12" x14ac:dyDescent="0.3">
      <c r="A14" s="1" t="s">
        <v>194</v>
      </c>
      <c r="B14" t="s">
        <v>875</v>
      </c>
      <c r="C14" s="9" cm="1">
        <f t="array" ref="C14">IFERROR(INDEX('Expected Production'!$B$2:$B$79,MATCH(TRIM($A14),INDEX(TRIM('Expected Production'!$A$2:$A$79),0),0)),"Not found")</f>
        <v>0.92500000000000004</v>
      </c>
      <c r="D14" s="20" cm="1">
        <f t="array" aca="1" ref="D14" ca="1">_xlfn.IFNA(_xlfn.XLOOKUP(TRIM(A14),TRIM(site_tech_info!$A$2:$A$79),site_tech_info!$W$2:$W$79),"")</f>
        <v>3.3730321697467489</v>
      </c>
      <c r="E14" s="14" cm="1">
        <f t="array" ref="E14">IFERROR(SUM(INDEX('Simulated Production'!$B$2:$M$79,MATCH(TRIM($A14),INDEX(TRIM('Simulated Production'!$A$2:$A$79),0),0),0)),"Not found")</f>
        <v>81158</v>
      </c>
      <c r="F14" s="5">
        <f ca="1">(Table2[[#This Row],[As-Built kWh]]*Table2[[#This Row],[Expected Utilisation%]])*(1-0.007)^(Table2[[#This Row],[Age]])</f>
        <v>73313.30291754374</v>
      </c>
      <c r="G14" s="5">
        <v>0</v>
      </c>
      <c r="H14" s="14">
        <f t="shared" ca="1" si="0"/>
        <v>73313.30291754374</v>
      </c>
      <c r="I14" s="14" cm="1">
        <f t="array" ref="I14">SUMPRODUCT((TRIM(measured[Site Name])=TRIM($A14))*(measured[Date]&gt;=DATE(2025,7,1))*(measured[Date]&lt;=DATE(2026,6,30))*measured[Measured Value (kWh)])</f>
        <v>56043.3</v>
      </c>
      <c r="J14" s="14">
        <f t="shared" ca="1" si="1"/>
        <v>-17270.002917543738</v>
      </c>
      <c r="K14" s="14">
        <f ca="1">(Table2[[#This Row],[Actual Generation (kWh)]]/Table2[[#This Row],[Correct kWh]])*100</f>
        <v>76.443561768090717</v>
      </c>
      <c r="L14" t="s">
        <v>880</v>
      </c>
    </row>
    <row r="15" spans="1:12" x14ac:dyDescent="0.3">
      <c r="A15" s="1" t="s">
        <v>202</v>
      </c>
      <c r="B15" t="s">
        <v>875</v>
      </c>
      <c r="C15" s="9" cm="1">
        <f t="array" ref="C15">IFERROR(INDEX('Expected Production'!$B$2:$B$79,MATCH(TRIM($A15),INDEX(TRIM('Expected Production'!$A$2:$A$79),0),0)),"Not found")</f>
        <v>0.9</v>
      </c>
      <c r="D15" s="20" t="str" cm="1">
        <f t="array" ref="D15">_xlfn.IFNA(_xlfn.XLOOKUP(TRIM(A15),TRIM(site_tech_info!$A$2:$A$79),site_tech_info!$W$2:$W$79),"")</f>
        <v/>
      </c>
      <c r="E15" s="14" cm="1">
        <f t="array" ref="E15">IFERROR(SUM(INDEX('Simulated Production'!$B$2:$M$79,MATCH(TRIM($A15),INDEX(TRIM('Simulated Production'!$A$2:$A$79),0),0),0)),"Not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Production'!$B$2:$B$79,MATCH(TRIM($A16),INDEX(TRIM('Expected Production'!$A$2:$A$79),0),0)),"Not found")</f>
        <v>0.9</v>
      </c>
      <c r="D16" s="20" cm="1">
        <f t="array" aca="1" ref="D16" ca="1">_xlfn.IFNA(_xlfn.XLOOKUP(TRIM(A16),TRIM(site_tech_info!$A$2:$A$79),site_tech_info!$W$2:$W$79),"")</f>
        <v>1.1252566735112937</v>
      </c>
      <c r="E16" s="14" cm="1">
        <f t="array" ref="E16">IFERROR(SUM(INDEX('Simulated Production'!$B$2:$M$79,MATCH(TRIM($A16),INDEX(TRIM('Simulated Production'!$A$2:$A$79),0),0),0)),"Not found")</f>
        <v>102211</v>
      </c>
      <c r="F16" s="5">
        <f ca="1">(Table2[[#This Row],[As-Built kWh]]*Table2[[#This Row],[Expected Utilisation%]])*(1-0.007)^(Table2[[#This Row],[Age]])</f>
        <v>91265.632565600215</v>
      </c>
      <c r="G16" s="5">
        <f ca="1">(6087*(1-0.007)^(Table2[[#This Row],[Age]]))*(1-0.007)^(Table2[[#This Row],[Age]])</f>
        <v>5991.5273314760288</v>
      </c>
      <c r="H16" s="14">
        <f t="shared" ca="1" si="0"/>
        <v>85274.105234124188</v>
      </c>
      <c r="I16" s="14" cm="1">
        <f t="array" ref="I16">SUMPRODUCT((TRIM(measured[Site Name])=TRIM($A16))*(measured[Date]&gt;=DATE(2025,7,1))*(measured[Date]&lt;=DATE(2026,6,30))*measured[Measured Value (kWh)])</f>
        <v>77775.48</v>
      </c>
      <c r="J16" s="14">
        <f t="shared" ca="1" si="1"/>
        <v>-7498.6252341241925</v>
      </c>
      <c r="K16" s="14">
        <f ca="1">(Table2[[#This Row],[Actual Generation (kWh)]]/Table2[[#This Row],[Correct kWh]])*100</f>
        <v>91.206445129460633</v>
      </c>
      <c r="L16" t="s">
        <v>880</v>
      </c>
    </row>
    <row r="17" spans="1:12" x14ac:dyDescent="0.3">
      <c r="A17" s="1" t="s">
        <v>218</v>
      </c>
      <c r="B17" t="s">
        <v>875</v>
      </c>
      <c r="C17" s="9" cm="1">
        <f t="array" ref="C17">IFERROR(INDEX('Expected Production'!$B$2:$B$79,MATCH(TRIM($A17),INDEX(TRIM('Expected Production'!$A$2:$A$79),0),0)),"Not found")</f>
        <v>0.9</v>
      </c>
      <c r="D17" s="20" cm="1">
        <f t="array" aca="1" ref="D17" ca="1">_xlfn.IFNA(_xlfn.XLOOKUP(TRIM(A17),TRIM(site_tech_info!$A$2:$A$79),site_tech_info!$W$2:$W$79),"")</f>
        <v>1.1252566735112937</v>
      </c>
      <c r="E17" s="14" cm="1">
        <f t="array" ref="E17">IFERROR(SUM(INDEX('Simulated Production'!$B$2:$M$79,MATCH(TRIM($A17),INDEX(TRIM('Simulated Production'!$A$2:$A$79),0),0),0)),"Not found")</f>
        <v>105762.7</v>
      </c>
      <c r="F17" s="5">
        <f ca="1">(Table2[[#This Row],[As-Built kWh]]*Table2[[#This Row],[Expected Utilisation%]])*(1-0.007)^(Table2[[#This Row],[Age]])</f>
        <v>94436.995209378685</v>
      </c>
      <c r="G17" s="5">
        <f ca="1">(6247*(1-0.007)^(Table2[[#This Row],[Age]]))*(1-0.007)^(Table2[[#This Row],[Age]])</f>
        <v>6149.0177821144653</v>
      </c>
      <c r="H17" s="14">
        <f t="shared" ca="1" si="0"/>
        <v>88287.977427264224</v>
      </c>
      <c r="I17" s="14" cm="1">
        <f t="array" ref="I17">SUMPRODUCT((TRIM(measured[Site Name])=TRIM($A17))*(measured[Date]&gt;=DATE(2025,7,1))*(measured[Date]&lt;=DATE(2026,6,30))*measured[Measured Value (kWh)])</f>
        <v>78264.639999999999</v>
      </c>
      <c r="J17" s="14">
        <f t="shared" ca="1" si="1"/>
        <v>-10023.337427264225</v>
      </c>
      <c r="K17" s="14">
        <f ca="1">(Table2[[#This Row],[Actual Generation (kWh)]]/Table2[[#This Row],[Correct kWh]])*100</f>
        <v>88.646996205659008</v>
      </c>
      <c r="L17" t="s">
        <v>880</v>
      </c>
    </row>
    <row r="18" spans="1:12" x14ac:dyDescent="0.3">
      <c r="A18" s="1" t="s">
        <v>220</v>
      </c>
      <c r="B18" t="s">
        <v>875</v>
      </c>
      <c r="C18" s="9" cm="1">
        <f t="array" ref="C18">IFERROR(INDEX('Expected Production'!$B$2:$B$79,MATCH(TRIM($A18),INDEX(TRIM('Expected Production'!$A$2:$A$79),0),0)),"Not found")</f>
        <v>0.9</v>
      </c>
      <c r="D18" s="20" cm="1">
        <f t="array" aca="1" ref="D18" ca="1">_xlfn.IFNA(_xlfn.XLOOKUP(TRIM(A18),TRIM(site_tech_info!$A$2:$A$79),site_tech_info!$W$2:$W$79),"")</f>
        <v>1.0294318959616702</v>
      </c>
      <c r="E18" s="14" cm="1">
        <f t="array" ref="E18">IFERROR(SUM(INDEX('Simulated Production'!$B$2:$M$79,MATCH(TRIM($A18),INDEX(TRIM('Simulated Production'!$A$2:$A$79),0),0),0)),"Not found")</f>
        <v>524973</v>
      </c>
      <c r="F18" s="5">
        <f ca="1">(Table2[[#This Row],[As-Built kWh]]*Table2[[#This Row],[Expected Utilisation%]])*(1-0.007)^(Table2[[#This Row],[Age]])</f>
        <v>469071.38062820345</v>
      </c>
      <c r="G18" s="5">
        <f ca="1">(31229+36815+40778+47657*(5/30))*(1-0.007)^(Table2[[#This Row],[Age]])</f>
        <v>115923.51009901405</v>
      </c>
      <c r="H18" s="14">
        <f t="shared" ca="1" si="0"/>
        <v>353147.87052918941</v>
      </c>
      <c r="I18" s="14" cm="1">
        <f t="array" ref="I18">SUMPRODUCT((TRIM(measured[Site Name])=TRIM($A18))*(measured[Date]&gt;=DATE(2025,7,1))*(measured[Date]&lt;=DATE(2026,6,30))*measured[Measured Value (kWh)])</f>
        <v>300497.95500000002</v>
      </c>
      <c r="J18" s="14">
        <f t="shared" ca="1" si="1"/>
        <v>-52649.915529189399</v>
      </c>
      <c r="K18" s="14">
        <f ca="1">(Table2[[#This Row],[Actual Generation (kWh)]]/Table2[[#This Row],[Correct kWh]])*100</f>
        <v>85.0912549889388</v>
      </c>
      <c r="L18" t="s">
        <v>880</v>
      </c>
    </row>
    <row r="19" spans="1:12" x14ac:dyDescent="0.3">
      <c r="A19" s="1" t="s">
        <v>222</v>
      </c>
      <c r="B19" t="s">
        <v>875</v>
      </c>
      <c r="C19" s="9" cm="1">
        <f t="array" ref="C19">IFERROR(INDEX('Expected Production'!$B$2:$B$79,MATCH(TRIM($A19),INDEX(TRIM('Expected Production'!$A$2:$A$79),0),0)),"Not found")</f>
        <v>0.9</v>
      </c>
      <c r="D19" s="20" cm="1">
        <f t="array" aca="1" ref="D19" ca="1">_xlfn.IFNA(_xlfn.XLOOKUP(TRIM(A19),TRIM(site_tech_info!$A$2:$A$79),site_tech_info!$W$2:$W$79),"")</f>
        <v>1.0294318959616702</v>
      </c>
      <c r="E19" s="14" cm="1">
        <f t="array" ref="E19">IFERROR(SUM(INDEX('Simulated Production'!$B$2:$M$79,MATCH(TRIM($A19),INDEX(TRIM('Simulated Production'!$A$2:$A$79),0),0),0)),"Not found")</f>
        <v>138565</v>
      </c>
      <c r="F19" s="5">
        <f ca="1">(Table2[[#This Row],[As-Built kWh]]*Table2[[#This Row],[Expected Utilisation%]])*(1-0.007)^(Table2[[#This Row],[Age]])</f>
        <v>123809.94042883541</v>
      </c>
      <c r="G19" s="5">
        <f ca="1">(8307+9721+10756+12191*(5/30))*(1-0.007)^(Table2[[#This Row],[Age]])</f>
        <v>30593.796647902269</v>
      </c>
      <c r="H19" s="14">
        <f t="shared" ca="1" si="0"/>
        <v>93216.14378093314</v>
      </c>
      <c r="I19" s="14" cm="1">
        <f t="array" ref="I19">SUMPRODUCT((TRIM(measured[Site Name])=TRIM($A19))*(measured[Date]&gt;=DATE(2025,7,1))*(measured[Date]&lt;=DATE(2026,6,30))*measured[Measured Value (kWh)])</f>
        <v>81974.632769999997</v>
      </c>
      <c r="J19" s="14">
        <f t="shared" ca="1" si="1"/>
        <v>-11241.511010933144</v>
      </c>
      <c r="K19" s="14">
        <f ca="1">(Table2[[#This Row],[Actual Generation (kWh)]]/Table2[[#This Row],[Correct kWh]])*100</f>
        <v>87.940381831979906</v>
      </c>
      <c r="L19" t="s">
        <v>880</v>
      </c>
    </row>
    <row r="20" spans="1:12" x14ac:dyDescent="0.3">
      <c r="A20" s="1" t="s">
        <v>223</v>
      </c>
      <c r="B20" t="s">
        <v>875</v>
      </c>
      <c r="C20" s="9" cm="1">
        <f t="array" ref="C20">IFERROR(INDEX('Expected Production'!$B$2:$B$79,MATCH(TRIM($A20),INDEX(TRIM('Expected Production'!$A$2:$A$79),0),0)),"Not found")</f>
        <v>0.9</v>
      </c>
      <c r="D20" s="20" cm="1">
        <f t="array" aca="1" ref="D20" ca="1">_xlfn.IFNA(_xlfn.XLOOKUP(TRIM(A20),TRIM(site_tech_info!$A$2:$A$79),site_tech_info!$W$2:$W$79),"")</f>
        <v>1.0020533880903491</v>
      </c>
      <c r="E20" s="14" cm="1">
        <f t="array" ref="E20">IFERROR(SUM(INDEX('Simulated Production'!$B$2:$M$79,MATCH(TRIM($A20),INDEX(TRIM('Simulated Production'!$A$2:$A$79),0),0),0)),"Not found")</f>
        <v>89076</v>
      </c>
      <c r="F20" s="5">
        <f ca="1">(Table2[[#This Row],[As-Built kWh]]*Table2[[#This Row],[Expected Utilisation%]])*(1-0.007)^(Table2[[#This Row],[Age]])</f>
        <v>79606.072932973198</v>
      </c>
      <c r="G20" s="5">
        <f ca="1">(5785+6585+7019+7479+7553+7553*(3/30))*(1-0.007)^(Table2[[#This Row],[Age]])</f>
        <v>34929.562063258651</v>
      </c>
      <c r="H20" s="14">
        <f t="shared" ca="1" si="0"/>
        <v>44676.510869714548</v>
      </c>
      <c r="I20" s="14" cm="1">
        <f t="array" ref="I20">SUMPRODUCT((TRIM(measured[Site Name])=TRIM($A20))*(measured[Date]&gt;=DATE(2025,7,1))*(measured[Date]&lt;=DATE(2026,6,30))*measured[Measured Value (kWh)])</f>
        <v>33061.699999999997</v>
      </c>
      <c r="J20" s="14">
        <f t="shared" ca="1" si="1"/>
        <v>-11614.810869714551</v>
      </c>
      <c r="K20" s="14">
        <f ca="1">(Table2[[#This Row],[Actual Generation (kWh)]]/Table2[[#This Row],[Correct kWh]])*100</f>
        <v>74.002421756735629</v>
      </c>
      <c r="L20" t="s">
        <v>880</v>
      </c>
    </row>
    <row r="21" spans="1:12" x14ac:dyDescent="0.3">
      <c r="A21" s="1" t="s">
        <v>225</v>
      </c>
      <c r="B21" t="s">
        <v>875</v>
      </c>
      <c r="C21" s="9" cm="1">
        <f t="array" ref="C21">IFERROR(INDEX('Expected Production'!$B$2:$B$79,MATCH(TRIM($A21),INDEX(TRIM('Expected Production'!$A$2:$A$79),0),0)),"Not found")</f>
        <v>0.9</v>
      </c>
      <c r="D21" s="20" cm="1">
        <f t="array" aca="1" ref="D21" ca="1">_xlfn.IFNA(_xlfn.XLOOKUP(TRIM(A21),TRIM(site_tech_info!$A$2:$A$79),site_tech_info!$W$2:$W$79),"")</f>
        <v>1.0020533880903491</v>
      </c>
      <c r="E21" s="14" cm="1">
        <f t="array" ref="E21">IFERROR(SUM(INDEX('Simulated Production'!$B$2:$M$79,MATCH(TRIM($A21),INDEX(TRIM('Simulated Production'!$A$2:$A$79),0),0),0)),"Not found")</f>
        <v>89076</v>
      </c>
      <c r="F21" s="5">
        <f ca="1">(Table2[[#This Row],[As-Built kWh]]*Table2[[#This Row],[Expected Utilisation%]])*(1-0.007)^(Table2[[#This Row],[Age]])</f>
        <v>79606.072932973198</v>
      </c>
      <c r="G21" s="5">
        <f ca="1">(5785+6585+7019+7479+7553+7553*(3/30))*(1-0.007)^(Table2[[#This Row],[Age]])</f>
        <v>34929.562063258651</v>
      </c>
      <c r="H21" s="14">
        <f t="shared" ca="1" si="0"/>
        <v>44676.510869714548</v>
      </c>
      <c r="I21" s="14" cm="1">
        <f t="array" ref="I21">SUMPRODUCT((TRIM(measured[Site Name])=TRIM($A21))*(measured[Date]&gt;=DATE(2025,7,1))*(measured[Date]&lt;=DATE(2026,6,30))*measured[Measured Value (kWh)])</f>
        <v>47460.299999999996</v>
      </c>
      <c r="J21" s="14">
        <f t="shared" ca="1" si="1"/>
        <v>2783.7891302854478</v>
      </c>
      <c r="K21" s="14">
        <f ca="1">(Table2[[#This Row],[Actual Generation (kWh)]]/Table2[[#This Row],[Correct kWh]])*100</f>
        <v>106.23099046029697</v>
      </c>
      <c r="L21" t="s">
        <v>880</v>
      </c>
    </row>
    <row r="22" spans="1:12" x14ac:dyDescent="0.3">
      <c r="A22" t="s">
        <v>239</v>
      </c>
      <c r="B22" t="s">
        <v>875</v>
      </c>
      <c r="C22" s="9" cm="1">
        <f t="array" ref="C22">IFERROR(INDEX('Expected Production'!$B$2:$B$79,MATCH(TRIM($A22),INDEX(TRIM('Expected Production'!$A$2:$A$79),0),0)),"Not found")</f>
        <v>0.9</v>
      </c>
      <c r="D22" s="20" cm="1">
        <f t="array" aca="1" ref="D22" ca="1">_xlfn.IFNA(_xlfn.XLOOKUP(TRIM(A22),TRIM(site_tech_info!$A$2:$A$79),site_tech_info!$W$2:$W$79),"")</f>
        <v>0.95550992470910334</v>
      </c>
      <c r="E22" s="14" cm="1">
        <f t="array" ref="E22">IFERROR(SUM(INDEX('Simulated Production'!$B$2:$M$79,MATCH(TRIM($A22),INDEX(TRIM('Simulated Production'!$A$2:$A$79),0),0),0)),"Not found")</f>
        <v>31637</v>
      </c>
      <c r="F22" s="5">
        <f ca="1">(Table2[[#This Row],[As-Built kWh]]*Table2[[#This Row],[Expected Utilisation%]])*(1-0.007)^(Table2[[#This Row],[Age]])</f>
        <v>28282.824626997735</v>
      </c>
      <c r="G22" s="5">
        <f ca="1">(2350+2520+2436+2426+2356+2437)*(1-0.007)^(Table2[[#This Row],[Age]])</f>
        <v>14427.833363436699</v>
      </c>
      <c r="H22" s="14">
        <f t="shared" ca="1" si="0"/>
        <v>13854.991263561036</v>
      </c>
      <c r="I22" s="14" cm="1">
        <f t="array" ref="I22">SUMPRODUCT((TRIM(measured[Site Name])=TRIM($A22))*(measured[Date]&gt;=DATE(2025,7,1))*(measured[Date]&lt;=DATE(2026,6,30))*measured[Measured Value (kWh)])</f>
        <v>17882.440000000002</v>
      </c>
      <c r="J22" s="14">
        <f t="shared" ca="1" si="1"/>
        <v>4027.4487364389661</v>
      </c>
      <c r="K22" s="14">
        <f ca="1">(Table2[[#This Row],[Actual Generation (kWh)]]/Table2[[#This Row],[Correct kWh]])*100</f>
        <v>129.06857651387523</v>
      </c>
      <c r="L22" t="s">
        <v>880</v>
      </c>
    </row>
    <row r="23" spans="1:12" s="21" customFormat="1" x14ac:dyDescent="0.3">
      <c r="A23" s="21" t="s">
        <v>271</v>
      </c>
      <c r="B23" s="21" t="s">
        <v>875</v>
      </c>
      <c r="C23" s="22" cm="1">
        <f t="array" ref="C23">IFERROR(INDEX('Expected Production'!$B$2:$B$79,MATCH(TRIM($A23),INDEX(TRIM('Expected Production'!$A$2:$A$79),0),0)),"Not found")</f>
        <v>0.9</v>
      </c>
      <c r="D23" s="23" cm="1">
        <f t="array" aca="1" ref="D23" ca="1">_xlfn.IFNA(_xlfn.XLOOKUP(TRIM(A23),TRIM(site_tech_info!$A$2:$A$79),site_tech_info!$W$2:$W$79),"")</f>
        <v>0.37782340862422997</v>
      </c>
      <c r="E23" s="24" cm="1">
        <f t="array" ref="E23">IFERROR(SUM(INDEX('Simulated Production'!$B$2:$M$79,MATCH(TRIM($A23),INDEX(TRIM('Simulated Production'!$A$2:$A$79),0),0),0)),"Not found")</f>
        <v>190644.6</v>
      </c>
      <c r="F23" s="25">
        <f ca="1">(Table2[[#This Row],[As-Built kWh]]*Table2[[#This Row],[Expected Utilisation%]])*(1-0.007)^(Table2[[#This Row],[Age]])</f>
        <v>171125.35910995939</v>
      </c>
      <c r="G23" s="25">
        <v>171487.7679849522</v>
      </c>
      <c r="H23" s="24">
        <f t="shared" ca="1" si="0"/>
        <v>-362.40887499280507</v>
      </c>
      <c r="I23" s="24" cm="1">
        <f t="array" ref="I23">SUMPRODUCT((TRIM(measured[Site Name])=TRIM($A23))*(measured[Date]&gt;=DATE(2025,7,1))*(measured[Date]&lt;=DATE(2026,6,30))*measured[Measured Value (kWh)])</f>
        <v>10169</v>
      </c>
      <c r="J23" s="24">
        <f t="shared" ca="1" si="1"/>
        <v>10531.408874992805</v>
      </c>
      <c r="K23" s="24">
        <f ca="1">(Table2[[#This Row],[Actual Generation (kWh)]]/Table2[[#This Row],[Correct kWh]])*100</f>
        <v>-2805.9467363214781</v>
      </c>
      <c r="L23" s="21" t="s">
        <v>880</v>
      </c>
    </row>
    <row r="24" spans="1:12" s="21" customFormat="1" x14ac:dyDescent="0.3">
      <c r="A24" s="21" t="s">
        <v>250</v>
      </c>
      <c r="B24" s="21" t="s">
        <v>875</v>
      </c>
      <c r="C24" s="22" cm="1">
        <f t="array" ref="C24">IFERROR(INDEX('Expected Production'!$B$2:$B$79,MATCH(TRIM($A24),INDEX(TRIM('Expected Production'!$A$2:$A$79),0),0)),"Not found")</f>
        <v>0.9</v>
      </c>
      <c r="D24" s="23" cm="1">
        <f t="array" aca="1" ref="D24" ca="1">_xlfn.IFNA(_xlfn.XLOOKUP(TRIM(A24),TRIM(site_tech_info!$A$2:$A$79),site_tech_info!$W$2:$W$79),"")</f>
        <v>0.43805612594113619</v>
      </c>
      <c r="E24" s="24" cm="1">
        <f t="array" ref="E24">IFERROR(SUM(INDEX('Simulated Production'!$B$2:$M$79,MATCH(TRIM($A24),INDEX(TRIM('Simulated Production'!$A$2:$A$79),0),0),0)),"Not found")</f>
        <v>380893</v>
      </c>
      <c r="F24" s="25">
        <f ca="1">(Table2[[#This Row],[As-Built kWh]]*Table2[[#This Row],[Expected Utilisation%]])*(1-0.007)^(Table2[[#This Row],[Age]])</f>
        <v>341750.45415918319</v>
      </c>
      <c r="G24" s="25">
        <f ca="1">(28051+31649+28250+28466+28992+28904+28877+25885+27341+27824*(28/30))*(1-0.007)^(Table2[[#This Row],[Age]])</f>
        <v>281516.45688378043</v>
      </c>
      <c r="H24" s="24">
        <f t="shared" ca="1" si="0"/>
        <v>60233.997275402769</v>
      </c>
      <c r="I24" s="24" cm="1">
        <f t="array" ref="I24">SUMPRODUCT((TRIM(measured[Site Name])=TRIM($A24))*(measured[Date]&gt;=DATE(2025,7,1))*(measured[Date]&lt;=DATE(2026,6,30))*measured[Measured Value (kWh)])</f>
        <v>53212.2</v>
      </c>
      <c r="J24" s="24">
        <f ca="1">I24-H24</f>
        <v>-7021.7972754027724</v>
      </c>
      <c r="K24" s="24">
        <f ca="1">(Table2[[#This Row],[Actual Generation (kWh)]]/Table2[[#This Row],[Correct kWh]])*100</f>
        <v>88.342468384926192</v>
      </c>
      <c r="L24" s="21"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22"/>
  <sheetViews>
    <sheetView topLeftCell="A70" zoomScaleNormal="100" workbookViewId="0">
      <selection activeCell="H538" sqref="H538"/>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hidden="1" customHeight="1" x14ac:dyDescent="0.3">
      <c r="A31" t="s">
        <v>31</v>
      </c>
      <c r="B31" s="2">
        <v>46174</v>
      </c>
      <c r="C31">
        <v>1287</v>
      </c>
    </row>
    <row r="32" spans="1:3" ht="15" hidden="1" customHeight="1" x14ac:dyDescent="0.3">
      <c r="A32" t="s">
        <v>31</v>
      </c>
      <c r="B32" s="2">
        <v>46204</v>
      </c>
      <c r="C32">
        <v>1638</v>
      </c>
    </row>
    <row r="33" spans="1:3" ht="15" hidden="1" customHeight="1" x14ac:dyDescent="0.3">
      <c r="A33" t="s">
        <v>31</v>
      </c>
      <c r="B33" s="2">
        <v>46235</v>
      </c>
      <c r="C33">
        <v>1374</v>
      </c>
    </row>
    <row r="34" spans="1:3" ht="15" customHeight="1" x14ac:dyDescent="0.3">
      <c r="A34" t="s">
        <v>31</v>
      </c>
      <c r="B34" s="2">
        <v>46266</v>
      </c>
      <c r="C34">
        <v>1161.5999999999999</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hidden="1" customHeight="1" x14ac:dyDescent="0.3">
      <c r="A67" t="s">
        <v>43</v>
      </c>
      <c r="B67" s="2">
        <v>46174</v>
      </c>
      <c r="C67">
        <v>10184.42</v>
      </c>
    </row>
    <row r="68" spans="1:3" ht="15" hidden="1" customHeight="1" x14ac:dyDescent="0.3">
      <c r="A68" t="s">
        <v>43</v>
      </c>
      <c r="B68" s="2">
        <v>46204</v>
      </c>
      <c r="C68">
        <v>13136.5304</v>
      </c>
    </row>
    <row r="69" spans="1:3" ht="15" hidden="1" customHeight="1" x14ac:dyDescent="0.3">
      <c r="A69" t="s">
        <v>43</v>
      </c>
      <c r="B69" s="2">
        <v>46235</v>
      </c>
      <c r="C69">
        <v>13435.047</v>
      </c>
    </row>
    <row r="70" spans="1:3" ht="15" customHeight="1" x14ac:dyDescent="0.3">
      <c r="A70" t="s">
        <v>43</v>
      </c>
      <c r="B70" s="2">
        <v>46266</v>
      </c>
      <c r="C70" s="47">
        <v>12622.0164</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hidden="1" customHeight="1" x14ac:dyDescent="0.3">
      <c r="A103" t="s">
        <v>49</v>
      </c>
      <c r="B103" s="2">
        <v>46174</v>
      </c>
      <c r="C103">
        <v>2778</v>
      </c>
    </row>
    <row r="104" spans="1:3" ht="15" hidden="1" customHeight="1" x14ac:dyDescent="0.3">
      <c r="A104" t="s">
        <v>49</v>
      </c>
      <c r="B104" s="2">
        <v>46204</v>
      </c>
      <c r="C104">
        <v>2644</v>
      </c>
    </row>
    <row r="105" spans="1:3" ht="15" hidden="1" customHeight="1" x14ac:dyDescent="0.3">
      <c r="A105" t="s">
        <v>49</v>
      </c>
      <c r="B105" s="2">
        <v>46235</v>
      </c>
      <c r="C105">
        <v>2758</v>
      </c>
    </row>
    <row r="106" spans="1:3" ht="15" customHeight="1" x14ac:dyDescent="0.3">
      <c r="A106" t="s">
        <v>49</v>
      </c>
      <c r="B106" s="2">
        <v>46266</v>
      </c>
      <c r="C106" s="47">
        <v>2338</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hidden="1" customHeight="1" x14ac:dyDescent="0.3">
      <c r="A139" t="s">
        <v>64</v>
      </c>
      <c r="B139" s="2">
        <v>46174</v>
      </c>
      <c r="C139">
        <v>3149</v>
      </c>
    </row>
    <row r="140" spans="1:3" ht="15" hidden="1" customHeight="1" x14ac:dyDescent="0.3">
      <c r="A140" t="s">
        <v>250</v>
      </c>
      <c r="B140" s="2">
        <v>46204</v>
      </c>
      <c r="C140">
        <v>27942</v>
      </c>
    </row>
    <row r="141" spans="1:3" ht="15" hidden="1" customHeight="1" x14ac:dyDescent="0.3">
      <c r="A141" t="s">
        <v>64</v>
      </c>
      <c r="B141" s="2">
        <v>46235</v>
      </c>
      <c r="C141">
        <v>3313</v>
      </c>
    </row>
    <row r="142" spans="1:3" ht="15" customHeight="1" x14ac:dyDescent="0.3">
      <c r="A142" t="s">
        <v>64</v>
      </c>
      <c r="B142" s="2">
        <v>46266</v>
      </c>
      <c r="C142" s="47">
        <v>4204.16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hidden="1" customHeight="1" x14ac:dyDescent="0.3">
      <c r="A175" t="s">
        <v>55</v>
      </c>
      <c r="B175" s="2">
        <v>46174</v>
      </c>
      <c r="C175">
        <v>7968.17</v>
      </c>
    </row>
    <row r="176" spans="1:3" ht="15" hidden="1" customHeight="1" x14ac:dyDescent="0.3">
      <c r="A176" t="s">
        <v>55</v>
      </c>
      <c r="B176" s="2">
        <v>46204</v>
      </c>
      <c r="C176">
        <v>10351.41</v>
      </c>
    </row>
    <row r="177" spans="1:3" ht="15" hidden="1" customHeight="1" x14ac:dyDescent="0.3">
      <c r="A177" t="s">
        <v>55</v>
      </c>
      <c r="B177" s="2">
        <v>46235</v>
      </c>
      <c r="C177">
        <v>11244.861000000001</v>
      </c>
    </row>
    <row r="178" spans="1:3" ht="15" customHeight="1" x14ac:dyDescent="0.3">
      <c r="A178" t="s">
        <v>55</v>
      </c>
      <c r="B178" s="2">
        <v>46266</v>
      </c>
      <c r="C178" s="47">
        <v>8314.17</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hidden="1" customHeight="1" x14ac:dyDescent="0.3">
      <c r="A211" t="s">
        <v>60</v>
      </c>
      <c r="B211" s="2">
        <v>46174</v>
      </c>
      <c r="C211">
        <v>31578.49</v>
      </c>
    </row>
    <row r="212" spans="1:3" ht="15" hidden="1" customHeight="1" x14ac:dyDescent="0.3">
      <c r="A212" t="s">
        <v>60</v>
      </c>
      <c r="B212" s="2">
        <v>46204</v>
      </c>
      <c r="C212">
        <v>39160</v>
      </c>
    </row>
    <row r="213" spans="1:3" ht="15" hidden="1" customHeight="1" x14ac:dyDescent="0.3">
      <c r="A213" t="s">
        <v>60</v>
      </c>
      <c r="B213" s="2">
        <v>46235</v>
      </c>
      <c r="C213">
        <v>44122.439100000003</v>
      </c>
    </row>
    <row r="214" spans="1:3" ht="15" customHeight="1" x14ac:dyDescent="0.3">
      <c r="A214" t="s">
        <v>60</v>
      </c>
      <c r="B214" s="2">
        <v>46266</v>
      </c>
      <c r="C214" s="47">
        <v>36563.599999999999</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hidden="1" customHeight="1" x14ac:dyDescent="0.3">
      <c r="A247" t="s">
        <v>61</v>
      </c>
      <c r="B247" s="2">
        <v>46174</v>
      </c>
      <c r="C247">
        <v>5030.25</v>
      </c>
    </row>
    <row r="248" spans="1:3" ht="15" hidden="1" customHeight="1" x14ac:dyDescent="0.3">
      <c r="A248" t="s">
        <v>61</v>
      </c>
      <c r="B248" s="2">
        <v>46204</v>
      </c>
      <c r="C248">
        <v>5251.38</v>
      </c>
    </row>
    <row r="249" spans="1:3" ht="15" hidden="1" customHeight="1" x14ac:dyDescent="0.3">
      <c r="A249" t="s">
        <v>61</v>
      </c>
      <c r="B249" s="2">
        <v>46235</v>
      </c>
      <c r="C249">
        <v>6385.91</v>
      </c>
    </row>
    <row r="250" spans="1:3" ht="15" customHeight="1" x14ac:dyDescent="0.3">
      <c r="A250" t="s">
        <v>61</v>
      </c>
      <c r="B250" s="2">
        <v>46266</v>
      </c>
      <c r="C250" s="47">
        <v>8881.77</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hidden="1" customHeight="1" x14ac:dyDescent="0.3">
      <c r="A283" t="s">
        <v>66</v>
      </c>
      <c r="B283" s="2">
        <v>46174</v>
      </c>
    </row>
    <row r="284" spans="1:3" ht="15" hidden="1" customHeight="1" x14ac:dyDescent="0.3">
      <c r="A284" t="s">
        <v>64</v>
      </c>
      <c r="B284" s="2">
        <v>46204</v>
      </c>
      <c r="C284">
        <v>3615</v>
      </c>
    </row>
    <row r="285" spans="1:3" ht="15" hidden="1" customHeight="1" x14ac:dyDescent="0.3">
      <c r="A285" t="s">
        <v>66</v>
      </c>
      <c r="B285" s="2">
        <v>46235</v>
      </c>
      <c r="C285">
        <v>926</v>
      </c>
    </row>
    <row r="286" spans="1:3" ht="15" customHeight="1" x14ac:dyDescent="0.3">
      <c r="A286" t="s">
        <v>66</v>
      </c>
      <c r="B286" s="2">
        <v>46266</v>
      </c>
      <c r="C286" s="47">
        <v>668.4</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hidden="1" customHeight="1" x14ac:dyDescent="0.3">
      <c r="A319" t="s">
        <v>71</v>
      </c>
      <c r="B319" s="2">
        <v>46174</v>
      </c>
      <c r="C319">
        <v>9763.7000000000007</v>
      </c>
    </row>
    <row r="320" spans="1:3" ht="15" hidden="1" customHeight="1" x14ac:dyDescent="0.3">
      <c r="A320" t="s">
        <v>66</v>
      </c>
      <c r="B320" s="2">
        <v>46204</v>
      </c>
      <c r="C320">
        <v>719</v>
      </c>
    </row>
    <row r="321" spans="1:3" ht="15" hidden="1" customHeight="1" x14ac:dyDescent="0.3">
      <c r="A321" t="s">
        <v>71</v>
      </c>
      <c r="B321" s="2">
        <v>46235</v>
      </c>
      <c r="C321">
        <v>12651.55</v>
      </c>
    </row>
    <row r="322" spans="1:3" ht="15" customHeight="1" x14ac:dyDescent="0.3">
      <c r="A322" t="s">
        <v>71</v>
      </c>
      <c r="B322" s="2">
        <v>46266</v>
      </c>
      <c r="C322" s="47">
        <v>15296.73</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hidden="1" customHeight="1" x14ac:dyDescent="0.3">
      <c r="A355" t="s">
        <v>77</v>
      </c>
      <c r="B355" s="2">
        <v>46174</v>
      </c>
      <c r="C355">
        <v>12373.57</v>
      </c>
    </row>
    <row r="356" spans="1:3" ht="15" hidden="1" customHeight="1" x14ac:dyDescent="0.3">
      <c r="A356" t="s">
        <v>71</v>
      </c>
      <c r="B356" s="2">
        <v>46204</v>
      </c>
      <c r="C356">
        <v>8756.0499999999993</v>
      </c>
    </row>
    <row r="357" spans="1:3" ht="15" hidden="1" customHeight="1" x14ac:dyDescent="0.3">
      <c r="A357" t="s">
        <v>77</v>
      </c>
      <c r="B357" s="2">
        <v>46235</v>
      </c>
      <c r="C357">
        <v>15825</v>
      </c>
    </row>
    <row r="358" spans="1:3" ht="15" customHeight="1" x14ac:dyDescent="0.3">
      <c r="A358" t="s">
        <v>77</v>
      </c>
      <c r="B358" s="2">
        <v>46266</v>
      </c>
      <c r="C358" s="47">
        <v>18200</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hidden="1" customHeight="1" x14ac:dyDescent="0.3">
      <c r="A391" t="s">
        <v>80</v>
      </c>
      <c r="B391" s="2">
        <v>46174</v>
      </c>
      <c r="C391">
        <v>10602.24</v>
      </c>
    </row>
    <row r="392" spans="1:3" ht="15" hidden="1" customHeight="1" x14ac:dyDescent="0.3">
      <c r="A392" t="s">
        <v>251</v>
      </c>
      <c r="B392" s="2">
        <v>46204</v>
      </c>
      <c r="C392">
        <v>16617.160800000001</v>
      </c>
    </row>
    <row r="393" spans="1:3" ht="15" hidden="1" customHeight="1" x14ac:dyDescent="0.3">
      <c r="A393" t="s">
        <v>80</v>
      </c>
      <c r="B393" s="2">
        <v>46235</v>
      </c>
      <c r="C393">
        <v>18200</v>
      </c>
    </row>
    <row r="394" spans="1:3" ht="15" customHeight="1" x14ac:dyDescent="0.3">
      <c r="A394" t="s">
        <v>80</v>
      </c>
      <c r="B394" s="2">
        <v>46266</v>
      </c>
      <c r="C394" s="47">
        <v>16232</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hidden="1" customHeight="1" x14ac:dyDescent="0.3">
      <c r="A427" t="s">
        <v>250</v>
      </c>
      <c r="B427" s="2">
        <v>46174</v>
      </c>
      <c r="C427" s="33">
        <v>25295</v>
      </c>
    </row>
    <row r="428" spans="1:3" ht="15" hidden="1" customHeight="1" x14ac:dyDescent="0.3">
      <c r="A428" t="s">
        <v>77</v>
      </c>
      <c r="B428" s="2">
        <v>46204</v>
      </c>
      <c r="C428">
        <v>16600</v>
      </c>
    </row>
    <row r="429" spans="1:3" ht="15" hidden="1" customHeight="1" x14ac:dyDescent="0.3">
      <c r="A429" t="s">
        <v>81</v>
      </c>
      <c r="B429" s="2">
        <v>46235</v>
      </c>
      <c r="C429">
        <v>6595.107</v>
      </c>
    </row>
    <row r="430" spans="1:3" ht="15" customHeight="1" x14ac:dyDescent="0.3">
      <c r="A430" t="s">
        <v>81</v>
      </c>
      <c r="B430" s="2">
        <v>46266</v>
      </c>
      <c r="C430" s="47">
        <v>5791.73</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hidden="1" customHeight="1" x14ac:dyDescent="0.3">
      <c r="A463" t="s">
        <v>85</v>
      </c>
      <c r="B463" s="2">
        <v>46174</v>
      </c>
      <c r="C463">
        <v>1184</v>
      </c>
    </row>
    <row r="464" spans="1:3" ht="15" hidden="1" customHeight="1" x14ac:dyDescent="0.3">
      <c r="A464" t="s">
        <v>80</v>
      </c>
      <c r="B464" s="2">
        <v>46204</v>
      </c>
      <c r="C464">
        <v>14345</v>
      </c>
    </row>
    <row r="465" spans="1:3" ht="15" hidden="1" customHeight="1" x14ac:dyDescent="0.3">
      <c r="A465" t="s">
        <v>85</v>
      </c>
      <c r="B465" s="2">
        <v>46235</v>
      </c>
      <c r="C465">
        <v>4021</v>
      </c>
    </row>
    <row r="466" spans="1:3" ht="15" customHeight="1" x14ac:dyDescent="0.3">
      <c r="A466" t="s">
        <v>85</v>
      </c>
      <c r="B466" s="2">
        <v>46266</v>
      </c>
      <c r="C466" s="47">
        <v>3663</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hidden="1" customHeight="1" x14ac:dyDescent="0.3">
      <c r="A499" t="s">
        <v>90</v>
      </c>
      <c r="B499" s="2">
        <v>46174</v>
      </c>
      <c r="C499">
        <v>3510</v>
      </c>
    </row>
    <row r="500" spans="1:3" ht="15" hidden="1" customHeight="1" x14ac:dyDescent="0.3">
      <c r="A500" t="s">
        <v>81</v>
      </c>
      <c r="B500" s="2">
        <v>46204</v>
      </c>
      <c r="C500">
        <v>5573.8</v>
      </c>
    </row>
    <row r="501" spans="1:3" ht="15" hidden="1" customHeight="1" x14ac:dyDescent="0.3">
      <c r="A501" t="s">
        <v>90</v>
      </c>
      <c r="B501" s="2">
        <v>46235</v>
      </c>
      <c r="C501">
        <v>4690</v>
      </c>
    </row>
    <row r="502" spans="1:3" ht="15" customHeight="1" x14ac:dyDescent="0.3">
      <c r="A502" t="s">
        <v>90</v>
      </c>
      <c r="B502" s="2">
        <v>46266</v>
      </c>
      <c r="C502" s="47">
        <v>3950.63</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hidden="1" customHeight="1" x14ac:dyDescent="0.3">
      <c r="A535" t="s">
        <v>93</v>
      </c>
      <c r="B535" s="2">
        <v>46174</v>
      </c>
    </row>
    <row r="536" spans="1:3" ht="15" hidden="1" customHeight="1" x14ac:dyDescent="0.3">
      <c r="A536" t="s">
        <v>85</v>
      </c>
      <c r="B536" s="2">
        <v>46204</v>
      </c>
      <c r="C536">
        <v>3646</v>
      </c>
    </row>
    <row r="537" spans="1:3" ht="15" hidden="1" customHeight="1" x14ac:dyDescent="0.3">
      <c r="A537" t="s">
        <v>93</v>
      </c>
      <c r="B537" s="2">
        <v>46235</v>
      </c>
    </row>
    <row r="538" spans="1:3" ht="15" customHeight="1" x14ac:dyDescent="0.3">
      <c r="A538" t="s">
        <v>93</v>
      </c>
      <c r="B538" s="2">
        <v>46266</v>
      </c>
      <c r="C538" s="47"/>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hidden="1" customHeight="1" x14ac:dyDescent="0.3">
      <c r="A571" t="s">
        <v>81</v>
      </c>
      <c r="B571" s="2">
        <v>46174</v>
      </c>
      <c r="C571">
        <v>5387.22</v>
      </c>
    </row>
    <row r="572" spans="1:3" ht="15" hidden="1" customHeight="1" x14ac:dyDescent="0.3">
      <c r="A572" t="s">
        <v>90</v>
      </c>
      <c r="B572" s="2">
        <v>46204</v>
      </c>
      <c r="C572">
        <v>3547</v>
      </c>
    </row>
    <row r="573" spans="1:3" ht="15" hidden="1" customHeight="1" x14ac:dyDescent="0.3">
      <c r="A573" t="s">
        <v>95</v>
      </c>
      <c r="B573" s="2">
        <v>46235</v>
      </c>
      <c r="C573">
        <v>14955</v>
      </c>
    </row>
    <row r="574" spans="1:3" ht="15" customHeight="1" x14ac:dyDescent="0.3">
      <c r="A574" t="s">
        <v>95</v>
      </c>
      <c r="B574" s="2">
        <v>46266</v>
      </c>
      <c r="C574" s="47">
        <v>18244.509999999998</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hidden="1" customHeight="1" x14ac:dyDescent="0.3">
      <c r="A607" t="s">
        <v>95</v>
      </c>
      <c r="B607" s="2">
        <v>46174</v>
      </c>
      <c r="C607">
        <v>11956.63</v>
      </c>
    </row>
    <row r="608" spans="1:7" ht="15" hidden="1" customHeight="1" x14ac:dyDescent="0.3">
      <c r="A608" t="s">
        <v>93</v>
      </c>
      <c r="B608" s="2">
        <v>46204</v>
      </c>
      <c r="C608">
        <v>0</v>
      </c>
      <c r="G608" t="s">
        <v>1012</v>
      </c>
    </row>
    <row r="609" spans="1:3" ht="15" hidden="1" customHeight="1" x14ac:dyDescent="0.3">
      <c r="A609" t="s">
        <v>239</v>
      </c>
      <c r="B609" s="2">
        <v>46235</v>
      </c>
      <c r="C609">
        <v>3368.28</v>
      </c>
    </row>
    <row r="610" spans="1:3" ht="15" customHeight="1" x14ac:dyDescent="0.3">
      <c r="A610" t="s">
        <v>239</v>
      </c>
      <c r="B610" s="2">
        <v>46266</v>
      </c>
      <c r="C610" s="47">
        <v>2640.395</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hidden="1" customHeight="1" x14ac:dyDescent="0.3">
      <c r="A643" t="s">
        <v>98</v>
      </c>
      <c r="B643" s="2">
        <v>46174</v>
      </c>
      <c r="C643">
        <v>3521</v>
      </c>
    </row>
    <row r="644" spans="1:3" ht="15" hidden="1" customHeight="1" x14ac:dyDescent="0.3">
      <c r="A644" t="s">
        <v>95</v>
      </c>
      <c r="B644" s="2">
        <v>46204</v>
      </c>
      <c r="C644">
        <v>12633</v>
      </c>
    </row>
    <row r="645" spans="1:3" ht="15" hidden="1" customHeight="1" x14ac:dyDescent="0.3">
      <c r="A645" t="s">
        <v>98</v>
      </c>
      <c r="B645" s="2">
        <v>46235</v>
      </c>
      <c r="C645">
        <v>4981</v>
      </c>
    </row>
    <row r="646" spans="1:3" ht="15" customHeight="1" x14ac:dyDescent="0.3">
      <c r="A646" t="s">
        <v>98</v>
      </c>
      <c r="B646" s="2">
        <v>46266</v>
      </c>
      <c r="C646" s="47">
        <v>5324.6800499999999</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hidden="1" customHeight="1" x14ac:dyDescent="0.3">
      <c r="A679" t="s">
        <v>102</v>
      </c>
      <c r="B679" s="2">
        <v>46174</v>
      </c>
      <c r="C679">
        <v>3483</v>
      </c>
    </row>
    <row r="680" spans="1:3" ht="15" hidden="1" customHeight="1" x14ac:dyDescent="0.3">
      <c r="A680" t="s">
        <v>271</v>
      </c>
      <c r="B680" s="2">
        <v>46204</v>
      </c>
      <c r="C680">
        <v>6140</v>
      </c>
    </row>
    <row r="681" spans="1:3" ht="15" hidden="1" customHeight="1" x14ac:dyDescent="0.3">
      <c r="A681" t="s">
        <v>102</v>
      </c>
      <c r="B681" s="2">
        <v>46235</v>
      </c>
      <c r="C681">
        <v>5110</v>
      </c>
    </row>
    <row r="682" spans="1:3" ht="15" customHeight="1" x14ac:dyDescent="0.3">
      <c r="A682" t="s">
        <v>102</v>
      </c>
      <c r="B682" s="2">
        <v>46266</v>
      </c>
      <c r="C682" s="47">
        <v>5755.15</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hidden="1" customHeight="1" x14ac:dyDescent="0.3">
      <c r="A715" t="s">
        <v>271</v>
      </c>
      <c r="B715" s="2">
        <v>46174</v>
      </c>
      <c r="C715">
        <v>10169</v>
      </c>
    </row>
    <row r="716" spans="1:3" ht="15" hidden="1" customHeight="1" x14ac:dyDescent="0.3">
      <c r="A716" t="s">
        <v>104</v>
      </c>
      <c r="B716" s="2">
        <v>46174</v>
      </c>
      <c r="C716">
        <v>2484</v>
      </c>
    </row>
    <row r="717" spans="1:3" ht="15" hidden="1" customHeight="1" x14ac:dyDescent="0.3">
      <c r="A717" t="s">
        <v>239</v>
      </c>
      <c r="B717" s="2">
        <v>46204</v>
      </c>
      <c r="C717">
        <v>3388.4247999999998</v>
      </c>
    </row>
    <row r="718" spans="1:3" ht="15" hidden="1" customHeight="1" x14ac:dyDescent="0.3">
      <c r="A718" t="s">
        <v>104</v>
      </c>
      <c r="B718" s="2">
        <v>46235</v>
      </c>
      <c r="C718">
        <v>1628</v>
      </c>
    </row>
    <row r="719" spans="1:3" ht="15" customHeight="1" x14ac:dyDescent="0.3">
      <c r="A719" t="s">
        <v>104</v>
      </c>
      <c r="B719" s="2">
        <v>46266</v>
      </c>
      <c r="C719" s="47">
        <v>747.8</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hidden="1" customHeight="1" x14ac:dyDescent="0.3">
      <c r="A752" t="s">
        <v>239</v>
      </c>
      <c r="B752" s="2">
        <v>46174</v>
      </c>
      <c r="C752">
        <v>2723</v>
      </c>
    </row>
    <row r="753" spans="1:3" ht="15" hidden="1" customHeight="1" x14ac:dyDescent="0.3">
      <c r="A753" t="s">
        <v>98</v>
      </c>
      <c r="B753" s="2">
        <v>46204</v>
      </c>
      <c r="C753">
        <v>5136</v>
      </c>
    </row>
    <row r="754" spans="1:3" ht="15" hidden="1" customHeight="1" x14ac:dyDescent="0.3">
      <c r="A754" t="s">
        <v>107</v>
      </c>
      <c r="B754" s="2">
        <v>46235</v>
      </c>
    </row>
    <row r="755" spans="1:3" ht="15" customHeight="1" x14ac:dyDescent="0.3">
      <c r="A755" t="s">
        <v>107</v>
      </c>
      <c r="B755" s="2">
        <v>46266</v>
      </c>
      <c r="C755" s="47">
        <v>0</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hidden="1" customHeight="1" x14ac:dyDescent="0.3">
      <c r="A788" t="s">
        <v>228</v>
      </c>
      <c r="B788" s="2">
        <v>46174</v>
      </c>
      <c r="C788">
        <v>7560</v>
      </c>
    </row>
    <row r="789" spans="1:3" ht="15" hidden="1" customHeight="1" x14ac:dyDescent="0.3">
      <c r="A789" t="s">
        <v>102</v>
      </c>
      <c r="B789" s="2">
        <v>46204</v>
      </c>
      <c r="C789">
        <v>4112</v>
      </c>
    </row>
    <row r="790" spans="1:3" ht="15" hidden="1" customHeight="1" x14ac:dyDescent="0.3">
      <c r="A790" t="s">
        <v>228</v>
      </c>
      <c r="B790" s="2">
        <v>46235</v>
      </c>
      <c r="C790">
        <v>18070</v>
      </c>
    </row>
    <row r="791" spans="1:3" ht="15" customHeight="1" x14ac:dyDescent="0.3">
      <c r="A791" t="s">
        <v>228</v>
      </c>
      <c r="B791" s="2">
        <v>46266</v>
      </c>
      <c r="C791" s="47">
        <v>9230</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hidden="1" customHeight="1" x14ac:dyDescent="0.3">
      <c r="A824" t="s">
        <v>109</v>
      </c>
      <c r="B824" s="2">
        <v>46174</v>
      </c>
      <c r="C824">
        <v>2896</v>
      </c>
    </row>
    <row r="825" spans="1:3" ht="15" hidden="1" customHeight="1" x14ac:dyDescent="0.3">
      <c r="A825" t="s">
        <v>104</v>
      </c>
      <c r="B825" s="2">
        <v>46204</v>
      </c>
      <c r="C825">
        <v>857</v>
      </c>
    </row>
    <row r="826" spans="1:3" ht="15" hidden="1" customHeight="1" x14ac:dyDescent="0.3">
      <c r="A826" t="s">
        <v>109</v>
      </c>
      <c r="B826" s="2">
        <v>46235</v>
      </c>
      <c r="C826">
        <v>2805</v>
      </c>
    </row>
    <row r="827" spans="1:3" ht="15" customHeight="1" x14ac:dyDescent="0.3">
      <c r="A827" t="s">
        <v>109</v>
      </c>
      <c r="B827" s="2">
        <v>46266</v>
      </c>
      <c r="C827" s="47">
        <v>2916.4</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hidden="1" customHeight="1" x14ac:dyDescent="0.3">
      <c r="A860" t="s">
        <v>113</v>
      </c>
      <c r="B860" s="2">
        <v>46174</v>
      </c>
      <c r="C860">
        <v>14538.69</v>
      </c>
    </row>
    <row r="861" spans="1:3" ht="15" hidden="1" customHeight="1" x14ac:dyDescent="0.3">
      <c r="A861" t="s">
        <v>107</v>
      </c>
      <c r="B861" s="2">
        <v>46204</v>
      </c>
      <c r="C861">
        <v>1400</v>
      </c>
    </row>
    <row r="862" spans="1:3" ht="15" hidden="1" customHeight="1" x14ac:dyDescent="0.3">
      <c r="A862" t="s">
        <v>113</v>
      </c>
      <c r="B862" s="2">
        <v>46235</v>
      </c>
      <c r="C862">
        <v>20567</v>
      </c>
    </row>
    <row r="863" spans="1:3" ht="15" customHeight="1" x14ac:dyDescent="0.3">
      <c r="A863" t="s">
        <v>113</v>
      </c>
      <c r="B863" s="2">
        <v>46266</v>
      </c>
      <c r="C863" s="47">
        <v>24320.29</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hidden="1" customHeight="1" x14ac:dyDescent="0.3">
      <c r="A897" t="s">
        <v>114</v>
      </c>
      <c r="B897" s="2">
        <v>46235</v>
      </c>
      <c r="C897">
        <v>23217</v>
      </c>
    </row>
    <row r="898" spans="1:3" ht="15" customHeight="1" x14ac:dyDescent="0.3">
      <c r="A898" t="s">
        <v>114</v>
      </c>
      <c r="B898" s="2">
        <v>46266</v>
      </c>
      <c r="C898" s="47">
        <v>22918</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hidden="1" customHeight="1" x14ac:dyDescent="0.3">
      <c r="A931" t="s">
        <v>107</v>
      </c>
      <c r="B931" s="2">
        <v>46174</v>
      </c>
      <c r="C931" s="34">
        <v>2477</v>
      </c>
    </row>
    <row r="932" spans="1:3" ht="15" hidden="1" customHeight="1" x14ac:dyDescent="0.3">
      <c r="A932" t="s">
        <v>109</v>
      </c>
      <c r="B932" s="2">
        <v>46204</v>
      </c>
      <c r="C932">
        <v>2598</v>
      </c>
    </row>
    <row r="933" spans="1:3" ht="15" hidden="1" customHeight="1" x14ac:dyDescent="0.3">
      <c r="A933" t="s">
        <v>117</v>
      </c>
      <c r="B933" s="2">
        <v>46235</v>
      </c>
      <c r="C933">
        <v>23941.67</v>
      </c>
    </row>
    <row r="934" spans="1:3" ht="15" customHeight="1" x14ac:dyDescent="0.3">
      <c r="A934" t="s">
        <v>117</v>
      </c>
      <c r="B934" s="2">
        <v>46266</v>
      </c>
      <c r="C934" s="47">
        <v>23016.89</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hidden="1" customHeight="1" x14ac:dyDescent="0.3">
      <c r="A967" t="s">
        <v>114</v>
      </c>
      <c r="B967" s="2">
        <v>46174</v>
      </c>
      <c r="C967">
        <v>13234</v>
      </c>
    </row>
    <row r="968" spans="1:3" ht="15" hidden="1" customHeight="1" x14ac:dyDescent="0.3">
      <c r="A968" t="s">
        <v>113</v>
      </c>
      <c r="B968" s="2">
        <v>46204</v>
      </c>
      <c r="C968">
        <v>14156</v>
      </c>
    </row>
    <row r="969" spans="1:3" ht="15" hidden="1" customHeight="1" x14ac:dyDescent="0.3">
      <c r="A969" t="s">
        <v>225</v>
      </c>
      <c r="B969" s="2">
        <v>46235</v>
      </c>
      <c r="C969">
        <v>7937</v>
      </c>
    </row>
    <row r="970" spans="1:3" ht="15" customHeight="1" x14ac:dyDescent="0.3">
      <c r="A970" t="s">
        <v>225</v>
      </c>
      <c r="B970" s="2">
        <v>46266</v>
      </c>
      <c r="C970" s="47">
        <v>7314.8</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hidden="1" customHeight="1" x14ac:dyDescent="0.3">
      <c r="A1003" t="s">
        <v>117</v>
      </c>
      <c r="B1003" s="2">
        <v>46174</v>
      </c>
      <c r="C1003">
        <v>15001.099999999999</v>
      </c>
    </row>
    <row r="1004" spans="1:3" ht="15" hidden="1" customHeight="1" x14ac:dyDescent="0.3">
      <c r="A1004" t="s">
        <v>114</v>
      </c>
      <c r="B1004" s="2">
        <v>46204</v>
      </c>
      <c r="C1004">
        <v>17975</v>
      </c>
    </row>
    <row r="1005" spans="1:3" ht="15" hidden="1" customHeight="1" x14ac:dyDescent="0.3">
      <c r="A1005" t="s">
        <v>223</v>
      </c>
      <c r="B1005" s="2">
        <v>46235</v>
      </c>
      <c r="C1005">
        <v>5281</v>
      </c>
    </row>
    <row r="1006" spans="1:3" ht="15" customHeight="1" x14ac:dyDescent="0.3">
      <c r="A1006" t="s">
        <v>223</v>
      </c>
      <c r="B1006" s="2">
        <v>46266</v>
      </c>
      <c r="C1006" s="47">
        <v>4730</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hidden="1" customHeight="1" x14ac:dyDescent="0.3">
      <c r="A1039" t="s">
        <v>120</v>
      </c>
      <c r="B1039" s="2">
        <v>46174</v>
      </c>
      <c r="C1039">
        <v>4645.3100000000004</v>
      </c>
    </row>
    <row r="1040" spans="1:3" ht="15" hidden="1" customHeight="1" x14ac:dyDescent="0.3">
      <c r="A1040" t="s">
        <v>117</v>
      </c>
      <c r="B1040" s="2">
        <v>46204</v>
      </c>
      <c r="C1040">
        <v>20850.759999999998</v>
      </c>
    </row>
    <row r="1041" spans="1:3" ht="15" hidden="1" customHeight="1" x14ac:dyDescent="0.3">
      <c r="A1041" t="s">
        <v>120</v>
      </c>
      <c r="B1041" s="2">
        <v>46235</v>
      </c>
      <c r="C1041">
        <v>8388.6688799999993</v>
      </c>
    </row>
    <row r="1042" spans="1:3" ht="15" customHeight="1" x14ac:dyDescent="0.3">
      <c r="A1042" t="s">
        <v>120</v>
      </c>
      <c r="B1042" s="2">
        <v>46266</v>
      </c>
      <c r="C1042" s="47">
        <v>7912.61</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hidden="1" customHeight="1" x14ac:dyDescent="0.3">
      <c r="A1075" t="s">
        <v>236</v>
      </c>
      <c r="B1075" s="2">
        <v>46174</v>
      </c>
      <c r="C1075">
        <v>5060.3999999999996</v>
      </c>
    </row>
    <row r="1076" spans="1:3" ht="15" hidden="1" customHeight="1" x14ac:dyDescent="0.3">
      <c r="A1076" t="s">
        <v>225</v>
      </c>
      <c r="B1076" s="2">
        <v>46204</v>
      </c>
      <c r="C1076">
        <v>7311</v>
      </c>
    </row>
    <row r="1077" spans="1:3" ht="15" hidden="1" customHeight="1" x14ac:dyDescent="0.3">
      <c r="A1077" t="s">
        <v>236</v>
      </c>
      <c r="B1077" s="2">
        <v>46235</v>
      </c>
      <c r="C1077">
        <v>7086.5030999999999</v>
      </c>
    </row>
    <row r="1078" spans="1:3" ht="15" customHeight="1" x14ac:dyDescent="0.3">
      <c r="A1078" t="s">
        <v>236</v>
      </c>
      <c r="B1078" s="2">
        <v>46266</v>
      </c>
      <c r="C1078" s="47">
        <v>4821.7015000000001</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hidden="1" customHeight="1" x14ac:dyDescent="0.3">
      <c r="A1111" t="s">
        <v>122</v>
      </c>
      <c r="B1111" s="2">
        <v>46174</v>
      </c>
      <c r="C1111">
        <v>12292.03</v>
      </c>
    </row>
    <row r="1112" spans="1:3" ht="15" hidden="1" customHeight="1" x14ac:dyDescent="0.3">
      <c r="A1112" t="s">
        <v>223</v>
      </c>
      <c r="B1112" s="2">
        <v>46204</v>
      </c>
      <c r="C1112">
        <v>3841</v>
      </c>
    </row>
    <row r="1113" spans="1:3" ht="15" hidden="1" customHeight="1" x14ac:dyDescent="0.3">
      <c r="A1113" t="s">
        <v>122</v>
      </c>
      <c r="B1113" s="2">
        <v>46235</v>
      </c>
      <c r="C1113">
        <v>15549.0352</v>
      </c>
    </row>
    <row r="1114" spans="1:3" ht="15" customHeight="1" x14ac:dyDescent="0.3">
      <c r="A1114" t="s">
        <v>122</v>
      </c>
      <c r="B1114" s="2">
        <v>46266</v>
      </c>
      <c r="C1114" s="47">
        <v>14407.6783</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hidden="1" customHeight="1" x14ac:dyDescent="0.3">
      <c r="A1147" t="s">
        <v>124</v>
      </c>
      <c r="B1147" s="2">
        <v>46174</v>
      </c>
      <c r="C1147">
        <v>37511.86</v>
      </c>
    </row>
    <row r="1148" spans="1:3" ht="15" hidden="1" customHeight="1" x14ac:dyDescent="0.3">
      <c r="A1148" t="s">
        <v>120</v>
      </c>
      <c r="B1148" s="2">
        <v>46204</v>
      </c>
      <c r="C1148">
        <v>6582.2</v>
      </c>
    </row>
    <row r="1149" spans="1:3" ht="15" hidden="1" customHeight="1" x14ac:dyDescent="0.3">
      <c r="A1149" t="s">
        <v>124</v>
      </c>
      <c r="B1149" s="2">
        <v>46235</v>
      </c>
      <c r="C1149">
        <v>49938.125</v>
      </c>
    </row>
    <row r="1150" spans="1:3" ht="15" customHeight="1" x14ac:dyDescent="0.3">
      <c r="A1150" t="s">
        <v>124</v>
      </c>
      <c r="B1150" s="2">
        <v>46266</v>
      </c>
      <c r="C1150" s="47">
        <v>43037.19</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hidden="1" customHeight="1" x14ac:dyDescent="0.3">
      <c r="A1183" t="s">
        <v>225</v>
      </c>
      <c r="B1183" s="2">
        <v>46174</v>
      </c>
      <c r="C1183">
        <v>5909</v>
      </c>
    </row>
    <row r="1184" spans="1:3" ht="15" hidden="1" customHeight="1" x14ac:dyDescent="0.3">
      <c r="A1184" t="s">
        <v>236</v>
      </c>
      <c r="B1184" s="2">
        <v>46204</v>
      </c>
      <c r="C1184">
        <v>6010.4031999999997</v>
      </c>
    </row>
    <row r="1185" spans="1:3" ht="15" hidden="1" customHeight="1" x14ac:dyDescent="0.3">
      <c r="A1185" t="s">
        <v>127</v>
      </c>
      <c r="B1185" s="2">
        <v>46235</v>
      </c>
      <c r="C1185">
        <v>14728.02</v>
      </c>
    </row>
    <row r="1186" spans="1:3" ht="15" customHeight="1" x14ac:dyDescent="0.3">
      <c r="A1186" t="s">
        <v>127</v>
      </c>
      <c r="B1186" s="2">
        <v>46266</v>
      </c>
      <c r="C1186" s="47">
        <v>10471.23</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hidden="1" customHeight="1" x14ac:dyDescent="0.3">
      <c r="A1219" t="s">
        <v>234</v>
      </c>
      <c r="B1219" s="2">
        <v>46174</v>
      </c>
      <c r="C1219">
        <v>18349.150000000001</v>
      </c>
    </row>
    <row r="1220" spans="1:3" ht="15" hidden="1" customHeight="1" x14ac:dyDescent="0.3">
      <c r="A1220" t="s">
        <v>122</v>
      </c>
      <c r="B1220" s="2">
        <v>46204</v>
      </c>
      <c r="C1220">
        <v>12604.390950000001</v>
      </c>
    </row>
    <row r="1221" spans="1:3" ht="15" hidden="1" customHeight="1" x14ac:dyDescent="0.3">
      <c r="A1221" t="s">
        <v>234</v>
      </c>
      <c r="B1221" s="2">
        <v>46235</v>
      </c>
      <c r="C1221">
        <v>26558.07</v>
      </c>
    </row>
    <row r="1222" spans="1:3" ht="15" customHeight="1" x14ac:dyDescent="0.3">
      <c r="A1222" t="s">
        <v>234</v>
      </c>
      <c r="B1222" s="2">
        <v>46266</v>
      </c>
      <c r="C1222" s="47">
        <v>31565.57</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hidden="1" customHeight="1" x14ac:dyDescent="0.3">
      <c r="A1255" t="s">
        <v>223</v>
      </c>
      <c r="B1255" s="2">
        <v>46174</v>
      </c>
      <c r="C1255">
        <v>3139.7</v>
      </c>
    </row>
    <row r="1256" spans="1:3" ht="15" hidden="1" customHeight="1" x14ac:dyDescent="0.3">
      <c r="A1256" t="s">
        <v>124</v>
      </c>
      <c r="B1256" s="2">
        <v>46204</v>
      </c>
      <c r="C1256">
        <v>40997.122360000001</v>
      </c>
    </row>
    <row r="1257" spans="1:3" ht="15" hidden="1" customHeight="1" x14ac:dyDescent="0.3">
      <c r="A1257" t="s">
        <v>131</v>
      </c>
      <c r="B1257" s="2">
        <v>46235</v>
      </c>
      <c r="C1257">
        <v>6058</v>
      </c>
    </row>
    <row r="1258" spans="1:3" ht="15" customHeight="1" x14ac:dyDescent="0.3">
      <c r="A1258" t="s">
        <v>131</v>
      </c>
      <c r="B1258" s="2">
        <v>46266</v>
      </c>
      <c r="C1258" s="47">
        <v>5214.57</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hidden="1" customHeight="1" x14ac:dyDescent="0.3">
      <c r="A1291" t="s">
        <v>134</v>
      </c>
      <c r="B1291" s="2">
        <v>46174</v>
      </c>
      <c r="C1291">
        <v>23145.119999999999</v>
      </c>
    </row>
    <row r="1292" spans="1:3" ht="15" hidden="1" customHeight="1" x14ac:dyDescent="0.3">
      <c r="A1292" t="s">
        <v>127</v>
      </c>
      <c r="B1292" s="2">
        <v>46204</v>
      </c>
      <c r="C1292">
        <v>13303</v>
      </c>
    </row>
    <row r="1293" spans="1:3" ht="15" hidden="1" customHeight="1" x14ac:dyDescent="0.3">
      <c r="A1293" t="s">
        <v>134</v>
      </c>
      <c r="B1293" s="2">
        <v>46235</v>
      </c>
      <c r="C1293">
        <v>35675.900999999998</v>
      </c>
    </row>
    <row r="1294" spans="1:3" ht="15" customHeight="1" x14ac:dyDescent="0.3">
      <c r="A1294" t="s">
        <v>134</v>
      </c>
      <c r="B1294" s="2">
        <v>46266</v>
      </c>
      <c r="C1294" s="47">
        <v>33460.18</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hidden="1" customHeight="1" x14ac:dyDescent="0.3">
      <c r="A1327" t="s">
        <v>138</v>
      </c>
      <c r="B1327" s="2">
        <v>46174</v>
      </c>
    </row>
    <row r="1328" spans="1:3" ht="15" hidden="1" customHeight="1" x14ac:dyDescent="0.3">
      <c r="A1328" t="s">
        <v>234</v>
      </c>
      <c r="B1328" s="2">
        <v>46204</v>
      </c>
      <c r="C1328">
        <v>20358.73</v>
      </c>
    </row>
    <row r="1329" spans="1:3" ht="15" hidden="1" customHeight="1" x14ac:dyDescent="0.3">
      <c r="A1329" t="s">
        <v>138</v>
      </c>
      <c r="B1329" s="2">
        <v>46235</v>
      </c>
    </row>
    <row r="1330" spans="1:3" ht="15" customHeight="1" x14ac:dyDescent="0.3">
      <c r="A1330" t="s">
        <v>138</v>
      </c>
      <c r="B1330" s="2">
        <v>46266</v>
      </c>
      <c r="C1330" s="47"/>
    </row>
    <row r="1331" spans="1:3" ht="15" hidden="1" customHeight="1" x14ac:dyDescent="0.3">
      <c r="A1331" t="s">
        <v>138</v>
      </c>
      <c r="B1331" s="2">
        <v>46296</v>
      </c>
    </row>
    <row r="1332" spans="1:3" ht="15" hidden="1" customHeight="1" x14ac:dyDescent="0.3">
      <c r="A1332" t="s">
        <v>138</v>
      </c>
      <c r="B1332" s="2">
        <v>46327</v>
      </c>
    </row>
    <row r="1333" spans="1:3" ht="15" hidden="1" customHeight="1" x14ac:dyDescent="0.3">
      <c r="A1333" t="s">
        <v>138</v>
      </c>
      <c r="B1333" s="2">
        <v>46357</v>
      </c>
    </row>
    <row r="1334" spans="1:3" ht="15" hidden="1" customHeight="1" x14ac:dyDescent="0.3">
      <c r="A1334" t="s">
        <v>220</v>
      </c>
      <c r="B1334" s="2">
        <v>45292</v>
      </c>
    </row>
    <row r="1335" spans="1:3" ht="15" hidden="1" customHeight="1" x14ac:dyDescent="0.3">
      <c r="A1335" t="s">
        <v>220</v>
      </c>
      <c r="B1335" s="2">
        <v>45323</v>
      </c>
    </row>
    <row r="1336" spans="1:3" ht="15" hidden="1" customHeight="1" x14ac:dyDescent="0.3">
      <c r="A1336" t="s">
        <v>220</v>
      </c>
      <c r="B1336" s="2">
        <v>45352</v>
      </c>
    </row>
    <row r="1337" spans="1:3" ht="15" hidden="1" customHeight="1" x14ac:dyDescent="0.3">
      <c r="A1337" t="s">
        <v>220</v>
      </c>
      <c r="B1337" s="2">
        <v>45383</v>
      </c>
    </row>
    <row r="1338" spans="1:3" ht="15" hidden="1" customHeight="1" x14ac:dyDescent="0.3">
      <c r="A1338" t="s">
        <v>220</v>
      </c>
      <c r="B1338" s="2">
        <v>45413</v>
      </c>
    </row>
    <row r="1339" spans="1:3" ht="15" hidden="1" customHeight="1" x14ac:dyDescent="0.3">
      <c r="A1339" t="s">
        <v>220</v>
      </c>
      <c r="B1339" s="2">
        <v>45444</v>
      </c>
    </row>
    <row r="1340" spans="1:3" ht="15" hidden="1" customHeight="1" x14ac:dyDescent="0.3">
      <c r="A1340" t="s">
        <v>220</v>
      </c>
      <c r="B1340" s="2">
        <v>45474</v>
      </c>
    </row>
    <row r="1341" spans="1:3" ht="15" hidden="1" customHeight="1" x14ac:dyDescent="0.3">
      <c r="A1341" t="s">
        <v>220</v>
      </c>
      <c r="B1341" s="2">
        <v>45505</v>
      </c>
    </row>
    <row r="1342" spans="1:3" ht="15" hidden="1" customHeight="1" x14ac:dyDescent="0.3">
      <c r="A1342" t="s">
        <v>220</v>
      </c>
      <c r="B1342" s="2">
        <v>45536</v>
      </c>
    </row>
    <row r="1343" spans="1:3" ht="15" hidden="1" customHeight="1" x14ac:dyDescent="0.3">
      <c r="A1343" t="s">
        <v>220</v>
      </c>
      <c r="B1343" s="2">
        <v>45566</v>
      </c>
    </row>
    <row r="1344" spans="1:3"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hidden="1" customHeight="1" x14ac:dyDescent="0.3">
      <c r="A1363" t="s">
        <v>127</v>
      </c>
      <c r="B1363" s="2">
        <v>46174</v>
      </c>
      <c r="C1363">
        <v>11309.7</v>
      </c>
    </row>
    <row r="1364" spans="1:3" ht="15" hidden="1" customHeight="1" x14ac:dyDescent="0.3">
      <c r="A1364" t="s">
        <v>131</v>
      </c>
      <c r="B1364" s="2">
        <v>46204</v>
      </c>
      <c r="C1364">
        <v>5690</v>
      </c>
    </row>
    <row r="1365" spans="1:3" ht="15" hidden="1" customHeight="1" x14ac:dyDescent="0.3">
      <c r="A1365" t="s">
        <v>220</v>
      </c>
      <c r="B1365" s="2">
        <v>46235</v>
      </c>
      <c r="C1365">
        <v>35179.4355</v>
      </c>
    </row>
    <row r="1366" spans="1:3" ht="15" customHeight="1" x14ac:dyDescent="0.3">
      <c r="A1366" t="s">
        <v>220</v>
      </c>
      <c r="B1366" s="2">
        <v>46266</v>
      </c>
      <c r="C1366" s="47">
        <v>35252.918700000002</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hidden="1" customHeight="1" x14ac:dyDescent="0.3">
      <c r="A1399" t="s">
        <v>131</v>
      </c>
      <c r="B1399" s="2">
        <v>46174</v>
      </c>
      <c r="C1399">
        <v>4820.5</v>
      </c>
    </row>
    <row r="1400" spans="1:3" ht="15" hidden="1" customHeight="1" x14ac:dyDescent="0.3">
      <c r="A1400" t="s">
        <v>134</v>
      </c>
      <c r="B1400" s="2">
        <v>46204</v>
      </c>
      <c r="C1400">
        <v>27326.29</v>
      </c>
    </row>
    <row r="1401" spans="1:3" ht="15" hidden="1" customHeight="1" x14ac:dyDescent="0.3">
      <c r="A1401" t="s">
        <v>222</v>
      </c>
      <c r="B1401" s="2">
        <v>46235</v>
      </c>
      <c r="C1401">
        <v>9590.4248599999992</v>
      </c>
    </row>
    <row r="1402" spans="1:3" ht="15" customHeight="1" x14ac:dyDescent="0.3">
      <c r="A1402" t="s">
        <v>222</v>
      </c>
      <c r="B1402" s="2">
        <v>46266</v>
      </c>
      <c r="C1402" s="47">
        <v>9418.8441600000006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hidden="1" customHeight="1" x14ac:dyDescent="0.3">
      <c r="A1435" t="s">
        <v>220</v>
      </c>
      <c r="B1435" s="2">
        <v>46174</v>
      </c>
      <c r="C1435">
        <v>18559</v>
      </c>
    </row>
    <row r="1436" spans="1:3" ht="15" hidden="1" customHeight="1" x14ac:dyDescent="0.3">
      <c r="A1436" t="s">
        <v>138</v>
      </c>
      <c r="B1436" s="2">
        <v>46204</v>
      </c>
      <c r="C1436">
        <v>0</v>
      </c>
    </row>
    <row r="1437" spans="1:3" ht="15" hidden="1" customHeight="1" x14ac:dyDescent="0.3">
      <c r="A1437" t="s">
        <v>142</v>
      </c>
      <c r="B1437" s="2">
        <v>46235</v>
      </c>
      <c r="C1437">
        <v>4901</v>
      </c>
    </row>
    <row r="1438" spans="1:3" ht="15" customHeight="1" x14ac:dyDescent="0.3">
      <c r="A1438" t="s">
        <v>142</v>
      </c>
      <c r="B1438" s="2">
        <v>46266</v>
      </c>
      <c r="C1438" s="47">
        <v>4904</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hidden="1" customHeight="1" x14ac:dyDescent="0.3">
      <c r="A1471" t="s">
        <v>145</v>
      </c>
      <c r="B1471" s="2">
        <v>46174</v>
      </c>
      <c r="C1471">
        <v>20267.330000000002</v>
      </c>
    </row>
    <row r="1472" spans="1:3" ht="15" hidden="1" customHeight="1" x14ac:dyDescent="0.3">
      <c r="A1472" t="s">
        <v>220</v>
      </c>
      <c r="B1472" s="2">
        <v>46204</v>
      </c>
      <c r="C1472">
        <v>27717.592700000001</v>
      </c>
    </row>
    <row r="1473" spans="1:3" ht="15" hidden="1" customHeight="1" x14ac:dyDescent="0.3">
      <c r="A1473" t="s">
        <v>145</v>
      </c>
      <c r="B1473" s="2">
        <v>46235</v>
      </c>
      <c r="C1473">
        <v>24964.912</v>
      </c>
    </row>
    <row r="1474" spans="1:3" ht="15" customHeight="1" x14ac:dyDescent="0.3">
      <c r="A1474" t="s">
        <v>145</v>
      </c>
      <c r="B1474" s="2">
        <v>46266</v>
      </c>
      <c r="C1474" s="47">
        <v>22767.148420000001</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hidden="1" customHeight="1" x14ac:dyDescent="0.3">
      <c r="A1507" t="s">
        <v>152</v>
      </c>
      <c r="B1507" s="2">
        <v>46174</v>
      </c>
      <c r="C1507">
        <v>3334</v>
      </c>
    </row>
    <row r="1508" spans="1:3" ht="15" hidden="1" customHeight="1" x14ac:dyDescent="0.3">
      <c r="A1508" t="s">
        <v>222</v>
      </c>
      <c r="B1508" s="2">
        <v>46204</v>
      </c>
      <c r="C1508">
        <v>7966.5733399999999</v>
      </c>
    </row>
    <row r="1509" spans="1:3" ht="15" hidden="1" customHeight="1" x14ac:dyDescent="0.3">
      <c r="A1509" t="s">
        <v>152</v>
      </c>
      <c r="B1509" s="2">
        <v>46235</v>
      </c>
      <c r="C1509">
        <v>6624</v>
      </c>
    </row>
    <row r="1510" spans="1:3" ht="15" customHeight="1" x14ac:dyDescent="0.3">
      <c r="A1510" t="s">
        <v>152</v>
      </c>
      <c r="B1510" s="2">
        <v>46266</v>
      </c>
      <c r="C1510" s="47">
        <v>6723.42</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hidden="1" customHeight="1" x14ac:dyDescent="0.3">
      <c r="A1543" t="s">
        <v>222</v>
      </c>
      <c r="B1543" s="2">
        <v>46174</v>
      </c>
      <c r="C1543">
        <v>5600</v>
      </c>
    </row>
    <row r="1544" spans="1:3" ht="15" hidden="1" customHeight="1" x14ac:dyDescent="0.3">
      <c r="A1544" t="s">
        <v>142</v>
      </c>
      <c r="B1544" s="2">
        <v>46204</v>
      </c>
      <c r="C1544">
        <v>3812</v>
      </c>
    </row>
    <row r="1545" spans="1:3" ht="15" hidden="1" customHeight="1" x14ac:dyDescent="0.3">
      <c r="A1545" t="s">
        <v>149</v>
      </c>
      <c r="B1545" s="2">
        <v>46235</v>
      </c>
      <c r="C1545">
        <v>6801</v>
      </c>
    </row>
    <row r="1546" spans="1:3" ht="15" customHeight="1" x14ac:dyDescent="0.3">
      <c r="A1546" t="s">
        <v>149</v>
      </c>
      <c r="B1546" s="2">
        <v>46266</v>
      </c>
      <c r="C1546" s="47">
        <v>6058.46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hidden="1" customHeight="1" x14ac:dyDescent="0.3">
      <c r="A1579" t="s">
        <v>155</v>
      </c>
      <c r="B1579" s="2">
        <v>46174</v>
      </c>
    </row>
    <row r="1580" spans="1:3" ht="15" hidden="1" customHeight="1" x14ac:dyDescent="0.3">
      <c r="A1580" t="s">
        <v>145</v>
      </c>
      <c r="B1580" s="2">
        <v>46204</v>
      </c>
      <c r="C1580">
        <v>25915.636999999999</v>
      </c>
    </row>
    <row r="1581" spans="1:3" ht="15" hidden="1" customHeight="1" x14ac:dyDescent="0.3">
      <c r="A1581" t="s">
        <v>155</v>
      </c>
      <c r="B1581" s="2">
        <v>46235</v>
      </c>
    </row>
    <row r="1582" spans="1:3" ht="15" customHeight="1" x14ac:dyDescent="0.3">
      <c r="A1582" t="s">
        <v>155</v>
      </c>
      <c r="B1582" s="2">
        <v>46266</v>
      </c>
      <c r="C1582" s="47">
        <v>0</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hidden="1" customHeight="1" x14ac:dyDescent="0.3">
      <c r="A1615" t="s">
        <v>157</v>
      </c>
      <c r="B1615" s="2">
        <v>46174</v>
      </c>
      <c r="C1615">
        <v>3785</v>
      </c>
    </row>
    <row r="1616" spans="1:3" ht="15" hidden="1" customHeight="1" x14ac:dyDescent="0.3">
      <c r="A1616" t="s">
        <v>149</v>
      </c>
      <c r="B1616" s="2">
        <v>46204</v>
      </c>
      <c r="C1616">
        <v>6917</v>
      </c>
    </row>
    <row r="1617" spans="1:3" ht="15" hidden="1" customHeight="1" x14ac:dyDescent="0.3">
      <c r="A1617" t="s">
        <v>157</v>
      </c>
      <c r="B1617" s="2">
        <v>46235</v>
      </c>
      <c r="C1617">
        <v>5246</v>
      </c>
    </row>
    <row r="1618" spans="1:3" ht="15" customHeight="1" x14ac:dyDescent="0.3">
      <c r="A1618" t="s">
        <v>157</v>
      </c>
      <c r="B1618" s="2">
        <v>46266</v>
      </c>
      <c r="C1618" s="47">
        <v>4995.41</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hidden="1" customHeight="1" x14ac:dyDescent="0.3">
      <c r="A1651" t="s">
        <v>142</v>
      </c>
      <c r="B1651" s="2">
        <v>46174</v>
      </c>
      <c r="C1651" s="33">
        <v>3164</v>
      </c>
    </row>
    <row r="1652" spans="1:3" ht="15" hidden="1" customHeight="1" x14ac:dyDescent="0.3">
      <c r="A1652" t="s">
        <v>152</v>
      </c>
      <c r="B1652" s="2">
        <v>46204</v>
      </c>
      <c r="C1652">
        <v>6388</v>
      </c>
    </row>
    <row r="1653" spans="1:3" ht="15" hidden="1" customHeight="1" x14ac:dyDescent="0.3">
      <c r="A1653" t="s">
        <v>160</v>
      </c>
      <c r="B1653" s="2">
        <v>46235</v>
      </c>
      <c r="C1653">
        <v>18348</v>
      </c>
    </row>
    <row r="1654" spans="1:3" ht="15" customHeight="1" x14ac:dyDescent="0.3">
      <c r="A1654" t="s">
        <v>160</v>
      </c>
      <c r="B1654" s="2">
        <v>46266</v>
      </c>
      <c r="C1654" s="47">
        <v>16094</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hidden="1" customHeight="1" x14ac:dyDescent="0.3">
      <c r="A1687" t="s">
        <v>149</v>
      </c>
      <c r="B1687" s="2">
        <v>46174</v>
      </c>
      <c r="C1687" s="33">
        <v>5956</v>
      </c>
    </row>
    <row r="1688" spans="1:3" ht="15" hidden="1" customHeight="1" x14ac:dyDescent="0.3">
      <c r="A1688" t="s">
        <v>155</v>
      </c>
      <c r="B1688" s="2">
        <v>46204</v>
      </c>
      <c r="C1688">
        <v>0</v>
      </c>
    </row>
    <row r="1689" spans="1:3" ht="15" hidden="1" customHeight="1" x14ac:dyDescent="0.3">
      <c r="A1689" t="s">
        <v>213</v>
      </c>
      <c r="B1689" s="2">
        <v>46235</v>
      </c>
      <c r="C1689">
        <v>6659</v>
      </c>
    </row>
    <row r="1690" spans="1:3" ht="15" customHeight="1" x14ac:dyDescent="0.3">
      <c r="A1690" t="s">
        <v>213</v>
      </c>
      <c r="B1690" s="2">
        <v>46266</v>
      </c>
      <c r="C1690" s="47">
        <v>6939.4892900000004</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hidden="1" customHeight="1" x14ac:dyDescent="0.3">
      <c r="A1723" t="s">
        <v>216</v>
      </c>
      <c r="B1723" s="2">
        <v>46174</v>
      </c>
      <c r="C1723">
        <v>14035.5</v>
      </c>
    </row>
    <row r="1724" spans="1:3" ht="15" hidden="1" customHeight="1" x14ac:dyDescent="0.3">
      <c r="A1724" t="s">
        <v>157</v>
      </c>
      <c r="B1724" s="2">
        <v>46204</v>
      </c>
      <c r="C1724">
        <v>4628</v>
      </c>
    </row>
    <row r="1725" spans="1:3" ht="15" hidden="1" customHeight="1" x14ac:dyDescent="0.3">
      <c r="A1725" t="s">
        <v>216</v>
      </c>
      <c r="B1725" s="2">
        <v>46235</v>
      </c>
      <c r="C1725">
        <v>20112.53</v>
      </c>
    </row>
    <row r="1726" spans="1:3" ht="15" customHeight="1" x14ac:dyDescent="0.3">
      <c r="A1726" t="s">
        <v>216</v>
      </c>
      <c r="B1726" s="2">
        <v>46266</v>
      </c>
      <c r="C1726" s="47">
        <v>20045.689999999999</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hidden="1" customHeight="1" x14ac:dyDescent="0.3">
      <c r="A1759" t="s">
        <v>160</v>
      </c>
      <c r="B1759" s="2">
        <v>46174</v>
      </c>
      <c r="C1759">
        <v>13699</v>
      </c>
    </row>
    <row r="1760" spans="1:3" ht="15" hidden="1" customHeight="1" x14ac:dyDescent="0.3">
      <c r="A1760" t="s">
        <v>160</v>
      </c>
      <c r="B1760" s="2">
        <v>46204</v>
      </c>
      <c r="C1760">
        <v>16691</v>
      </c>
    </row>
    <row r="1761" spans="1:3" ht="15" hidden="1" customHeight="1" x14ac:dyDescent="0.3">
      <c r="A1761" t="s">
        <v>218</v>
      </c>
      <c r="B1761" s="2">
        <v>46235</v>
      </c>
      <c r="C1761">
        <v>2900</v>
      </c>
    </row>
    <row r="1762" spans="1:3" ht="15" customHeight="1" x14ac:dyDescent="0.3">
      <c r="A1762" t="s">
        <v>218</v>
      </c>
      <c r="B1762" s="2">
        <v>46266</v>
      </c>
      <c r="C1762" s="47">
        <v>6579.8013199999996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hidden="1" customHeight="1" x14ac:dyDescent="0.3">
      <c r="A1795" t="s">
        <v>163</v>
      </c>
      <c r="B1795" s="2">
        <v>46174</v>
      </c>
    </row>
    <row r="1796" spans="1:3" ht="15" hidden="1" customHeight="1" x14ac:dyDescent="0.3">
      <c r="A1796" t="s">
        <v>244</v>
      </c>
      <c r="B1796" s="2">
        <v>46204</v>
      </c>
      <c r="C1796">
        <v>10570</v>
      </c>
    </row>
    <row r="1797" spans="1:3" ht="15" hidden="1" customHeight="1" x14ac:dyDescent="0.3">
      <c r="A1797" t="s">
        <v>163</v>
      </c>
      <c r="B1797" s="2">
        <v>46235</v>
      </c>
    </row>
    <row r="1798" spans="1:3" ht="15" customHeight="1" x14ac:dyDescent="0.3">
      <c r="A1798" t="s">
        <v>163</v>
      </c>
      <c r="B1798" s="2">
        <v>46266</v>
      </c>
      <c r="C1798" s="47"/>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hidden="1" customHeight="1" x14ac:dyDescent="0.3">
      <c r="A1831" t="s">
        <v>166</v>
      </c>
      <c r="B1831" s="2">
        <v>46174</v>
      </c>
      <c r="C1831">
        <v>11089</v>
      </c>
    </row>
    <row r="1832" spans="1:3" ht="15" hidden="1" customHeight="1" x14ac:dyDescent="0.3">
      <c r="A1832" t="s">
        <v>163</v>
      </c>
      <c r="B1832" s="2">
        <v>46204</v>
      </c>
      <c r="C1832">
        <v>0</v>
      </c>
    </row>
    <row r="1833" spans="1:3" ht="15" hidden="1" customHeight="1" x14ac:dyDescent="0.3">
      <c r="A1833" t="s">
        <v>166</v>
      </c>
      <c r="B1833" s="2">
        <v>46235</v>
      </c>
      <c r="C1833">
        <v>13852</v>
      </c>
    </row>
    <row r="1834" spans="1:3" ht="15" customHeight="1" x14ac:dyDescent="0.3">
      <c r="A1834" t="s">
        <v>166</v>
      </c>
      <c r="B1834" s="2">
        <v>46266</v>
      </c>
      <c r="C1834" s="47">
        <v>13027.93</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hidden="1" customHeight="1" x14ac:dyDescent="0.3">
      <c r="A1867" t="s">
        <v>169</v>
      </c>
      <c r="B1867" s="2">
        <v>46174</v>
      </c>
      <c r="C1867">
        <v>1100</v>
      </c>
    </row>
    <row r="1868" spans="1:3" ht="15" hidden="1" customHeight="1" x14ac:dyDescent="0.3">
      <c r="A1868" t="s">
        <v>166</v>
      </c>
      <c r="B1868" s="2">
        <v>46204</v>
      </c>
      <c r="C1868">
        <v>12059</v>
      </c>
    </row>
    <row r="1869" spans="1:3" ht="15" hidden="1" customHeight="1" x14ac:dyDescent="0.3">
      <c r="A1869" t="s">
        <v>169</v>
      </c>
      <c r="B1869" s="2">
        <v>46235</v>
      </c>
      <c r="C1869">
        <v>1071</v>
      </c>
    </row>
    <row r="1870" spans="1:3" ht="15" customHeight="1" x14ac:dyDescent="0.3">
      <c r="A1870" t="s">
        <v>169</v>
      </c>
      <c r="B1870" s="2">
        <v>46266</v>
      </c>
      <c r="C1870" s="47">
        <v>1290.9100000000001</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hidden="1" customHeight="1" x14ac:dyDescent="0.3">
      <c r="A1903" t="s">
        <v>171</v>
      </c>
      <c r="B1903" s="2">
        <v>46174</v>
      </c>
      <c r="C1903">
        <v>6442</v>
      </c>
    </row>
    <row r="1904" spans="1:3" ht="15" hidden="1" customHeight="1" x14ac:dyDescent="0.3">
      <c r="A1904" t="s">
        <v>169</v>
      </c>
      <c r="B1904" s="2">
        <v>46204</v>
      </c>
      <c r="C1904">
        <v>1098</v>
      </c>
    </row>
    <row r="1905" spans="1:3" ht="15" hidden="1" customHeight="1" x14ac:dyDescent="0.3">
      <c r="A1905" t="s">
        <v>171</v>
      </c>
      <c r="B1905" s="2">
        <v>46235</v>
      </c>
      <c r="C1905">
        <v>8202</v>
      </c>
    </row>
    <row r="1906" spans="1:3" ht="15" customHeight="1" x14ac:dyDescent="0.3">
      <c r="A1906" t="s">
        <v>171</v>
      </c>
      <c r="B1906" s="2">
        <v>46266</v>
      </c>
      <c r="C1906" s="47">
        <v>7731.86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hidden="1" customHeight="1" x14ac:dyDescent="0.3">
      <c r="A1939" t="s">
        <v>172</v>
      </c>
      <c r="B1939" s="2">
        <v>46174</v>
      </c>
      <c r="C1939">
        <v>7190.68</v>
      </c>
    </row>
    <row r="1940" spans="1:3" ht="15" hidden="1" customHeight="1" x14ac:dyDescent="0.3">
      <c r="A1940" t="s">
        <v>171</v>
      </c>
      <c r="B1940" s="2">
        <v>46204</v>
      </c>
      <c r="C1940">
        <v>6823</v>
      </c>
    </row>
    <row r="1941" spans="1:3" ht="15" hidden="1" customHeight="1" x14ac:dyDescent="0.3">
      <c r="A1941" t="s">
        <v>172</v>
      </c>
      <c r="B1941" s="2">
        <v>46235</v>
      </c>
      <c r="C1941">
        <v>9679.5108</v>
      </c>
    </row>
    <row r="1942" spans="1:3" ht="15" customHeight="1" x14ac:dyDescent="0.3">
      <c r="A1942" t="s">
        <v>172</v>
      </c>
      <c r="B1942" s="2">
        <v>46266</v>
      </c>
      <c r="C1942" s="47">
        <v>8602.5565999999999</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hidden="1" customHeight="1" x14ac:dyDescent="0.3">
      <c r="A1975" t="s">
        <v>177</v>
      </c>
      <c r="B1975" s="2">
        <v>46174</v>
      </c>
      <c r="C1975">
        <v>2882</v>
      </c>
    </row>
    <row r="1976" spans="1:3" ht="15" hidden="1" customHeight="1" x14ac:dyDescent="0.3">
      <c r="A1976" t="s">
        <v>172</v>
      </c>
      <c r="B1976" s="2">
        <v>46204</v>
      </c>
      <c r="C1976">
        <v>6825.8941000000004</v>
      </c>
    </row>
    <row r="1977" spans="1:3" ht="15" hidden="1" customHeight="1" x14ac:dyDescent="0.3">
      <c r="A1977" t="s">
        <v>177</v>
      </c>
      <c r="B1977" s="2">
        <v>46235</v>
      </c>
      <c r="C1977">
        <v>3905</v>
      </c>
    </row>
    <row r="1978" spans="1:3" ht="15" customHeight="1" x14ac:dyDescent="0.3">
      <c r="A1978" t="s">
        <v>177</v>
      </c>
      <c r="B1978" s="2">
        <v>46266</v>
      </c>
      <c r="C1978" s="47">
        <v>3972.39</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hidden="1" customHeight="1" x14ac:dyDescent="0.3">
      <c r="A2011" t="s">
        <v>265</v>
      </c>
      <c r="B2011" s="2">
        <v>46174</v>
      </c>
    </row>
    <row r="2012" spans="1:3" ht="15" hidden="1" customHeight="1" x14ac:dyDescent="0.3">
      <c r="A2012" t="s">
        <v>265</v>
      </c>
      <c r="B2012" s="2">
        <v>46204</v>
      </c>
      <c r="C2012">
        <v>0</v>
      </c>
    </row>
    <row r="2013" spans="1:3" ht="15" hidden="1" customHeight="1" x14ac:dyDescent="0.3">
      <c r="A2013" t="s">
        <v>265</v>
      </c>
      <c r="B2013" s="2">
        <v>46235</v>
      </c>
    </row>
    <row r="2014" spans="1:3" ht="15" customHeight="1" x14ac:dyDescent="0.3">
      <c r="A2014" t="s">
        <v>265</v>
      </c>
      <c r="B2014" s="2">
        <v>46266</v>
      </c>
      <c r="C2014" s="47">
        <v>0</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hidden="1" customHeight="1" x14ac:dyDescent="0.3">
      <c r="A2047" t="s">
        <v>180</v>
      </c>
      <c r="B2047" s="2">
        <v>46174</v>
      </c>
      <c r="C2047">
        <v>12252.53</v>
      </c>
    </row>
    <row r="2048" spans="1:3" ht="15" hidden="1" customHeight="1" x14ac:dyDescent="0.3">
      <c r="A2048" t="s">
        <v>177</v>
      </c>
      <c r="B2048" s="2">
        <v>46204</v>
      </c>
      <c r="C2048">
        <v>2926.66</v>
      </c>
    </row>
    <row r="2049" spans="1:3" ht="15" hidden="1" customHeight="1" x14ac:dyDescent="0.3">
      <c r="A2049" t="s">
        <v>180</v>
      </c>
      <c r="B2049" s="2">
        <v>46235</v>
      </c>
      <c r="C2049">
        <v>17067.580000000002</v>
      </c>
    </row>
    <row r="2050" spans="1:3" ht="15" customHeight="1" x14ac:dyDescent="0.3">
      <c r="A2050" t="s">
        <v>180</v>
      </c>
      <c r="B2050" s="2">
        <v>46266</v>
      </c>
      <c r="C2050" s="47">
        <v>18587.259999999998</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hidden="1" customHeight="1" x14ac:dyDescent="0.3">
      <c r="A2083" t="s">
        <v>241</v>
      </c>
      <c r="B2083" s="2">
        <v>46174</v>
      </c>
      <c r="C2083">
        <v>12264.7</v>
      </c>
    </row>
    <row r="2084" spans="1:3" ht="15" hidden="1" customHeight="1" x14ac:dyDescent="0.3">
      <c r="A2084" t="s">
        <v>180</v>
      </c>
      <c r="B2084" s="2">
        <v>46204</v>
      </c>
      <c r="C2084">
        <v>13658</v>
      </c>
    </row>
    <row r="2085" spans="1:3" ht="15" hidden="1" customHeight="1" x14ac:dyDescent="0.3">
      <c r="A2085" t="s">
        <v>241</v>
      </c>
      <c r="B2085" s="2">
        <v>46235</v>
      </c>
      <c r="C2085">
        <v>16951.843000000001</v>
      </c>
    </row>
    <row r="2086" spans="1:3" ht="15" customHeight="1" x14ac:dyDescent="0.3">
      <c r="A2086" t="s">
        <v>241</v>
      </c>
      <c r="B2086" s="2">
        <v>46266</v>
      </c>
      <c r="C2086" s="47">
        <v>20723.336220000001</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hidden="1" customHeight="1" x14ac:dyDescent="0.3">
      <c r="A2119" t="s">
        <v>182</v>
      </c>
      <c r="B2119" s="2">
        <v>46174</v>
      </c>
      <c r="C2119">
        <v>6213.16</v>
      </c>
    </row>
    <row r="2120" spans="1:3" ht="15" hidden="1" customHeight="1" x14ac:dyDescent="0.3">
      <c r="A2120" t="s">
        <v>241</v>
      </c>
      <c r="B2120" s="2">
        <v>46204</v>
      </c>
      <c r="C2120">
        <v>11339.6067</v>
      </c>
    </row>
    <row r="2121" spans="1:3" ht="15" hidden="1" customHeight="1" x14ac:dyDescent="0.3">
      <c r="A2121" t="s">
        <v>182</v>
      </c>
      <c r="B2121" s="2">
        <v>46235</v>
      </c>
      <c r="C2121">
        <v>9821.36</v>
      </c>
    </row>
    <row r="2122" spans="1:3" ht="15" customHeight="1" x14ac:dyDescent="0.3">
      <c r="A2122" t="s">
        <v>182</v>
      </c>
      <c r="B2122" s="2">
        <v>46266</v>
      </c>
      <c r="C2122" s="47">
        <v>11626.59</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hidden="1" customHeight="1" x14ac:dyDescent="0.3">
      <c r="A2155" t="s">
        <v>184</v>
      </c>
      <c r="B2155" s="2">
        <v>46174</v>
      </c>
      <c r="C2155">
        <v>14774.05</v>
      </c>
    </row>
    <row r="2156" spans="1:3" ht="15" hidden="1" customHeight="1" x14ac:dyDescent="0.3">
      <c r="A2156" t="s">
        <v>182</v>
      </c>
      <c r="B2156" s="2">
        <v>46204</v>
      </c>
      <c r="C2156">
        <v>6980.78</v>
      </c>
    </row>
    <row r="2157" spans="1:3" ht="15" hidden="1" customHeight="1" x14ac:dyDescent="0.3">
      <c r="A2157" t="s">
        <v>184</v>
      </c>
      <c r="B2157" s="2">
        <v>46235</v>
      </c>
      <c r="C2157">
        <v>21703.83</v>
      </c>
    </row>
    <row r="2158" spans="1:3" ht="15" customHeight="1" x14ac:dyDescent="0.3">
      <c r="A2158" t="s">
        <v>184</v>
      </c>
      <c r="B2158" s="2">
        <v>46266</v>
      </c>
      <c r="C2158" s="47">
        <v>20441.04</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hidden="1" customHeight="1" x14ac:dyDescent="0.3">
      <c r="A2191" t="s">
        <v>186</v>
      </c>
      <c r="B2191" s="2">
        <v>46174</v>
      </c>
      <c r="C2191">
        <v>14983.63</v>
      </c>
    </row>
    <row r="2192" spans="1:3" ht="15" hidden="1" customHeight="1" x14ac:dyDescent="0.3">
      <c r="A2192" t="s">
        <v>184</v>
      </c>
      <c r="B2192" s="2">
        <v>46204</v>
      </c>
      <c r="C2192">
        <v>17814.88</v>
      </c>
    </row>
    <row r="2193" spans="1:3" ht="15" hidden="1" customHeight="1" x14ac:dyDescent="0.3">
      <c r="A2193" t="s">
        <v>186</v>
      </c>
      <c r="B2193" s="2">
        <v>46235</v>
      </c>
      <c r="C2193">
        <v>20218.59</v>
      </c>
    </row>
    <row r="2194" spans="1:3" ht="15" customHeight="1" x14ac:dyDescent="0.3">
      <c r="A2194" t="s">
        <v>186</v>
      </c>
      <c r="B2194" s="2">
        <v>46266</v>
      </c>
      <c r="C2194" s="47">
        <v>17902.21</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hidden="1" customHeight="1" x14ac:dyDescent="0.3">
      <c r="A2227" t="s">
        <v>188</v>
      </c>
      <c r="B2227" s="2">
        <v>46174</v>
      </c>
      <c r="C2227">
        <v>10711.09</v>
      </c>
    </row>
    <row r="2228" spans="1:3" ht="15" hidden="1" customHeight="1" x14ac:dyDescent="0.3">
      <c r="A2228" t="s">
        <v>186</v>
      </c>
      <c r="B2228" s="2">
        <v>46204</v>
      </c>
      <c r="C2228">
        <v>18234</v>
      </c>
    </row>
    <row r="2229" spans="1:3" ht="15" hidden="1" customHeight="1" x14ac:dyDescent="0.3">
      <c r="A2229" t="s">
        <v>188</v>
      </c>
      <c r="B2229" s="2">
        <v>46235</v>
      </c>
      <c r="C2229">
        <v>14997.19</v>
      </c>
    </row>
    <row r="2230" spans="1:3" ht="15" customHeight="1" x14ac:dyDescent="0.3">
      <c r="A2230" t="s">
        <v>188</v>
      </c>
      <c r="B2230" s="2">
        <v>46266</v>
      </c>
      <c r="C2230" s="47">
        <v>15845.86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hidden="1" customHeight="1" x14ac:dyDescent="0.3">
      <c r="A2263" t="s">
        <v>226</v>
      </c>
      <c r="B2263" s="2">
        <v>46174</v>
      </c>
      <c r="C2263">
        <v>17006.73</v>
      </c>
    </row>
    <row r="2264" spans="1:3" ht="15" hidden="1" customHeight="1" x14ac:dyDescent="0.3">
      <c r="A2264" t="s">
        <v>188</v>
      </c>
      <c r="B2264" s="2">
        <v>46204</v>
      </c>
      <c r="C2264">
        <v>9106.9599999999991</v>
      </c>
    </row>
    <row r="2265" spans="1:3" ht="15" hidden="1" customHeight="1" x14ac:dyDescent="0.3">
      <c r="A2265" t="s">
        <v>226</v>
      </c>
      <c r="B2265" s="2">
        <v>46235</v>
      </c>
      <c r="C2265">
        <v>22467.353999999999</v>
      </c>
    </row>
    <row r="2266" spans="1:3" ht="15" customHeight="1" x14ac:dyDescent="0.3">
      <c r="A2266" t="s">
        <v>226</v>
      </c>
      <c r="B2266" s="2">
        <v>46266</v>
      </c>
      <c r="C2266" s="47">
        <v>21057.6623</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hidden="1" customHeight="1" x14ac:dyDescent="0.3">
      <c r="A2299" t="s">
        <v>208</v>
      </c>
      <c r="B2299" s="2">
        <v>46174</v>
      </c>
      <c r="C2299">
        <v>9082.64</v>
      </c>
    </row>
    <row r="2300" spans="1:3" ht="15" hidden="1" customHeight="1" x14ac:dyDescent="0.3">
      <c r="A2300" t="s">
        <v>226</v>
      </c>
      <c r="B2300" s="2">
        <v>46204</v>
      </c>
      <c r="C2300">
        <v>17999.1711</v>
      </c>
    </row>
    <row r="2301" spans="1:3" ht="15" hidden="1" customHeight="1" x14ac:dyDescent="0.3">
      <c r="A2301" t="s">
        <v>208</v>
      </c>
      <c r="B2301" s="2">
        <v>46235</v>
      </c>
      <c r="C2301">
        <v>11233.53</v>
      </c>
    </row>
    <row r="2302" spans="1:3" ht="15" customHeight="1" x14ac:dyDescent="0.3">
      <c r="A2302" t="s">
        <v>208</v>
      </c>
      <c r="B2302" s="2">
        <v>46266</v>
      </c>
      <c r="C2302" s="47">
        <v>11994.93</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hidden="1" customHeight="1" x14ac:dyDescent="0.3">
      <c r="A2335" t="s">
        <v>190</v>
      </c>
      <c r="B2335" s="2">
        <v>46174</v>
      </c>
      <c r="C2335">
        <v>9053</v>
      </c>
    </row>
    <row r="2336" spans="1:3" ht="15" hidden="1" customHeight="1" x14ac:dyDescent="0.3">
      <c r="A2336" t="s">
        <v>208</v>
      </c>
      <c r="B2336" s="2">
        <v>46204</v>
      </c>
      <c r="C2336">
        <v>7916.06</v>
      </c>
    </row>
    <row r="2337" spans="1:3" ht="15" hidden="1" customHeight="1" x14ac:dyDescent="0.3">
      <c r="A2337" t="s">
        <v>190</v>
      </c>
      <c r="B2337" s="2">
        <v>46235</v>
      </c>
      <c r="C2337">
        <v>9565</v>
      </c>
    </row>
    <row r="2338" spans="1:3" ht="15" customHeight="1" x14ac:dyDescent="0.3">
      <c r="A2338" t="s">
        <v>190</v>
      </c>
      <c r="B2338" s="2">
        <v>46266</v>
      </c>
      <c r="C2338" s="47">
        <v>7250.71</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hidden="1" customHeight="1" x14ac:dyDescent="0.3">
      <c r="A2371" t="s">
        <v>199</v>
      </c>
      <c r="B2371" s="2">
        <v>46174</v>
      </c>
      <c r="C2371">
        <v>1788</v>
      </c>
    </row>
    <row r="2372" spans="1:3" ht="15" hidden="1" customHeight="1" x14ac:dyDescent="0.3">
      <c r="A2372" t="s">
        <v>190</v>
      </c>
      <c r="B2372" s="2">
        <v>46204</v>
      </c>
      <c r="C2372">
        <v>9713.4699999999993</v>
      </c>
    </row>
    <row r="2373" spans="1:3" ht="15" hidden="1" customHeight="1" x14ac:dyDescent="0.3">
      <c r="A2373" t="s">
        <v>199</v>
      </c>
      <c r="B2373" s="2">
        <v>46235</v>
      </c>
      <c r="C2373">
        <v>3050</v>
      </c>
    </row>
    <row r="2374" spans="1:3" ht="15" customHeight="1" x14ac:dyDescent="0.3">
      <c r="A2374" t="s">
        <v>199</v>
      </c>
      <c r="B2374" s="2">
        <v>46266</v>
      </c>
      <c r="C2374" s="47">
        <v>2619.92</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hidden="1" customHeight="1" x14ac:dyDescent="0.3">
      <c r="A2407" t="s">
        <v>192</v>
      </c>
      <c r="B2407" s="2">
        <v>46174</v>
      </c>
    </row>
    <row r="2408" spans="1:3" ht="15" hidden="1" customHeight="1" x14ac:dyDescent="0.3">
      <c r="A2408" t="s">
        <v>213</v>
      </c>
      <c r="B2408" s="2">
        <v>46204</v>
      </c>
      <c r="C2408">
        <v>2899</v>
      </c>
    </row>
    <row r="2409" spans="1:3" ht="15" hidden="1" customHeight="1" x14ac:dyDescent="0.3">
      <c r="A2409" t="s">
        <v>192</v>
      </c>
      <c r="B2409" s="2">
        <v>46235</v>
      </c>
    </row>
    <row r="2410" spans="1:3" ht="15" customHeight="1" x14ac:dyDescent="0.3">
      <c r="A2410" t="s">
        <v>192</v>
      </c>
      <c r="B2410" s="2">
        <v>46266</v>
      </c>
      <c r="C2410" s="47"/>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hidden="1" customHeight="1" x14ac:dyDescent="0.3">
      <c r="A2443" t="s">
        <v>213</v>
      </c>
      <c r="B2443" s="2">
        <v>46174</v>
      </c>
      <c r="C2443">
        <v>4726</v>
      </c>
    </row>
    <row r="2444" spans="1:3" ht="15" hidden="1" customHeight="1" x14ac:dyDescent="0.3">
      <c r="A2444" t="s">
        <v>216</v>
      </c>
      <c r="B2444" s="2">
        <v>46204</v>
      </c>
      <c r="C2444">
        <v>10206</v>
      </c>
    </row>
    <row r="2445" spans="1:3" ht="15" hidden="1" customHeight="1" x14ac:dyDescent="0.3">
      <c r="A2445" t="s">
        <v>194</v>
      </c>
      <c r="B2445" s="2">
        <v>46235</v>
      </c>
      <c r="C2445">
        <v>3881</v>
      </c>
    </row>
    <row r="2446" spans="1:3" ht="15" customHeight="1" x14ac:dyDescent="0.3">
      <c r="A2446" t="s">
        <v>194</v>
      </c>
      <c r="B2446" s="2">
        <v>46266</v>
      </c>
      <c r="C2446" s="47">
        <v>4853.26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hidden="1" customHeight="1" x14ac:dyDescent="0.3">
      <c r="A2479" t="s">
        <v>196</v>
      </c>
      <c r="B2479" s="2">
        <v>46174</v>
      </c>
      <c r="C2479">
        <v>3015</v>
      </c>
    </row>
    <row r="2480" spans="1:3" ht="15" hidden="1" customHeight="1" x14ac:dyDescent="0.3">
      <c r="A2480" t="s">
        <v>218</v>
      </c>
      <c r="B2480" s="2">
        <v>46204</v>
      </c>
      <c r="C2480">
        <v>4951</v>
      </c>
    </row>
    <row r="2481" spans="1:3" ht="15" hidden="1" customHeight="1" x14ac:dyDescent="0.3">
      <c r="A2481" t="s">
        <v>196</v>
      </c>
      <c r="B2481" s="2">
        <v>46235</v>
      </c>
      <c r="C2481">
        <v>3769</v>
      </c>
    </row>
    <row r="2482" spans="1:3" ht="15" customHeight="1" x14ac:dyDescent="0.3">
      <c r="A2482" t="s">
        <v>196</v>
      </c>
      <c r="B2482" s="2">
        <v>46266</v>
      </c>
      <c r="C2482" s="47">
        <v>3170.27</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hidden="1" customHeight="1" x14ac:dyDescent="0.3">
      <c r="A2515" t="s">
        <v>201</v>
      </c>
      <c r="B2515" s="2">
        <v>46174</v>
      </c>
      <c r="C2515">
        <v>8126</v>
      </c>
    </row>
    <row r="2516" spans="1:3" ht="15" hidden="1" customHeight="1" x14ac:dyDescent="0.3">
      <c r="A2516" t="s">
        <v>192</v>
      </c>
      <c r="B2516" s="2">
        <v>46204</v>
      </c>
      <c r="C2516">
        <v>0</v>
      </c>
    </row>
    <row r="2517" spans="1:3" ht="15" hidden="1" customHeight="1" x14ac:dyDescent="0.3">
      <c r="A2517" t="s">
        <v>201</v>
      </c>
      <c r="B2517" s="2">
        <v>46235</v>
      </c>
      <c r="C2517">
        <v>11112</v>
      </c>
    </row>
    <row r="2518" spans="1:3" ht="15" customHeight="1" x14ac:dyDescent="0.3">
      <c r="A2518" t="s">
        <v>201</v>
      </c>
      <c r="B2518" s="2">
        <v>46266</v>
      </c>
      <c r="C2518" s="47">
        <v>10023.98</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hidden="1" customHeight="1" x14ac:dyDescent="0.3">
      <c r="A2551" t="s">
        <v>211</v>
      </c>
      <c r="B2551" s="2">
        <v>46174</v>
      </c>
      <c r="C2551">
        <v>1921.8</v>
      </c>
    </row>
    <row r="2552" spans="1:3" ht="15" hidden="1" customHeight="1" x14ac:dyDescent="0.3">
      <c r="A2552" t="s">
        <v>194</v>
      </c>
      <c r="B2552" s="2">
        <v>46204</v>
      </c>
      <c r="C2552">
        <v>2690</v>
      </c>
    </row>
    <row r="2553" spans="1:3" ht="15" hidden="1" customHeight="1" x14ac:dyDescent="0.3">
      <c r="A2553" t="s">
        <v>211</v>
      </c>
      <c r="B2553" s="2">
        <v>46235</v>
      </c>
      <c r="C2553">
        <v>4145</v>
      </c>
    </row>
    <row r="2554" spans="1:3" ht="15" customHeight="1" x14ac:dyDescent="0.3">
      <c r="A2554" t="s">
        <v>211</v>
      </c>
      <c r="B2554" s="2">
        <v>46266</v>
      </c>
      <c r="C2554" s="47">
        <v>3820.9749139999999</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hidden="1" customHeight="1" x14ac:dyDescent="0.3">
      <c r="A2587" t="s">
        <v>218</v>
      </c>
      <c r="B2587" s="2">
        <v>46174</v>
      </c>
      <c r="C2587">
        <v>4827</v>
      </c>
    </row>
    <row r="2588" spans="1:3" ht="15" hidden="1" customHeight="1" x14ac:dyDescent="0.3">
      <c r="A2588" t="s">
        <v>196</v>
      </c>
      <c r="B2588" s="2">
        <v>46204</v>
      </c>
      <c r="C2588">
        <v>3037</v>
      </c>
    </row>
    <row r="2589" spans="1:3" ht="15" hidden="1" customHeight="1" x14ac:dyDescent="0.3">
      <c r="A2589" t="s">
        <v>202</v>
      </c>
      <c r="B2589" s="2">
        <v>46235</v>
      </c>
      <c r="C2589">
        <v>18697</v>
      </c>
    </row>
    <row r="2590" spans="1:3" ht="15" customHeight="1" x14ac:dyDescent="0.3">
      <c r="A2590" t="s">
        <v>202</v>
      </c>
      <c r="B2590" s="2">
        <v>46266</v>
      </c>
      <c r="C2590" s="47">
        <v>19614.48</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hidden="1" customHeight="1" x14ac:dyDescent="0.3">
      <c r="A2623" t="s">
        <v>206</v>
      </c>
      <c r="B2623" s="2">
        <v>46174</v>
      </c>
      <c r="C2623">
        <v>0</v>
      </c>
    </row>
    <row r="2624" spans="1:3" ht="15" hidden="1" customHeight="1" x14ac:dyDescent="0.3">
      <c r="A2624" t="s">
        <v>1013</v>
      </c>
      <c r="B2624" s="2">
        <v>46204</v>
      </c>
      <c r="C2624">
        <v>10958.825586000001</v>
      </c>
    </row>
    <row r="2625" spans="1:3" ht="15" hidden="1" customHeight="1" x14ac:dyDescent="0.3">
      <c r="A2625" t="s">
        <v>206</v>
      </c>
      <c r="B2625" s="2">
        <v>46235</v>
      </c>
    </row>
    <row r="2626" spans="1:3" x14ac:dyDescent="0.3">
      <c r="A2626" t="s">
        <v>206</v>
      </c>
      <c r="B2626" s="2">
        <v>46266</v>
      </c>
      <c r="C2626" s="47"/>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hidden="1" x14ac:dyDescent="0.3">
      <c r="A2663" t="s">
        <v>194</v>
      </c>
      <c r="B2663" s="2">
        <v>46174</v>
      </c>
      <c r="C2663">
        <v>2444</v>
      </c>
    </row>
    <row r="2664" spans="1:3" hidden="1" x14ac:dyDescent="0.3">
      <c r="A2664" t="s">
        <v>199</v>
      </c>
      <c r="B2664" s="2">
        <v>46204</v>
      </c>
      <c r="C2664">
        <v>2200.69</v>
      </c>
    </row>
    <row r="2665" spans="1:3" hidden="1" x14ac:dyDescent="0.3">
      <c r="A2665" t="s">
        <v>271</v>
      </c>
      <c r="B2665" s="2">
        <v>46235</v>
      </c>
      <c r="C2665">
        <v>14833.727999999999</v>
      </c>
    </row>
    <row r="2666" spans="1:3" x14ac:dyDescent="0.3">
      <c r="A2666" t="s">
        <v>271</v>
      </c>
      <c r="B2666" s="2">
        <v>46266</v>
      </c>
      <c r="C2666" s="47">
        <v>12896.9249</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hidden="1" x14ac:dyDescent="0.3">
      <c r="A2698" t="s">
        <v>202</v>
      </c>
      <c r="B2698" s="2">
        <v>46174</v>
      </c>
      <c r="C2698">
        <v>11655</v>
      </c>
    </row>
    <row r="2699" spans="1:3" hidden="1" x14ac:dyDescent="0.3">
      <c r="A2699" t="s">
        <v>201</v>
      </c>
      <c r="B2699" s="2">
        <v>46204</v>
      </c>
      <c r="C2699">
        <v>9893.59</v>
      </c>
    </row>
    <row r="2700" spans="1:3" hidden="1" x14ac:dyDescent="0.3">
      <c r="A2700" t="s">
        <v>250</v>
      </c>
      <c r="B2700" s="2">
        <v>46235</v>
      </c>
      <c r="C2700">
        <v>29161</v>
      </c>
    </row>
    <row r="2701" spans="1:3" x14ac:dyDescent="0.3">
      <c r="A2701" t="s">
        <v>250</v>
      </c>
      <c r="B2701" s="2">
        <v>46266</v>
      </c>
      <c r="C2701" s="47">
        <v>21788</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hidden="1" x14ac:dyDescent="0.3">
      <c r="A2709" t="s">
        <v>251</v>
      </c>
      <c r="B2709" s="2">
        <v>46235</v>
      </c>
      <c r="C2709">
        <v>19960.113000000001</v>
      </c>
    </row>
    <row r="2710" spans="1:3" hidden="1" x14ac:dyDescent="0.3">
      <c r="A2710" t="s">
        <v>244</v>
      </c>
      <c r="B2710" s="2">
        <v>46235</v>
      </c>
      <c r="C2710">
        <v>9230</v>
      </c>
    </row>
    <row r="2711" spans="1:3" hidden="1" x14ac:dyDescent="0.3">
      <c r="A2711" t="s">
        <v>1013</v>
      </c>
      <c r="B2711" s="2">
        <v>46235</v>
      </c>
      <c r="C2711">
        <v>13767.458000000001</v>
      </c>
    </row>
    <row r="2712" spans="1:3" hidden="1" x14ac:dyDescent="0.3">
      <c r="A2712" t="s">
        <v>1004</v>
      </c>
      <c r="B2712" s="2">
        <v>46235</v>
      </c>
      <c r="C2712">
        <v>4246.9290000000001</v>
      </c>
    </row>
    <row r="2713" spans="1:3" hidden="1" x14ac:dyDescent="0.3">
      <c r="A2713" t="s">
        <v>1002</v>
      </c>
      <c r="B2713" s="2">
        <v>46235</v>
      </c>
      <c r="C2713">
        <v>15700</v>
      </c>
    </row>
    <row r="2714" spans="1:3" hidden="1" x14ac:dyDescent="0.3">
      <c r="A2714" t="s">
        <v>1003</v>
      </c>
      <c r="B2714" s="2">
        <v>46235</v>
      </c>
      <c r="C2714">
        <v>8306.7484000000004</v>
      </c>
    </row>
    <row r="2715" spans="1:3" hidden="1" x14ac:dyDescent="0.3">
      <c r="A2715" t="s">
        <v>244</v>
      </c>
      <c r="B2715" s="2">
        <v>46174</v>
      </c>
      <c r="C2715">
        <v>10720</v>
      </c>
    </row>
    <row r="2716" spans="1:3" hidden="1" x14ac:dyDescent="0.3">
      <c r="A2716" t="s">
        <v>251</v>
      </c>
      <c r="B2716" s="2">
        <v>46174</v>
      </c>
      <c r="C2716">
        <v>14172</v>
      </c>
    </row>
    <row r="2717" spans="1:3" x14ac:dyDescent="0.3">
      <c r="A2717" t="s">
        <v>251</v>
      </c>
      <c r="B2717" s="2">
        <v>46266</v>
      </c>
      <c r="C2717" s="47">
        <v>18541.739600000001</v>
      </c>
    </row>
    <row r="2718" spans="1:3" x14ac:dyDescent="0.3">
      <c r="A2718" t="s">
        <v>244</v>
      </c>
      <c r="B2718" s="2">
        <v>46266</v>
      </c>
      <c r="C2718" s="47">
        <v>11370</v>
      </c>
    </row>
    <row r="2719" spans="1:3" x14ac:dyDescent="0.3">
      <c r="A2719" t="s">
        <v>1013</v>
      </c>
      <c r="B2719" s="2">
        <v>46266</v>
      </c>
      <c r="C2719" s="47">
        <v>12209.506600000001</v>
      </c>
    </row>
    <row r="2720" spans="1:3" x14ac:dyDescent="0.3">
      <c r="A2720" t="s">
        <v>1004</v>
      </c>
      <c r="B2720" s="2">
        <v>46266</v>
      </c>
      <c r="C2720" s="47">
        <v>4005.8959</v>
      </c>
    </row>
    <row r="2721" spans="1:3" x14ac:dyDescent="0.3">
      <c r="A2721" t="s">
        <v>1002</v>
      </c>
      <c r="B2721" s="2">
        <v>46266</v>
      </c>
      <c r="C2721" s="47">
        <v>13165.4802</v>
      </c>
    </row>
    <row r="2722" spans="1:3" x14ac:dyDescent="0.3">
      <c r="A2722" t="s">
        <v>1003</v>
      </c>
      <c r="B2722" s="2">
        <v>46266</v>
      </c>
      <c r="C2722" s="47">
        <v>14788.0946</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4"/>
  <sheetViews>
    <sheetView zoomScaleNormal="100" workbookViewId="0">
      <pane xSplit="1" ySplit="1" topLeftCell="B2" activePane="bottomRight" state="frozen"/>
      <selection pane="topRight" activeCell="B1" sqref="B1"/>
      <selection pane="bottomLeft" activeCell="A2" sqref="A2"/>
      <selection pane="bottomRight" activeCell="F85" sqref="F85"/>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7"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7"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c r="Q2">
        <v>2027</v>
      </c>
    </row>
    <row r="3" spans="1:17"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7"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7"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7"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7"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7"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7"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7"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7"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7"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7"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7"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7"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7"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109</v>
      </c>
      <c r="B23">
        <v>0.9</v>
      </c>
      <c r="C23" s="5">
        <f>Table4[[#This Row],[Jan]]*$B23</f>
        <v>4235.4000000000005</v>
      </c>
      <c r="D23" s="5">
        <f>Table4[[#This Row],[Feb]]*$B23</f>
        <v>3699</v>
      </c>
      <c r="E23" s="5">
        <f>Table4[[#This Row],[Mar]]*$B23</f>
        <v>3788.1</v>
      </c>
      <c r="F23" s="5">
        <f>Table4[[#This Row],[Apr]]*$B23</f>
        <v>3184.2000000000003</v>
      </c>
      <c r="G23" s="5">
        <f>Table4[[#This Row],[May]]*$B23</f>
        <v>3052.8</v>
      </c>
      <c r="H23" s="5">
        <f>Table4[[#This Row],[Jun]]*$B23</f>
        <v>2752.2000000000003</v>
      </c>
      <c r="I23" s="5">
        <f>Table4[[#This Row],[Jul]]*$B23</f>
        <v>3029.4</v>
      </c>
      <c r="J23" s="5">
        <f>Table4[[#This Row],[Aug]]*$B23</f>
        <v>3546.9</v>
      </c>
      <c r="K23" s="5">
        <f>Table4[[#This Row],[Sep]]*$B23</f>
        <v>3911.4</v>
      </c>
      <c r="L23" s="5">
        <f>Table4[[#This Row],[Oct]]*$B23</f>
        <v>4103.1000000000004</v>
      </c>
      <c r="M23" s="5">
        <f>Table4[[#This Row],[Nov]]*$B23</f>
        <v>4120.2</v>
      </c>
      <c r="N23" s="5">
        <f>Table4[[#This Row],[Dec]]*$B23</f>
        <v>4377.6000000000004</v>
      </c>
    </row>
    <row r="24" spans="1:14" ht="14.25" customHeight="1" x14ac:dyDescent="0.3">
      <c r="A24" t="s">
        <v>113</v>
      </c>
      <c r="B24">
        <v>0.9</v>
      </c>
      <c r="C24" s="5">
        <f>Table4[[#This Row],[Jan]]*$B24</f>
        <v>39600.810000000005</v>
      </c>
      <c r="D24" s="5">
        <f>Table4[[#This Row],[Feb]]*$B24</f>
        <v>33064.920000000006</v>
      </c>
      <c r="E24" s="5">
        <f>Table4[[#This Row],[Mar]]*$B24</f>
        <v>32219.55</v>
      </c>
      <c r="F24" s="5">
        <f>Table4[[#This Row],[Apr]]*$B24</f>
        <v>23614.38</v>
      </c>
      <c r="G24" s="5">
        <f>Table4[[#This Row],[May]]*$B24</f>
        <v>17952.57</v>
      </c>
      <c r="H24" s="5">
        <f>Table4[[#This Row],[Jun]]*$B24</f>
        <v>14925.6</v>
      </c>
      <c r="I24" s="5">
        <f>Table4[[#This Row],[Jul]]*$B24</f>
        <v>16774.830000000002</v>
      </c>
      <c r="J24" s="5">
        <f>Table4[[#This Row],[Aug]]*$B24</f>
        <v>20886.75</v>
      </c>
      <c r="K24" s="5">
        <f>Table4[[#This Row],[Sep]]*$B24</f>
        <v>26689.95</v>
      </c>
      <c r="L24" s="5">
        <f>Table4[[#This Row],[Oct]]*$B24</f>
        <v>33024.69</v>
      </c>
      <c r="M24" s="5">
        <f>Table4[[#This Row],[Nov]]*$B24</f>
        <v>37111.770000000004</v>
      </c>
      <c r="N24" s="5">
        <f>Table4[[#This Row],[Dec]]*$B24</f>
        <v>40125.69</v>
      </c>
    </row>
    <row r="25" spans="1:14" ht="14.25" customHeight="1" x14ac:dyDescent="0.3">
      <c r="A25" t="s">
        <v>114</v>
      </c>
      <c r="B25">
        <v>0.85</v>
      </c>
      <c r="C25" s="5">
        <f>Table4[[#This Row],[Jan]]*$B25</f>
        <v>27758.45</v>
      </c>
      <c r="D25" s="5">
        <f>Table4[[#This Row],[Feb]]*$B25</f>
        <v>24250.5</v>
      </c>
      <c r="E25" s="5">
        <f>Table4[[#This Row],[Mar]]*$B25</f>
        <v>22859.899999999998</v>
      </c>
      <c r="F25" s="5">
        <f>Table4[[#This Row],[Apr]]*$B25</f>
        <v>20353.25</v>
      </c>
      <c r="G25" s="5">
        <f>Table4[[#This Row],[May]]*$B25</f>
        <v>18229.099999999999</v>
      </c>
      <c r="H25" s="5">
        <f>Table4[[#This Row],[Jun]]*$B25</f>
        <v>16127.9</v>
      </c>
      <c r="I25" s="5">
        <f>Table4[[#This Row],[Jul]]*$B25</f>
        <v>17954.55</v>
      </c>
      <c r="J25" s="5">
        <f>Table4[[#This Row],[Aug]]*$B25</f>
        <v>20938.05</v>
      </c>
      <c r="K25" s="5">
        <f>Table4[[#This Row],[Sep]]*$B25</f>
        <v>23291.7</v>
      </c>
      <c r="L25" s="5">
        <f>Table4[[#This Row],[Oct]]*$B25</f>
        <v>25925.85</v>
      </c>
      <c r="M25" s="5">
        <f>Table4[[#This Row],[Nov]]*$B25</f>
        <v>27223.8</v>
      </c>
      <c r="N25" s="5">
        <f>Table4[[#This Row],[Dec]]*$B25</f>
        <v>26753.75</v>
      </c>
    </row>
    <row r="26" spans="1:14" ht="14.25" customHeight="1" x14ac:dyDescent="0.3">
      <c r="A26" t="s">
        <v>117</v>
      </c>
      <c r="B26">
        <v>0.9</v>
      </c>
      <c r="C26" s="5">
        <f>Table4[[#This Row],[Jan]]*$B26</f>
        <v>30214.799999999999</v>
      </c>
      <c r="D26" s="5">
        <f>Table4[[#This Row],[Feb]]*$B26</f>
        <v>26381.7</v>
      </c>
      <c r="E26" s="5">
        <f>Table4[[#This Row],[Mar]]*$B26</f>
        <v>27566.100000000002</v>
      </c>
      <c r="F26" s="5">
        <f>Table4[[#This Row],[Apr]]*$B26</f>
        <v>23747.4</v>
      </c>
      <c r="G26" s="5">
        <f>Table4[[#This Row],[May]]*$B26</f>
        <v>22569.3</v>
      </c>
      <c r="H26" s="5">
        <f>Table4[[#This Row],[Jun]]*$B26</f>
        <v>20228.400000000001</v>
      </c>
      <c r="I26" s="5">
        <f>Table4[[#This Row],[Jul]]*$B26</f>
        <v>22354.2</v>
      </c>
      <c r="J26" s="5">
        <f>Table4[[#This Row],[Aug]]*$B26</f>
        <v>26968.5</v>
      </c>
      <c r="K26" s="5">
        <f>Table4[[#This Row],[Sep]]*$B26</f>
        <v>28840.5</v>
      </c>
      <c r="L26" s="5">
        <f>Table4[[#This Row],[Oct]]*$B26</f>
        <v>30258</v>
      </c>
      <c r="M26" s="5">
        <f>Table4[[#This Row],[Nov]]*$B26</f>
        <v>29380.5</v>
      </c>
      <c r="N26" s="5">
        <f>Table4[[#This Row],[Dec]]*$B26</f>
        <v>31219.200000000001</v>
      </c>
    </row>
    <row r="27" spans="1:14" ht="14.25" customHeight="1" x14ac:dyDescent="0.3">
      <c r="A27" t="s">
        <v>225</v>
      </c>
      <c r="B27">
        <v>0.9</v>
      </c>
      <c r="C27" s="5">
        <f>Table4[[#This Row],[Jan]]*$B27</f>
        <v>7573.5</v>
      </c>
      <c r="D27" s="5">
        <f>Table4[[#This Row],[Feb]]*$B27</f>
        <v>6513.75</v>
      </c>
      <c r="E27" s="5">
        <f>Table4[[#This Row],[Mar]]*$B27</f>
        <v>6841.35</v>
      </c>
      <c r="F27" s="5">
        <f>Table4[[#This Row],[Apr]]*$B27</f>
        <v>6183</v>
      </c>
      <c r="G27" s="5">
        <f>Table4[[#This Row],[May]]*$B27</f>
        <v>5924.7</v>
      </c>
      <c r="H27" s="5">
        <f>Table4[[#This Row],[Jun]]*$B27</f>
        <v>5295.6</v>
      </c>
      <c r="I27" s="5">
        <f>Table4[[#This Row],[Jul]]*$B27</f>
        <v>5785.2</v>
      </c>
      <c r="J27" s="5">
        <f>Table4[[#This Row],[Aug]]*$B27</f>
        <v>6585.3</v>
      </c>
      <c r="K27" s="5">
        <f>Table4[[#This Row],[Sep]]*$B27</f>
        <v>7018.6500000000005</v>
      </c>
      <c r="L27" s="5">
        <f>Table4[[#This Row],[Oct]]*$B27</f>
        <v>7479.45</v>
      </c>
      <c r="M27" s="5">
        <f>Table4[[#This Row],[Nov]]*$B27</f>
        <v>7552.8</v>
      </c>
      <c r="N27" s="5">
        <f>Table4[[#This Row],[Dec]]*$B27</f>
        <v>7415.1</v>
      </c>
    </row>
    <row r="28" spans="1:14" ht="14.25" customHeight="1" x14ac:dyDescent="0.3">
      <c r="A28" t="s">
        <v>223</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120</v>
      </c>
      <c r="B29">
        <v>0.9</v>
      </c>
      <c r="C29" s="5">
        <f>Table4[[#This Row],[Jan]]*$B29</f>
        <v>12213</v>
      </c>
      <c r="D29" s="5">
        <f>Table4[[#This Row],[Feb]]*$B29</f>
        <v>10570.5</v>
      </c>
      <c r="E29" s="5">
        <f>Table4[[#This Row],[Mar]]*$B29</f>
        <v>10619.1</v>
      </c>
      <c r="F29" s="5">
        <f>Table4[[#This Row],[Apr]]*$B29</f>
        <v>9139.5</v>
      </c>
      <c r="G29" s="5">
        <f>Table4[[#This Row],[May]]*$B29</f>
        <v>8593.2000000000007</v>
      </c>
      <c r="H29" s="5">
        <f>Table4[[#This Row],[Jun]]*$B29</f>
        <v>7680.6</v>
      </c>
      <c r="I29" s="5">
        <f>Table4[[#This Row],[Jul]]*$B29</f>
        <v>8550.9</v>
      </c>
      <c r="J29" s="5">
        <f>Table4[[#This Row],[Aug]]*$B29</f>
        <v>9997.2000000000007</v>
      </c>
      <c r="K29" s="5">
        <f>Table4[[#This Row],[Sep]]*$B29</f>
        <v>10701.9</v>
      </c>
      <c r="L29" s="5">
        <f>Table4[[#This Row],[Oct]]*$B29</f>
        <v>11834.1</v>
      </c>
      <c r="M29" s="5">
        <f>Table4[[#This Row],[Nov]]*$B29</f>
        <v>12129.300000000001</v>
      </c>
      <c r="N29" s="5">
        <f>Table4[[#This Row],[Dec]]*$B29</f>
        <v>12998.7</v>
      </c>
    </row>
    <row r="30" spans="1:14" ht="14.25" customHeight="1" x14ac:dyDescent="0.3">
      <c r="A30" t="s">
        <v>236</v>
      </c>
      <c r="B30">
        <v>0.9</v>
      </c>
      <c r="C30" s="5">
        <f>Table4[[#This Row],[Jan]]*$B30</f>
        <v>16602.939455286778</v>
      </c>
      <c r="D30" s="5">
        <f>Table4[[#This Row],[Feb]]*$B30</f>
        <v>14966.051031447027</v>
      </c>
      <c r="E30" s="5">
        <f>Table4[[#This Row],[Mar]]*$B30</f>
        <v>16335.485545927229</v>
      </c>
      <c r="F30" s="5">
        <f>Table4[[#This Row],[Apr]]*$B30</f>
        <v>15100.35078692115</v>
      </c>
      <c r="G30" s="5">
        <f>Table4[[#This Row],[May]]*$B30</f>
        <v>15271.045423635958</v>
      </c>
      <c r="H30" s="5">
        <f>Table4[[#This Row],[Jun]]*$B30</f>
        <v>14168.00734012575</v>
      </c>
      <c r="I30" s="5">
        <f>Table4[[#This Row],[Jul]]*$B30</f>
        <v>15171.289962220802</v>
      </c>
      <c r="J30" s="5">
        <f>Table4[[#This Row],[Aug]]*$B30</f>
        <v>16365.447433631431</v>
      </c>
      <c r="K30" s="5">
        <f>Table4[[#This Row],[Sep]]*$B30</f>
        <v>16283.93347443618</v>
      </c>
      <c r="L30" s="5">
        <f>Table4[[#This Row],[Oct]]*$B30</f>
        <v>15891.080252714639</v>
      </c>
      <c r="M30" s="5">
        <f>Table4[[#This Row],[Nov]]*$B30</f>
        <v>15343.218323723426</v>
      </c>
      <c r="N30" s="5">
        <f>Table4[[#This Row],[Dec]]*$B30</f>
        <v>16261.638305056289</v>
      </c>
    </row>
    <row r="31" spans="1:14" ht="14.25" customHeight="1" x14ac:dyDescent="0.3">
      <c r="A31" t="s">
        <v>122</v>
      </c>
      <c r="B31">
        <v>0.9</v>
      </c>
      <c r="C31" s="5">
        <f>Table4[[#This Row],[Jan]]*$B31</f>
        <v>22241.7</v>
      </c>
      <c r="D31" s="5">
        <f>Table4[[#This Row],[Feb]]*$B31</f>
        <v>19450.8</v>
      </c>
      <c r="E31" s="5">
        <f>Table4[[#This Row],[Mar]]*$B31</f>
        <v>19575</v>
      </c>
      <c r="F31" s="5">
        <f>Table4[[#This Row],[Apr]]*$B31</f>
        <v>15792.300000000001</v>
      </c>
      <c r="G31" s="5">
        <f>Table4[[#This Row],[May]]*$B31</f>
        <v>13477.5</v>
      </c>
      <c r="H31" s="5">
        <f>Table4[[#This Row],[Jun]]*$B31</f>
        <v>12124.800000000001</v>
      </c>
      <c r="I31" s="5">
        <f>Table4[[#This Row],[Jul]]*$B31</f>
        <v>13099.5</v>
      </c>
      <c r="J31" s="5">
        <f>Table4[[#This Row],[Aug]]*$B31</f>
        <v>15450.300000000001</v>
      </c>
      <c r="K31" s="5">
        <f>Table4[[#This Row],[Sep]]*$B31</f>
        <v>16583.400000000001</v>
      </c>
      <c r="L31" s="5">
        <f>Table4[[#This Row],[Oct]]*$B31</f>
        <v>19432.8</v>
      </c>
      <c r="M31" s="5">
        <f>Table4[[#This Row],[Nov]]*$B31</f>
        <v>20010.600000000002</v>
      </c>
      <c r="N31" s="5">
        <f>Table4[[#This Row],[Dec]]*$B31</f>
        <v>22485.600000000002</v>
      </c>
    </row>
    <row r="32" spans="1:14" ht="14.25" customHeight="1" x14ac:dyDescent="0.3">
      <c r="A32" t="s">
        <v>124</v>
      </c>
      <c r="B32">
        <v>0.85</v>
      </c>
      <c r="C32" s="5">
        <f>Table4[[#This Row],[Jan]]*$B32</f>
        <v>61302.85</v>
      </c>
      <c r="D32" s="5">
        <f>Table4[[#This Row],[Feb]]*$B32</f>
        <v>55639.299999999996</v>
      </c>
      <c r="E32" s="5">
        <f>Table4[[#This Row],[Mar]]*$B32</f>
        <v>58024.4</v>
      </c>
      <c r="F32" s="5">
        <f>Table4[[#This Row],[Apr]]*$B32</f>
        <v>48946.400000000001</v>
      </c>
      <c r="G32" s="5">
        <f>Table4[[#This Row],[May]]*$B32</f>
        <v>44310.5</v>
      </c>
      <c r="H32" s="5">
        <f>Table4[[#This Row],[Jun]]*$B32</f>
        <v>40933.449999999997</v>
      </c>
      <c r="I32" s="5">
        <f>Table4[[#This Row],[Jul]]*$B32</f>
        <v>43977.299999999996</v>
      </c>
      <c r="J32" s="5">
        <f>Table4[[#This Row],[Aug]]*$B32</f>
        <v>48620.85</v>
      </c>
      <c r="K32" s="5">
        <f>Table4[[#This Row],[Sep]]*$B32</f>
        <v>50331.049999999996</v>
      </c>
      <c r="L32" s="5">
        <f>Table4[[#This Row],[Oct]]*$B32</f>
        <v>55230.45</v>
      </c>
      <c r="M32" s="5">
        <f>Table4[[#This Row],[Nov]]*$B32</f>
        <v>56583.65</v>
      </c>
      <c r="N32" s="5">
        <f>Table4[[#This Row],[Dec]]*$B32</f>
        <v>61075.9</v>
      </c>
    </row>
    <row r="33" spans="1:14" ht="14.25" customHeight="1" x14ac:dyDescent="0.3">
      <c r="A33" t="s">
        <v>127</v>
      </c>
      <c r="B33">
        <v>0.8</v>
      </c>
      <c r="C33" s="5">
        <f>Table4[[#This Row],[Jan]]*$B33</f>
        <v>14107.2</v>
      </c>
      <c r="D33" s="5">
        <f>Table4[[#This Row],[Feb]]*$B33</f>
        <v>13178.400000000001</v>
      </c>
      <c r="E33" s="5">
        <f>Table4[[#This Row],[Mar]]*$B33</f>
        <v>15390.400000000001</v>
      </c>
      <c r="F33" s="5">
        <f>Table4[[#This Row],[Apr]]*$B33</f>
        <v>13652</v>
      </c>
      <c r="G33" s="5">
        <f>Table4[[#This Row],[May]]*$B33</f>
        <v>13508.800000000001</v>
      </c>
      <c r="H33" s="5">
        <f>Table4[[#This Row],[Jun]]*$B33</f>
        <v>12879.2</v>
      </c>
      <c r="I33" s="5">
        <f>Table4[[#This Row],[Jul]]*$B33</f>
        <v>13680.800000000001</v>
      </c>
      <c r="J33" s="5">
        <f>Table4[[#This Row],[Aug]]*$B33</f>
        <v>13878.400000000001</v>
      </c>
      <c r="K33" s="5">
        <f>Table4[[#This Row],[Sep]]*$B33</f>
        <v>13503.2</v>
      </c>
      <c r="L33" s="5">
        <f>Table4[[#This Row],[Oct]]*$B33</f>
        <v>12755.2</v>
      </c>
      <c r="M33" s="5">
        <f>Table4[[#This Row],[Nov]]*$B33</f>
        <v>11784.800000000001</v>
      </c>
      <c r="N33" s="5">
        <f>Table4[[#This Row],[Dec]]*$B33</f>
        <v>12301.6</v>
      </c>
    </row>
    <row r="34" spans="1:14" ht="14.25" customHeight="1" x14ac:dyDescent="0.3">
      <c r="A34" t="s">
        <v>234</v>
      </c>
      <c r="B34">
        <v>0.9</v>
      </c>
      <c r="C34" s="5">
        <f>Table4[[#This Row],[Jan]]*$B34</f>
        <v>53361.9</v>
      </c>
      <c r="D34" s="5">
        <f>Table4[[#This Row],[Feb]]*$B34</f>
        <v>43750.8</v>
      </c>
      <c r="E34" s="5">
        <f>Table4[[#This Row],[Mar]]*$B34</f>
        <v>40931.1</v>
      </c>
      <c r="F34" s="5">
        <f>Table4[[#This Row],[Apr]]*$B34</f>
        <v>29080.799999999999</v>
      </c>
      <c r="G34" s="5">
        <f>Table4[[#This Row],[May]]*$B34</f>
        <v>21434.400000000001</v>
      </c>
      <c r="H34" s="5">
        <f>Table4[[#This Row],[Jun]]*$B34</f>
        <v>17483.400000000001</v>
      </c>
      <c r="I34" s="5">
        <f>Table4[[#This Row],[Jul]]*$B34</f>
        <v>19783.8</v>
      </c>
      <c r="J34" s="5">
        <f>Table4[[#This Row],[Aug]]*$B34</f>
        <v>25524</v>
      </c>
      <c r="K34" s="5">
        <f>Table4[[#This Row],[Sep]]*$B34</f>
        <v>33381.9</v>
      </c>
      <c r="L34" s="5">
        <f>Table4[[#This Row],[Oct]]*$B34</f>
        <v>43038</v>
      </c>
      <c r="M34" s="5">
        <f>Table4[[#This Row],[Nov]]*$B34</f>
        <v>49565.700000000004</v>
      </c>
      <c r="N34" s="5">
        <f>Table4[[#This Row],[Dec]]*$B34</f>
        <v>54135.9</v>
      </c>
    </row>
    <row r="35" spans="1:14" ht="14.25" customHeight="1" x14ac:dyDescent="0.3">
      <c r="A35" t="s">
        <v>131</v>
      </c>
      <c r="B35">
        <v>0.9</v>
      </c>
      <c r="C35" s="5">
        <f>Table4[[#This Row],[Jan]]*$B35</f>
        <v>5361.3</v>
      </c>
      <c r="D35" s="5">
        <f>Table4[[#This Row],[Feb]]*$B35</f>
        <v>4869</v>
      </c>
      <c r="E35" s="5">
        <f>Table4[[#This Row],[Mar]]*$B35</f>
        <v>5370.3</v>
      </c>
      <c r="F35" s="5">
        <f>Table4[[#This Row],[Apr]]*$B35</f>
        <v>5150.7</v>
      </c>
      <c r="G35" s="5">
        <f>Table4[[#This Row],[May]]*$B35</f>
        <v>5477.4000000000005</v>
      </c>
      <c r="H35" s="5">
        <f>Table4[[#This Row],[Jun]]*$B35</f>
        <v>5296.5</v>
      </c>
      <c r="I35" s="5">
        <f>Table4[[#This Row],[Jul]]*$B35</f>
        <v>5700.6</v>
      </c>
      <c r="J35" s="5">
        <f>Table4[[#This Row],[Aug]]*$B35</f>
        <v>5969.7</v>
      </c>
      <c r="K35" s="5">
        <f>Table4[[#This Row],[Sep]]*$B35</f>
        <v>5915.7</v>
      </c>
      <c r="L35" s="5">
        <f>Table4[[#This Row],[Oct]]*$B35</f>
        <v>5814.9000000000005</v>
      </c>
      <c r="M35" s="5">
        <f>Table4[[#This Row],[Nov]]*$B35</f>
        <v>5410.8</v>
      </c>
      <c r="N35" s="5">
        <f>Table4[[#This Row],[Dec]]*$B35</f>
        <v>5530.5</v>
      </c>
    </row>
    <row r="36" spans="1:14" ht="14.25" customHeight="1" x14ac:dyDescent="0.3">
      <c r="A36" t="s">
        <v>134</v>
      </c>
      <c r="B36">
        <v>0.9</v>
      </c>
      <c r="C36" s="5">
        <f>Table4[[#This Row],[Jan]]*$B36</f>
        <v>40416.300000000003</v>
      </c>
      <c r="D36" s="5">
        <f>Table4[[#This Row],[Feb]]*$B36</f>
        <v>33988.5</v>
      </c>
      <c r="E36" s="5">
        <f>Table4[[#This Row],[Mar]]*$B36</f>
        <v>35132.400000000001</v>
      </c>
      <c r="F36" s="5">
        <f>Table4[[#This Row],[Apr]]*$B36</f>
        <v>29903.4</v>
      </c>
      <c r="G36" s="5">
        <f>Table4[[#This Row],[May]]*$B36</f>
        <v>28383.3</v>
      </c>
      <c r="H36" s="5">
        <f>Table4[[#This Row],[Jun]]*$B36</f>
        <v>25641.9</v>
      </c>
      <c r="I36" s="5">
        <f>Table4[[#This Row],[Jul]]*$B36</f>
        <v>28361.7</v>
      </c>
      <c r="J36" s="5">
        <f>Table4[[#This Row],[Aug]]*$B36</f>
        <v>33006.6</v>
      </c>
      <c r="K36" s="5">
        <f>Table4[[#This Row],[Sep]]*$B36</f>
        <v>36521.1</v>
      </c>
      <c r="L36" s="5">
        <f>Table4[[#This Row],[Oct]]*$B36</f>
        <v>39682.800000000003</v>
      </c>
      <c r="M36" s="5">
        <f>Table4[[#This Row],[Nov]]*$B36</f>
        <v>39748.5</v>
      </c>
      <c r="N36" s="5">
        <f>Table4[[#This Row],[Dec]]*$B36</f>
        <v>42519.6</v>
      </c>
    </row>
    <row r="37" spans="1:14" ht="14.25" customHeight="1" x14ac:dyDescent="0.3">
      <c r="A37" t="s">
        <v>138</v>
      </c>
      <c r="B37">
        <v>1</v>
      </c>
      <c r="C37" s="5">
        <f>Table4[[#This Row],[Jan]]*$B37</f>
        <v>23544</v>
      </c>
      <c r="D37" s="5">
        <f>Table4[[#This Row],[Feb]]*$B37</f>
        <v>21677</v>
      </c>
      <c r="E37" s="5">
        <f>Table4[[#This Row],[Mar]]*$B37</f>
        <v>24212</v>
      </c>
      <c r="F37" s="5">
        <f>Table4[[#This Row],[Apr]]*$B37</f>
        <v>20861</v>
      </c>
      <c r="G37" s="5">
        <f>Table4[[#This Row],[May]]*$B37</f>
        <v>20012</v>
      </c>
      <c r="H37" s="5">
        <f>Table4[[#This Row],[Jun]]*$B37</f>
        <v>18485</v>
      </c>
      <c r="I37" s="5">
        <f>Table4[[#This Row],[Jul]]*$B37</f>
        <v>20016</v>
      </c>
      <c r="J37" s="5">
        <f>Table4[[#This Row],[Aug]]*$B37</f>
        <v>21052</v>
      </c>
      <c r="K37" s="5">
        <f>Table4[[#This Row],[Sep]]*$B37</f>
        <v>21403</v>
      </c>
      <c r="L37" s="5">
        <f>Table4[[#This Row],[Oct]]*$B37</f>
        <v>20962</v>
      </c>
      <c r="M37" s="5">
        <f>Table4[[#This Row],[Nov]]*$B37</f>
        <v>19856</v>
      </c>
      <c r="N37" s="5">
        <f>Table4[[#This Row],[Dec]]*$B37</f>
        <v>21184</v>
      </c>
    </row>
    <row r="38" spans="1:14" ht="14.25" customHeight="1" x14ac:dyDescent="0.3">
      <c r="A38" t="s">
        <v>220</v>
      </c>
      <c r="B38">
        <v>0.9</v>
      </c>
      <c r="C38" s="5">
        <f>Table4[[#This Row],[Jan]]*$B38</f>
        <v>46872</v>
      </c>
      <c r="D38" s="5">
        <f>Table4[[#This Row],[Feb]]*$B38</f>
        <v>40989.599999999999</v>
      </c>
      <c r="E38" s="5">
        <f>Table4[[#This Row],[Mar]]*$B38</f>
        <v>39989.700000000004</v>
      </c>
      <c r="F38" s="5">
        <f>Table4[[#This Row],[Apr]]*$B38</f>
        <v>34783.200000000004</v>
      </c>
      <c r="G38" s="5">
        <f>Table4[[#This Row],[May]]*$B38</f>
        <v>32139</v>
      </c>
      <c r="H38" s="5">
        <f>Table4[[#This Row],[Jun]]*$B38</f>
        <v>28357.200000000001</v>
      </c>
      <c r="I38" s="5">
        <f>Table4[[#This Row],[Jul]]*$B38</f>
        <v>31229.100000000002</v>
      </c>
      <c r="J38" s="5">
        <f>Table4[[#This Row],[Aug]]*$B38</f>
        <v>36815.4</v>
      </c>
      <c r="K38" s="5">
        <f>Table4[[#This Row],[Sep]]*$B38</f>
        <v>40778.1</v>
      </c>
      <c r="L38" s="5">
        <f>Table4[[#This Row],[Oct]]*$B38</f>
        <v>46212.3</v>
      </c>
      <c r="M38" s="5">
        <f>Table4[[#This Row],[Nov]]*$B38</f>
        <v>46653.3</v>
      </c>
      <c r="N38" s="5">
        <f>Table4[[#This Row],[Dec]]*$B38</f>
        <v>47656.800000000003</v>
      </c>
    </row>
    <row r="39" spans="1:14" ht="14.25" customHeight="1" x14ac:dyDescent="0.3">
      <c r="A39" t="s">
        <v>222</v>
      </c>
      <c r="B39">
        <v>0.9</v>
      </c>
      <c r="C39" s="5">
        <f>Table4[[#This Row],[Jan]]*$B39</f>
        <v>12369.6</v>
      </c>
      <c r="D39" s="5">
        <f>Table4[[#This Row],[Feb]]*$B39</f>
        <v>10801.800000000001</v>
      </c>
      <c r="E39" s="5">
        <f>Table4[[#This Row],[Mar]]*$B39</f>
        <v>10537.2</v>
      </c>
      <c r="F39" s="5">
        <f>Table4[[#This Row],[Apr]]*$B39</f>
        <v>9173.7000000000007</v>
      </c>
      <c r="G39" s="5">
        <f>Table4[[#This Row],[May]]*$B39</f>
        <v>8503.2000000000007</v>
      </c>
      <c r="H39" s="5">
        <f>Table4[[#This Row],[Jun]]*$B39</f>
        <v>7545.6</v>
      </c>
      <c r="I39" s="5">
        <f>Table4[[#This Row],[Jul]]*$B39</f>
        <v>8307</v>
      </c>
      <c r="J39" s="5">
        <f>Table4[[#This Row],[Aug]]*$B39</f>
        <v>9720.9</v>
      </c>
      <c r="K39" s="5">
        <f>Table4[[#This Row],[Sep]]*$B39</f>
        <v>10755.9</v>
      </c>
      <c r="L39" s="5">
        <f>Table4[[#This Row],[Oct]]*$B39</f>
        <v>12190.5</v>
      </c>
      <c r="M39" s="5">
        <f>Table4[[#This Row],[Nov]]*$B39</f>
        <v>12263.4</v>
      </c>
      <c r="N39" s="5">
        <f>Table4[[#This Row],[Dec]]*$B39</f>
        <v>12539.7</v>
      </c>
    </row>
    <row r="40" spans="1:14" ht="14.25" customHeight="1" x14ac:dyDescent="0.3">
      <c r="A40" t="s">
        <v>142</v>
      </c>
      <c r="B40">
        <v>0.9</v>
      </c>
      <c r="C40" s="5">
        <f>Table4[[#This Row],[Jan]]*$B40</f>
        <v>5685.3</v>
      </c>
      <c r="D40" s="5">
        <f>Table4[[#This Row],[Feb]]*$B40</f>
        <v>4780.8</v>
      </c>
      <c r="E40" s="5">
        <f>Table4[[#This Row],[Mar]]*$B40</f>
        <v>4935.6000000000004</v>
      </c>
      <c r="F40" s="5">
        <f>Table4[[#This Row],[Apr]]*$B40</f>
        <v>4359.6000000000004</v>
      </c>
      <c r="G40" s="5">
        <f>Table4[[#This Row],[May]]*$B40</f>
        <v>4194</v>
      </c>
      <c r="H40" s="5">
        <f>Table4[[#This Row],[Jun]]*$B40</f>
        <v>3818.7000000000003</v>
      </c>
      <c r="I40" s="5">
        <f>Table4[[#This Row],[Jul]]*$B40</f>
        <v>4217.4000000000005</v>
      </c>
      <c r="J40" s="5">
        <f>Table4[[#This Row],[Aug]]*$B40</f>
        <v>4844.7</v>
      </c>
      <c r="K40" s="5">
        <f>Table4[[#This Row],[Sep]]*$B40</f>
        <v>5300.1</v>
      </c>
      <c r="L40" s="5">
        <f>Table4[[#This Row],[Oct]]*$B40</f>
        <v>5667.3</v>
      </c>
      <c r="M40" s="5">
        <f>Table4[[#This Row],[Nov]]*$B40</f>
        <v>5624.1</v>
      </c>
      <c r="N40" s="5">
        <f>Table4[[#This Row],[Dec]]*$B40</f>
        <v>5995.8</v>
      </c>
    </row>
    <row r="41" spans="1:14" ht="14.25" customHeight="1" x14ac:dyDescent="0.3">
      <c r="A41" t="s">
        <v>145</v>
      </c>
      <c r="B41">
        <v>0.9</v>
      </c>
      <c r="C41" s="5">
        <f>Table4[[#This Row],[Jan]]*$B41</f>
        <v>41208.479999999996</v>
      </c>
      <c r="D41" s="5">
        <f>Table4[[#This Row],[Feb]]*$B41</f>
        <v>35976.15</v>
      </c>
      <c r="E41" s="5">
        <f>Table4[[#This Row],[Mar]]*$B41</f>
        <v>36559.979999999996</v>
      </c>
      <c r="F41" s="5">
        <f>Table4[[#This Row],[Apr]]*$B41</f>
        <v>33604.11</v>
      </c>
      <c r="G41" s="5">
        <f>Table4[[#This Row],[May]]*$B41</f>
        <v>32958.629999999997</v>
      </c>
      <c r="H41" s="5">
        <f>Table4[[#This Row],[Jun]]*$B41</f>
        <v>30018.221190000004</v>
      </c>
      <c r="I41" s="5">
        <f>Table4[[#This Row],[Jul]]*$B41</f>
        <v>32459.809590000001</v>
      </c>
      <c r="J41" s="5">
        <f>Table4[[#This Row],[Aug]]*$B41</f>
        <v>36506.125710000008</v>
      </c>
      <c r="K41" s="5">
        <f>Table4[[#This Row],[Sep]]*$B41</f>
        <v>37370.869830000003</v>
      </c>
      <c r="L41" s="5">
        <f>Table4[[#This Row],[Oct]]*$B41</f>
        <v>40182.986250000002</v>
      </c>
      <c r="M41" s="5">
        <f>Table4[[#This Row],[Nov]]*$B41</f>
        <v>40330.536120000004</v>
      </c>
      <c r="N41" s="5">
        <f>Table4[[#This Row],[Dec]]*$B41</f>
        <v>42601.427820000004</v>
      </c>
    </row>
    <row r="42" spans="1:14" ht="14.25" customHeight="1" x14ac:dyDescent="0.3">
      <c r="A42" t="s">
        <v>149</v>
      </c>
      <c r="B42">
        <v>0.75</v>
      </c>
      <c r="C42" s="5">
        <f>Table4[[#This Row],[Jan]]*$B42</f>
        <v>8591.0250000000015</v>
      </c>
      <c r="D42" s="5">
        <f>Table4[[#This Row],[Feb]]*$B42</f>
        <v>7466.4749999999995</v>
      </c>
      <c r="E42" s="5">
        <f>Table4[[#This Row],[Mar]]*$B42</f>
        <v>7931.8499999999995</v>
      </c>
      <c r="F42" s="5">
        <f>Table4[[#This Row],[Apr]]*$B42</f>
        <v>6987.1500000000005</v>
      </c>
      <c r="G42" s="5">
        <f>Table4[[#This Row],[May]]*$B42</f>
        <v>6858.5250000000005</v>
      </c>
      <c r="H42" s="5">
        <f>Table4[[#This Row],[Jun]]*$B42</f>
        <v>6375.4500000000007</v>
      </c>
      <c r="I42" s="5">
        <f>Table4[[#This Row],[Jul]]*$B42</f>
        <v>6946.7249999999995</v>
      </c>
      <c r="J42" s="5">
        <f>Table4[[#This Row],[Aug]]*$B42</f>
        <v>7852.6500000000005</v>
      </c>
      <c r="K42" s="5">
        <f>Table4[[#This Row],[Sep]]*$B42</f>
        <v>8347.0499999999993</v>
      </c>
      <c r="L42" s="5">
        <f>Table4[[#This Row],[Oct]]*$B42</f>
        <v>8786.625</v>
      </c>
      <c r="M42" s="5">
        <f>Table4[[#This Row],[Nov]]*$B42</f>
        <v>8551.7999999999993</v>
      </c>
      <c r="N42" s="5">
        <f>Table4[[#This Row],[Dec]]*$B42</f>
        <v>9109.0499999999993</v>
      </c>
    </row>
    <row r="43" spans="1:14" ht="14.25" customHeight="1" x14ac:dyDescent="0.3">
      <c r="A43" t="s">
        <v>152</v>
      </c>
      <c r="B43">
        <v>0.8</v>
      </c>
      <c r="C43" s="5">
        <f>Table4[[#This Row],[Jan]]*$B43</f>
        <v>11540.960000000001</v>
      </c>
      <c r="D43" s="5">
        <f>Table4[[#This Row],[Feb]]*$B43</f>
        <v>9862.32</v>
      </c>
      <c r="E43" s="5">
        <f>Table4[[#This Row],[Mar]]*$B43</f>
        <v>10345.44</v>
      </c>
      <c r="F43" s="5">
        <f>Table4[[#This Row],[Apr]]*$B43</f>
        <v>8819.52</v>
      </c>
      <c r="G43" s="5">
        <f>Table4[[#This Row],[May]]*$B43</f>
        <v>8538.08</v>
      </c>
      <c r="H43" s="5">
        <f>Table4[[#This Row],[Jun]]*$B43</f>
        <v>7700</v>
      </c>
      <c r="I43" s="5">
        <f>Table4[[#This Row],[Jul]]*$B43</f>
        <v>8487.2000000000007</v>
      </c>
      <c r="J43" s="5">
        <f>Table4[[#This Row],[Aug]]*$B43</f>
        <v>9810.4800000000014</v>
      </c>
      <c r="K43" s="5">
        <f>Table4[[#This Row],[Sep]]*$B43</f>
        <v>10706.480000000001</v>
      </c>
      <c r="L43" s="5">
        <f>Table4[[#This Row],[Oct]]*$B43</f>
        <v>11410.400000000001</v>
      </c>
      <c r="M43" s="5">
        <f>Table4[[#This Row],[Nov]]*$B43</f>
        <v>11340.400000000001</v>
      </c>
      <c r="N43" s="5">
        <f>Table4[[#This Row],[Dec]]*$B43</f>
        <v>12102.560000000001</v>
      </c>
    </row>
    <row r="44" spans="1:14" ht="14.25" customHeight="1" x14ac:dyDescent="0.3">
      <c r="A44" t="s">
        <v>155</v>
      </c>
      <c r="B44">
        <v>0.9</v>
      </c>
      <c r="C44" s="5">
        <f>Table4[[#This Row],[Jan]]*$B44</f>
        <v>4894.2900000000009</v>
      </c>
      <c r="D44" s="5">
        <f>Table4[[#This Row],[Feb]]*$B44</f>
        <v>4527.45</v>
      </c>
      <c r="E44" s="5">
        <f>Table4[[#This Row],[Mar]]*$B44</f>
        <v>4754.25</v>
      </c>
      <c r="F44" s="5">
        <f>Table4[[#This Row],[Apr]]*$B44</f>
        <v>4171.59</v>
      </c>
      <c r="G44" s="5">
        <f>Table4[[#This Row],[May]]*$B44</f>
        <v>4117.5</v>
      </c>
      <c r="H44" s="5">
        <f>Table4[[#This Row],[Jun]]*$B44</f>
        <v>3729.06</v>
      </c>
      <c r="I44" s="5">
        <f>Table4[[#This Row],[Jul]]*$B44</f>
        <v>4105.53</v>
      </c>
      <c r="J44" s="5">
        <f>Table4[[#This Row],[Aug]]*$B44</f>
        <v>4624.83</v>
      </c>
      <c r="K44" s="5">
        <f>Table4[[#This Row],[Sep]]*$B44</f>
        <v>4797</v>
      </c>
      <c r="L44" s="5">
        <f>Table4[[#This Row],[Oct]]*$B44</f>
        <v>5068.9799999999996</v>
      </c>
      <c r="M44" s="5">
        <f>Table4[[#This Row],[Nov]]*$B44</f>
        <v>4862.88</v>
      </c>
      <c r="N44" s="5">
        <f>Table4[[#This Row],[Dec]]*$B44</f>
        <v>5082.3900000000003</v>
      </c>
    </row>
    <row r="45" spans="1:14" ht="14.25" customHeight="1" x14ac:dyDescent="0.3">
      <c r="A45" t="s">
        <v>157</v>
      </c>
      <c r="B45">
        <v>0.9</v>
      </c>
      <c r="C45" s="5">
        <f>Table4[[#This Row],[Jan]]*$B45</f>
        <v>5902.47</v>
      </c>
      <c r="D45" s="5">
        <f>Table4[[#This Row],[Feb]]*$B45</f>
        <v>5299.2</v>
      </c>
      <c r="E45" s="5">
        <f>Table4[[#This Row],[Mar]]*$B45</f>
        <v>5701.86</v>
      </c>
      <c r="F45" s="5">
        <f>Table4[[#This Row],[Apr]]*$B45</f>
        <v>5085.9000000000005</v>
      </c>
      <c r="G45" s="5">
        <f>Table4[[#This Row],[May]]*$B45</f>
        <v>5204.6099999999997</v>
      </c>
      <c r="H45" s="5">
        <f>Table4[[#This Row],[Jun]]*$B45</f>
        <v>4824.3599999999997</v>
      </c>
      <c r="I45" s="5">
        <f>Table4[[#This Row],[Jul]]*$B45</f>
        <v>5303.16</v>
      </c>
      <c r="J45" s="5">
        <f>Table4[[#This Row],[Aug]]*$B45</f>
        <v>5833.08</v>
      </c>
      <c r="K45" s="5">
        <f>Table4[[#This Row],[Sep]]*$B45</f>
        <v>6021.8099999999995</v>
      </c>
      <c r="L45" s="5">
        <f>Table4[[#This Row],[Oct]]*$B45</f>
        <v>6128.91</v>
      </c>
      <c r="M45" s="5">
        <f>Table4[[#This Row],[Nov]]*$B45</f>
        <v>5928.5700000000006</v>
      </c>
      <c r="N45" s="5">
        <f>Table4[[#This Row],[Dec]]*$B45</f>
        <v>6186.6900000000005</v>
      </c>
    </row>
    <row r="46" spans="1:14" ht="14.25" customHeight="1" x14ac:dyDescent="0.3">
      <c r="A46" t="s">
        <v>160</v>
      </c>
      <c r="B46">
        <v>0.85</v>
      </c>
      <c r="C46" s="5">
        <f>Table4[[#This Row],[Jan]]*$B46</f>
        <v>17099.45</v>
      </c>
      <c r="D46" s="5">
        <f>Table4[[#This Row],[Feb]]*$B46</f>
        <v>15031.4</v>
      </c>
      <c r="E46" s="5">
        <f>Table4[[#This Row],[Mar]]*$B46</f>
        <v>16289.4</v>
      </c>
      <c r="F46" s="5">
        <f>Table4[[#This Row],[Apr]]*$B46</f>
        <v>14250.25</v>
      </c>
      <c r="G46" s="5">
        <f>Table4[[#This Row],[May]]*$B46</f>
        <v>14783.199999999999</v>
      </c>
      <c r="H46" s="5">
        <f>Table4[[#This Row],[Jun]]*$B46</f>
        <v>13871.15</v>
      </c>
      <c r="I46" s="5">
        <f>Table4[[#This Row],[Jul]]*$B46</f>
        <v>15110.449999999999</v>
      </c>
      <c r="J46" s="5">
        <f>Table4[[#This Row],[Aug]]*$B46</f>
        <v>16763.7</v>
      </c>
      <c r="K46" s="5">
        <f>Table4[[#This Row],[Sep]]*$B46</f>
        <v>16935.399999999998</v>
      </c>
      <c r="L46" s="5">
        <f>Table4[[#This Row],[Oct]]*$B46</f>
        <v>17583.95</v>
      </c>
      <c r="M46" s="5">
        <f>Table4[[#This Row],[Nov]]*$B46</f>
        <v>16597.099999999999</v>
      </c>
      <c r="N46" s="5">
        <f>Table4[[#This Row],[Dec]]*$B46</f>
        <v>17731</v>
      </c>
    </row>
    <row r="47" spans="1:14" ht="14.25" customHeight="1" x14ac:dyDescent="0.3">
      <c r="A47" t="s">
        <v>163</v>
      </c>
      <c r="B47">
        <v>0.84532499999999999</v>
      </c>
      <c r="C47" s="5">
        <f>Table4[[#This Row],[Jan]]*$B47</f>
        <v>5191.4789549999996</v>
      </c>
      <c r="D47" s="5">
        <f>Table4[[#This Row],[Feb]]*$B47</f>
        <v>4656.5572950000005</v>
      </c>
      <c r="E47" s="5">
        <f>Table4[[#This Row],[Mar]]*$B47</f>
        <v>5018.2718624999998</v>
      </c>
      <c r="F47" s="5">
        <f>Table4[[#This Row],[Apr]]*$B47</f>
        <v>4498.5660524999994</v>
      </c>
      <c r="G47" s="5">
        <f>Table4[[#This Row],[May]]*$B47</f>
        <v>4604.0626124999999</v>
      </c>
      <c r="H47" s="5">
        <f>Table4[[#This Row],[Jun]]*$B47</f>
        <v>4265.4254174999996</v>
      </c>
      <c r="I47" s="5">
        <f>Table4[[#This Row],[Jul]]*$B47</f>
        <v>4694.8505175</v>
      </c>
      <c r="J47" s="5">
        <f>Table4[[#This Row],[Aug]]*$B47</f>
        <v>5144.2252875000004</v>
      </c>
      <c r="K47" s="5">
        <f>Table4[[#This Row],[Sep]]*$B47</f>
        <v>5295.0312674999996</v>
      </c>
      <c r="L47" s="5">
        <f>Table4[[#This Row],[Oct]]*$B47</f>
        <v>5391.4828500000003</v>
      </c>
      <c r="M47" s="5">
        <f>Table4[[#This Row],[Nov]]*$B47</f>
        <v>5210.6678325000003</v>
      </c>
      <c r="N47" s="5">
        <f>Table4[[#This Row],[Dec]]*$B47</f>
        <v>5439.6663749999998</v>
      </c>
    </row>
    <row r="48" spans="1:14" ht="14.25" customHeight="1" x14ac:dyDescent="0.3">
      <c r="A48" t="s">
        <v>166</v>
      </c>
      <c r="B48">
        <v>0.9</v>
      </c>
      <c r="C48" s="5">
        <f>Table4[[#This Row],[Jan]]*$B48</f>
        <v>23005.8</v>
      </c>
      <c r="D48" s="5">
        <f>Table4[[#This Row],[Feb]]*$B48</f>
        <v>19888.2</v>
      </c>
      <c r="E48" s="5">
        <f>Table4[[#This Row],[Mar]]*$B48</f>
        <v>21952.799999999999</v>
      </c>
      <c r="F48" s="5">
        <f>Table4[[#This Row],[Apr]]*$B48</f>
        <v>21444.3</v>
      </c>
      <c r="G48" s="5">
        <f>Table4[[#This Row],[May]]*$B48</f>
        <v>20688.3</v>
      </c>
      <c r="H48" s="5">
        <f>Table4[[#This Row],[Jun]]*$B48</f>
        <v>18646.2</v>
      </c>
      <c r="I48" s="5">
        <f>Table4[[#This Row],[Jul]]*$B48</f>
        <v>19629.900000000001</v>
      </c>
      <c r="J48" s="5">
        <f>Table4[[#This Row],[Aug]]*$B48</f>
        <v>22998.600000000002</v>
      </c>
      <c r="K48" s="5">
        <f>Table4[[#This Row],[Sep]]*$B48</f>
        <v>22670.100000000002</v>
      </c>
      <c r="L48" s="5">
        <f>Table4[[#This Row],[Oct]]*$B48</f>
        <v>22045.5</v>
      </c>
      <c r="M48" s="5">
        <f>Table4[[#This Row],[Nov]]*$B48</f>
        <v>22062.600000000002</v>
      </c>
      <c r="N48" s="5">
        <f>Table4[[#This Row],[Dec]]*$B48</f>
        <v>23333.4</v>
      </c>
    </row>
    <row r="49" spans="1:14" ht="14.25" customHeight="1" x14ac:dyDescent="0.3">
      <c r="A49" t="s">
        <v>169</v>
      </c>
      <c r="B49">
        <v>0.85</v>
      </c>
      <c r="C49" s="5">
        <f>Table4[[#This Row],[Jan]]*$B49</f>
        <v>3308.4549999999999</v>
      </c>
      <c r="D49" s="5">
        <f>Table4[[#This Row],[Feb]]*$B49</f>
        <v>2856.5949999999998</v>
      </c>
      <c r="E49" s="5">
        <f>Table4[[#This Row],[Mar]]*$B49</f>
        <v>3155.625</v>
      </c>
      <c r="F49" s="5">
        <f>Table4[[#This Row],[Apr]]*$B49</f>
        <v>3081.8449999999998</v>
      </c>
      <c r="G49" s="5">
        <f>Table4[[#This Row],[May]]*$B49</f>
        <v>2972.875</v>
      </c>
      <c r="H49" s="5">
        <f>Table4[[#This Row],[Jun]]*$B49</f>
        <v>2678.69</v>
      </c>
      <c r="I49" s="5">
        <f>Table4[[#This Row],[Jul]]*$B49</f>
        <v>2819.0250000000001</v>
      </c>
      <c r="J49" s="5">
        <f>Table4[[#This Row],[Aug]]*$B49</f>
        <v>3304.375</v>
      </c>
      <c r="K49" s="5">
        <f>Table4[[#This Row],[Sep]]*$B49</f>
        <v>3255.7550000000001</v>
      </c>
      <c r="L49" s="5">
        <f>Table4[[#This Row],[Oct]]*$B49</f>
        <v>3170.2449999999999</v>
      </c>
      <c r="M49" s="5">
        <f>Table4[[#This Row],[Nov]]*$B49</f>
        <v>3173.1349999999998</v>
      </c>
      <c r="N49" s="5">
        <f>Table4[[#This Row],[Dec]]*$B49</f>
        <v>3354.1849999999999</v>
      </c>
    </row>
    <row r="50" spans="1:14" ht="14.25" customHeight="1" x14ac:dyDescent="0.3">
      <c r="A50" t="s">
        <v>171</v>
      </c>
      <c r="B50">
        <v>0.95</v>
      </c>
      <c r="C50" s="5">
        <f>Table4[[#This Row],[Jan]]*$B50</f>
        <v>12489.554999999998</v>
      </c>
      <c r="D50" s="5">
        <f>Table4[[#This Row],[Feb]]*$B50</f>
        <v>10877.69</v>
      </c>
      <c r="E50" s="5">
        <f>Table4[[#This Row],[Mar]]*$B50</f>
        <v>10897.355</v>
      </c>
      <c r="F50" s="5">
        <f>Table4[[#This Row],[Apr]]*$B50</f>
        <v>8757.9549999999999</v>
      </c>
      <c r="G50" s="5">
        <f>Table4[[#This Row],[May]]*$B50</f>
        <v>7449.4249999999993</v>
      </c>
      <c r="H50" s="5">
        <f>Table4[[#This Row],[Jun]]*$B50</f>
        <v>6752.6949999999997</v>
      </c>
      <c r="I50" s="5">
        <f>Table4[[#This Row],[Jul]]*$B50</f>
        <v>7274.2449999999999</v>
      </c>
      <c r="J50" s="5">
        <f>Table4[[#This Row],[Aug]]*$B50</f>
        <v>8568.7150000000001</v>
      </c>
      <c r="K50" s="5">
        <f>Table4[[#This Row],[Sep]]*$B50</f>
        <v>9196</v>
      </c>
      <c r="L50" s="5">
        <f>Table4[[#This Row],[Oct]]*$B50</f>
        <v>10753.525</v>
      </c>
      <c r="M50" s="5">
        <f>Table4[[#This Row],[Nov]]*$B50</f>
        <v>11159.27</v>
      </c>
      <c r="N50" s="5">
        <f>Table4[[#This Row],[Dec]]*$B50</f>
        <v>12687.82</v>
      </c>
    </row>
    <row r="51" spans="1:14" ht="14.25" customHeight="1" x14ac:dyDescent="0.3">
      <c r="A51" t="s">
        <v>172</v>
      </c>
      <c r="B51">
        <v>0.95</v>
      </c>
      <c r="C51" s="5">
        <f>Table4[[#This Row],[Jan]]*$B51</f>
        <v>13218.014999999999</v>
      </c>
      <c r="D51" s="5">
        <f>Table4[[#This Row],[Feb]]*$B51</f>
        <v>10966.134999999998</v>
      </c>
      <c r="E51" s="5">
        <f>Table4[[#This Row],[Mar]]*$B51</f>
        <v>11441.134999999998</v>
      </c>
      <c r="F51" s="5">
        <f>Table4[[#This Row],[Apr]]*$B51</f>
        <v>10004.07</v>
      </c>
      <c r="G51" s="5">
        <f>Table4[[#This Row],[May]]*$B51</f>
        <v>8979.59</v>
      </c>
      <c r="H51" s="5">
        <f>Table4[[#This Row],[Jun]]*$B51</f>
        <v>7800.2599999999993</v>
      </c>
      <c r="I51" s="5">
        <f>Table4[[#This Row],[Jul]]*$B51</f>
        <v>8635.69</v>
      </c>
      <c r="J51" s="5">
        <f>Table4[[#This Row],[Aug]]*$B51</f>
        <v>9829.9349999999995</v>
      </c>
      <c r="K51" s="5">
        <f>Table4[[#This Row],[Sep]]*$B51</f>
        <v>10568.94</v>
      </c>
      <c r="L51" s="5">
        <f>Table4[[#This Row],[Oct]]*$B51</f>
        <v>11606.34</v>
      </c>
      <c r="M51" s="5">
        <f>Table4[[#This Row],[Nov]]*$B51</f>
        <v>12483.284999999998</v>
      </c>
      <c r="N51" s="5">
        <f>Table4[[#This Row],[Dec]]*$B51</f>
        <v>13393.574999999999</v>
      </c>
    </row>
    <row r="52" spans="1:14" ht="14.25" customHeight="1" x14ac:dyDescent="0.3">
      <c r="A52" t="s">
        <v>265</v>
      </c>
      <c r="B52">
        <v>0.9</v>
      </c>
      <c r="C52" s="5">
        <f>Table4[[#This Row],[Jan]]*$B52</f>
        <v>23065.02</v>
      </c>
      <c r="D52" s="5">
        <f>Table4[[#This Row],[Feb]]*$B52</f>
        <v>20354.850000000002</v>
      </c>
      <c r="E52" s="5">
        <f>Table4[[#This Row],[Mar]]*$B52</f>
        <v>21716.37</v>
      </c>
      <c r="F52" s="5">
        <f>Table4[[#This Row],[Apr]]*$B52</f>
        <v>18847.89</v>
      </c>
      <c r="G52" s="5">
        <f>Table4[[#This Row],[May]]*$B52</f>
        <v>18700.919999999998</v>
      </c>
      <c r="H52" s="5">
        <f>Table4[[#This Row],[Jun]]*$B52</f>
        <v>17164.439999999999</v>
      </c>
      <c r="I52" s="5">
        <f>Table4[[#This Row],[Jul]]*$B52</f>
        <v>18821.97</v>
      </c>
      <c r="J52" s="5">
        <f>Table4[[#This Row],[Aug]]*$B52</f>
        <v>21497.67</v>
      </c>
      <c r="K52" s="5">
        <f>Table4[[#This Row],[Sep]]*$B52</f>
        <v>22688.37</v>
      </c>
      <c r="L52" s="5">
        <f>Table4[[#This Row],[Oct]]*$B52</f>
        <v>22841.55</v>
      </c>
      <c r="M52" s="5">
        <f>Table4[[#This Row],[Nov]]*$B52</f>
        <v>22507.919999999998</v>
      </c>
      <c r="N52" s="5">
        <f>Table4[[#This Row],[Dec]]*$B52</f>
        <v>23494.59</v>
      </c>
    </row>
    <row r="53" spans="1:14" ht="14.25" customHeight="1" x14ac:dyDescent="0.3">
      <c r="A53" t="s">
        <v>177</v>
      </c>
      <c r="B53">
        <v>0.9</v>
      </c>
      <c r="C53" s="5">
        <f>Table4[[#This Row],[Jan]]*$B53</f>
        <v>4359.6000000000004</v>
      </c>
      <c r="D53" s="5">
        <f>Table4[[#This Row],[Feb]]*$B53</f>
        <v>3825.9</v>
      </c>
      <c r="E53" s="5">
        <f>Table4[[#This Row],[Mar]]*$B53</f>
        <v>4077</v>
      </c>
      <c r="F53" s="5">
        <f>Table4[[#This Row],[Apr]]*$B53</f>
        <v>3573.9</v>
      </c>
      <c r="G53" s="5">
        <f>Table4[[#This Row],[May]]*$B53</f>
        <v>3623.4</v>
      </c>
      <c r="H53" s="5">
        <f>Table4[[#This Row],[Jun]]*$B53</f>
        <v>3360.6</v>
      </c>
      <c r="I53" s="5">
        <f>Table4[[#This Row],[Jul]]*$B53</f>
        <v>3665.7000000000003</v>
      </c>
      <c r="J53" s="5">
        <f>Table4[[#This Row],[Aug]]*$B53</f>
        <v>4104</v>
      </c>
      <c r="K53" s="5">
        <f>Table4[[#This Row],[Sep]]*$B53</f>
        <v>4274.1000000000004</v>
      </c>
      <c r="L53" s="5">
        <f>Table4[[#This Row],[Oct]]*$B53</f>
        <v>4289.4000000000005</v>
      </c>
      <c r="M53" s="5">
        <f>Table4[[#This Row],[Nov]]*$B53</f>
        <v>4249.8</v>
      </c>
      <c r="N53" s="5">
        <f>Table4[[#This Row],[Dec]]*$B53</f>
        <v>4446</v>
      </c>
    </row>
    <row r="54" spans="1:14" ht="14.25" customHeight="1" x14ac:dyDescent="0.3">
      <c r="A54" t="s">
        <v>180</v>
      </c>
      <c r="B54">
        <v>0.9</v>
      </c>
      <c r="C54" s="5">
        <f>Table4[[#This Row],[Jan]]*$B54</f>
        <v>23724</v>
      </c>
      <c r="D54" s="5">
        <f>Table4[[#This Row],[Feb]]*$B54</f>
        <v>20448</v>
      </c>
      <c r="E54" s="5">
        <f>Table4[[#This Row],[Mar]]*$B54</f>
        <v>19986.3</v>
      </c>
      <c r="F54" s="5">
        <f>Table4[[#This Row],[Apr]]*$B54</f>
        <v>17181.900000000001</v>
      </c>
      <c r="G54" s="5">
        <f>Table4[[#This Row],[May]]*$B54</f>
        <v>15369.300000000001</v>
      </c>
      <c r="H54" s="5">
        <f>Table4[[#This Row],[Jun]]*$B54</f>
        <v>13381.2</v>
      </c>
      <c r="I54" s="5">
        <f>Table4[[#This Row],[Jul]]*$B54</f>
        <v>15023.7</v>
      </c>
      <c r="J54" s="5">
        <f>Table4[[#This Row],[Aug]]*$B54</f>
        <v>18071.100000000002</v>
      </c>
      <c r="K54" s="5">
        <f>Table4[[#This Row],[Sep]]*$B54</f>
        <v>20545.2</v>
      </c>
      <c r="L54" s="5">
        <f>Table4[[#This Row],[Oct]]*$B54</f>
        <v>23411.7</v>
      </c>
      <c r="M54" s="5">
        <f>Table4[[#This Row],[Nov]]*$B54</f>
        <v>23583.600000000002</v>
      </c>
      <c r="N54" s="5">
        <f>Table4[[#This Row],[Dec]]*$B54</f>
        <v>24027.3</v>
      </c>
    </row>
    <row r="55" spans="1:14" ht="14.25" customHeight="1" x14ac:dyDescent="0.3">
      <c r="A55" t="s">
        <v>182</v>
      </c>
      <c r="B55">
        <v>0.95</v>
      </c>
      <c r="C55" s="5">
        <f>Table4[[#This Row],[Jan]]*$B55</f>
        <v>20564.649999999998</v>
      </c>
      <c r="D55" s="5">
        <f>Table4[[#This Row],[Feb]]*$B55</f>
        <v>17491.399999999998</v>
      </c>
      <c r="E55" s="5">
        <f>Table4[[#This Row],[Mar]]*$B55</f>
        <v>18246.649999999998</v>
      </c>
      <c r="F55" s="5">
        <f>Table4[[#This Row],[Apr]]*$B55</f>
        <v>15297.849999999999</v>
      </c>
      <c r="G55" s="5">
        <f>Table4[[#This Row],[May]]*$B55</f>
        <v>14953</v>
      </c>
      <c r="H55" s="5">
        <f>Table4[[#This Row],[Jun]]*$B55</f>
        <v>13275.3</v>
      </c>
      <c r="I55" s="5">
        <f>Table4[[#This Row],[Jul]]*$B55</f>
        <v>14678.449999999999</v>
      </c>
      <c r="J55" s="5">
        <f>Table4[[#This Row],[Aug]]*$B55</f>
        <v>17062.95</v>
      </c>
      <c r="K55" s="5">
        <f>Table4[[#This Row],[Sep]]*$B55</f>
        <v>18937.3</v>
      </c>
      <c r="L55" s="5">
        <f>Table4[[#This Row],[Oct]]*$B55</f>
        <v>20481.05</v>
      </c>
      <c r="M55" s="5">
        <f>Table4[[#This Row],[Nov]]*$B55</f>
        <v>20366.099999999999</v>
      </c>
      <c r="N55" s="5">
        <f>Table4[[#This Row],[Dec]]*$B55</f>
        <v>21890.85</v>
      </c>
    </row>
    <row r="56" spans="1:14" ht="14.25" customHeight="1" x14ac:dyDescent="0.3">
      <c r="A56" t="s">
        <v>184</v>
      </c>
      <c r="B56">
        <v>0.95</v>
      </c>
      <c r="C56" s="5">
        <f>Table4[[#This Row],[Jan]]*$B56</f>
        <v>37513.599999999999</v>
      </c>
      <c r="D56" s="5">
        <f>Table4[[#This Row],[Feb]]*$B56</f>
        <v>31212.25</v>
      </c>
      <c r="E56" s="5">
        <f>Table4[[#This Row],[Mar]]*$B56</f>
        <v>29700.134999999998</v>
      </c>
      <c r="F56" s="5">
        <f>Table4[[#This Row],[Apr]]*$B56</f>
        <v>24898.55</v>
      </c>
      <c r="G56" s="5">
        <f>Table4[[#This Row],[May]]*$B56</f>
        <v>21981.1</v>
      </c>
      <c r="H56" s="5">
        <f>Table4[[#This Row],[Jun]]*$B56</f>
        <v>18982.899999999998</v>
      </c>
      <c r="I56" s="5">
        <f>Table4[[#This Row],[Jul]]*$B56</f>
        <v>21551.7</v>
      </c>
      <c r="J56" s="5">
        <f>Table4[[#This Row],[Aug]]*$B56</f>
        <v>26041.399999999998</v>
      </c>
      <c r="K56" s="5">
        <f>Table4[[#This Row],[Sep]]*$B56</f>
        <v>29888.899999999998</v>
      </c>
      <c r="L56" s="5">
        <f>Table4[[#This Row],[Oct]]*$B56</f>
        <v>34705.4</v>
      </c>
      <c r="M56" s="5">
        <f>Table4[[#This Row],[Nov]]*$B56</f>
        <v>36881.85</v>
      </c>
      <c r="N56" s="5">
        <f>Table4[[#This Row],[Dec]]*$B56</f>
        <v>40110.9</v>
      </c>
    </row>
    <row r="57" spans="1:14" ht="14.25" customHeight="1" x14ac:dyDescent="0.3">
      <c r="A57" t="s">
        <v>186</v>
      </c>
      <c r="B57">
        <v>0.9</v>
      </c>
      <c r="C57" s="5">
        <f>Table4[[#This Row],[Jan]]*$B57</f>
        <v>34074.9</v>
      </c>
      <c r="D57" s="5">
        <f>Table4[[#This Row],[Feb]]*$B57</f>
        <v>28396.799999999999</v>
      </c>
      <c r="E57" s="5">
        <f>Table4[[#This Row],[Mar]]*$B57</f>
        <v>28665.9</v>
      </c>
      <c r="F57" s="5">
        <f>Table4[[#This Row],[Apr]]*$B57</f>
        <v>24411.600000000002</v>
      </c>
      <c r="G57" s="5">
        <f>Table4[[#This Row],[May]]*$B57</f>
        <v>22266.9</v>
      </c>
      <c r="H57" s="5">
        <f>Table4[[#This Row],[Jun]]*$B57</f>
        <v>19791.900000000001</v>
      </c>
      <c r="I57" s="5">
        <f>Table4[[#This Row],[Jul]]*$B57</f>
        <v>21774.600000000002</v>
      </c>
      <c r="J57" s="5">
        <f>Table4[[#This Row],[Aug]]*$B57</f>
        <v>25973.100000000002</v>
      </c>
      <c r="K57" s="5">
        <f>Table4[[#This Row],[Sep]]*$B57</f>
        <v>28984.5</v>
      </c>
      <c r="L57" s="5">
        <f>Table4[[#This Row],[Oct]]*$B57</f>
        <v>33058.800000000003</v>
      </c>
      <c r="M57" s="5">
        <f>Table4[[#This Row],[Nov]]*$B57</f>
        <v>34366.5</v>
      </c>
      <c r="N57" s="5">
        <f>Table4[[#This Row],[Dec]]*$B57</f>
        <v>36320.400000000001</v>
      </c>
    </row>
    <row r="58" spans="1:14" ht="14.25" customHeight="1" x14ac:dyDescent="0.3">
      <c r="A58" t="s">
        <v>188</v>
      </c>
      <c r="B58">
        <v>0.9</v>
      </c>
      <c r="C58" s="5">
        <f>Table4[[#This Row],[Jan]]*$B58</f>
        <v>20588.400000000001</v>
      </c>
      <c r="D58" s="5">
        <f>Table4[[#This Row],[Feb]]*$B58</f>
        <v>17538.3</v>
      </c>
      <c r="E58" s="5">
        <f>Table4[[#This Row],[Mar]]*$B58</f>
        <v>17897.400000000001</v>
      </c>
      <c r="F58" s="5">
        <f>Table4[[#This Row],[Apr]]*$B58</f>
        <v>14674.5</v>
      </c>
      <c r="G58" s="5">
        <f>Table4[[#This Row],[May]]*$B58</f>
        <v>13272.300000000001</v>
      </c>
      <c r="H58" s="5">
        <f>Table4[[#This Row],[Jun]]*$B58</f>
        <v>11571.300000000001</v>
      </c>
      <c r="I58" s="5">
        <f>Table4[[#This Row],[Jul]]*$B58</f>
        <v>12990.6</v>
      </c>
      <c r="J58" s="5">
        <f>Table4[[#This Row],[Aug]]*$B58</f>
        <v>15871.5</v>
      </c>
      <c r="K58" s="5">
        <f>Table4[[#This Row],[Sep]]*$B58</f>
        <v>18317.7</v>
      </c>
      <c r="L58" s="5">
        <f>Table4[[#This Row],[Oct]]*$B58</f>
        <v>20121.3</v>
      </c>
      <c r="M58" s="5">
        <f>Table4[[#This Row],[Nov]]*$B58</f>
        <v>20573.100000000002</v>
      </c>
      <c r="N58" s="5">
        <f>Table4[[#This Row],[Dec]]*$B58</f>
        <v>21930.3</v>
      </c>
    </row>
    <row r="59" spans="1:14" ht="14.25" customHeight="1" x14ac:dyDescent="0.3">
      <c r="A59" t="s">
        <v>226</v>
      </c>
      <c r="B59">
        <v>0.9</v>
      </c>
      <c r="C59" s="5">
        <f>Table4[[#This Row],[Jan]]*$B59</f>
        <v>30721.5</v>
      </c>
      <c r="D59" s="5">
        <f>Table4[[#This Row],[Feb]]*$B59</f>
        <v>24282.9</v>
      </c>
      <c r="E59" s="5">
        <f>Table4[[#This Row],[Mar]]*$B59</f>
        <v>24146.100000000002</v>
      </c>
      <c r="F59" s="5">
        <f>Table4[[#This Row],[Apr]]*$B59</f>
        <v>18389.7</v>
      </c>
      <c r="G59" s="5">
        <f>Table4[[#This Row],[May]]*$B59</f>
        <v>18961.2</v>
      </c>
      <c r="H59" s="5">
        <f>Table4[[#This Row],[Jun]]*$B59</f>
        <v>15280.2</v>
      </c>
      <c r="I59" s="5">
        <f>Table4[[#This Row],[Jul]]*$B59</f>
        <v>17361.900000000001</v>
      </c>
      <c r="J59" s="5">
        <f>Table4[[#This Row],[Aug]]*$B59</f>
        <v>19303.2</v>
      </c>
      <c r="K59" s="5">
        <f>Table4[[#This Row],[Sep]]*$B59</f>
        <v>18141.3</v>
      </c>
      <c r="L59" s="5">
        <f>Table4[[#This Row],[Oct]]*$B59</f>
        <v>22548.600000000002</v>
      </c>
      <c r="M59" s="5">
        <f>Table4[[#This Row],[Nov]]*$B59</f>
        <v>22923.9</v>
      </c>
      <c r="N59" s="5">
        <f>Table4[[#This Row],[Dec]]*$B59</f>
        <v>28392.3</v>
      </c>
    </row>
    <row r="60" spans="1:14" ht="14.25" customHeight="1" x14ac:dyDescent="0.3">
      <c r="A60" t="s">
        <v>208</v>
      </c>
      <c r="B60">
        <v>0.9</v>
      </c>
      <c r="C60" s="5">
        <f>Table4[[#This Row],[Jan]]*$B60</f>
        <v>18584.100000000002</v>
      </c>
      <c r="D60" s="5">
        <f>Table4[[#This Row],[Feb]]*$B60</f>
        <v>16101.9</v>
      </c>
      <c r="E60" s="5">
        <f>Table4[[#This Row],[Mar]]*$B60</f>
        <v>15901.2</v>
      </c>
      <c r="F60" s="5">
        <f>Table4[[#This Row],[Apr]]*$B60</f>
        <v>13660.2</v>
      </c>
      <c r="G60" s="5">
        <f>Table4[[#This Row],[May]]*$B60</f>
        <v>12620.7</v>
      </c>
      <c r="H60" s="5">
        <f>Table4[[#This Row],[Jun]]*$B60</f>
        <v>11094.300000000001</v>
      </c>
      <c r="I60" s="5">
        <f>Table4[[#This Row],[Jul]]*$B60</f>
        <v>12367.800000000001</v>
      </c>
      <c r="J60" s="5">
        <f>Table4[[#This Row],[Aug]]*$B60</f>
        <v>14484.6</v>
      </c>
      <c r="K60" s="5">
        <f>Table4[[#This Row],[Sep]]*$B60</f>
        <v>16189.2</v>
      </c>
      <c r="L60" s="5">
        <f>Table4[[#This Row],[Oct]]*$B60</f>
        <v>18663.3</v>
      </c>
      <c r="M60" s="5">
        <f>Table4[[#This Row],[Nov]]*$B60</f>
        <v>18589.5</v>
      </c>
      <c r="N60" s="5">
        <f>Table4[[#This Row],[Dec]]*$B60</f>
        <v>19022.400000000001</v>
      </c>
    </row>
    <row r="61" spans="1:14" ht="14.25" customHeight="1" x14ac:dyDescent="0.3">
      <c r="A61" t="s">
        <v>190</v>
      </c>
      <c r="B61">
        <v>0.85</v>
      </c>
      <c r="C61" s="5">
        <f>Table4[[#This Row],[Jan]]*$B61</f>
        <v>16638.665000000001</v>
      </c>
      <c r="D61" s="5">
        <f>Table4[[#This Row],[Feb]]*$B61</f>
        <v>14215.059999999998</v>
      </c>
      <c r="E61" s="5">
        <f>Table4[[#This Row],[Mar]]*$B61</f>
        <v>15137.309999999998</v>
      </c>
      <c r="F61" s="5">
        <f>Table4[[#This Row],[Apr]]*$B61</f>
        <v>13176.87</v>
      </c>
      <c r="G61" s="5">
        <f>Table4[[#This Row],[May]]*$B61</f>
        <v>12813.75</v>
      </c>
      <c r="H61" s="5">
        <f>Table4[[#This Row],[Jun]]*$B61</f>
        <v>11578.87</v>
      </c>
      <c r="I61" s="5">
        <f>Table4[[#This Row],[Jul]]*$B61</f>
        <v>12892.545</v>
      </c>
      <c r="J61" s="5">
        <f>Table4[[#This Row],[Aug]]*$B61</f>
        <v>14836.92</v>
      </c>
      <c r="K61" s="5">
        <f>Table4[[#This Row],[Sep]]*$B61</f>
        <v>15996.15</v>
      </c>
      <c r="L61" s="5">
        <f>Table4[[#This Row],[Oct]]*$B61</f>
        <v>16796.170000000002</v>
      </c>
      <c r="M61" s="5">
        <f>Table4[[#This Row],[Nov]]*$B61</f>
        <v>16463.224999999999</v>
      </c>
      <c r="N61" s="5">
        <f>Table4[[#This Row],[Dec]]*$B61</f>
        <v>17398.904999999999</v>
      </c>
    </row>
    <row r="62" spans="1:14" ht="14.25" customHeight="1" x14ac:dyDescent="0.3">
      <c r="A62" t="s">
        <v>213</v>
      </c>
      <c r="B62">
        <v>0.9</v>
      </c>
      <c r="C62" s="5">
        <f>Table4[[#This Row],[Jan]]*$B62</f>
        <v>9307.8000000000011</v>
      </c>
      <c r="D62" s="5">
        <f>Table4[[#This Row],[Feb]]*$B62</f>
        <v>8001.9000000000005</v>
      </c>
      <c r="E62" s="5">
        <f>Table4[[#This Row],[Mar]]*$B62</f>
        <v>7803.9000000000005</v>
      </c>
      <c r="F62" s="5">
        <f>Table4[[#This Row],[Apr]]*$B62</f>
        <v>6785.1</v>
      </c>
      <c r="G62" s="5">
        <f>Table4[[#This Row],[May]]*$B62</f>
        <v>6244.2</v>
      </c>
      <c r="H62" s="5">
        <f>Table4[[#This Row],[Jun]]*$B62</f>
        <v>5524.2</v>
      </c>
      <c r="I62" s="5">
        <f>Table4[[#This Row],[Jul]]*$B62</f>
        <v>6086.7</v>
      </c>
      <c r="J62" s="5">
        <f>Table4[[#This Row],[Aug]]*$B62</f>
        <v>7124.4000000000005</v>
      </c>
      <c r="K62" s="5">
        <f>Table4[[#This Row],[Sep]]*$B62</f>
        <v>7864.2</v>
      </c>
      <c r="L62" s="5">
        <f>Table4[[#This Row],[Oct]]*$B62</f>
        <v>9007.2000000000007</v>
      </c>
      <c r="M62" s="5">
        <f>Table4[[#This Row],[Nov]]*$B62</f>
        <v>8999.1</v>
      </c>
      <c r="N62" s="5">
        <f>Table4[[#This Row],[Dec]]*$B62</f>
        <v>9241.2000000000007</v>
      </c>
    </row>
    <row r="63" spans="1:14" ht="14.25" customHeight="1" x14ac:dyDescent="0.3">
      <c r="A63" t="s">
        <v>216</v>
      </c>
      <c r="B63">
        <v>0.9</v>
      </c>
      <c r="C63" s="5">
        <f>Table4[[#This Row],[Jan]]*$B63</f>
        <v>28699.56</v>
      </c>
      <c r="D63" s="5">
        <f>Table4[[#This Row],[Feb]]*$B63</f>
        <v>24909.3</v>
      </c>
      <c r="E63" s="5">
        <f>Table4[[#This Row],[Mar]]*$B63</f>
        <v>24570</v>
      </c>
      <c r="F63" s="5">
        <f>Table4[[#This Row],[Apr]]*$B63</f>
        <v>21388.5</v>
      </c>
      <c r="G63" s="5">
        <f>Table4[[#This Row],[May]]*$B63</f>
        <v>19723.5</v>
      </c>
      <c r="H63" s="5">
        <f>Table4[[#This Row],[Jun]]*$B63</f>
        <v>17431.2</v>
      </c>
      <c r="I63" s="5">
        <f>Table4[[#This Row],[Jul]]*$B63</f>
        <v>19181.7</v>
      </c>
      <c r="J63" s="5">
        <f>Table4[[#This Row],[Aug]]*$B63</f>
        <v>22417.200000000001</v>
      </c>
      <c r="K63" s="5">
        <f>Table4[[#This Row],[Sep]]*$B63</f>
        <v>24780.600000000002</v>
      </c>
      <c r="L63" s="5">
        <f>Table4[[#This Row],[Oct]]*$B63</f>
        <v>28127.7</v>
      </c>
      <c r="M63" s="5">
        <f>Table4[[#This Row],[Nov]]*$B63</f>
        <v>28061.100000000002</v>
      </c>
      <c r="N63" s="5">
        <f>Table4[[#This Row],[Dec]]*$B63</f>
        <v>28703.7</v>
      </c>
    </row>
    <row r="64" spans="1:14" ht="14.25" customHeight="1" x14ac:dyDescent="0.3">
      <c r="A64" t="s">
        <v>218</v>
      </c>
      <c r="B64">
        <v>0.9</v>
      </c>
      <c r="C64" s="5">
        <f>Table4[[#This Row],[Jan]]*$B64</f>
        <v>9601.92</v>
      </c>
      <c r="D64" s="5">
        <f>Table4[[#This Row],[Feb]]*$B64</f>
        <v>8296.74</v>
      </c>
      <c r="E64" s="5">
        <f>Table4[[#This Row],[Mar]]*$B64</f>
        <v>8140.5</v>
      </c>
      <c r="F64" s="5">
        <f>Table4[[#This Row],[Apr]]*$B64</f>
        <v>7017.3</v>
      </c>
      <c r="G64" s="5">
        <f>Table4[[#This Row],[May]]*$B64</f>
        <v>6430.3200000000006</v>
      </c>
      <c r="H64" s="5">
        <f>Table4[[#This Row],[Jun]]*$B64</f>
        <v>5669.28</v>
      </c>
      <c r="I64" s="5">
        <f>Table4[[#This Row],[Jul]]*$B64</f>
        <v>6247.4400000000005</v>
      </c>
      <c r="J64" s="5">
        <f>Table4[[#This Row],[Aug]]*$B64</f>
        <v>7340.13</v>
      </c>
      <c r="K64" s="5">
        <f>Table4[[#This Row],[Sep]]*$B64</f>
        <v>8154</v>
      </c>
      <c r="L64" s="5">
        <f>Table4[[#This Row],[Oct]]*$B64</f>
        <v>9352.8000000000011</v>
      </c>
      <c r="M64" s="5">
        <f>Table4[[#This Row],[Nov]]*$B64</f>
        <v>9353.7000000000007</v>
      </c>
      <c r="N64" s="5">
        <f>Table4[[#This Row],[Dec]]*$B64</f>
        <v>9582.3000000000011</v>
      </c>
    </row>
    <row r="65" spans="1:14" ht="14.25" customHeight="1" x14ac:dyDescent="0.3">
      <c r="A65" t="s">
        <v>192</v>
      </c>
      <c r="C65" s="5">
        <f>Table4[[#This Row],[Jan]]*$B65</f>
        <v>0</v>
      </c>
      <c r="D65" s="5">
        <f>Table4[[#This Row],[Feb]]*$B65</f>
        <v>0</v>
      </c>
      <c r="E65" s="5">
        <f>Table4[[#This Row],[Mar]]*$B65</f>
        <v>0</v>
      </c>
      <c r="F65" s="5">
        <f>Table4[[#This Row],[Apr]]*$B65</f>
        <v>0</v>
      </c>
      <c r="G65" s="5">
        <f>Table4[[#This Row],[May]]*$B65</f>
        <v>0</v>
      </c>
      <c r="H65" s="5">
        <f>Table4[[#This Row],[Jun]]*$B65</f>
        <v>0</v>
      </c>
      <c r="I65" s="5">
        <f>Table4[[#This Row],[Jul]]*$B65</f>
        <v>0</v>
      </c>
      <c r="J65" s="5">
        <f>Table4[[#This Row],[Aug]]*$B65</f>
        <v>0</v>
      </c>
      <c r="K65" s="5">
        <f>Table4[[#This Row],[Sep]]*$B65</f>
        <v>0</v>
      </c>
      <c r="L65" s="5">
        <f>Table4[[#This Row],[Oct]]*$B65</f>
        <v>0</v>
      </c>
      <c r="M65" s="5">
        <f>Table4[[#This Row],[Nov]]*$B65</f>
        <v>0</v>
      </c>
      <c r="N65" s="5">
        <f>Table4[[#This Row],[Dec]]*$B65</f>
        <v>0</v>
      </c>
    </row>
    <row r="66" spans="1:14" ht="14.25" customHeight="1" x14ac:dyDescent="0.3">
      <c r="A66" t="s">
        <v>194</v>
      </c>
      <c r="B66">
        <v>0.92500000000000004</v>
      </c>
      <c r="C66" s="5">
        <f>Table4[[#This Row],[Jan]]*$B66</f>
        <v>7605.35</v>
      </c>
      <c r="D66" s="5">
        <f>Table4[[#This Row],[Feb]]*$B66</f>
        <v>6473.1500000000005</v>
      </c>
      <c r="E66" s="5">
        <f>Table4[[#This Row],[Mar]]*$B66</f>
        <v>6529.5750000000007</v>
      </c>
      <c r="F66" s="5">
        <f>Table4[[#This Row],[Apr]]*$B66</f>
        <v>5155.95</v>
      </c>
      <c r="G66" s="5">
        <f>Table4[[#This Row],[May]]*$B66</f>
        <v>4885.8500000000004</v>
      </c>
      <c r="H66" s="5">
        <f>Table4[[#This Row],[Jun]]*$B66</f>
        <v>4375.25</v>
      </c>
      <c r="I66" s="5">
        <f>Table4[[#This Row],[Jul]]*$B66</f>
        <v>4861.8</v>
      </c>
      <c r="J66" s="5">
        <f>Table4[[#This Row],[Aug]]*$B66</f>
        <v>5591.625</v>
      </c>
      <c r="K66" s="5">
        <f>Table4[[#This Row],[Sep]]*$B66</f>
        <v>6522.1750000000002</v>
      </c>
      <c r="L66" s="5">
        <f>Table4[[#This Row],[Oct]]*$B66</f>
        <v>7451.8</v>
      </c>
      <c r="M66" s="5">
        <f>Table4[[#This Row],[Nov]]*$B66</f>
        <v>7534.125</v>
      </c>
      <c r="N66" s="5">
        <f>Table4[[#This Row],[Dec]]*$B66</f>
        <v>8084.5</v>
      </c>
    </row>
    <row r="67" spans="1:14" ht="14.25" customHeight="1" x14ac:dyDescent="0.3">
      <c r="A67" t="s">
        <v>196</v>
      </c>
      <c r="B67">
        <v>0.75</v>
      </c>
      <c r="C67" s="5">
        <f>Table4[[#This Row],[Jan]]*$B67</f>
        <v>4274.1000000000004</v>
      </c>
      <c r="D67" s="5">
        <f>Table4[[#This Row],[Feb]]*$B67</f>
        <v>3810.6000000000004</v>
      </c>
      <c r="E67" s="5">
        <f>Table4[[#This Row],[Mar]]*$B67</f>
        <v>3907.2749999999996</v>
      </c>
      <c r="F67" s="5">
        <f>Table4[[#This Row],[Apr]]*$B67</f>
        <v>3268.125</v>
      </c>
      <c r="G67" s="5">
        <f>Table4[[#This Row],[May]]*$B67</f>
        <v>2929.95</v>
      </c>
      <c r="H67" s="5">
        <f>Table4[[#This Row],[Jun]]*$B67</f>
        <v>2664.75</v>
      </c>
      <c r="I67" s="5">
        <f>Table4[[#This Row],[Jul]]*$B67</f>
        <v>2851.125</v>
      </c>
      <c r="J67" s="5">
        <f>Table4[[#This Row],[Aug]]*$B67</f>
        <v>3237</v>
      </c>
      <c r="K67" s="5">
        <f>Table4[[#This Row],[Sep]]*$B67</f>
        <v>3327.75</v>
      </c>
      <c r="L67" s="5">
        <f>Table4[[#This Row],[Oct]]*$B67</f>
        <v>3775.7250000000004</v>
      </c>
      <c r="M67" s="5">
        <f>Table4[[#This Row],[Nov]]*$B67</f>
        <v>3829.5750000000003</v>
      </c>
      <c r="N67" s="5">
        <f>Table4[[#This Row],[Dec]]*$B67</f>
        <v>4315.6499999999996</v>
      </c>
    </row>
    <row r="68" spans="1:14" ht="14.25" customHeight="1" x14ac:dyDescent="0.3">
      <c r="A68" t="s">
        <v>199</v>
      </c>
      <c r="B68">
        <v>0.75</v>
      </c>
      <c r="C68" s="5">
        <f>Table4[[#This Row],[Jan]]*$B68</f>
        <v>3784.4249999999997</v>
      </c>
      <c r="D68" s="5">
        <f>Table4[[#This Row],[Feb]]*$B68</f>
        <v>3270.1499999999996</v>
      </c>
      <c r="E68" s="5">
        <f>Table4[[#This Row],[Mar]]*$B68</f>
        <v>3533.3250000000003</v>
      </c>
      <c r="F68" s="5">
        <f>Table4[[#This Row],[Apr]]*$B68</f>
        <v>3063.0749999999998</v>
      </c>
      <c r="G68" s="5">
        <f>Table4[[#This Row],[May]]*$B68</f>
        <v>3093.8250000000003</v>
      </c>
      <c r="H68" s="5">
        <f>Table4[[#This Row],[Jun]]*$B68</f>
        <v>2834.0249999999996</v>
      </c>
      <c r="I68" s="5">
        <f>Table4[[#This Row],[Jul]]*$B68</f>
        <v>3103.3500000000004</v>
      </c>
      <c r="J68" s="5">
        <f>Table4[[#This Row],[Aug]]*$B68</f>
        <v>3491.5499999999997</v>
      </c>
      <c r="K68" s="5">
        <f>Table4[[#This Row],[Sep]]*$B68</f>
        <v>3723.4500000000003</v>
      </c>
      <c r="L68" s="5">
        <f>Table4[[#This Row],[Oct]]*$B68</f>
        <v>3899.3999999999996</v>
      </c>
      <c r="M68" s="5">
        <f>Table4[[#This Row],[Nov]]*$B68</f>
        <v>3732.75</v>
      </c>
      <c r="N68" s="5">
        <f>Table4[[#This Row],[Dec]]*$B68</f>
        <v>4016.1749999999997</v>
      </c>
    </row>
    <row r="69" spans="1:14" ht="14.25" customHeight="1" x14ac:dyDescent="0.3">
      <c r="A69" t="s">
        <v>201</v>
      </c>
      <c r="B69">
        <v>0.85</v>
      </c>
      <c r="C69" s="5">
        <f>Table4[[#This Row],[Jan]]*$B69</f>
        <v>13441.985000000001</v>
      </c>
      <c r="D69" s="5">
        <f>Table4[[#This Row],[Feb]]*$B69</f>
        <v>12055.125</v>
      </c>
      <c r="E69" s="5">
        <f>Table4[[#This Row],[Mar]]*$B69</f>
        <v>12858.46</v>
      </c>
      <c r="F69" s="5">
        <f>Table4[[#This Row],[Apr]]*$B69</f>
        <v>11531.27</v>
      </c>
      <c r="G69" s="5">
        <f>Table4[[#This Row],[May]]*$B69</f>
        <v>11785.929999999998</v>
      </c>
      <c r="H69" s="5">
        <f>Table4[[#This Row],[Jun]]*$B69</f>
        <v>11018.635</v>
      </c>
      <c r="I69" s="5">
        <f>Table4[[#This Row],[Jul]]*$B69</f>
        <v>12024.27</v>
      </c>
      <c r="J69" s="5">
        <f>Table4[[#This Row],[Aug]]*$B69</f>
        <v>13262.635</v>
      </c>
      <c r="K69" s="5">
        <f>Table4[[#This Row],[Sep]]*$B69</f>
        <v>13540.33</v>
      </c>
      <c r="L69" s="5">
        <f>Table4[[#This Row],[Oct]]*$B69</f>
        <v>13925.295</v>
      </c>
      <c r="M69" s="5">
        <f>Table4[[#This Row],[Nov]]*$B69</f>
        <v>13508.37</v>
      </c>
      <c r="N69" s="5">
        <f>Table4[[#This Row],[Dec]]*$B69</f>
        <v>14234.525</v>
      </c>
    </row>
    <row r="70" spans="1:14" ht="14.25" customHeight="1" x14ac:dyDescent="0.3">
      <c r="A70" t="s">
        <v>211</v>
      </c>
      <c r="B70">
        <v>0.9</v>
      </c>
      <c r="C70" s="5">
        <f>Table4[[#This Row],[Jan]]*$B70</f>
        <v>7299.9000000000005</v>
      </c>
      <c r="D70" s="5">
        <f>Table4[[#This Row],[Feb]]*$B70</f>
        <v>6223.5</v>
      </c>
      <c r="E70" s="5">
        <f>Table4[[#This Row],[Mar]]*$B70</f>
        <v>6048.9000000000005</v>
      </c>
      <c r="F70" s="5">
        <f>Table4[[#This Row],[Apr]]*$B70</f>
        <v>5130.9000000000005</v>
      </c>
      <c r="G70" s="5">
        <f>Table4[[#This Row],[May]]*$B70</f>
        <v>4621.5</v>
      </c>
      <c r="H70" s="5">
        <f>Table4[[#This Row],[Jun]]*$B70</f>
        <v>3931.2000000000003</v>
      </c>
      <c r="I70" s="5">
        <f>Table4[[#This Row],[Jul]]*$B70</f>
        <v>4065.3</v>
      </c>
      <c r="J70" s="5">
        <f>Table4[[#This Row],[Aug]]*$B70</f>
        <v>4723.2</v>
      </c>
      <c r="K70" s="5">
        <f>Table4[[#This Row],[Sep]]*$B70</f>
        <v>5251.5</v>
      </c>
      <c r="L70" s="5">
        <f>Table4[[#This Row],[Oct]]*$B70</f>
        <v>6489.9000000000005</v>
      </c>
      <c r="M70" s="5">
        <f>Table4[[#This Row],[Nov]]*$B70</f>
        <v>6813.9000000000005</v>
      </c>
      <c r="N70" s="5">
        <f>Table4[[#This Row],[Dec]]*$B70</f>
        <v>7296.3</v>
      </c>
    </row>
    <row r="71" spans="1:14" ht="14.25" customHeight="1" x14ac:dyDescent="0.3">
      <c r="A71" t="s">
        <v>202</v>
      </c>
      <c r="B71">
        <v>0.9</v>
      </c>
      <c r="C71" s="5">
        <f>Table4[[#This Row],[Jan]]*$B71</f>
        <v>28027.8</v>
      </c>
      <c r="D71" s="5">
        <f>Table4[[#This Row],[Feb]]*$B71</f>
        <v>23853.600000000002</v>
      </c>
      <c r="E71" s="5">
        <f>Table4[[#This Row],[Mar]]*$B71</f>
        <v>24144.3</v>
      </c>
      <c r="F71" s="5">
        <f>Table4[[#This Row],[Apr]]*$B71</f>
        <v>20043</v>
      </c>
      <c r="G71" s="5">
        <f>Table4[[#This Row],[May]]*$B71</f>
        <v>19021.5</v>
      </c>
      <c r="H71" s="5">
        <f>Table4[[#This Row],[Jun]]*$B71</f>
        <v>17054.100000000002</v>
      </c>
      <c r="I71" s="5">
        <f>Table4[[#This Row],[Jul]]*$B71</f>
        <v>18900</v>
      </c>
      <c r="J71" s="5">
        <f>Table4[[#This Row],[Aug]]*$B71</f>
        <v>22066.2</v>
      </c>
      <c r="K71" s="5">
        <f>Table4[[#This Row],[Sep]]*$B71</f>
        <v>24526.799999999999</v>
      </c>
      <c r="L71" s="5">
        <f>Table4[[#This Row],[Oct]]*$B71</f>
        <v>27256.5</v>
      </c>
      <c r="M71" s="5">
        <f>Table4[[#This Row],[Nov]]*$B71</f>
        <v>26973.9</v>
      </c>
      <c r="N71" s="5">
        <f>Table4[[#This Row],[Dec]]*$B71</f>
        <v>29028.600000000002</v>
      </c>
    </row>
    <row r="72" spans="1:14" ht="14.25" customHeight="1" x14ac:dyDescent="0.3">
      <c r="A72" t="s">
        <v>206</v>
      </c>
      <c r="B72">
        <v>0.9</v>
      </c>
      <c r="C72" s="5" t="e">
        <f>Table4[[#This Row],[Jan]]*$B72</f>
        <v>#VALUE!</v>
      </c>
      <c r="D72" s="5" t="e">
        <f>Table4[[#This Row],[Feb]]*$B72</f>
        <v>#VALUE!</v>
      </c>
      <c r="E72" s="5" t="e">
        <f>Table4[[#This Row],[Mar]]*$B72</f>
        <v>#VALUE!</v>
      </c>
      <c r="F72" s="5" t="e">
        <f>Table4[[#This Row],[Apr]]*$B72</f>
        <v>#VALUE!</v>
      </c>
      <c r="G72" s="5" t="e">
        <f>Table4[[#This Row],[May]]*$B72</f>
        <v>#VALUE!</v>
      </c>
      <c r="H72" s="5" t="e">
        <f>Table4[[#This Row],[Jun]]*$B72</f>
        <v>#VALUE!</v>
      </c>
      <c r="I72" s="5" t="e">
        <f>Table4[[#This Row],[Jul]]*$B72</f>
        <v>#VALUE!</v>
      </c>
      <c r="J72" s="5" t="e">
        <f>Table4[[#This Row],[Aug]]*$B72</f>
        <v>#VALUE!</v>
      </c>
      <c r="K72" s="5" t="e">
        <f>Table4[[#This Row],[Sep]]*$B72</f>
        <v>#VALUE!</v>
      </c>
      <c r="L72" s="5" t="e">
        <f>Table4[[#This Row],[Oct]]*$B72</f>
        <v>#VALUE!</v>
      </c>
      <c r="M72" s="5" t="e">
        <f>Table4[[#This Row],[Nov]]*$B72</f>
        <v>#VALUE!</v>
      </c>
      <c r="N72" s="5" t="e">
        <f>Table4[[#This Row],[Dec]]*$B72</f>
        <v>#VALUE!</v>
      </c>
    </row>
    <row r="73" spans="1:14" ht="14.25" customHeight="1" x14ac:dyDescent="0.3">
      <c r="A73" t="s">
        <v>241</v>
      </c>
      <c r="B73">
        <v>0.9</v>
      </c>
      <c r="C73" s="5">
        <f>Table4[[#This Row],[Jan]]*$B73</f>
        <v>28380.600000000002</v>
      </c>
      <c r="D73" s="5">
        <f>Table4[[#This Row],[Feb]]*$B73</f>
        <v>24379.200000000001</v>
      </c>
      <c r="E73" s="5">
        <f>Table4[[#This Row],[Mar]]*$B73</f>
        <v>23351.4</v>
      </c>
      <c r="F73" s="5">
        <f>Table4[[#This Row],[Apr]]*$B73</f>
        <v>19887.3</v>
      </c>
      <c r="G73" s="5">
        <f>Table4[[#This Row],[May]]*$B73</f>
        <v>17745.3</v>
      </c>
      <c r="H73" s="5">
        <f>Table4[[#This Row],[Jun]]*$B73</f>
        <v>15502.5</v>
      </c>
      <c r="I73" s="5">
        <f>Table4[[#This Row],[Jul]]*$B73</f>
        <v>17358.3</v>
      </c>
      <c r="J73" s="5">
        <f>Table4[[#This Row],[Aug]]*$B73</f>
        <v>20842.2</v>
      </c>
      <c r="K73" s="5">
        <f>Table4[[#This Row],[Sep]]*$B73</f>
        <v>23841</v>
      </c>
      <c r="L73" s="5">
        <f>Table4[[#This Row],[Oct]]*$B73</f>
        <v>27285.3</v>
      </c>
      <c r="M73" s="5">
        <f>Table4[[#This Row],[Nov]]*$B73</f>
        <v>27841.5</v>
      </c>
      <c r="N73" s="5">
        <f>Table4[[#This Row],[Dec]]*$B73</f>
        <v>28779.3</v>
      </c>
    </row>
    <row r="74" spans="1:14" ht="14.25" customHeight="1" x14ac:dyDescent="0.3">
      <c r="A74" t="s">
        <v>228</v>
      </c>
      <c r="B74">
        <v>0.9</v>
      </c>
      <c r="C74" s="5">
        <f>Table4[[#This Row],[Jan]]*$B74</f>
        <v>29074.5</v>
      </c>
      <c r="D74" s="5">
        <f>Table4[[#This Row],[Feb]]*$B74</f>
        <v>26716.5</v>
      </c>
      <c r="E74" s="5">
        <f>Table4[[#This Row],[Mar]]*$B74</f>
        <v>27941.4</v>
      </c>
      <c r="F74" s="5">
        <f>Table4[[#This Row],[Apr]]*$B74</f>
        <v>25610.400000000001</v>
      </c>
      <c r="G74" s="5">
        <f>Table4[[#This Row],[May]]*$B74</f>
        <v>25802.100000000002</v>
      </c>
      <c r="H74" s="5">
        <f>Table4[[#This Row],[Jun]]*$B74</f>
        <v>23428.799999999999</v>
      </c>
      <c r="I74" s="5">
        <f>Table4[[#This Row],[Jul]]*$B74</f>
        <v>25632</v>
      </c>
      <c r="J74" s="5">
        <f>Table4[[#This Row],[Aug]]*$B74</f>
        <v>28549.8</v>
      </c>
      <c r="K74" s="5">
        <f>Table4[[#This Row],[Sep]]*$B74</f>
        <v>29561.4</v>
      </c>
      <c r="L74" s="5">
        <f>Table4[[#This Row],[Oct]]*$B74</f>
        <v>31417.200000000001</v>
      </c>
      <c r="M74" s="5">
        <f>Table4[[#This Row],[Nov]]*$B74</f>
        <v>30121.200000000001</v>
      </c>
      <c r="N74" s="5">
        <f>Table4[[#This Row],[Dec]]*$B74</f>
        <v>29445.3</v>
      </c>
    </row>
    <row r="75" spans="1:14" ht="14.25" customHeight="1" x14ac:dyDescent="0.3">
      <c r="A75" t="s">
        <v>244</v>
      </c>
      <c r="B75">
        <v>1</v>
      </c>
      <c r="C75" s="5">
        <f>Table4[[#This Row],[Jan]]*$B75</f>
        <v>20178</v>
      </c>
      <c r="D75" s="5">
        <f>Table4[[#This Row],[Feb]]*$B75</f>
        <v>17954</v>
      </c>
      <c r="E75" s="5">
        <f>Table4[[#This Row],[Mar]]*$B75</f>
        <v>19150</v>
      </c>
      <c r="F75" s="5">
        <f>Table4[[#This Row],[Apr]]*$B75</f>
        <v>18060</v>
      </c>
      <c r="G75" s="5">
        <f>Table4[[#This Row],[May]]*$B75</f>
        <v>18124</v>
      </c>
      <c r="H75" s="5">
        <f>Table4[[#This Row],[Jun]]*$B75</f>
        <v>15908</v>
      </c>
      <c r="I75" s="5">
        <f>Table4[[#This Row],[Jul]]*$B75</f>
        <v>16827</v>
      </c>
      <c r="J75" s="5">
        <f>Table4[[#This Row],[Aug]]*$B75</f>
        <v>19405</v>
      </c>
      <c r="K75" s="5">
        <f>Table4[[#This Row],[Sep]]*$B75</f>
        <v>19981</v>
      </c>
      <c r="L75" s="5">
        <f>Table4[[#This Row],[Oct]]*$B75</f>
        <v>22401</v>
      </c>
      <c r="M75" s="5">
        <f>Table4[[#This Row],[Nov]]*$B75</f>
        <v>20125</v>
      </c>
      <c r="N75" s="5">
        <f>Table4[[#This Row],[Dec]]*$B75</f>
        <v>20771</v>
      </c>
    </row>
    <row r="76" spans="1:14" x14ac:dyDescent="0.3">
      <c r="A76" t="s">
        <v>271</v>
      </c>
      <c r="B76">
        <v>0.9</v>
      </c>
      <c r="C76" s="5">
        <f>Table4[[#This Row],[Jan]]*$B76</f>
        <v>17370.900000000001</v>
      </c>
      <c r="D76" s="5">
        <f>Table4[[#This Row],[Feb]]*$B76</f>
        <v>15077.7</v>
      </c>
      <c r="E76" s="5">
        <f>Table4[[#This Row],[Mar]]*$B76</f>
        <v>14634</v>
      </c>
      <c r="F76" s="5">
        <f>Table4[[#This Row],[Apr]]*$B76</f>
        <v>12420</v>
      </c>
      <c r="G76" s="5">
        <f>Table4[[#This Row],[May]]*$B76</f>
        <v>11402.1</v>
      </c>
      <c r="H76" s="5">
        <f>Table4[[#This Row],[Jun]]*$B76</f>
        <v>9989.1</v>
      </c>
      <c r="I76" s="5">
        <f>Table4[[#This Row],[Jul]]*$B76</f>
        <v>10986.300000000001</v>
      </c>
      <c r="J76" s="5">
        <f>Table4[[#This Row],[Aug]]*$B76</f>
        <v>13108.77</v>
      </c>
      <c r="K76" s="5">
        <f>Table4[[#This Row],[Sep]]*$B76</f>
        <v>14833.17</v>
      </c>
      <c r="L76" s="5">
        <f>Table4[[#This Row],[Oct]]*$B76</f>
        <v>17053.2</v>
      </c>
      <c r="M76" s="5">
        <f>Table4[[#This Row],[Nov]]*$B76</f>
        <v>17239.5</v>
      </c>
      <c r="N76" s="5">
        <f>Table4[[#This Row],[Dec]]*$B76</f>
        <v>17465.400000000001</v>
      </c>
    </row>
    <row r="77" spans="1:14" x14ac:dyDescent="0.3">
      <c r="A77" t="s">
        <v>251</v>
      </c>
      <c r="B77">
        <v>0.9</v>
      </c>
      <c r="C77" s="5">
        <f>Table4[[#This Row],[Jan]]*$B77</f>
        <v>26451</v>
      </c>
      <c r="D77" s="5">
        <f>Table4[[#This Row],[Feb]]*$B77</f>
        <v>23215.5</v>
      </c>
      <c r="E77" s="5">
        <f>Table4[[#This Row],[Mar]]*$B77</f>
        <v>23034.600000000002</v>
      </c>
      <c r="F77" s="5">
        <f>Table4[[#This Row],[Apr]]*$B77</f>
        <v>19930.5</v>
      </c>
      <c r="G77" s="5">
        <f>Table4[[#This Row],[May]]*$B77</f>
        <v>18754.2</v>
      </c>
      <c r="H77" s="5">
        <f>Table4[[#This Row],[Jun]]*$B77</f>
        <v>16767.900000000001</v>
      </c>
      <c r="I77" s="5">
        <f>Table4[[#This Row],[Jul]]*$B77</f>
        <v>18261</v>
      </c>
      <c r="J77" s="5">
        <f>Table4[[#This Row],[Aug]]*$B77</f>
        <v>21311.100000000002</v>
      </c>
      <c r="K77" s="5">
        <f>Table4[[#This Row],[Sep]]*$B77</f>
        <v>23659.200000000001</v>
      </c>
      <c r="L77" s="5">
        <f>Table4[[#This Row],[Oct]]*$B77</f>
        <v>26865.9</v>
      </c>
      <c r="M77" s="5">
        <f>Table4[[#This Row],[Nov]]*$B77</f>
        <v>27153.9</v>
      </c>
      <c r="N77" s="5">
        <f>Table4[[#This Row],[Dec]]*$B77</f>
        <v>27402.3</v>
      </c>
    </row>
    <row r="78" spans="1:14" x14ac:dyDescent="0.3">
      <c r="A78" t="s">
        <v>250</v>
      </c>
      <c r="B78">
        <v>0.9</v>
      </c>
      <c r="C78" s="5">
        <f>Table4[[#This Row],[Jan]]*$B78</f>
        <v>28877.4</v>
      </c>
      <c r="D78" s="5">
        <f>Table4[[#This Row],[Feb]]*$B78</f>
        <v>25884.9</v>
      </c>
      <c r="E78" s="5">
        <f>Table4[[#This Row],[Mar]]*$B78</f>
        <v>27341.100000000002</v>
      </c>
      <c r="F78" s="5">
        <f>Table4[[#This Row],[Apr]]*$B78</f>
        <v>27823.5</v>
      </c>
      <c r="G78" s="5">
        <f>Table4[[#This Row],[May]]*$B78</f>
        <v>29920.5</v>
      </c>
      <c r="H78" s="5">
        <f>Table4[[#This Row],[Jun]]*$B78</f>
        <v>28644.3</v>
      </c>
      <c r="I78" s="5">
        <f>Table4[[#This Row],[Jul]]*$B78</f>
        <v>28051.200000000001</v>
      </c>
      <c r="J78" s="5">
        <f>Table4[[#This Row],[Aug]]*$B78</f>
        <v>31649.4</v>
      </c>
      <c r="K78" s="5">
        <f>Table4[[#This Row],[Sep]]*$B78</f>
        <v>28250.100000000002</v>
      </c>
      <c r="L78" s="5">
        <f>Table4[[#This Row],[Oct]]*$B78</f>
        <v>28466.100000000002</v>
      </c>
      <c r="M78" s="5">
        <f>Table4[[#This Row],[Nov]]*$B78</f>
        <v>28991.7</v>
      </c>
      <c r="N78" s="5">
        <f>Table4[[#This Row],[Dec]]*$B78</f>
        <v>28903.5</v>
      </c>
    </row>
    <row r="79" spans="1:14" x14ac:dyDescent="0.3">
      <c r="A79" t="s">
        <v>1004</v>
      </c>
      <c r="B79">
        <v>0.9</v>
      </c>
      <c r="C79">
        <f>Table4[[#This Row],[Jan]]*$B79</f>
        <v>5973.3</v>
      </c>
      <c r="D79">
        <f>Table4[[#This Row],[Feb]]*$B79</f>
        <v>5271.3</v>
      </c>
      <c r="E79">
        <f>Table4[[#This Row],[Mar]]*$B79</f>
        <v>5330.7</v>
      </c>
      <c r="F79">
        <f>Table4[[#This Row],[Apr]]*$B79</f>
        <v>4826.7</v>
      </c>
      <c r="G79">
        <f>Table4[[#This Row],[May]]*$B79</f>
        <v>4649.4000000000005</v>
      </c>
      <c r="H79">
        <f>Table4[[#This Row],[Jun]]*$B79</f>
        <v>4253.4000000000005</v>
      </c>
      <c r="I79">
        <f>Table4[[#This Row],[Jul]]*$B79</f>
        <v>4644.9000000000005</v>
      </c>
      <c r="J79">
        <f>Table4[[#This Row],[Aug]]*$B79</f>
        <v>5254.2</v>
      </c>
      <c r="K79">
        <f>Table4[[#This Row],[Sep]]*$B79</f>
        <v>5567.4000000000005</v>
      </c>
      <c r="L79">
        <f>Table4[[#This Row],[Oct]]*$B79</f>
        <v>6030.9000000000005</v>
      </c>
      <c r="M79">
        <f>Table4[[#This Row],[Nov]]*$B79</f>
        <v>5897.7</v>
      </c>
      <c r="N79">
        <f>Table4[[#This Row],[Dec]]*$B79</f>
        <v>5989.5</v>
      </c>
    </row>
    <row r="84" spans="6:6" x14ac:dyDescent="0.3">
      <c r="F84">
        <f>19931/30</f>
        <v>664.36666666666667</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780"/>
  <sheetViews>
    <sheetView zoomScaleNormal="100" workbookViewId="0">
      <pane xSplit="1" ySplit="1" topLeftCell="B250" activePane="bottomRight" state="frozen"/>
      <selection pane="topRight" activeCell="B1" sqref="B1"/>
      <selection pane="bottomLeft" activeCell="A2" sqref="A2"/>
      <selection pane="bottomRight" activeCell="G2800" sqref="G2800"/>
    </sheetView>
  </sheetViews>
  <sheetFormatPr defaultColWidth="8.6640625" defaultRowHeight="14.4" x14ac:dyDescent="0.3"/>
  <cols>
    <col min="1" max="1" width="31" customWidth="1"/>
    <col min="2" max="2" width="23" customWidth="1"/>
    <col min="3" max="3" width="21.5546875" bestFit="1" customWidth="1"/>
    <col min="4" max="4" width="20.6640625" bestFit="1" customWidth="1"/>
    <col min="5" max="5" width="10.77734375" bestFit="1" customWidth="1"/>
    <col min="6" max="6" width="19.6640625" bestFit="1" customWidth="1"/>
    <col min="7" max="7" width="27.21875" bestFit="1" customWidth="1"/>
    <col min="9" max="9" width="22.21875" bestFit="1" customWidth="1"/>
    <col min="10" max="10" width="5" bestFit="1" customWidth="1"/>
  </cols>
  <sheetData>
    <row r="1" spans="1:10" ht="15" customHeight="1" x14ac:dyDescent="0.3">
      <c r="A1" t="s">
        <v>268</v>
      </c>
      <c r="B1" t="s">
        <v>266</v>
      </c>
      <c r="C1" t="s">
        <v>1103</v>
      </c>
      <c r="D1" t="s">
        <v>1104</v>
      </c>
      <c r="E1" t="s">
        <v>1105</v>
      </c>
      <c r="F1" t="s">
        <v>1106</v>
      </c>
      <c r="G1" t="s">
        <v>269</v>
      </c>
      <c r="I1" s="51" t="s">
        <v>1107</v>
      </c>
      <c r="J1" s="50">
        <v>7.0000000000000001E-3</v>
      </c>
    </row>
    <row r="2" spans="1:10" ht="15" hidden="1" customHeight="1" x14ac:dyDescent="0.3">
      <c r="A2" t="s">
        <v>31</v>
      </c>
      <c r="B2" s="2">
        <v>45292</v>
      </c>
      <c r="C2" s="52">
        <v>2370.6</v>
      </c>
      <c r="D2" s="48">
        <f>_xlfn.XLOOKUP(expected_production[[#This Row],[Site Name]],Table1[[Site Name ]],Table1[Commisioned Date],"")</f>
        <v>44963</v>
      </c>
      <c r="E2" s="47">
        <f>IF(ISNUMBER(expected_production[[#This Row],[Commissioned Date]]),MAX(0,(expected_production[[#This Row],[Date]]-expected_production[[#This Row],[Commissioned Date]])/365.25),"")</f>
        <v>0.90075290896646132</v>
      </c>
      <c r="F2" s="49">
        <f>IF(expected_production[[#This Row],[Age (yrs)]]="",1,(1-DegradationRate)^expected_production[[#This Row],[Age (yrs)]])</f>
        <v>0.99369253376967082</v>
      </c>
      <c r="G2" s="52">
        <f>IF(expected_production[[#This Row],[Base Expected (kWh)]]="","",expected_production[[#This Row],[Base Expected (kWh)]]*expected_production[[#This Row],[Degradation Factor]])</f>
        <v>2355.6475205543816</v>
      </c>
    </row>
    <row r="3" spans="1:10" ht="15" hidden="1" customHeight="1" x14ac:dyDescent="0.3">
      <c r="A3" t="s">
        <v>31</v>
      </c>
      <c r="B3" s="2">
        <v>45323</v>
      </c>
      <c r="C3" s="52">
        <v>2680.2</v>
      </c>
      <c r="D3" s="48">
        <f>_xlfn.XLOOKUP(expected_production[[#This Row],[Site Name]],Table1[[Site Name ]],Table1[Commisioned Date],"")</f>
        <v>44963</v>
      </c>
      <c r="E3" s="47">
        <f>IF(ISNUMBER(expected_production[[#This Row],[Commissioned Date]]),MAX(0,(expected_production[[#This Row],[Date]]-expected_production[[#This Row],[Commissioned Date]])/365.25),"")</f>
        <v>0.98562628336755642</v>
      </c>
      <c r="F3" s="49">
        <f>IF(expected_production[[#This Row],[Age (yrs)]]="",1,(1-DegradationRate)^expected_production[[#This Row],[Age (yrs)]])</f>
        <v>0.993100268097725</v>
      </c>
      <c r="G3" s="52">
        <f>IF(expected_production[[#This Row],[Base Expected (kWh)]]="","",expected_production[[#This Row],[Base Expected (kWh)]]*expected_production[[#This Row],[Degradation Factor]])</f>
        <v>2661.7073385555223</v>
      </c>
    </row>
    <row r="4" spans="1:10" ht="15" hidden="1" customHeight="1" x14ac:dyDescent="0.3">
      <c r="A4" t="s">
        <v>31</v>
      </c>
      <c r="B4" s="2">
        <v>45352</v>
      </c>
      <c r="C4" s="52">
        <v>2183.4</v>
      </c>
      <c r="D4" s="48">
        <f>_xlfn.XLOOKUP(expected_production[[#This Row],[Site Name]],Table1[[Site Name ]],Table1[Commisioned Date],"")</f>
        <v>44963</v>
      </c>
      <c r="E4" s="47">
        <f>IF(ISNUMBER(expected_production[[#This Row],[Commissioned Date]]),MAX(0,(expected_production[[#This Row],[Date]]-expected_production[[#This Row],[Commissioned Date]])/365.25),"")</f>
        <v>1.0650239561943875</v>
      </c>
      <c r="F4" s="49">
        <f>IF(expected_production[[#This Row],[Age (yrs)]]="",1,(1-DegradationRate)^expected_production[[#This Row],[Age (yrs)]])</f>
        <v>0.99254653269645243</v>
      </c>
      <c r="G4" s="52">
        <f>IF(expected_production[[#This Row],[Base Expected (kWh)]]="","",expected_production[[#This Row],[Base Expected (kWh)]]*expected_production[[#This Row],[Degradation Factor]])</f>
        <v>2167.1260994894342</v>
      </c>
    </row>
    <row r="5" spans="1:10" ht="15" hidden="1" customHeight="1" x14ac:dyDescent="0.3">
      <c r="A5" t="s">
        <v>31</v>
      </c>
      <c r="B5" s="2">
        <v>45383</v>
      </c>
      <c r="C5" s="52">
        <v>1873.8</v>
      </c>
      <c r="D5" s="48">
        <f>_xlfn.XLOOKUP(expected_production[[#This Row],[Site Name]],Table1[[Site Name ]],Table1[Commisioned Date],"")</f>
        <v>44963</v>
      </c>
      <c r="E5" s="47">
        <f>IF(ISNUMBER(expected_production[[#This Row],[Commissioned Date]]),MAX(0,(expected_production[[#This Row],[Date]]-expected_production[[#This Row],[Commissioned Date]])/365.25),"")</f>
        <v>1.1498973305954825</v>
      </c>
      <c r="F5" s="49">
        <f>IF(expected_production[[#This Row],[Age (yrs)]]="",1,(1-DegradationRate)^expected_production[[#This Row],[Age (yrs)]])</f>
        <v>0.99195495006988788</v>
      </c>
      <c r="G5" s="52">
        <f>IF(expected_production[[#This Row],[Base Expected (kWh)]]="","",expected_production[[#This Row],[Base Expected (kWh)]]*expected_production[[#This Row],[Degradation Factor]])</f>
        <v>1858.7251854409558</v>
      </c>
    </row>
    <row r="6" spans="1:10" ht="15" hidden="1" customHeight="1" x14ac:dyDescent="0.3">
      <c r="A6" t="s">
        <v>31</v>
      </c>
      <c r="B6" s="2">
        <v>45413</v>
      </c>
      <c r="C6" s="52">
        <v>1822.5</v>
      </c>
      <c r="D6" s="48">
        <f>_xlfn.XLOOKUP(expected_production[[#This Row],[Site Name]],Table1[[Site Name ]],Table1[Commisioned Date],"")</f>
        <v>44963</v>
      </c>
      <c r="E6" s="47">
        <f>IF(ISNUMBER(expected_production[[#This Row],[Commissioned Date]]),MAX(0,(expected_production[[#This Row],[Date]]-expected_production[[#This Row],[Commissioned Date]])/365.25),"")</f>
        <v>1.2320328542094456</v>
      </c>
      <c r="F6" s="49">
        <f>IF(expected_production[[#This Row],[Age (yrs)]]="",1,(1-DegradationRate)^expected_production[[#This Row],[Age (yrs)]])</f>
        <v>0.99138278647634814</v>
      </c>
      <c r="G6" s="52">
        <f>IF(expected_production[[#This Row],[Base Expected (kWh)]]="","",expected_production[[#This Row],[Base Expected (kWh)]]*expected_production[[#This Row],[Degradation Factor]])</f>
        <v>1806.7951283531445</v>
      </c>
    </row>
    <row r="7" spans="1:10" ht="15" hidden="1" customHeight="1" x14ac:dyDescent="0.3">
      <c r="A7" t="s">
        <v>31</v>
      </c>
      <c r="B7" s="2">
        <v>45444</v>
      </c>
      <c r="C7" s="52">
        <v>1629</v>
      </c>
      <c r="D7" s="48">
        <f>_xlfn.XLOOKUP(expected_production[[#This Row],[Site Name]],Table1[[Site Name ]],Table1[Commisioned Date],"")</f>
        <v>44963</v>
      </c>
      <c r="E7" s="47">
        <f>IF(ISNUMBER(expected_production[[#This Row],[Commissioned Date]]),MAX(0,(expected_production[[#This Row],[Date]]-expected_production[[#This Row],[Commissioned Date]])/365.25),"")</f>
        <v>1.3169062286105406</v>
      </c>
      <c r="F7" s="49">
        <f>IF(expected_production[[#This Row],[Age (yrs)]]="",1,(1-DegradationRate)^expected_production[[#This Row],[Age (yrs)]])</f>
        <v>0.99079189747171759</v>
      </c>
      <c r="G7" s="52">
        <f>IF(expected_production[[#This Row],[Base Expected (kWh)]]="","",expected_production[[#This Row],[Base Expected (kWh)]]*expected_production[[#This Row],[Degradation Factor]])</f>
        <v>1614.000000981428</v>
      </c>
    </row>
    <row r="8" spans="1:10" ht="15" hidden="1" customHeight="1" x14ac:dyDescent="0.3">
      <c r="A8" t="s">
        <v>31</v>
      </c>
      <c r="B8" s="2">
        <v>45474</v>
      </c>
      <c r="C8" s="52">
        <v>1814.4</v>
      </c>
      <c r="D8" s="48">
        <f>_xlfn.XLOOKUP(expected_production[[#This Row],[Site Name]],Table1[[Site Name ]],Table1[Commisioned Date],"")</f>
        <v>44963</v>
      </c>
      <c r="E8" s="47">
        <f>IF(ISNUMBER(expected_production[[#This Row],[Commissioned Date]]),MAX(0,(expected_production[[#This Row],[Date]]-expected_production[[#This Row],[Commissioned Date]])/365.25),"")</f>
        <v>1.3990417522245038</v>
      </c>
      <c r="F8" s="49">
        <f>IF(expected_production[[#This Row],[Age (yrs)]]="",1,(1-DegradationRate)^expected_production[[#This Row],[Age (yrs)]])</f>
        <v>0.99022040473158113</v>
      </c>
      <c r="G8" s="52">
        <f>IF(expected_production[[#This Row],[Base Expected (kWh)]]="","",expected_production[[#This Row],[Base Expected (kWh)]]*expected_production[[#This Row],[Degradation Factor]])</f>
        <v>1796.6559023449809</v>
      </c>
    </row>
    <row r="9" spans="1:10" ht="15" hidden="1" customHeight="1" x14ac:dyDescent="0.3">
      <c r="A9" t="s">
        <v>31</v>
      </c>
      <c r="B9" s="2">
        <v>45505</v>
      </c>
      <c r="C9" s="52">
        <v>2116.8000000000002</v>
      </c>
      <c r="D9" s="48">
        <f>_xlfn.XLOOKUP(expected_production[[#This Row],[Site Name]],Table1[[Site Name ]],Table1[Commisioned Date],"")</f>
        <v>44963</v>
      </c>
      <c r="E9" s="47">
        <f>IF(ISNUMBER(expected_production[[#This Row],[Commissioned Date]]),MAX(0,(expected_production[[#This Row],[Date]]-expected_production[[#This Row],[Commissioned Date]])/365.25),"")</f>
        <v>1.483915126625599</v>
      </c>
      <c r="F9" s="49">
        <f>IF(expected_production[[#This Row],[Age (yrs)]]="",1,(1-DegradationRate)^expected_production[[#This Row],[Age (yrs)]])</f>
        <v>0.989630208535623</v>
      </c>
      <c r="G9" s="52">
        <f>IF(expected_production[[#This Row],[Base Expected (kWh)]]="","",expected_production[[#This Row],[Base Expected (kWh)]]*expected_production[[#This Row],[Degradation Factor]])</f>
        <v>2094.8492254282069</v>
      </c>
    </row>
    <row r="10" spans="1:10" ht="15" hidden="1" customHeight="1" x14ac:dyDescent="0.3">
      <c r="A10" t="s">
        <v>31</v>
      </c>
      <c r="B10" s="2">
        <v>45536</v>
      </c>
      <c r="C10" s="52">
        <v>2275.1999999999998</v>
      </c>
      <c r="D10" s="48">
        <f>_xlfn.XLOOKUP(expected_production[[#This Row],[Site Name]],Table1[[Site Name ]],Table1[Commisioned Date],"")</f>
        <v>44963</v>
      </c>
      <c r="E10" s="47">
        <f>IF(ISNUMBER(expected_production[[#This Row],[Commissioned Date]]),MAX(0,(expected_production[[#This Row],[Date]]-expected_production[[#This Row],[Commissioned Date]])/365.25),"")</f>
        <v>1.568788501026694</v>
      </c>
      <c r="F10" s="49">
        <f>IF(expected_production[[#This Row],[Age (yrs)]]="",1,(1-DegradationRate)^expected_production[[#This Row],[Age (yrs)]])</f>
        <v>0.98904036411139973</v>
      </c>
      <c r="G10" s="52">
        <f>IF(expected_production[[#This Row],[Base Expected (kWh)]]="","",expected_production[[#This Row],[Base Expected (kWh)]]*expected_production[[#This Row],[Degradation Factor]])</f>
        <v>2250.2646364262564</v>
      </c>
    </row>
    <row r="11" spans="1:10" ht="15" hidden="1" customHeight="1" x14ac:dyDescent="0.3">
      <c r="A11" t="s">
        <v>31</v>
      </c>
      <c r="B11" s="2">
        <v>45566</v>
      </c>
      <c r="C11" s="52">
        <v>2407.5</v>
      </c>
      <c r="D11" s="48">
        <f>_xlfn.XLOOKUP(expected_production[[#This Row],[Site Name]],Table1[[Site Name ]],Table1[Commisioned Date],"")</f>
        <v>44963</v>
      </c>
      <c r="E11" s="47">
        <f>IF(ISNUMBER(expected_production[[#This Row],[Commissioned Date]]),MAX(0,(expected_production[[#This Row],[Date]]-expected_production[[#This Row],[Commissioned Date]])/365.25),"")</f>
        <v>1.6509240246406571</v>
      </c>
      <c r="F11" s="49">
        <f>IF(expected_production[[#This Row],[Age (yrs)]]="",1,(1-DegradationRate)^expected_production[[#This Row],[Age (yrs)]])</f>
        <v>0.98846988166273009</v>
      </c>
      <c r="G11" s="52">
        <f>IF(expected_production[[#This Row],[Base Expected (kWh)]]="","",expected_production[[#This Row],[Base Expected (kWh)]]*expected_production[[#This Row],[Degradation Factor]])</f>
        <v>2379.7412401030228</v>
      </c>
    </row>
    <row r="12" spans="1:10" ht="15" hidden="1" customHeight="1" x14ac:dyDescent="0.3">
      <c r="A12" t="s">
        <v>31</v>
      </c>
      <c r="B12" s="2">
        <v>45597</v>
      </c>
      <c r="C12" s="52">
        <v>2356.1999999999998</v>
      </c>
      <c r="D12" s="48">
        <f>_xlfn.XLOOKUP(expected_production[[#This Row],[Site Name]],Table1[[Site Name ]],Table1[Commisioned Date],"")</f>
        <v>44963</v>
      </c>
      <c r="E12" s="47">
        <f>IF(ISNUMBER(expected_production[[#This Row],[Commissioned Date]]),MAX(0,(expected_production[[#This Row],[Date]]-expected_production[[#This Row],[Commissioned Date]])/365.25),"")</f>
        <v>1.7357973990417521</v>
      </c>
      <c r="F12" s="49">
        <f>IF(expected_production[[#This Row],[Age (yrs)]]="",1,(1-DegradationRate)^expected_production[[#This Row],[Age (yrs)]])</f>
        <v>0.98788072882242417</v>
      </c>
      <c r="G12" s="52">
        <f>IF(expected_production[[#This Row],[Base Expected (kWh)]]="","",expected_production[[#This Row],[Base Expected (kWh)]]*expected_production[[#This Row],[Degradation Factor]])</f>
        <v>2327.6445732513957</v>
      </c>
    </row>
    <row r="13" spans="1:10" ht="15" hidden="1" customHeight="1" x14ac:dyDescent="0.3">
      <c r="A13" t="s">
        <v>31</v>
      </c>
      <c r="B13" s="2">
        <v>45627</v>
      </c>
      <c r="C13" s="52">
        <v>2482.1999999999998</v>
      </c>
      <c r="D13" s="48">
        <f>_xlfn.XLOOKUP(expected_production[[#This Row],[Site Name]],Table1[[Site Name ]],Table1[Commisioned Date],"")</f>
        <v>44963</v>
      </c>
      <c r="E13" s="47">
        <f>IF(ISNUMBER(expected_production[[#This Row],[Commissioned Date]]),MAX(0,(expected_production[[#This Row],[Date]]-expected_production[[#This Row],[Commissioned Date]])/365.25),"")</f>
        <v>1.8179329226557153</v>
      </c>
      <c r="F13" s="49">
        <f>IF(expected_production[[#This Row],[Age (yrs)]]="",1,(1-DegradationRate)^expected_production[[#This Row],[Age (yrs)]])</f>
        <v>0.98731091525604009</v>
      </c>
      <c r="G13" s="52">
        <f>IF(expected_production[[#This Row],[Base Expected (kWh)]]="","",expected_production[[#This Row],[Base Expected (kWh)]]*expected_production[[#This Row],[Degradation Factor]])</f>
        <v>2450.7031538485426</v>
      </c>
    </row>
    <row r="14" spans="1:10" ht="15" hidden="1" customHeight="1" x14ac:dyDescent="0.3">
      <c r="A14" t="s">
        <v>31</v>
      </c>
      <c r="B14" s="2">
        <v>45658</v>
      </c>
      <c r="C14" s="52">
        <v>2370.6</v>
      </c>
      <c r="D14" s="48">
        <f>_xlfn.XLOOKUP(expected_production[[#This Row],[Site Name]],Table1[[Site Name ]],Table1[Commisioned Date],"")</f>
        <v>44963</v>
      </c>
      <c r="E14" s="47">
        <f>IF(ISNUMBER(expected_production[[#This Row],[Commissioned Date]]),MAX(0,(expected_production[[#This Row],[Date]]-expected_production[[#This Row],[Commissioned Date]])/365.25),"")</f>
        <v>1.9028062970568105</v>
      </c>
      <c r="F14" s="49">
        <f>IF(expected_production[[#This Row],[Age (yrs)]]="",1,(1-DegradationRate)^expected_production[[#This Row],[Age (yrs)]])</f>
        <v>0.98672245318877938</v>
      </c>
      <c r="G14" s="52">
        <f>IF(expected_production[[#This Row],[Base Expected (kWh)]]="","",expected_production[[#This Row],[Base Expected (kWh)]]*expected_production[[#This Row],[Degradation Factor]])</f>
        <v>2339.1242475293202</v>
      </c>
    </row>
    <row r="15" spans="1:10" ht="15" hidden="1" customHeight="1" x14ac:dyDescent="0.3">
      <c r="A15" t="s">
        <v>31</v>
      </c>
      <c r="B15" s="2">
        <v>45689</v>
      </c>
      <c r="C15" s="52">
        <v>2680.2</v>
      </c>
      <c r="D15" s="48">
        <f>_xlfn.XLOOKUP(expected_production[[#This Row],[Site Name]],Table1[[Site Name ]],Table1[Commisioned Date],"")</f>
        <v>44963</v>
      </c>
      <c r="E15" s="47">
        <f>IF(ISNUMBER(expected_production[[#This Row],[Commissioned Date]]),MAX(0,(expected_production[[#This Row],[Date]]-expected_production[[#This Row],[Commissioned Date]])/365.25),"")</f>
        <v>1.9876796714579055</v>
      </c>
      <c r="F15" s="49">
        <f>IF(expected_production[[#This Row],[Age (yrs)]]="",1,(1-DegradationRate)^expected_production[[#This Row],[Age (yrs)]])</f>
        <v>0.98613434185966942</v>
      </c>
      <c r="G15" s="52">
        <f>IF(expected_production[[#This Row],[Base Expected (kWh)]]="","",expected_production[[#This Row],[Base Expected (kWh)]]*expected_production[[#This Row],[Degradation Factor]])</f>
        <v>2643.0372630522857</v>
      </c>
    </row>
    <row r="16" spans="1:10" ht="15" hidden="1" customHeight="1" x14ac:dyDescent="0.3">
      <c r="A16" t="s">
        <v>31</v>
      </c>
      <c r="B16" s="2">
        <v>45717</v>
      </c>
      <c r="C16" s="52">
        <v>2183.4</v>
      </c>
      <c r="D16" s="48">
        <f>_xlfn.XLOOKUP(expected_production[[#This Row],[Site Name]],Table1[[Site Name ]],Table1[Commisioned Date],"")</f>
        <v>44963</v>
      </c>
      <c r="E16" s="47">
        <f>IF(ISNUMBER(expected_production[[#This Row],[Commissioned Date]]),MAX(0,(expected_production[[#This Row],[Date]]-expected_production[[#This Row],[Commissioned Date]])/365.25),"")</f>
        <v>2.0643394934976045</v>
      </c>
      <c r="F16" s="49">
        <f>IF(expected_production[[#This Row],[Age (yrs)]]="",1,(1-DegradationRate)^expected_production[[#This Row],[Age (yrs)]])</f>
        <v>0.98560344582318515</v>
      </c>
      <c r="G16" s="52">
        <f>IF(expected_production[[#This Row],[Base Expected (kWh)]]="","",expected_production[[#This Row],[Base Expected (kWh)]]*expected_production[[#This Row],[Degradation Factor]])</f>
        <v>2151.9665636103427</v>
      </c>
    </row>
    <row r="17" spans="1:7" ht="15" hidden="1" customHeight="1" x14ac:dyDescent="0.3">
      <c r="A17" t="s">
        <v>31</v>
      </c>
      <c r="B17" s="2">
        <v>45748</v>
      </c>
      <c r="C17" s="52">
        <v>1873.8</v>
      </c>
      <c r="D17" s="48">
        <f>_xlfn.XLOOKUP(expected_production[[#This Row],[Site Name]],Table1[[Site Name ]],Table1[Commisioned Date],"")</f>
        <v>44963</v>
      </c>
      <c r="E17" s="47">
        <f>IF(ISNUMBER(expected_production[[#This Row],[Commissioned Date]]),MAX(0,(expected_production[[#This Row],[Date]]-expected_production[[#This Row],[Commissioned Date]])/365.25),"")</f>
        <v>2.1492128678986995</v>
      </c>
      <c r="F17" s="49">
        <f>IF(expected_production[[#This Row],[Age (yrs)]]="",1,(1-DegradationRate)^expected_production[[#This Row],[Age (yrs)]])</f>
        <v>0.98501600145052981</v>
      </c>
      <c r="G17" s="52">
        <f>IF(expected_production[[#This Row],[Base Expected (kWh)]]="","",expected_production[[#This Row],[Base Expected (kWh)]]*expected_production[[#This Row],[Degradation Factor]])</f>
        <v>1845.7229835180028</v>
      </c>
    </row>
    <row r="18" spans="1:7" ht="15" hidden="1" customHeight="1" x14ac:dyDescent="0.3">
      <c r="A18" t="s">
        <v>31</v>
      </c>
      <c r="B18" s="2">
        <v>45778</v>
      </c>
      <c r="C18" s="52">
        <v>1822.5</v>
      </c>
      <c r="D18" s="48">
        <f>_xlfn.XLOOKUP(expected_production[[#This Row],[Site Name]],Table1[[Site Name ]],Table1[Commisioned Date],"")</f>
        <v>44963</v>
      </c>
      <c r="E18" s="47">
        <f>IF(ISNUMBER(expected_production[[#This Row],[Commissioned Date]]),MAX(0,(expected_production[[#This Row],[Date]]-expected_production[[#This Row],[Commissioned Date]])/365.25),"")</f>
        <v>2.2313483915126624</v>
      </c>
      <c r="F18" s="49">
        <f>IF(expected_production[[#This Row],[Age (yrs)]]="",1,(1-DegradationRate)^expected_production[[#This Row],[Age (yrs)]])</f>
        <v>0.98444784027038312</v>
      </c>
      <c r="G18" s="52">
        <f>IF(expected_production[[#This Row],[Base Expected (kWh)]]="","",expected_production[[#This Row],[Base Expected (kWh)]]*expected_production[[#This Row],[Degradation Factor]])</f>
        <v>1794.1561888927733</v>
      </c>
    </row>
    <row r="19" spans="1:7" ht="15" hidden="1" customHeight="1" x14ac:dyDescent="0.3">
      <c r="A19" t="s">
        <v>31</v>
      </c>
      <c r="B19" s="2">
        <v>45809</v>
      </c>
      <c r="C19" s="52">
        <v>1629</v>
      </c>
      <c r="D19" s="48">
        <f>_xlfn.XLOOKUP(expected_production[[#This Row],[Site Name]],Table1[[Site Name ]],Table1[Commisioned Date],"")</f>
        <v>44963</v>
      </c>
      <c r="E19" s="47">
        <f>IF(ISNUMBER(expected_production[[#This Row],[Commissioned Date]]),MAX(0,(expected_production[[#This Row],[Date]]-expected_production[[#This Row],[Commissioned Date]])/365.25),"")</f>
        <v>2.3162217659137578</v>
      </c>
      <c r="F19" s="49">
        <f>IF(expected_production[[#This Row],[Age (yrs)]]="",1,(1-DegradationRate)^expected_production[[#This Row],[Age (yrs)]])</f>
        <v>0.98386108466761979</v>
      </c>
      <c r="G19" s="52">
        <f>IF(expected_production[[#This Row],[Base Expected (kWh)]]="","",expected_production[[#This Row],[Base Expected (kWh)]]*expected_production[[#This Row],[Degradation Factor]])</f>
        <v>1602.7097069235526</v>
      </c>
    </row>
    <row r="20" spans="1:7" ht="15" hidden="1" customHeight="1" x14ac:dyDescent="0.3">
      <c r="A20" t="s">
        <v>31</v>
      </c>
      <c r="B20" s="2">
        <v>45839</v>
      </c>
      <c r="C20" s="52">
        <v>1814.4</v>
      </c>
      <c r="D20" s="48">
        <f>_xlfn.XLOOKUP(expected_production[[#This Row],[Site Name]],Table1[[Site Name ]],Table1[Commisioned Date],"")</f>
        <v>44963</v>
      </c>
      <c r="E20" s="47">
        <f>IF(ISNUMBER(expected_production[[#This Row],[Commissioned Date]]),MAX(0,(expected_production[[#This Row],[Date]]-expected_production[[#This Row],[Commissioned Date]])/365.25),"")</f>
        <v>2.3983572895277208</v>
      </c>
      <c r="F20" s="49">
        <f>IF(expected_production[[#This Row],[Age (yrs)]]="",1,(1-DegradationRate)^expected_production[[#This Row],[Age (yrs)]])</f>
        <v>0.98329358964810543</v>
      </c>
      <c r="G20" s="52">
        <f>IF(expected_production[[#This Row],[Base Expected (kWh)]]="","",expected_production[[#This Row],[Base Expected (kWh)]]*expected_production[[#This Row],[Degradation Factor]])</f>
        <v>1784.0878890575225</v>
      </c>
    </row>
    <row r="21" spans="1:7" ht="15" hidden="1" customHeight="1" x14ac:dyDescent="0.3">
      <c r="A21" t="s">
        <v>31</v>
      </c>
      <c r="B21" s="2">
        <v>45870</v>
      </c>
      <c r="C21" s="52">
        <v>2116.8000000000002</v>
      </c>
      <c r="D21" s="48">
        <f>_xlfn.XLOOKUP(expected_production[[#This Row],[Site Name]],Table1[[Site Name ]],Table1[Commisioned Date],"")</f>
        <v>44963</v>
      </c>
      <c r="E21" s="47">
        <f>IF(ISNUMBER(expected_production[[#This Row],[Commissioned Date]]),MAX(0,(expected_production[[#This Row],[Date]]-expected_production[[#This Row],[Commissioned Date]])/365.25),"")</f>
        <v>2.4832306639288158</v>
      </c>
      <c r="F21" s="49">
        <f>IF(expected_production[[#This Row],[Age (yrs)]]="",1,(1-DegradationRate)^expected_production[[#This Row],[Age (yrs)]])</f>
        <v>0.98270752200766165</v>
      </c>
      <c r="G21" s="52">
        <f>IF(expected_production[[#This Row],[Base Expected (kWh)]]="","",expected_production[[#This Row],[Base Expected (kWh)]]*expected_production[[#This Row],[Degradation Factor]])</f>
        <v>2080.1952825858184</v>
      </c>
    </row>
    <row r="22" spans="1:7" ht="15" hidden="1" customHeight="1" x14ac:dyDescent="0.3">
      <c r="A22" t="s">
        <v>31</v>
      </c>
      <c r="B22" s="2">
        <v>45901</v>
      </c>
      <c r="C22" s="52">
        <v>2275.1999999999998</v>
      </c>
      <c r="D22" s="48">
        <f>_xlfn.XLOOKUP(expected_production[[#This Row],[Site Name]],Table1[[Site Name ]],Table1[Commisioned Date],"")</f>
        <v>44963</v>
      </c>
      <c r="E22" s="47">
        <f>IF(ISNUMBER(expected_production[[#This Row],[Commissioned Date]]),MAX(0,(expected_production[[#This Row],[Date]]-expected_production[[#This Row],[Commissioned Date]])/365.25),"")</f>
        <v>2.5681040383299112</v>
      </c>
      <c r="F22" s="49">
        <f>IF(expected_production[[#This Row],[Age (yrs)]]="",1,(1-DegradationRate)^expected_production[[#This Row],[Age (yrs)]])</f>
        <v>0.9821218036782301</v>
      </c>
      <c r="G22" s="52">
        <f>IF(expected_production[[#This Row],[Base Expected (kWh)]]="","",expected_production[[#This Row],[Base Expected (kWh)]]*expected_production[[#This Row],[Degradation Factor]])</f>
        <v>2234.5235277287088</v>
      </c>
    </row>
    <row r="23" spans="1:7" ht="15" hidden="1" customHeight="1" x14ac:dyDescent="0.3">
      <c r="A23" t="s">
        <v>31</v>
      </c>
      <c r="B23" s="2">
        <v>45931</v>
      </c>
      <c r="C23" s="52">
        <v>2407.5</v>
      </c>
      <c r="D23" s="48">
        <f>_xlfn.XLOOKUP(expected_production[[#This Row],[Site Name]],Table1[[Site Name ]],Table1[Commisioned Date],"")</f>
        <v>44963</v>
      </c>
      <c r="E23" s="47">
        <f>IF(ISNUMBER(expected_production[[#This Row],[Commissioned Date]]),MAX(0,(expected_production[[#This Row],[Date]]-expected_production[[#This Row],[Commissioned Date]])/365.25),"")</f>
        <v>2.6502395619438741</v>
      </c>
      <c r="F23" s="49">
        <f>IF(expected_production[[#This Row],[Age (yrs)]]="",1,(1-DegradationRate)^expected_production[[#This Row],[Age (yrs)]])</f>
        <v>0.98155531188296596</v>
      </c>
      <c r="G23" s="52">
        <f>IF(expected_production[[#This Row],[Base Expected (kWh)]]="","",expected_production[[#This Row],[Base Expected (kWh)]]*expected_production[[#This Row],[Degradation Factor]])</f>
        <v>2363.0944133582407</v>
      </c>
    </row>
    <row r="24" spans="1:7" ht="15" hidden="1" customHeight="1" x14ac:dyDescent="0.3">
      <c r="A24" t="s">
        <v>31</v>
      </c>
      <c r="B24" s="2">
        <v>45962</v>
      </c>
      <c r="C24" s="52">
        <v>2356.1999999999998</v>
      </c>
      <c r="D24" s="48">
        <f>_xlfn.XLOOKUP(expected_production[[#This Row],[Site Name]],Table1[[Site Name ]],Table1[Commisioned Date],"")</f>
        <v>44963</v>
      </c>
      <c r="E24" s="47">
        <f>IF(ISNUMBER(expected_production[[#This Row],[Commissioned Date]]),MAX(0,(expected_production[[#This Row],[Date]]-expected_production[[#This Row],[Commissioned Date]])/365.25),"")</f>
        <v>2.7351129363449691</v>
      </c>
      <c r="F24" s="49">
        <f>IF(expected_production[[#This Row],[Age (yrs)]]="",1,(1-DegradationRate)^expected_production[[#This Row],[Age (yrs)]])</f>
        <v>0.98097028029966626</v>
      </c>
      <c r="G24" s="52">
        <f>IF(expected_production[[#This Row],[Base Expected (kWh)]]="","",expected_production[[#This Row],[Base Expected (kWh)]]*expected_production[[#This Row],[Degradation Factor]])</f>
        <v>2311.3621744420734</v>
      </c>
    </row>
    <row r="25" spans="1:7" ht="15" hidden="1" customHeight="1" x14ac:dyDescent="0.3">
      <c r="A25" t="s">
        <v>31</v>
      </c>
      <c r="B25" s="2">
        <v>45992</v>
      </c>
      <c r="C25" s="52">
        <v>2482.1999999999998</v>
      </c>
      <c r="D25" s="48">
        <f>_xlfn.XLOOKUP(expected_production[[#This Row],[Site Name]],Table1[[Site Name ]],Table1[Commisioned Date],"")</f>
        <v>44963</v>
      </c>
      <c r="E25" s="47">
        <f>IF(ISNUMBER(expected_production[[#This Row],[Commissioned Date]]),MAX(0,(expected_production[[#This Row],[Date]]-expected_production[[#This Row],[Commissioned Date]])/365.25),"")</f>
        <v>2.817248459958932</v>
      </c>
      <c r="F25" s="49">
        <f>IF(expected_production[[#This Row],[Age (yrs)]]="",1,(1-DegradationRate)^expected_production[[#This Row],[Age (yrs)]])</f>
        <v>0.98040445270770515</v>
      </c>
      <c r="G25" s="52">
        <f>IF(expected_production[[#This Row],[Base Expected (kWh)]]="","",expected_production[[#This Row],[Base Expected (kWh)]]*expected_production[[#This Row],[Degradation Factor]])</f>
        <v>2433.5599325110657</v>
      </c>
    </row>
    <row r="26" spans="1:7" ht="15" hidden="1" customHeight="1" x14ac:dyDescent="0.3">
      <c r="A26" t="s">
        <v>31</v>
      </c>
      <c r="B26" s="2">
        <v>46023</v>
      </c>
      <c r="C26" s="52">
        <v>2370.6</v>
      </c>
      <c r="D26" s="48">
        <f>_xlfn.XLOOKUP(expected_production[[#This Row],[Site Name]],Table1[[Site Name ]],Table1[Commisioned Date],"")</f>
        <v>44963</v>
      </c>
      <c r="E26" s="47">
        <f>IF(ISNUMBER(expected_production[[#This Row],[Commissioned Date]]),MAX(0,(expected_production[[#This Row],[Date]]-expected_production[[#This Row],[Commissioned Date]])/365.25),"")</f>
        <v>2.9021218343600275</v>
      </c>
      <c r="F26" s="49">
        <f>IF(expected_production[[#This Row],[Age (yrs)]]="",1,(1-DegradationRate)^expected_production[[#This Row],[Age (yrs)]])</f>
        <v>0.97982010706533751</v>
      </c>
      <c r="G26" s="52">
        <f>IF(expected_production[[#This Row],[Base Expected (kWh)]]="","",expected_production[[#This Row],[Base Expected (kWh)]]*expected_production[[#This Row],[Degradation Factor]])</f>
        <v>2322.7615458090891</v>
      </c>
    </row>
    <row r="27" spans="1:7" ht="15" hidden="1" customHeight="1" x14ac:dyDescent="0.3">
      <c r="A27" t="s">
        <v>31</v>
      </c>
      <c r="B27" s="2">
        <v>46054</v>
      </c>
      <c r="C27" s="52">
        <v>2680.2</v>
      </c>
      <c r="D27" s="48">
        <f>_xlfn.XLOOKUP(expected_production[[#This Row],[Site Name]],Table1[[Site Name ]],Table1[Commisioned Date],"")</f>
        <v>44963</v>
      </c>
      <c r="E27" s="47">
        <f>IF(ISNUMBER(expected_production[[#This Row],[Commissioned Date]]),MAX(0,(expected_production[[#This Row],[Date]]-expected_production[[#This Row],[Commissioned Date]])/365.25),"")</f>
        <v>2.9869952087611225</v>
      </c>
      <c r="F27" s="49">
        <f>IF(expected_production[[#This Row],[Age (yrs)]]="",1,(1-DegradationRate)^expected_production[[#This Row],[Age (yrs)]])</f>
        <v>0.97923610970762798</v>
      </c>
      <c r="G27" s="52">
        <f>IF(expected_production[[#This Row],[Base Expected (kWh)]]="","",expected_production[[#This Row],[Base Expected (kWh)]]*expected_production[[#This Row],[Degradation Factor]])</f>
        <v>2624.5486212383844</v>
      </c>
    </row>
    <row r="28" spans="1:7" ht="15" hidden="1" customHeight="1" x14ac:dyDescent="0.3">
      <c r="A28" t="s">
        <v>31</v>
      </c>
      <c r="B28" s="2">
        <v>46082</v>
      </c>
      <c r="C28" s="52">
        <v>2183.4</v>
      </c>
      <c r="D28" s="48">
        <f>_xlfn.XLOOKUP(expected_production[[#This Row],[Site Name]],Table1[[Site Name ]],Table1[Commisioned Date],"")</f>
        <v>44963</v>
      </c>
      <c r="E28" s="47">
        <f>IF(ISNUMBER(expected_production[[#This Row],[Commissioned Date]]),MAX(0,(expected_production[[#This Row],[Date]]-expected_production[[#This Row],[Commissioned Date]])/365.25),"")</f>
        <v>3.0636550308008212</v>
      </c>
      <c r="F28" s="49">
        <f>IF(expected_production[[#This Row],[Age (yrs)]]="",1,(1-DegradationRate)^expected_production[[#This Row],[Age (yrs)]])</f>
        <v>0.97870892740866677</v>
      </c>
      <c r="G28" s="52">
        <f>IF(expected_production[[#This Row],[Base Expected (kWh)]]="","",expected_production[[#This Row],[Base Expected (kWh)]]*expected_production[[#This Row],[Degradation Factor]])</f>
        <v>2136.9130721040833</v>
      </c>
    </row>
    <row r="29" spans="1:7" ht="15" hidden="1" customHeight="1" x14ac:dyDescent="0.3">
      <c r="A29" t="s">
        <v>31</v>
      </c>
      <c r="B29" s="2">
        <v>46113</v>
      </c>
      <c r="C29" s="52">
        <v>1873.8</v>
      </c>
      <c r="D29" s="48">
        <f>_xlfn.XLOOKUP(expected_production[[#This Row],[Site Name]],Table1[[Site Name ]],Table1[Commisioned Date],"")</f>
        <v>44963</v>
      </c>
      <c r="E29" s="47">
        <f>IF(ISNUMBER(expected_production[[#This Row],[Commissioned Date]]),MAX(0,(expected_production[[#This Row],[Date]]-expected_production[[#This Row],[Commissioned Date]])/365.25),"")</f>
        <v>3.1485284052019167</v>
      </c>
      <c r="F29" s="49">
        <f>IF(expected_production[[#This Row],[Age (yrs)]]="",1,(1-DegradationRate)^expected_production[[#This Row],[Age (yrs)]])</f>
        <v>0.97812559234190111</v>
      </c>
      <c r="G29" s="52">
        <f>IF(expected_production[[#This Row],[Base Expected (kWh)]]="","",expected_production[[#This Row],[Base Expected (kWh)]]*expected_production[[#This Row],[Degradation Factor]])</f>
        <v>1832.8117349302543</v>
      </c>
    </row>
    <row r="30" spans="1:7" ht="15" hidden="1" customHeight="1" x14ac:dyDescent="0.3">
      <c r="A30" t="s">
        <v>31</v>
      </c>
      <c r="B30" s="2">
        <v>46143</v>
      </c>
      <c r="C30" s="52">
        <v>1822.5</v>
      </c>
      <c r="D30" s="48">
        <f>_xlfn.XLOOKUP(expected_production[[#This Row],[Site Name]],Table1[[Site Name ]],Table1[Commisioned Date],"")</f>
        <v>44963</v>
      </c>
      <c r="E30" s="47">
        <f>IF(ISNUMBER(expected_production[[#This Row],[Commissioned Date]]),MAX(0,(expected_production[[#This Row],[Date]]-expected_production[[#This Row],[Commissioned Date]])/365.25),"")</f>
        <v>3.2306639288158796</v>
      </c>
      <c r="F30" s="49">
        <f>IF(expected_production[[#This Row],[Age (yrs)]]="",1,(1-DegradationRate)^expected_production[[#This Row],[Age (yrs)]])</f>
        <v>0.97756140557736304</v>
      </c>
      <c r="G30" s="52">
        <f>IF(expected_production[[#This Row],[Base Expected (kWh)]]="","",expected_production[[#This Row],[Base Expected (kWh)]]*expected_production[[#This Row],[Degradation Factor]])</f>
        <v>1781.605661664744</v>
      </c>
    </row>
    <row r="31" spans="1:7" ht="15" hidden="1" customHeight="1" x14ac:dyDescent="0.3">
      <c r="A31" t="s">
        <v>31</v>
      </c>
      <c r="B31" s="2">
        <v>46174</v>
      </c>
      <c r="C31" s="52">
        <v>1629</v>
      </c>
      <c r="D31" s="48">
        <f>_xlfn.XLOOKUP(expected_production[[#This Row],[Site Name]],Table1[[Site Name ]],Table1[Commisioned Date],"")</f>
        <v>44963</v>
      </c>
      <c r="E31" s="47">
        <f>IF(ISNUMBER(expected_production[[#This Row],[Commissioned Date]]),MAX(0,(expected_production[[#This Row],[Date]]-expected_production[[#This Row],[Commissioned Date]])/365.25),"")</f>
        <v>3.3155373032169746</v>
      </c>
      <c r="F31" s="49">
        <f>IF(expected_production[[#This Row],[Age (yrs)]]="",1,(1-DegradationRate)^expected_production[[#This Row],[Age (yrs)]])</f>
        <v>0.97697875446238858</v>
      </c>
      <c r="G31" s="52">
        <f>IF(expected_production[[#This Row],[Base Expected (kWh)]]="","",expected_production[[#This Row],[Base Expected (kWh)]]*expected_production[[#This Row],[Degradation Factor]])</f>
        <v>1591.4983910192309</v>
      </c>
    </row>
    <row r="32" spans="1:7" ht="15" hidden="1" customHeight="1" x14ac:dyDescent="0.3">
      <c r="A32" t="s">
        <v>31</v>
      </c>
      <c r="B32" s="2">
        <v>46204</v>
      </c>
      <c r="C32" s="52">
        <v>1814.4</v>
      </c>
      <c r="D32" s="48">
        <f>_xlfn.XLOOKUP(expected_production[[#This Row],[Site Name]],Table1[[Site Name ]],Table1[Commisioned Date],"")</f>
        <v>44963</v>
      </c>
      <c r="E32" s="47">
        <f>IF(ISNUMBER(expected_production[[#This Row],[Commissioned Date]]),MAX(0,(expected_production[[#This Row],[Date]]-expected_production[[#This Row],[Commissioned Date]])/365.25),"")</f>
        <v>3.3976728268309375</v>
      </c>
      <c r="F32" s="49">
        <f>IF(expected_production[[#This Row],[Age (yrs)]]="",1,(1-DegradationRate)^expected_production[[#This Row],[Age (yrs)]])</f>
        <v>0.97641522919853896</v>
      </c>
      <c r="G32" s="52">
        <f>IF(expected_production[[#This Row],[Base Expected (kWh)]]="","",expected_production[[#This Row],[Base Expected (kWh)]]*expected_production[[#This Row],[Degradation Factor]])</f>
        <v>1771.6077918578292</v>
      </c>
    </row>
    <row r="33" spans="1:7" ht="15" hidden="1" customHeight="1" x14ac:dyDescent="0.3">
      <c r="A33" t="s">
        <v>31</v>
      </c>
      <c r="B33" s="2">
        <v>46235</v>
      </c>
      <c r="C33" s="52">
        <v>2116.8000000000002</v>
      </c>
      <c r="D33" s="48">
        <f>_xlfn.XLOOKUP(expected_production[[#This Row],[Site Name]],Table1[[Site Name ]],Table1[Commisioned Date],"")</f>
        <v>44963</v>
      </c>
      <c r="E33" s="47">
        <f>IF(ISNUMBER(expected_production[[#This Row],[Commissioned Date]]),MAX(0,(expected_production[[#This Row],[Date]]-expected_production[[#This Row],[Commissioned Date]])/365.25),"")</f>
        <v>3.482546201232033</v>
      </c>
      <c r="F33" s="49">
        <f>IF(expected_production[[#This Row],[Age (yrs)]]="",1,(1-DegradationRate)^expected_production[[#This Row],[Age (yrs)]])</f>
        <v>0.97583326123343239</v>
      </c>
      <c r="G33" s="52">
        <f>IF(expected_production[[#This Row],[Base Expected (kWh)]]="","",expected_production[[#This Row],[Base Expected (kWh)]]*expected_production[[#This Row],[Degradation Factor]])</f>
        <v>2065.6438473789299</v>
      </c>
    </row>
    <row r="34" spans="1:7" ht="15" hidden="1" customHeight="1" x14ac:dyDescent="0.3">
      <c r="A34" t="s">
        <v>31</v>
      </c>
      <c r="B34" s="2">
        <v>46266</v>
      </c>
      <c r="C34" s="52">
        <v>2275.1999999999998</v>
      </c>
      <c r="D34" s="48">
        <f>_xlfn.XLOOKUP(expected_production[[#This Row],[Site Name]],Table1[[Site Name ]],Table1[Commisioned Date],"")</f>
        <v>44963</v>
      </c>
      <c r="E34" s="47">
        <f>IF(ISNUMBER(expected_production[[#This Row],[Commissioned Date]]),MAX(0,(expected_production[[#This Row],[Date]]-expected_production[[#This Row],[Commissioned Date]])/365.25),"")</f>
        <v>3.5674195756331279</v>
      </c>
      <c r="F34" s="49">
        <f>IF(expected_production[[#This Row],[Age (yrs)]]="",1,(1-DegradationRate)^expected_production[[#This Row],[Age (yrs)]])</f>
        <v>0.97525164013582888</v>
      </c>
      <c r="G34" s="52">
        <f>IF(expected_production[[#This Row],[Base Expected (kWh)]]="","",expected_production[[#This Row],[Base Expected (kWh)]]*expected_production[[#This Row],[Degradation Factor]])</f>
        <v>2218.8925316370378</v>
      </c>
    </row>
    <row r="35" spans="1:7" ht="15" hidden="1" customHeight="1" x14ac:dyDescent="0.3">
      <c r="A35" t="s">
        <v>31</v>
      </c>
      <c r="B35" s="2">
        <v>46296</v>
      </c>
      <c r="C35" s="52">
        <v>2407.5</v>
      </c>
      <c r="D35" s="48">
        <f>_xlfn.XLOOKUP(expected_production[[#This Row],[Site Name]],Table1[[Site Name ]],Table1[Commisioned Date],"")</f>
        <v>44963</v>
      </c>
      <c r="E35" s="47">
        <f>IF(ISNUMBER(expected_production[[#This Row],[Commissioned Date]]),MAX(0,(expected_production[[#This Row],[Date]]-expected_production[[#This Row],[Commissioned Date]])/365.25),"")</f>
        <v>3.6495550992470909</v>
      </c>
      <c r="F35" s="49">
        <f>IF(expected_production[[#This Row],[Age (yrs)]]="",1,(1-DegradationRate)^expected_production[[#This Row],[Age (yrs)]])</f>
        <v>0.97468911107844958</v>
      </c>
      <c r="G35" s="52">
        <f>IF(expected_production[[#This Row],[Base Expected (kWh)]]="","",expected_production[[#This Row],[Base Expected (kWh)]]*expected_production[[#This Row],[Degradation Factor]])</f>
        <v>2346.5640349213672</v>
      </c>
    </row>
    <row r="36" spans="1:7" ht="15" hidden="1" customHeight="1" x14ac:dyDescent="0.3">
      <c r="A36" t="s">
        <v>31</v>
      </c>
      <c r="B36" s="2">
        <v>46327</v>
      </c>
      <c r="C36" s="52">
        <v>2356.1999999999998</v>
      </c>
      <c r="D36" s="48">
        <f>_xlfn.XLOOKUP(expected_production[[#This Row],[Site Name]],Table1[[Site Name ]],Table1[Commisioned Date],"")</f>
        <v>44963</v>
      </c>
      <c r="E36" s="47">
        <f>IF(ISNUMBER(expected_production[[#This Row],[Commissioned Date]]),MAX(0,(expected_production[[#This Row],[Date]]-expected_production[[#This Row],[Commissioned Date]])/365.25),"")</f>
        <v>3.7344284736481863</v>
      </c>
      <c r="F36" s="49">
        <f>IF(expected_production[[#This Row],[Age (yrs)]]="",1,(1-DegradationRate)^expected_production[[#This Row],[Age (yrs)]])</f>
        <v>0.97410817192303367</v>
      </c>
      <c r="G36" s="52">
        <f>IF(expected_production[[#This Row],[Base Expected (kWh)]]="","",expected_production[[#This Row],[Base Expected (kWh)]]*expected_production[[#This Row],[Degradation Factor]])</f>
        <v>2295.193674685052</v>
      </c>
    </row>
    <row r="37" spans="1:7" ht="15" hidden="1" customHeight="1" x14ac:dyDescent="0.3">
      <c r="A37" t="s">
        <v>31</v>
      </c>
      <c r="B37" s="2">
        <v>46357</v>
      </c>
      <c r="C37" s="52">
        <v>2482.1999999999998</v>
      </c>
      <c r="D37" s="48">
        <f>_xlfn.XLOOKUP(expected_production[[#This Row],[Site Name]],Table1[[Site Name ]],Table1[Commisioned Date],"")</f>
        <v>44963</v>
      </c>
      <c r="E37" s="47">
        <f>IF(ISNUMBER(expected_production[[#This Row],[Commissioned Date]]),MAX(0,(expected_production[[#This Row],[Date]]-expected_production[[#This Row],[Commissioned Date]])/365.25),"")</f>
        <v>3.8165639972621492</v>
      </c>
      <c r="F37" s="49">
        <f>IF(expected_production[[#This Row],[Age (yrs)]]="",1,(1-DegradationRate)^expected_production[[#This Row],[Age (yrs)]])</f>
        <v>0.97354630242270546</v>
      </c>
      <c r="G37" s="52">
        <f>IF(expected_production[[#This Row],[Base Expected (kWh)]]="","",expected_production[[#This Row],[Base Expected (kWh)]]*expected_production[[#This Row],[Degradation Factor]])</f>
        <v>2416.5366318736392</v>
      </c>
    </row>
    <row r="38" spans="1:7" ht="15" hidden="1" customHeight="1" x14ac:dyDescent="0.3">
      <c r="A38" t="s">
        <v>43</v>
      </c>
      <c r="B38" s="2">
        <v>45292</v>
      </c>
      <c r="C38" s="52">
        <v>22515.904999999999</v>
      </c>
      <c r="D38" s="48">
        <f>_xlfn.XLOOKUP(expected_production[[#This Row],[Site Name]],Table1[[Site Name ]],Table1[Commisioned Date],"")</f>
        <v>45196</v>
      </c>
      <c r="E38" s="47">
        <f>IF(ISNUMBER(expected_production[[#This Row],[Commissioned Date]]),MAX(0,(expected_production[[#This Row],[Date]]-expected_production[[#This Row],[Commissioned Date]])/365.25),"")</f>
        <v>0.26283367556468173</v>
      </c>
      <c r="F38" s="49">
        <f>IF(expected_production[[#This Row],[Age (yrs)]]="",1,(1-DegradationRate)^expected_production[[#This Row],[Age (yrs)]])</f>
        <v>0.99815539800996134</v>
      </c>
      <c r="G38" s="52">
        <f>IF(expected_production[[#This Row],[Base Expected (kWh)]]="","",expected_production[[#This Row],[Base Expected (kWh)]]*expected_production[[#This Row],[Degradation Factor]])</f>
        <v>22474.372116829476</v>
      </c>
    </row>
    <row r="39" spans="1:7" ht="15" hidden="1" customHeight="1" x14ac:dyDescent="0.3">
      <c r="A39" t="s">
        <v>43</v>
      </c>
      <c r="B39" s="2">
        <v>45323</v>
      </c>
      <c r="C39" s="52">
        <v>19786.13</v>
      </c>
      <c r="D39" s="48">
        <f>_xlfn.XLOOKUP(expected_production[[#This Row],[Site Name]],Table1[[Site Name ]],Table1[Commisioned Date],"")</f>
        <v>45196</v>
      </c>
      <c r="E39" s="47">
        <f>IF(ISNUMBER(expected_production[[#This Row],[Commissioned Date]]),MAX(0,(expected_production[[#This Row],[Date]]-expected_production[[#This Row],[Commissioned Date]])/365.25),"")</f>
        <v>0.34770704996577684</v>
      </c>
      <c r="F39" s="49">
        <f>IF(expected_production[[#This Row],[Age (yrs)]]="",1,(1-DegradationRate)^expected_production[[#This Row],[Age (yrs)]])</f>
        <v>0.99756047235899958</v>
      </c>
      <c r="G39" s="52">
        <f>IF(expected_production[[#This Row],[Base Expected (kWh)]]="","",expected_production[[#This Row],[Base Expected (kWh)]]*expected_production[[#This Row],[Degradation Factor]])</f>
        <v>19737.861188956573</v>
      </c>
    </row>
    <row r="40" spans="1:7" ht="15" hidden="1" customHeight="1" x14ac:dyDescent="0.3">
      <c r="A40" t="s">
        <v>43</v>
      </c>
      <c r="B40" s="2">
        <v>45352</v>
      </c>
      <c r="C40" s="52">
        <v>20148.400000000001</v>
      </c>
      <c r="D40" s="48">
        <f>_xlfn.XLOOKUP(expected_production[[#This Row],[Site Name]],Table1[[Site Name ]],Table1[Commisioned Date],"")</f>
        <v>45196</v>
      </c>
      <c r="E40" s="47">
        <f>IF(ISNUMBER(expected_production[[#This Row],[Commissioned Date]]),MAX(0,(expected_production[[#This Row],[Date]]-expected_production[[#This Row],[Commissioned Date]])/365.25),"")</f>
        <v>0.4271047227926078</v>
      </c>
      <c r="F40" s="49">
        <f>IF(expected_production[[#This Row],[Age (yrs)]]="",1,(1-DegradationRate)^expected_production[[#This Row],[Age (yrs)]])</f>
        <v>0.99700425002556547</v>
      </c>
      <c r="G40" s="52">
        <f>IF(expected_production[[#This Row],[Base Expected (kWh)]]="","",expected_production[[#This Row],[Base Expected (kWh)]]*expected_production[[#This Row],[Degradation Factor]])</f>
        <v>20088.040431215104</v>
      </c>
    </row>
    <row r="41" spans="1:7" ht="15" hidden="1" customHeight="1" x14ac:dyDescent="0.3">
      <c r="A41" t="s">
        <v>43</v>
      </c>
      <c r="B41" s="2">
        <v>45383</v>
      </c>
      <c r="C41" s="52">
        <v>16764.89</v>
      </c>
      <c r="D41" s="48">
        <f>_xlfn.XLOOKUP(expected_production[[#This Row],[Site Name]],Table1[[Site Name ]],Table1[Commisioned Date],"")</f>
        <v>45196</v>
      </c>
      <c r="E41" s="47">
        <f>IF(ISNUMBER(expected_production[[#This Row],[Commissioned Date]]),MAX(0,(expected_production[[#This Row],[Date]]-expected_production[[#This Row],[Commissioned Date]])/365.25),"")</f>
        <v>0.51197809719370291</v>
      </c>
      <c r="F41" s="49">
        <f>IF(expected_production[[#This Row],[Age (yrs)]]="",1,(1-DegradationRate)^expected_production[[#This Row],[Age (yrs)]])</f>
        <v>0.99641001048767319</v>
      </c>
      <c r="G41" s="52">
        <f>IF(expected_production[[#This Row],[Base Expected (kWh)]]="","",expected_production[[#This Row],[Base Expected (kWh)]]*expected_production[[#This Row],[Degradation Factor]])</f>
        <v>16704.704220724689</v>
      </c>
    </row>
    <row r="42" spans="1:7" ht="15" hidden="1" customHeight="1" x14ac:dyDescent="0.3">
      <c r="A42" t="s">
        <v>43</v>
      </c>
      <c r="B42" s="2">
        <v>45413</v>
      </c>
      <c r="C42" s="52">
        <v>15972.094999999999</v>
      </c>
      <c r="D42" s="48">
        <f>_xlfn.XLOOKUP(expected_production[[#This Row],[Site Name]],Table1[[Site Name ]],Table1[Commisioned Date],"")</f>
        <v>45196</v>
      </c>
      <c r="E42" s="47">
        <f>IF(ISNUMBER(expected_production[[#This Row],[Commissioned Date]]),MAX(0,(expected_production[[#This Row],[Date]]-expected_production[[#This Row],[Commissioned Date]])/365.25),"")</f>
        <v>0.59411362080766594</v>
      </c>
      <c r="F42" s="49">
        <f>IF(expected_production[[#This Row],[Age (yrs)]]="",1,(1-DegradationRate)^expected_production[[#This Row],[Age (yrs)]])</f>
        <v>0.99583527719741705</v>
      </c>
      <c r="G42" s="52">
        <f>IF(expected_production[[#This Row],[Base Expected (kWh)]]="","",expected_production[[#This Row],[Base Expected (kWh)]]*expected_production[[#This Row],[Degradation Factor]])</f>
        <v>15905.575651748479</v>
      </c>
    </row>
    <row r="43" spans="1:7" ht="15" hidden="1" customHeight="1" x14ac:dyDescent="0.3">
      <c r="A43" t="s">
        <v>43</v>
      </c>
      <c r="B43" s="2">
        <v>45444</v>
      </c>
      <c r="C43" s="52">
        <v>14367.21</v>
      </c>
      <c r="D43" s="48">
        <f>_xlfn.XLOOKUP(expected_production[[#This Row],[Site Name]],Table1[[Site Name ]],Table1[Commisioned Date],"")</f>
        <v>45196</v>
      </c>
      <c r="E43" s="47">
        <f>IF(ISNUMBER(expected_production[[#This Row],[Commissioned Date]]),MAX(0,(expected_production[[#This Row],[Date]]-expected_production[[#This Row],[Commissioned Date]])/365.25),"")</f>
        <v>0.67898699520876116</v>
      </c>
      <c r="F43" s="49">
        <f>IF(expected_production[[#This Row],[Age (yrs)]]="",1,(1-DegradationRate)^expected_production[[#This Row],[Age (yrs)]])</f>
        <v>0.9952417343966482</v>
      </c>
      <c r="G43" s="52">
        <f>IF(expected_production[[#This Row],[Base Expected (kWh)]]="","",expected_production[[#This Row],[Base Expected (kWh)]]*expected_production[[#This Row],[Degradation Factor]])</f>
        <v>14298.846998840867</v>
      </c>
    </row>
    <row r="44" spans="1:7" ht="15" hidden="1" customHeight="1" x14ac:dyDescent="0.3">
      <c r="A44" t="s">
        <v>43</v>
      </c>
      <c r="B44" s="2">
        <v>45474</v>
      </c>
      <c r="C44" s="52">
        <v>15907.665000000001</v>
      </c>
      <c r="D44" s="48">
        <f>_xlfn.XLOOKUP(expected_production[[#This Row],[Site Name]],Table1[[Site Name ]],Table1[Commisioned Date],"")</f>
        <v>45196</v>
      </c>
      <c r="E44" s="47">
        <f>IF(ISNUMBER(expected_production[[#This Row],[Commissioned Date]]),MAX(0,(expected_production[[#This Row],[Date]]-expected_production[[#This Row],[Commissioned Date]])/365.25),"")</f>
        <v>0.76112251882272419</v>
      </c>
      <c r="F44" s="49">
        <f>IF(expected_production[[#This Row],[Age (yrs)]]="",1,(1-DegradationRate)^expected_production[[#This Row],[Age (yrs)]])</f>
        <v>0.99466767497272679</v>
      </c>
      <c r="G44" s="52">
        <f>IF(expected_production[[#This Row],[Base Expected (kWh)]]="","",expected_production[[#This Row],[Base Expected (kWh)]]*expected_production[[#This Row],[Degradation Factor]])</f>
        <v>15822.840159795023</v>
      </c>
    </row>
    <row r="45" spans="1:7" ht="15" hidden="1" customHeight="1" x14ac:dyDescent="0.3">
      <c r="A45" t="s">
        <v>43</v>
      </c>
      <c r="B45" s="2">
        <v>45505</v>
      </c>
      <c r="C45" s="52">
        <v>18527.365000000002</v>
      </c>
      <c r="D45" s="48">
        <f>_xlfn.XLOOKUP(expected_production[[#This Row],[Site Name]],Table1[[Site Name ]],Table1[Commisioned Date],"")</f>
        <v>45196</v>
      </c>
      <c r="E45" s="47">
        <f>IF(ISNUMBER(expected_production[[#This Row],[Commissioned Date]]),MAX(0,(expected_production[[#This Row],[Date]]-expected_production[[#This Row],[Commissioned Date]])/365.25),"")</f>
        <v>0.8459958932238193</v>
      </c>
      <c r="F45" s="49">
        <f>IF(expected_production[[#This Row],[Age (yrs)]]="",1,(1-DegradationRate)^expected_production[[#This Row],[Age (yrs)]])</f>
        <v>0.99407482809216741</v>
      </c>
      <c r="G45" s="52">
        <f>IF(expected_production[[#This Row],[Base Expected (kWh)]]="","",expected_production[[#This Row],[Base Expected (kWh)]]*expected_production[[#This Row],[Degradation Factor]])</f>
        <v>18417.587177375841</v>
      </c>
    </row>
    <row r="46" spans="1:7" ht="15" hidden="1" customHeight="1" x14ac:dyDescent="0.3">
      <c r="A46" t="s">
        <v>43</v>
      </c>
      <c r="B46" s="2">
        <v>45536</v>
      </c>
      <c r="C46" s="52">
        <v>20404.334999999999</v>
      </c>
      <c r="D46" s="48">
        <f>_xlfn.XLOOKUP(expected_production[[#This Row],[Site Name]],Table1[[Site Name ]],Table1[Commisioned Date],"")</f>
        <v>45196</v>
      </c>
      <c r="E46" s="47">
        <f>IF(ISNUMBER(expected_production[[#This Row],[Commissioned Date]]),MAX(0,(expected_production[[#This Row],[Date]]-expected_production[[#This Row],[Commissioned Date]])/365.25),"")</f>
        <v>0.9308692676249144</v>
      </c>
      <c r="F46" s="49">
        <f>IF(expected_production[[#This Row],[Age (yrs)]]="",1,(1-DegradationRate)^expected_production[[#This Row],[Age (yrs)]])</f>
        <v>0.99348233456321733</v>
      </c>
      <c r="G46" s="52">
        <f>IF(expected_production[[#This Row],[Base Expected (kWh)]]="","",expected_production[[#This Row],[Base Expected (kWh)]]*expected_production[[#This Row],[Degradation Factor]])</f>
        <v>20271.346371009964</v>
      </c>
    </row>
    <row r="47" spans="1:7" ht="15" hidden="1" customHeight="1" x14ac:dyDescent="0.3">
      <c r="A47" t="s">
        <v>43</v>
      </c>
      <c r="B47" s="2">
        <v>45566</v>
      </c>
      <c r="C47" s="52">
        <v>22320.66</v>
      </c>
      <c r="D47" s="48">
        <f>_xlfn.XLOOKUP(expected_production[[#This Row],[Site Name]],Table1[[Site Name ]],Table1[Commisioned Date],"")</f>
        <v>45196</v>
      </c>
      <c r="E47" s="47">
        <f>IF(ISNUMBER(expected_production[[#This Row],[Commissioned Date]]),MAX(0,(expected_production[[#This Row],[Date]]-expected_production[[#This Row],[Commissioned Date]])/365.25),"")</f>
        <v>1.0130047912388775</v>
      </c>
      <c r="F47" s="49">
        <f>IF(expected_production[[#This Row],[Age (yrs)]]="",1,(1-DegradationRate)^expected_production[[#This Row],[Age (yrs)]])</f>
        <v>0.99290928996817618</v>
      </c>
      <c r="G47" s="52">
        <f>IF(expected_production[[#This Row],[Base Expected (kWh)]]="","",expected_production[[#This Row],[Base Expected (kWh)]]*expected_production[[#This Row],[Degradation Factor]])</f>
        <v>22162.39067222107</v>
      </c>
    </row>
    <row r="48" spans="1:7" ht="15" hidden="1" customHeight="1" x14ac:dyDescent="0.3">
      <c r="A48" t="s">
        <v>43</v>
      </c>
      <c r="B48" s="2">
        <v>45597</v>
      </c>
      <c r="C48" s="52">
        <v>22520.665000000001</v>
      </c>
      <c r="D48" s="48">
        <f>_xlfn.XLOOKUP(expected_production[[#This Row],[Site Name]],Table1[[Site Name ]],Table1[Commisioned Date],"")</f>
        <v>45196</v>
      </c>
      <c r="E48" s="47">
        <f>IF(ISNUMBER(expected_production[[#This Row],[Commissioned Date]]),MAX(0,(expected_production[[#This Row],[Date]]-expected_production[[#This Row],[Commissioned Date]])/365.25),"")</f>
        <v>1.0978781656399725</v>
      </c>
      <c r="F48" s="49">
        <f>IF(expected_production[[#This Row],[Age (yrs)]]="",1,(1-DegradationRate)^expected_production[[#This Row],[Age (yrs)]])</f>
        <v>0.99231749112917977</v>
      </c>
      <c r="G48" s="52">
        <f>IF(expected_production[[#This Row],[Base Expected (kWh)]]="","",expected_production[[#This Row],[Base Expected (kWh)]]*expected_production[[#This Row],[Degradation Factor]])</f>
        <v>22347.649791360731</v>
      </c>
    </row>
    <row r="49" spans="1:7" ht="15" hidden="1" customHeight="1" x14ac:dyDescent="0.3">
      <c r="A49" t="s">
        <v>43</v>
      </c>
      <c r="B49" s="2">
        <v>45627</v>
      </c>
      <c r="C49" s="52">
        <v>23777.985000000001</v>
      </c>
      <c r="D49" s="48">
        <f>_xlfn.XLOOKUP(expected_production[[#This Row],[Site Name]],Table1[[Site Name ]],Table1[Commisioned Date],"")</f>
        <v>45196</v>
      </c>
      <c r="E49" s="47">
        <f>IF(ISNUMBER(expected_production[[#This Row],[Commissioned Date]]),MAX(0,(expected_production[[#This Row],[Date]]-expected_production[[#This Row],[Commissioned Date]])/365.25),"")</f>
        <v>1.1800136892539357</v>
      </c>
      <c r="F49" s="49">
        <f>IF(expected_production[[#This Row],[Age (yrs)]]="",1,(1-DegradationRate)^expected_production[[#This Row],[Age (yrs)]])</f>
        <v>0.99174511842050306</v>
      </c>
      <c r="G49" s="52">
        <f>IF(expected_production[[#This Row],[Base Expected (kWh)]]="","",expected_production[[#This Row],[Base Expected (kWh)]]*expected_production[[#This Row],[Degradation Factor]])</f>
        <v>23581.700549625944</v>
      </c>
    </row>
    <row r="50" spans="1:7" ht="15" hidden="1" customHeight="1" x14ac:dyDescent="0.3">
      <c r="A50" t="s">
        <v>43</v>
      </c>
      <c r="B50" s="2">
        <v>45658</v>
      </c>
      <c r="C50" s="52">
        <v>22515.904999999999</v>
      </c>
      <c r="D50" s="48">
        <f>_xlfn.XLOOKUP(expected_production[[#This Row],[Site Name]],Table1[[Site Name ]],Table1[Commisioned Date],"")</f>
        <v>45196</v>
      </c>
      <c r="E50" s="47">
        <f>IF(ISNUMBER(expected_production[[#This Row],[Commissioned Date]]),MAX(0,(expected_production[[#This Row],[Date]]-expected_production[[#This Row],[Commissioned Date]])/365.25),"")</f>
        <v>1.2648870636550309</v>
      </c>
      <c r="F50" s="49">
        <f>IF(expected_production[[#This Row],[Age (yrs)]]="",1,(1-DegradationRate)^expected_production[[#This Row],[Age (yrs)]])</f>
        <v>0.99115401345694643</v>
      </c>
      <c r="G50" s="52">
        <f>IF(expected_production[[#This Row],[Base Expected (kWh)]]="","",expected_production[[#This Row],[Base Expected (kWh)]]*expected_production[[#This Row],[Degradation Factor]])</f>
        <v>22316.729607365327</v>
      </c>
    </row>
    <row r="51" spans="1:7" ht="15" hidden="1" customHeight="1" x14ac:dyDescent="0.3">
      <c r="A51" t="s">
        <v>43</v>
      </c>
      <c r="B51" s="2">
        <v>45689</v>
      </c>
      <c r="C51" s="52">
        <v>19786.13</v>
      </c>
      <c r="D51" s="48">
        <f>_xlfn.XLOOKUP(expected_production[[#This Row],[Site Name]],Table1[[Site Name ]],Table1[Commisioned Date],"")</f>
        <v>45196</v>
      </c>
      <c r="E51" s="47">
        <f>IF(ISNUMBER(expected_production[[#This Row],[Commissioned Date]]),MAX(0,(expected_production[[#This Row],[Date]]-expected_production[[#This Row],[Commissioned Date]])/365.25),"")</f>
        <v>1.3497604380561259</v>
      </c>
      <c r="F51" s="49">
        <f>IF(expected_production[[#This Row],[Age (yrs)]]="",1,(1-DegradationRate)^expected_production[[#This Row],[Age (yrs)]])</f>
        <v>0.99056326080677315</v>
      </c>
      <c r="G51" s="52">
        <f>IF(expected_production[[#This Row],[Base Expected (kWh)]]="","",expected_production[[#This Row],[Base Expected (kWh)]]*expected_production[[#This Row],[Degradation Factor]])</f>
        <v>19599.413451546719</v>
      </c>
    </row>
    <row r="52" spans="1:7" ht="15" hidden="1" customHeight="1" x14ac:dyDescent="0.3">
      <c r="A52" t="s">
        <v>43</v>
      </c>
      <c r="B52" s="2">
        <v>45717</v>
      </c>
      <c r="C52" s="52">
        <v>20148.400000000001</v>
      </c>
      <c r="D52" s="48">
        <f>_xlfn.XLOOKUP(expected_production[[#This Row],[Site Name]],Table1[[Site Name ]],Table1[Commisioned Date],"")</f>
        <v>45196</v>
      </c>
      <c r="E52" s="47">
        <f>IF(ISNUMBER(expected_production[[#This Row],[Commissioned Date]]),MAX(0,(expected_production[[#This Row],[Date]]-expected_production[[#This Row],[Commissioned Date]])/365.25),"")</f>
        <v>1.4264202600958247</v>
      </c>
      <c r="F52" s="49">
        <f>IF(expected_production[[#This Row],[Age (yrs)]]="",1,(1-DegradationRate)^expected_production[[#This Row],[Age (yrs)]])</f>
        <v>0.99002998041410606</v>
      </c>
      <c r="G52" s="52">
        <f>IF(expected_production[[#This Row],[Base Expected (kWh)]]="","",expected_production[[#This Row],[Base Expected (kWh)]]*expected_production[[#This Row],[Degradation Factor]])</f>
        <v>19947.520057375576</v>
      </c>
    </row>
    <row r="53" spans="1:7" ht="15" hidden="1" customHeight="1" x14ac:dyDescent="0.3">
      <c r="A53" t="s">
        <v>43</v>
      </c>
      <c r="B53" s="2">
        <v>45748</v>
      </c>
      <c r="C53" s="52">
        <v>16764.89</v>
      </c>
      <c r="D53" s="48">
        <f>_xlfn.XLOOKUP(expected_production[[#This Row],[Site Name]],Table1[[Site Name ]],Table1[Commisioned Date],"")</f>
        <v>45196</v>
      </c>
      <c r="E53" s="47">
        <f>IF(ISNUMBER(expected_production[[#This Row],[Commissioned Date]]),MAX(0,(expected_production[[#This Row],[Date]]-expected_production[[#This Row],[Commissioned Date]])/365.25),"")</f>
        <v>1.5112936344969199</v>
      </c>
      <c r="F53" s="49">
        <f>IF(expected_production[[#This Row],[Age (yrs)]]="",1,(1-DegradationRate)^expected_production[[#This Row],[Age (yrs)]])</f>
        <v>0.98943989771581708</v>
      </c>
      <c r="G53" s="52">
        <f>IF(expected_production[[#This Row],[Base Expected (kWh)]]="","",expected_production[[#This Row],[Base Expected (kWh)]]*expected_production[[#This Row],[Degradation Factor]])</f>
        <v>16587.851046816922</v>
      </c>
    </row>
    <row r="54" spans="1:7" ht="15" hidden="1" customHeight="1" x14ac:dyDescent="0.3">
      <c r="A54" t="s">
        <v>43</v>
      </c>
      <c r="B54" s="2">
        <v>45778</v>
      </c>
      <c r="C54" s="52">
        <v>15972.094999999999</v>
      </c>
      <c r="D54" s="48">
        <f>_xlfn.XLOOKUP(expected_production[[#This Row],[Site Name]],Table1[[Site Name ]],Table1[Commisioned Date],"")</f>
        <v>45196</v>
      </c>
      <c r="E54" s="47">
        <f>IF(ISNUMBER(expected_production[[#This Row],[Commissioned Date]]),MAX(0,(expected_production[[#This Row],[Date]]-expected_production[[#This Row],[Commissioned Date]])/365.25),"")</f>
        <v>1.593429158110883</v>
      </c>
      <c r="F54" s="49">
        <f>IF(expected_production[[#This Row],[Age (yrs)]]="",1,(1-DegradationRate)^expected_production[[#This Row],[Age (yrs)]])</f>
        <v>0.98886918481456199</v>
      </c>
      <c r="G54" s="52">
        <f>IF(expected_production[[#This Row],[Base Expected (kWh)]]="","",expected_production[[#This Row],[Base Expected (kWh)]]*expected_production[[#This Row],[Degradation Factor]])</f>
        <v>15794.312562430741</v>
      </c>
    </row>
    <row r="55" spans="1:7" ht="15" hidden="1" customHeight="1" x14ac:dyDescent="0.3">
      <c r="A55" t="s">
        <v>43</v>
      </c>
      <c r="B55" s="2">
        <v>45809</v>
      </c>
      <c r="C55" s="52">
        <v>14367.21</v>
      </c>
      <c r="D55" s="48">
        <f>_xlfn.XLOOKUP(expected_production[[#This Row],[Site Name]],Table1[[Site Name ]],Table1[Commisioned Date],"")</f>
        <v>45196</v>
      </c>
      <c r="E55" s="47">
        <f>IF(ISNUMBER(expected_production[[#This Row],[Commissioned Date]]),MAX(0,(expected_production[[#This Row],[Date]]-expected_production[[#This Row],[Commissioned Date]])/365.25),"")</f>
        <v>1.678302532511978</v>
      </c>
      <c r="F55" s="49">
        <f>IF(expected_production[[#This Row],[Age (yrs)]]="",1,(1-DegradationRate)^expected_production[[#This Row],[Age (yrs)]])</f>
        <v>0.98827979397956311</v>
      </c>
      <c r="G55" s="52">
        <f>IF(expected_production[[#This Row],[Base Expected (kWh)]]="","",expected_production[[#This Row],[Base Expected (kWh)]]*expected_production[[#This Row],[Degradation Factor]])</f>
        <v>14198.823338861119</v>
      </c>
    </row>
    <row r="56" spans="1:7" ht="15" hidden="1" customHeight="1" x14ac:dyDescent="0.3">
      <c r="A56" t="s">
        <v>43</v>
      </c>
      <c r="B56" s="2">
        <v>45839</v>
      </c>
      <c r="C56" s="52">
        <v>15907.665000000001</v>
      </c>
      <c r="D56" s="48">
        <f>_xlfn.XLOOKUP(expected_production[[#This Row],[Site Name]],Table1[[Site Name ]],Table1[Commisioned Date],"")</f>
        <v>45196</v>
      </c>
      <c r="E56" s="47">
        <f>IF(ISNUMBER(expected_production[[#This Row],[Commissioned Date]]),MAX(0,(expected_production[[#This Row],[Date]]-expected_production[[#This Row],[Commissioned Date]])/365.25),"")</f>
        <v>1.7604380561259412</v>
      </c>
      <c r="F56" s="49">
        <f>IF(expected_production[[#This Row],[Age (yrs)]]="",1,(1-DegradationRate)^expected_production[[#This Row],[Age (yrs)]])</f>
        <v>0.98770975023079588</v>
      </c>
      <c r="G56" s="52">
        <f>IF(expected_production[[#This Row],[Base Expected (kWh)]]="","",expected_production[[#This Row],[Base Expected (kWh)]]*expected_production[[#This Row],[Degradation Factor]])</f>
        <v>15712.155823905174</v>
      </c>
    </row>
    <row r="57" spans="1:7" ht="15" hidden="1" customHeight="1" x14ac:dyDescent="0.3">
      <c r="A57" t="s">
        <v>43</v>
      </c>
      <c r="B57" s="2">
        <v>45870</v>
      </c>
      <c r="C57" s="52">
        <v>18527.365000000002</v>
      </c>
      <c r="D57" s="48">
        <f>_xlfn.XLOOKUP(expected_production[[#This Row],[Site Name]],Table1[[Site Name ]],Table1[Commisioned Date],"")</f>
        <v>45196</v>
      </c>
      <c r="E57" s="47">
        <f>IF(ISNUMBER(expected_production[[#This Row],[Commissioned Date]]),MAX(0,(expected_production[[#This Row],[Date]]-expected_production[[#This Row],[Commissioned Date]])/365.25),"")</f>
        <v>1.8453114305270362</v>
      </c>
      <c r="F57" s="49">
        <f>IF(expected_production[[#This Row],[Age (yrs)]]="",1,(1-DegradationRate)^expected_production[[#This Row],[Age (yrs)]])</f>
        <v>0.98712105044788745</v>
      </c>
      <c r="G57" s="52">
        <f>IF(expected_production[[#This Row],[Base Expected (kWh)]]="","",expected_production[[#This Row],[Base Expected (kWh)]]*expected_production[[#This Row],[Degradation Factor]])</f>
        <v>18288.752000831424</v>
      </c>
    </row>
    <row r="58" spans="1:7" ht="15" hidden="1" customHeight="1" x14ac:dyDescent="0.3">
      <c r="A58" t="s">
        <v>43</v>
      </c>
      <c r="B58" s="2">
        <v>45901</v>
      </c>
      <c r="C58" s="52">
        <v>20404.334999999999</v>
      </c>
      <c r="D58" s="48">
        <f>_xlfn.XLOOKUP(expected_production[[#This Row],[Site Name]],Table1[[Site Name ]],Table1[Commisioned Date],"")</f>
        <v>45196</v>
      </c>
      <c r="E58" s="47">
        <f>IF(ISNUMBER(expected_production[[#This Row],[Commissioned Date]]),MAX(0,(expected_production[[#This Row],[Date]]-expected_production[[#This Row],[Commissioned Date]])/365.25),"")</f>
        <v>1.9301848049281314</v>
      </c>
      <c r="F58" s="49">
        <f>IF(expected_production[[#This Row],[Age (yrs)]]="",1,(1-DegradationRate)^expected_production[[#This Row],[Age (yrs)]])</f>
        <v>0.98653270154481421</v>
      </c>
      <c r="G58" s="52">
        <f>IF(expected_production[[#This Row],[Base Expected (kWh)]]="","",expected_production[[#This Row],[Base Expected (kWh)]]*expected_production[[#This Row],[Degradation Factor]])</f>
        <v>20129.543730775407</v>
      </c>
    </row>
    <row r="59" spans="1:7" ht="15" hidden="1" customHeight="1" x14ac:dyDescent="0.3">
      <c r="A59" t="s">
        <v>43</v>
      </c>
      <c r="B59" s="2">
        <v>45931</v>
      </c>
      <c r="C59" s="52">
        <v>22320.66</v>
      </c>
      <c r="D59" s="48">
        <f>_xlfn.XLOOKUP(expected_production[[#This Row],[Site Name]],Table1[[Site Name ]],Table1[Commisioned Date],"")</f>
        <v>45196</v>
      </c>
      <c r="E59" s="47">
        <f>IF(ISNUMBER(expected_production[[#This Row],[Commissioned Date]]),MAX(0,(expected_production[[#This Row],[Date]]-expected_production[[#This Row],[Commissioned Date]])/365.25),"")</f>
        <v>2.0123203285420943</v>
      </c>
      <c r="F59" s="49">
        <f>IF(expected_production[[#This Row],[Age (yrs)]]="",1,(1-DegradationRate)^expected_production[[#This Row],[Age (yrs)]])</f>
        <v>0.98596366552597026</v>
      </c>
      <c r="G59" s="52">
        <f>IF(expected_production[[#This Row],[Base Expected (kWh)]]="","",expected_production[[#This Row],[Base Expected (kWh)]]*expected_production[[#This Row],[Degradation Factor]])</f>
        <v>22007.359750558902</v>
      </c>
    </row>
    <row r="60" spans="1:7" ht="15" hidden="1" customHeight="1" x14ac:dyDescent="0.3">
      <c r="A60" t="s">
        <v>43</v>
      </c>
      <c r="B60" s="2">
        <v>45962</v>
      </c>
      <c r="C60" s="52">
        <v>22520.665000000001</v>
      </c>
      <c r="D60" s="48">
        <f>_xlfn.XLOOKUP(expected_production[[#This Row],[Site Name]],Table1[[Site Name ]],Table1[Commisioned Date],"")</f>
        <v>45196</v>
      </c>
      <c r="E60" s="47">
        <f>IF(ISNUMBER(expected_production[[#This Row],[Commissioned Date]]),MAX(0,(expected_production[[#This Row],[Date]]-expected_production[[#This Row],[Commissioned Date]])/365.25),"")</f>
        <v>2.0971937029431897</v>
      </c>
      <c r="F60" s="49">
        <f>IF(expected_production[[#This Row],[Age (yrs)]]="",1,(1-DegradationRate)^expected_production[[#This Row],[Age (yrs)]])</f>
        <v>0.98537600645333778</v>
      </c>
      <c r="G60" s="52">
        <f>IF(expected_production[[#This Row],[Base Expected (kWh)]]="","",expected_production[[#This Row],[Base Expected (kWh)]]*expected_production[[#This Row],[Degradation Factor]])</f>
        <v>22191.322940373459</v>
      </c>
    </row>
    <row r="61" spans="1:7" ht="15" hidden="1" customHeight="1" x14ac:dyDescent="0.3">
      <c r="A61" t="s">
        <v>43</v>
      </c>
      <c r="B61" s="2">
        <v>45992</v>
      </c>
      <c r="C61" s="52">
        <v>23777.985000000001</v>
      </c>
      <c r="D61" s="48">
        <f>_xlfn.XLOOKUP(expected_production[[#This Row],[Site Name]],Table1[[Site Name ]],Table1[Commisioned Date],"")</f>
        <v>45196</v>
      </c>
      <c r="E61" s="47">
        <f>IF(ISNUMBER(expected_production[[#This Row],[Commissioned Date]]),MAX(0,(expected_production[[#This Row],[Date]]-expected_production[[#This Row],[Commissioned Date]])/365.25),"")</f>
        <v>2.1793292265571527</v>
      </c>
      <c r="F61" s="49">
        <f>IF(expected_production[[#This Row],[Age (yrs)]]="",1,(1-DegradationRate)^expected_production[[#This Row],[Age (yrs)]])</f>
        <v>0.98480763762086165</v>
      </c>
      <c r="G61" s="52">
        <f>IF(expected_production[[#This Row],[Base Expected (kWh)]]="","",expected_production[[#This Row],[Base Expected (kWh)]]*expected_production[[#This Row],[Degradation Factor]])</f>
        <v>23416.741235234284</v>
      </c>
    </row>
    <row r="62" spans="1:7" ht="15" hidden="1" customHeight="1" x14ac:dyDescent="0.3">
      <c r="A62" t="s">
        <v>43</v>
      </c>
      <c r="B62" s="2">
        <v>46023</v>
      </c>
      <c r="C62" s="52">
        <v>22515.904999999999</v>
      </c>
      <c r="D62" s="48">
        <f>_xlfn.XLOOKUP(expected_production[[#This Row],[Site Name]],Table1[[Site Name ]],Table1[Commisioned Date],"")</f>
        <v>45196</v>
      </c>
      <c r="E62" s="47">
        <f>IF(ISNUMBER(expected_production[[#This Row],[Commissioned Date]]),MAX(0,(expected_production[[#This Row],[Date]]-expected_production[[#This Row],[Commissioned Date]])/365.25),"")</f>
        <v>2.2642026009582477</v>
      </c>
      <c r="F62" s="49">
        <f>IF(expected_production[[#This Row],[Age (yrs)]]="",1,(1-DegradationRate)^expected_production[[#This Row],[Age (yrs)]])</f>
        <v>0.98422066756985371</v>
      </c>
      <c r="G62" s="52">
        <f>IF(expected_production[[#This Row],[Base Expected (kWh)]]="","",expected_production[[#This Row],[Base Expected (kWh)]]*expected_production[[#This Row],[Degradation Factor]])</f>
        <v>22160.619050039408</v>
      </c>
    </row>
    <row r="63" spans="1:7" ht="15" hidden="1" customHeight="1" x14ac:dyDescent="0.3">
      <c r="A63" t="s">
        <v>43</v>
      </c>
      <c r="B63" s="2">
        <v>46054</v>
      </c>
      <c r="C63" s="52">
        <v>19786.13</v>
      </c>
      <c r="D63" s="48">
        <f>_xlfn.XLOOKUP(expected_production[[#This Row],[Site Name]],Table1[[Site Name ]],Table1[Commisioned Date],"")</f>
        <v>45196</v>
      </c>
      <c r="E63" s="47">
        <f>IF(ISNUMBER(expected_production[[#This Row],[Commissioned Date]]),MAX(0,(expected_production[[#This Row],[Date]]-expected_production[[#This Row],[Commissioned Date]])/365.25),"")</f>
        <v>2.3490759753593431</v>
      </c>
      <c r="F63" s="49">
        <f>IF(expected_production[[#This Row],[Age (yrs)]]="",1,(1-DegradationRate)^expected_production[[#This Row],[Age (yrs)]])</f>
        <v>0.98363404736771742</v>
      </c>
      <c r="G63" s="52">
        <f>IF(expected_production[[#This Row],[Base Expected (kWh)]]="","",expected_production[[#This Row],[Base Expected (kWh)]]*expected_production[[#This Row],[Degradation Factor]])</f>
        <v>19462.311133643816</v>
      </c>
    </row>
    <row r="64" spans="1:7" ht="15" hidden="1" customHeight="1" x14ac:dyDescent="0.3">
      <c r="A64" t="s">
        <v>43</v>
      </c>
      <c r="B64" s="2">
        <v>46082</v>
      </c>
      <c r="C64" s="52">
        <v>20148.400000000001</v>
      </c>
      <c r="D64" s="48">
        <f>_xlfn.XLOOKUP(expected_production[[#This Row],[Site Name]],Table1[[Site Name ]],Table1[Commisioned Date],"")</f>
        <v>45196</v>
      </c>
      <c r="E64" s="47">
        <f>IF(ISNUMBER(expected_production[[#This Row],[Commissioned Date]]),MAX(0,(expected_production[[#This Row],[Date]]-expected_production[[#This Row],[Commissioned Date]])/365.25),"")</f>
        <v>2.4257357973990419</v>
      </c>
      <c r="F64" s="49">
        <f>IF(expected_production[[#This Row],[Age (yrs)]]="",1,(1-DegradationRate)^expected_production[[#This Row],[Age (yrs)]])</f>
        <v>0.98310449739168293</v>
      </c>
      <c r="G64" s="52">
        <f>IF(expected_production[[#This Row],[Base Expected (kWh)]]="","",expected_production[[#This Row],[Base Expected (kWh)]]*expected_production[[#This Row],[Degradation Factor]])</f>
        <v>19807.982655246586</v>
      </c>
    </row>
    <row r="65" spans="1:7" ht="15" hidden="1" customHeight="1" x14ac:dyDescent="0.3">
      <c r="A65" t="s">
        <v>43</v>
      </c>
      <c r="B65" s="2">
        <v>46113</v>
      </c>
      <c r="C65" s="52">
        <v>16764.89</v>
      </c>
      <c r="D65" s="48">
        <f>_xlfn.XLOOKUP(expected_production[[#This Row],[Site Name]],Table1[[Site Name ]],Table1[Commisioned Date],"")</f>
        <v>45196</v>
      </c>
      <c r="E65" s="47">
        <f>IF(ISNUMBER(expected_production[[#This Row],[Commissioned Date]]),MAX(0,(expected_production[[#This Row],[Date]]-expected_production[[#This Row],[Commissioned Date]])/365.25),"")</f>
        <v>2.5106091718001369</v>
      </c>
      <c r="F65" s="49">
        <f>IF(expected_production[[#This Row],[Age (yrs)]]="",1,(1-DegradationRate)^expected_production[[#This Row],[Age (yrs)]])</f>
        <v>0.98251854245496639</v>
      </c>
      <c r="G65" s="52">
        <f>IF(expected_production[[#This Row],[Base Expected (kWh)]]="","",expected_production[[#This Row],[Base Expected (kWh)]]*expected_production[[#This Row],[Degradation Factor]])</f>
        <v>16471.81528721784</v>
      </c>
    </row>
    <row r="66" spans="1:7" ht="15" hidden="1" customHeight="1" x14ac:dyDescent="0.3">
      <c r="A66" t="s">
        <v>43</v>
      </c>
      <c r="B66" s="2">
        <v>46143</v>
      </c>
      <c r="C66" s="52">
        <v>15972.094999999999</v>
      </c>
      <c r="D66" s="48">
        <f>_xlfn.XLOOKUP(expected_production[[#This Row],[Site Name]],Table1[[Site Name ]],Table1[Commisioned Date],"")</f>
        <v>45196</v>
      </c>
      <c r="E66" s="47">
        <f>IF(ISNUMBER(expected_production[[#This Row],[Commissioned Date]]),MAX(0,(expected_production[[#This Row],[Date]]-expected_production[[#This Row],[Commissioned Date]])/365.25),"")</f>
        <v>2.5927446954140998</v>
      </c>
      <c r="F66" s="49">
        <f>IF(expected_production[[#This Row],[Age (yrs)]]="",1,(1-DegradationRate)^expected_production[[#This Row],[Age (yrs)]])</f>
        <v>0.98195182181918472</v>
      </c>
      <c r="G66" s="52">
        <f>IF(expected_production[[#This Row],[Base Expected (kWh)]]="","",expected_production[[#This Row],[Base Expected (kWh)]]*expected_production[[#This Row],[Degradation Factor]])</f>
        <v>15683.827783519091</v>
      </c>
    </row>
    <row r="67" spans="1:7" ht="15" hidden="1" customHeight="1" x14ac:dyDescent="0.3">
      <c r="A67" t="s">
        <v>43</v>
      </c>
      <c r="B67" s="2">
        <v>46174</v>
      </c>
      <c r="C67" s="52">
        <v>14367.21</v>
      </c>
      <c r="D67" s="48">
        <f>_xlfn.XLOOKUP(expected_production[[#This Row],[Site Name]],Table1[[Site Name ]],Table1[Commisioned Date],"")</f>
        <v>45196</v>
      </c>
      <c r="E67" s="47">
        <f>IF(ISNUMBER(expected_production[[#This Row],[Commissioned Date]]),MAX(0,(expected_production[[#This Row],[Date]]-expected_production[[#This Row],[Commissioned Date]])/365.25),"")</f>
        <v>2.6776180698151952</v>
      </c>
      <c r="F67" s="49">
        <f>IF(expected_production[[#This Row],[Age (yrs)]]="",1,(1-DegradationRate)^expected_production[[#This Row],[Age (yrs)]])</f>
        <v>0.98136655390601857</v>
      </c>
      <c r="G67" s="52">
        <f>IF(expected_production[[#This Row],[Base Expected (kWh)]]="","",expected_production[[#This Row],[Base Expected (kWh)]]*expected_production[[#This Row],[Degradation Factor]])</f>
        <v>14099.499366944088</v>
      </c>
    </row>
    <row r="68" spans="1:7" ht="15" hidden="1" customHeight="1" x14ac:dyDescent="0.3">
      <c r="A68" t="s">
        <v>43</v>
      </c>
      <c r="B68" s="2">
        <v>46204</v>
      </c>
      <c r="C68" s="52">
        <v>15907.665000000001</v>
      </c>
      <c r="D68" s="48">
        <f>_xlfn.XLOOKUP(expected_production[[#This Row],[Site Name]],Table1[[Site Name ]],Table1[Commisioned Date],"")</f>
        <v>45196</v>
      </c>
      <c r="E68" s="47">
        <f>IF(ISNUMBER(expected_production[[#This Row],[Commissioned Date]]),MAX(0,(expected_production[[#This Row],[Date]]-expected_production[[#This Row],[Commissioned Date]])/365.25),"")</f>
        <v>2.7597535934291582</v>
      </c>
      <c r="F68" s="49">
        <f>IF(expected_production[[#This Row],[Age (yrs)]]="",1,(1-DegradationRate)^expected_production[[#This Row],[Age (yrs)]])</f>
        <v>0.98080049774185196</v>
      </c>
      <c r="G68" s="52">
        <f>IF(expected_production[[#This Row],[Base Expected (kWh)]]="","",expected_production[[#This Row],[Base Expected (kWh)]]*expected_production[[#This Row],[Degradation Factor]])</f>
        <v>15602.245749910639</v>
      </c>
    </row>
    <row r="69" spans="1:7" ht="15" hidden="1" customHeight="1" x14ac:dyDescent="0.3">
      <c r="A69" t="s">
        <v>43</v>
      </c>
      <c r="B69" s="2">
        <v>46235</v>
      </c>
      <c r="C69" s="52">
        <v>18527.365000000002</v>
      </c>
      <c r="D69" s="48">
        <f>_xlfn.XLOOKUP(expected_production[[#This Row],[Site Name]],Table1[[Site Name ]],Table1[Commisioned Date],"")</f>
        <v>45196</v>
      </c>
      <c r="E69" s="47">
        <f>IF(ISNUMBER(expected_production[[#This Row],[Commissioned Date]]),MAX(0,(expected_production[[#This Row],[Date]]-expected_production[[#This Row],[Commissioned Date]])/365.25),"")</f>
        <v>2.8446269678302532</v>
      </c>
      <c r="F69" s="49">
        <f>IF(expected_production[[#This Row],[Age (yrs)]]="",1,(1-DegradationRate)^expected_production[[#This Row],[Age (yrs)]])</f>
        <v>0.9802159160467111</v>
      </c>
      <c r="G69" s="52">
        <f>IF(expected_production[[#This Row],[Base Expected (kWh)]]="","",expected_production[[#This Row],[Base Expected (kWh)]]*expected_production[[#This Row],[Degradation Factor]])</f>
        <v>18160.818055406777</v>
      </c>
    </row>
    <row r="70" spans="1:7" ht="15" hidden="1" customHeight="1" x14ac:dyDescent="0.3">
      <c r="A70" t="s">
        <v>43</v>
      </c>
      <c r="B70" s="2">
        <v>46266</v>
      </c>
      <c r="C70" s="52">
        <v>20404.334999999999</v>
      </c>
      <c r="D70" s="48">
        <f>_xlfn.XLOOKUP(expected_production[[#This Row],[Site Name]],Table1[[Site Name ]],Table1[Commisioned Date],"")</f>
        <v>45196</v>
      </c>
      <c r="E70" s="47">
        <f>IF(ISNUMBER(expected_production[[#This Row],[Commissioned Date]]),MAX(0,(expected_production[[#This Row],[Date]]-expected_production[[#This Row],[Commissioned Date]])/365.25),"")</f>
        <v>2.9295003422313486</v>
      </c>
      <c r="F70" s="49">
        <f>IF(expected_production[[#This Row],[Age (yrs)]]="",1,(1-DegradationRate)^expected_production[[#This Row],[Age (yrs)]])</f>
        <v>0.97963168277692181</v>
      </c>
      <c r="G70" s="52">
        <f>IF(expected_production[[#This Row],[Base Expected (kWh)]]="","",expected_production[[#This Row],[Base Expected (kWh)]]*expected_production[[#This Row],[Degradation Factor]])</f>
        <v>19988.733031994041</v>
      </c>
    </row>
    <row r="71" spans="1:7" ht="15" hidden="1" customHeight="1" x14ac:dyDescent="0.3">
      <c r="A71" t="s">
        <v>43</v>
      </c>
      <c r="B71" s="2">
        <v>46296</v>
      </c>
      <c r="C71" s="52">
        <v>22320.66</v>
      </c>
      <c r="D71" s="48">
        <f>_xlfn.XLOOKUP(expected_production[[#This Row],[Site Name]],Table1[[Site Name ]],Table1[Commisioned Date],"")</f>
        <v>45196</v>
      </c>
      <c r="E71" s="47">
        <f>IF(ISNUMBER(expected_production[[#This Row],[Commissioned Date]]),MAX(0,(expected_production[[#This Row],[Date]]-expected_production[[#This Row],[Commissioned Date]])/365.25),"")</f>
        <v>3.0116358658453115</v>
      </c>
      <c r="F71" s="49">
        <f>IF(expected_production[[#This Row],[Age (yrs)]]="",1,(1-DegradationRate)^expected_production[[#This Row],[Age (yrs)]])</f>
        <v>0.97906662729338045</v>
      </c>
      <c r="G71" s="52">
        <f>IF(expected_production[[#This Row],[Base Expected (kWh)]]="","",expected_production[[#This Row],[Base Expected (kWh)]]*expected_production[[#This Row],[Degradation Factor]])</f>
        <v>21853.413305162267</v>
      </c>
    </row>
    <row r="72" spans="1:7" ht="15" hidden="1" customHeight="1" x14ac:dyDescent="0.3">
      <c r="A72" t="s">
        <v>43</v>
      </c>
      <c r="B72" s="2">
        <v>46327</v>
      </c>
      <c r="C72" s="52">
        <v>22520.665000000001</v>
      </c>
      <c r="D72" s="48">
        <f>_xlfn.XLOOKUP(expected_production[[#This Row],[Site Name]],Table1[[Site Name ]],Table1[Commisioned Date],"")</f>
        <v>45196</v>
      </c>
      <c r="E72" s="47">
        <f>IF(ISNUMBER(expected_production[[#This Row],[Commissioned Date]]),MAX(0,(expected_production[[#This Row],[Date]]-expected_production[[#This Row],[Commissioned Date]])/365.25),"")</f>
        <v>3.0965092402464065</v>
      </c>
      <c r="F72" s="49">
        <f>IF(expected_production[[#This Row],[Age (yrs)]]="",1,(1-DegradationRate)^expected_production[[#This Row],[Age (yrs)]])</f>
        <v>0.97848307902851239</v>
      </c>
      <c r="G72" s="52">
        <f>IF(expected_production[[#This Row],[Base Expected (kWh)]]="","",expected_production[[#This Row],[Base Expected (kWh)]]*expected_production[[#This Row],[Degradation Factor]])</f>
        <v>22036.089630969655</v>
      </c>
    </row>
    <row r="73" spans="1:7" ht="15" hidden="1" customHeight="1" x14ac:dyDescent="0.3">
      <c r="A73" t="s">
        <v>43</v>
      </c>
      <c r="B73" s="2">
        <v>46357</v>
      </c>
      <c r="C73" s="52">
        <v>23777.985000000001</v>
      </c>
      <c r="D73" s="48">
        <f>_xlfn.XLOOKUP(expected_production[[#This Row],[Site Name]],Table1[[Site Name ]],Table1[Commisioned Date],"")</f>
        <v>45196</v>
      </c>
      <c r="E73" s="47">
        <f>IF(ISNUMBER(expected_production[[#This Row],[Commissioned Date]]),MAX(0,(expected_production[[#This Row],[Date]]-expected_production[[#This Row],[Commissioned Date]])/365.25),"")</f>
        <v>3.1786447638603694</v>
      </c>
      <c r="F73" s="49">
        <f>IF(expected_production[[#This Row],[Age (yrs)]]="",1,(1-DegradationRate)^expected_production[[#This Row],[Age (yrs)]])</f>
        <v>0.97791868606421972</v>
      </c>
      <c r="G73" s="52">
        <f>IF(expected_production[[#This Row],[Base Expected (kWh)]]="","",expected_production[[#This Row],[Base Expected (kWh)]]*expected_production[[#This Row],[Degradation Factor]])</f>
        <v>23252.935848454727</v>
      </c>
    </row>
    <row r="74" spans="1:7" ht="15" hidden="1" customHeight="1" x14ac:dyDescent="0.3">
      <c r="A74" t="s">
        <v>49</v>
      </c>
      <c r="B74" s="2">
        <v>45292</v>
      </c>
      <c r="C74" s="52">
        <v>4801.5</v>
      </c>
      <c r="D74" s="48">
        <f>_xlfn.XLOOKUP(expected_production[[#This Row],[Site Name]],Table1[[Site Name ]],Table1[Commisioned Date],"")</f>
        <v>45658</v>
      </c>
      <c r="E74" s="47">
        <f>IF(ISNUMBER(expected_production[[#This Row],[Commissioned Date]]),MAX(0,(expected_production[[#This Row],[Date]]-expected_production[[#This Row],[Commissioned Date]])/365.25),"")</f>
        <v>0</v>
      </c>
      <c r="F74" s="49">
        <f>IF(expected_production[[#This Row],[Age (yrs)]]="",1,(1-DegradationRate)^expected_production[[#This Row],[Age (yrs)]])</f>
        <v>1</v>
      </c>
      <c r="G74" s="52">
        <f>IF(expected_production[[#This Row],[Base Expected (kWh)]]="","",expected_production[[#This Row],[Base Expected (kWh)]]*expected_production[[#This Row],[Degradation Factor]])</f>
        <v>4801.5</v>
      </c>
    </row>
    <row r="75" spans="1:7" ht="15" hidden="1" customHeight="1" x14ac:dyDescent="0.3">
      <c r="A75" t="s">
        <v>49</v>
      </c>
      <c r="B75" s="2">
        <v>45323</v>
      </c>
      <c r="C75" s="52">
        <v>4303.8</v>
      </c>
      <c r="D75" s="48">
        <f>_xlfn.XLOOKUP(expected_production[[#This Row],[Site Name]],Table1[[Site Name ]],Table1[Commisioned Date],"")</f>
        <v>45658</v>
      </c>
      <c r="E75" s="47">
        <f>IF(ISNUMBER(expected_production[[#This Row],[Commissioned Date]]),MAX(0,(expected_production[[#This Row],[Date]]-expected_production[[#This Row],[Commissioned Date]])/365.25),"")</f>
        <v>0</v>
      </c>
      <c r="F75" s="49">
        <f>IF(expected_production[[#This Row],[Age (yrs)]]="",1,(1-DegradationRate)^expected_production[[#This Row],[Age (yrs)]])</f>
        <v>1</v>
      </c>
      <c r="G75" s="52">
        <f>IF(expected_production[[#This Row],[Base Expected (kWh)]]="","",expected_production[[#This Row],[Base Expected (kWh)]]*expected_production[[#This Row],[Degradation Factor]])</f>
        <v>4303.8</v>
      </c>
    </row>
    <row r="76" spans="1:7" ht="15" hidden="1" customHeight="1" x14ac:dyDescent="0.3">
      <c r="A76" t="s">
        <v>49</v>
      </c>
      <c r="B76" s="2">
        <v>45352</v>
      </c>
      <c r="C76" s="52">
        <v>4545.8999999999996</v>
      </c>
      <c r="D76" s="48">
        <f>_xlfn.XLOOKUP(expected_production[[#This Row],[Site Name]],Table1[[Site Name ]],Table1[Commisioned Date],"")</f>
        <v>45658</v>
      </c>
      <c r="E76" s="47">
        <f>IF(ISNUMBER(expected_production[[#This Row],[Commissioned Date]]),MAX(0,(expected_production[[#This Row],[Date]]-expected_production[[#This Row],[Commissioned Date]])/365.25),"")</f>
        <v>0</v>
      </c>
      <c r="F76" s="49">
        <f>IF(expected_production[[#This Row],[Age (yrs)]]="",1,(1-DegradationRate)^expected_production[[#This Row],[Age (yrs)]])</f>
        <v>1</v>
      </c>
      <c r="G76" s="52">
        <f>IF(expected_production[[#This Row],[Base Expected (kWh)]]="","",expected_production[[#This Row],[Base Expected (kWh)]]*expected_production[[#This Row],[Degradation Factor]])</f>
        <v>4545.8999999999996</v>
      </c>
    </row>
    <row r="77" spans="1:7" ht="15" hidden="1" customHeight="1" x14ac:dyDescent="0.3">
      <c r="A77" t="s">
        <v>49</v>
      </c>
      <c r="B77" s="2">
        <v>45383</v>
      </c>
      <c r="C77" s="52">
        <v>4619.7</v>
      </c>
      <c r="D77" s="48">
        <f>_xlfn.XLOOKUP(expected_production[[#This Row],[Site Name]],Table1[[Site Name ]],Table1[Commisioned Date],"")</f>
        <v>45658</v>
      </c>
      <c r="E77" s="47">
        <f>IF(ISNUMBER(expected_production[[#This Row],[Commissioned Date]]),MAX(0,(expected_production[[#This Row],[Date]]-expected_production[[#This Row],[Commissioned Date]])/365.25),"")</f>
        <v>0</v>
      </c>
      <c r="F77" s="49">
        <f>IF(expected_production[[#This Row],[Age (yrs)]]="",1,(1-DegradationRate)^expected_production[[#This Row],[Age (yrs)]])</f>
        <v>1</v>
      </c>
      <c r="G77" s="52">
        <f>IF(expected_production[[#This Row],[Base Expected (kWh)]]="","",expected_production[[#This Row],[Base Expected (kWh)]]*expected_production[[#This Row],[Degradation Factor]])</f>
        <v>4619.7</v>
      </c>
    </row>
    <row r="78" spans="1:7" ht="15" hidden="1" customHeight="1" x14ac:dyDescent="0.3">
      <c r="A78" t="s">
        <v>49</v>
      </c>
      <c r="B78" s="2">
        <v>45413</v>
      </c>
      <c r="C78" s="52">
        <v>4990.5</v>
      </c>
      <c r="D78" s="48">
        <f>_xlfn.XLOOKUP(expected_production[[#This Row],[Site Name]],Table1[[Site Name ]],Table1[Commisioned Date],"")</f>
        <v>45658</v>
      </c>
      <c r="E78" s="47">
        <f>IF(ISNUMBER(expected_production[[#This Row],[Commissioned Date]]),MAX(0,(expected_production[[#This Row],[Date]]-expected_production[[#This Row],[Commissioned Date]])/365.25),"")</f>
        <v>0</v>
      </c>
      <c r="F78" s="49">
        <f>IF(expected_production[[#This Row],[Age (yrs)]]="",1,(1-DegradationRate)^expected_production[[#This Row],[Age (yrs)]])</f>
        <v>1</v>
      </c>
      <c r="G78" s="52">
        <f>IF(expected_production[[#This Row],[Base Expected (kWh)]]="","",expected_production[[#This Row],[Base Expected (kWh)]]*expected_production[[#This Row],[Degradation Factor]])</f>
        <v>4990.5</v>
      </c>
    </row>
    <row r="79" spans="1:7" ht="15" hidden="1" customHeight="1" x14ac:dyDescent="0.3">
      <c r="A79" t="s">
        <v>49</v>
      </c>
      <c r="B79" s="2">
        <v>45444</v>
      </c>
      <c r="C79" s="52">
        <v>4761.8999999999996</v>
      </c>
      <c r="D79" s="48">
        <f>_xlfn.XLOOKUP(expected_production[[#This Row],[Site Name]],Table1[[Site Name ]],Table1[Commisioned Date],"")</f>
        <v>45658</v>
      </c>
      <c r="E79" s="47">
        <f>IF(ISNUMBER(expected_production[[#This Row],[Commissioned Date]]),MAX(0,(expected_production[[#This Row],[Date]]-expected_production[[#This Row],[Commissioned Date]])/365.25),"")</f>
        <v>0</v>
      </c>
      <c r="F79" s="49">
        <f>IF(expected_production[[#This Row],[Age (yrs)]]="",1,(1-DegradationRate)^expected_production[[#This Row],[Age (yrs)]])</f>
        <v>1</v>
      </c>
      <c r="G79" s="52">
        <f>IF(expected_production[[#This Row],[Base Expected (kWh)]]="","",expected_production[[#This Row],[Base Expected (kWh)]]*expected_production[[#This Row],[Degradation Factor]])</f>
        <v>4761.8999999999996</v>
      </c>
    </row>
    <row r="80" spans="1:7" ht="15" hidden="1" customHeight="1" x14ac:dyDescent="0.3">
      <c r="A80" t="s">
        <v>49</v>
      </c>
      <c r="B80" s="2">
        <v>45474</v>
      </c>
      <c r="C80" s="52">
        <v>4680.8999999999996</v>
      </c>
      <c r="D80" s="48">
        <f>_xlfn.XLOOKUP(expected_production[[#This Row],[Site Name]],Table1[[Site Name ]],Table1[Commisioned Date],"")</f>
        <v>45658</v>
      </c>
      <c r="E80" s="47">
        <f>IF(ISNUMBER(expected_production[[#This Row],[Commissioned Date]]),MAX(0,(expected_production[[#This Row],[Date]]-expected_production[[#This Row],[Commissioned Date]])/365.25),"")</f>
        <v>0</v>
      </c>
      <c r="F80" s="49">
        <f>IF(expected_production[[#This Row],[Age (yrs)]]="",1,(1-DegradationRate)^expected_production[[#This Row],[Age (yrs)]])</f>
        <v>1</v>
      </c>
      <c r="G80" s="52">
        <f>IF(expected_production[[#This Row],[Base Expected (kWh)]]="","",expected_production[[#This Row],[Base Expected (kWh)]]*expected_production[[#This Row],[Degradation Factor]])</f>
        <v>4680.8999999999996</v>
      </c>
    </row>
    <row r="81" spans="1:7" ht="15" hidden="1" customHeight="1" x14ac:dyDescent="0.3">
      <c r="A81" t="s">
        <v>49</v>
      </c>
      <c r="B81" s="2">
        <v>45505</v>
      </c>
      <c r="C81" s="52">
        <v>5249.7</v>
      </c>
      <c r="D81" s="48">
        <f>_xlfn.XLOOKUP(expected_production[[#This Row],[Site Name]],Table1[[Site Name ]],Table1[Commisioned Date],"")</f>
        <v>45658</v>
      </c>
      <c r="E81" s="47">
        <f>IF(ISNUMBER(expected_production[[#This Row],[Commissioned Date]]),MAX(0,(expected_production[[#This Row],[Date]]-expected_production[[#This Row],[Commissioned Date]])/365.25),"")</f>
        <v>0</v>
      </c>
      <c r="F81" s="49">
        <f>IF(expected_production[[#This Row],[Age (yrs)]]="",1,(1-DegradationRate)^expected_production[[#This Row],[Age (yrs)]])</f>
        <v>1</v>
      </c>
      <c r="G81" s="52">
        <f>IF(expected_production[[#This Row],[Base Expected (kWh)]]="","",expected_production[[#This Row],[Base Expected (kWh)]]*expected_production[[#This Row],[Degradation Factor]])</f>
        <v>5249.7</v>
      </c>
    </row>
    <row r="82" spans="1:7" ht="15" hidden="1" customHeight="1" x14ac:dyDescent="0.3">
      <c r="A82" t="s">
        <v>49</v>
      </c>
      <c r="B82" s="2">
        <v>45536</v>
      </c>
      <c r="C82" s="52">
        <v>4694.3999999999996</v>
      </c>
      <c r="D82" s="48">
        <f>_xlfn.XLOOKUP(expected_production[[#This Row],[Site Name]],Table1[[Site Name ]],Table1[Commisioned Date],"")</f>
        <v>45658</v>
      </c>
      <c r="E82" s="47">
        <f>IF(ISNUMBER(expected_production[[#This Row],[Commissioned Date]]),MAX(0,(expected_production[[#This Row],[Date]]-expected_production[[#This Row],[Commissioned Date]])/365.25),"")</f>
        <v>0</v>
      </c>
      <c r="F82" s="49">
        <f>IF(expected_production[[#This Row],[Age (yrs)]]="",1,(1-DegradationRate)^expected_production[[#This Row],[Age (yrs)]])</f>
        <v>1</v>
      </c>
      <c r="G82" s="52">
        <f>IF(expected_production[[#This Row],[Base Expected (kWh)]]="","",expected_production[[#This Row],[Base Expected (kWh)]]*expected_production[[#This Row],[Degradation Factor]])</f>
        <v>4694.3999999999996</v>
      </c>
    </row>
    <row r="83" spans="1:7" ht="15" hidden="1" customHeight="1" x14ac:dyDescent="0.3">
      <c r="A83" t="s">
        <v>49</v>
      </c>
      <c r="B83" s="2">
        <v>45566</v>
      </c>
      <c r="C83" s="52">
        <v>4732.2</v>
      </c>
      <c r="D83" s="48">
        <f>_xlfn.XLOOKUP(expected_production[[#This Row],[Site Name]],Table1[[Site Name ]],Table1[Commisioned Date],"")</f>
        <v>45658</v>
      </c>
      <c r="E83" s="47">
        <f>IF(ISNUMBER(expected_production[[#This Row],[Commissioned Date]]),MAX(0,(expected_production[[#This Row],[Date]]-expected_production[[#This Row],[Commissioned Date]])/365.25),"")</f>
        <v>0</v>
      </c>
      <c r="F83" s="49">
        <f>IF(expected_production[[#This Row],[Age (yrs)]]="",1,(1-DegradationRate)^expected_production[[#This Row],[Age (yrs)]])</f>
        <v>1</v>
      </c>
      <c r="G83" s="52">
        <f>IF(expected_production[[#This Row],[Base Expected (kWh)]]="","",expected_production[[#This Row],[Base Expected (kWh)]]*expected_production[[#This Row],[Degradation Factor]])</f>
        <v>4732.2</v>
      </c>
    </row>
    <row r="84" spans="1:7" ht="15" hidden="1" customHeight="1" x14ac:dyDescent="0.3">
      <c r="A84" t="s">
        <v>49</v>
      </c>
      <c r="B84" s="2">
        <v>45597</v>
      </c>
      <c r="C84" s="52">
        <v>4822.2</v>
      </c>
      <c r="D84" s="48">
        <f>_xlfn.XLOOKUP(expected_production[[#This Row],[Site Name]],Table1[[Site Name ]],Table1[Commisioned Date],"")</f>
        <v>45658</v>
      </c>
      <c r="E84" s="47">
        <f>IF(ISNUMBER(expected_production[[#This Row],[Commissioned Date]]),MAX(0,(expected_production[[#This Row],[Date]]-expected_production[[#This Row],[Commissioned Date]])/365.25),"")</f>
        <v>0</v>
      </c>
      <c r="F84" s="49">
        <f>IF(expected_production[[#This Row],[Age (yrs)]]="",1,(1-DegradationRate)^expected_production[[#This Row],[Age (yrs)]])</f>
        <v>1</v>
      </c>
      <c r="G84" s="52">
        <f>IF(expected_production[[#This Row],[Base Expected (kWh)]]="","",expected_production[[#This Row],[Base Expected (kWh)]]*expected_production[[#This Row],[Degradation Factor]])</f>
        <v>4822.2</v>
      </c>
    </row>
    <row r="85" spans="1:7" ht="15" hidden="1" customHeight="1" x14ac:dyDescent="0.3">
      <c r="A85" t="s">
        <v>49</v>
      </c>
      <c r="B85" s="2">
        <v>45627</v>
      </c>
      <c r="C85" s="52">
        <v>4805.1000000000004</v>
      </c>
      <c r="D85" s="48">
        <f>_xlfn.XLOOKUP(expected_production[[#This Row],[Site Name]],Table1[[Site Name ]],Table1[Commisioned Date],"")</f>
        <v>45658</v>
      </c>
      <c r="E85" s="47">
        <f>IF(ISNUMBER(expected_production[[#This Row],[Commissioned Date]]),MAX(0,(expected_production[[#This Row],[Date]]-expected_production[[#This Row],[Commissioned Date]])/365.25),"")</f>
        <v>0</v>
      </c>
      <c r="F85" s="49">
        <f>IF(expected_production[[#This Row],[Age (yrs)]]="",1,(1-DegradationRate)^expected_production[[#This Row],[Age (yrs)]])</f>
        <v>1</v>
      </c>
      <c r="G85" s="52">
        <f>IF(expected_production[[#This Row],[Base Expected (kWh)]]="","",expected_production[[#This Row],[Base Expected (kWh)]]*expected_production[[#This Row],[Degradation Factor]])</f>
        <v>4805.1000000000004</v>
      </c>
    </row>
    <row r="86" spans="1:7" ht="15" hidden="1" customHeight="1" x14ac:dyDescent="0.3">
      <c r="A86" t="s">
        <v>49</v>
      </c>
      <c r="B86" s="2">
        <v>45658</v>
      </c>
      <c r="C86" s="52">
        <v>4801.5</v>
      </c>
      <c r="D86" s="48">
        <f>_xlfn.XLOOKUP(expected_production[[#This Row],[Site Name]],Table1[[Site Name ]],Table1[Commisioned Date],"")</f>
        <v>45658</v>
      </c>
      <c r="E86" s="47">
        <f>IF(ISNUMBER(expected_production[[#This Row],[Commissioned Date]]),MAX(0,(expected_production[[#This Row],[Date]]-expected_production[[#This Row],[Commissioned Date]])/365.25),"")</f>
        <v>0</v>
      </c>
      <c r="F86" s="49">
        <f>IF(expected_production[[#This Row],[Age (yrs)]]="",1,(1-DegradationRate)^expected_production[[#This Row],[Age (yrs)]])</f>
        <v>1</v>
      </c>
      <c r="G86" s="52">
        <f>IF(expected_production[[#This Row],[Base Expected (kWh)]]="","",expected_production[[#This Row],[Base Expected (kWh)]]*expected_production[[#This Row],[Degradation Factor]])</f>
        <v>4801.5</v>
      </c>
    </row>
    <row r="87" spans="1:7" ht="15" hidden="1" customHeight="1" x14ac:dyDescent="0.3">
      <c r="A87" t="s">
        <v>49</v>
      </c>
      <c r="B87" s="2">
        <v>45689</v>
      </c>
      <c r="C87" s="52">
        <v>4303.8</v>
      </c>
      <c r="D87" s="48">
        <f>_xlfn.XLOOKUP(expected_production[[#This Row],[Site Name]],Table1[[Site Name ]],Table1[Commisioned Date],"")</f>
        <v>45658</v>
      </c>
      <c r="E87" s="47">
        <f>IF(ISNUMBER(expected_production[[#This Row],[Commissioned Date]]),MAX(0,(expected_production[[#This Row],[Date]]-expected_production[[#This Row],[Commissioned Date]])/365.25),"")</f>
        <v>8.4873374401095145E-2</v>
      </c>
      <c r="F87" s="49">
        <f>IF(expected_production[[#This Row],[Age (yrs)]]="",1,(1-DegradationRate)^expected_production[[#This Row],[Age (yrs)]])</f>
        <v>0.99940397491998956</v>
      </c>
      <c r="G87" s="52">
        <f>IF(expected_production[[#This Row],[Base Expected (kWh)]]="","",expected_production[[#This Row],[Base Expected (kWh)]]*expected_production[[#This Row],[Degradation Factor]])</f>
        <v>4301.2348272606514</v>
      </c>
    </row>
    <row r="88" spans="1:7" ht="15" hidden="1" customHeight="1" x14ac:dyDescent="0.3">
      <c r="A88" t="s">
        <v>49</v>
      </c>
      <c r="B88" s="2">
        <v>45717</v>
      </c>
      <c r="C88" s="52">
        <v>4545.8999999999996</v>
      </c>
      <c r="D88" s="48">
        <f>_xlfn.XLOOKUP(expected_production[[#This Row],[Site Name]],Table1[[Site Name ]],Table1[Commisioned Date],"")</f>
        <v>45658</v>
      </c>
      <c r="E88" s="47">
        <f>IF(ISNUMBER(expected_production[[#This Row],[Commissioned Date]]),MAX(0,(expected_production[[#This Row],[Date]]-expected_production[[#This Row],[Commissioned Date]])/365.25),"")</f>
        <v>0.16153319644079397</v>
      </c>
      <c r="F88" s="49">
        <f>IF(expected_production[[#This Row],[Age (yrs)]]="",1,(1-DegradationRate)^expected_production[[#This Row],[Age (yrs)]])</f>
        <v>0.998865935033729</v>
      </c>
      <c r="G88" s="52">
        <f>IF(expected_production[[#This Row],[Base Expected (kWh)]]="","",expected_production[[#This Row],[Base Expected (kWh)]]*expected_production[[#This Row],[Degradation Factor]])</f>
        <v>4540.7446540698284</v>
      </c>
    </row>
    <row r="89" spans="1:7" ht="15" hidden="1" customHeight="1" x14ac:dyDescent="0.3">
      <c r="A89" t="s">
        <v>49</v>
      </c>
      <c r="B89" s="2">
        <v>45748</v>
      </c>
      <c r="C89" s="52">
        <v>4619.7</v>
      </c>
      <c r="D89" s="48">
        <f>_xlfn.XLOOKUP(expected_production[[#This Row],[Site Name]],Table1[[Site Name ]],Table1[Commisioned Date],"")</f>
        <v>45658</v>
      </c>
      <c r="E89" s="47">
        <f>IF(ISNUMBER(expected_production[[#This Row],[Commissioned Date]]),MAX(0,(expected_production[[#This Row],[Date]]-expected_production[[#This Row],[Commissioned Date]])/365.25),"")</f>
        <v>0.24640657084188911</v>
      </c>
      <c r="F89" s="49">
        <f>IF(expected_production[[#This Row],[Age (yrs)]]="",1,(1-DegradationRate)^expected_production[[#This Row],[Age (yrs)]])</f>
        <v>0.99827058588488082</v>
      </c>
      <c r="G89" s="52">
        <f>IF(expected_production[[#This Row],[Base Expected (kWh)]]="","",expected_production[[#This Row],[Base Expected (kWh)]]*expected_production[[#This Row],[Degradation Factor]])</f>
        <v>4611.7106256123834</v>
      </c>
    </row>
    <row r="90" spans="1:7" ht="15" hidden="1" customHeight="1" x14ac:dyDescent="0.3">
      <c r="A90" t="s">
        <v>49</v>
      </c>
      <c r="B90" s="2">
        <v>45778</v>
      </c>
      <c r="C90" s="52">
        <v>4990.5</v>
      </c>
      <c r="D90" s="48">
        <f>_xlfn.XLOOKUP(expected_production[[#This Row],[Site Name]],Table1[[Site Name ]],Table1[Commisioned Date],"")</f>
        <v>45658</v>
      </c>
      <c r="E90" s="47">
        <f>IF(ISNUMBER(expected_production[[#This Row],[Commissioned Date]]),MAX(0,(expected_production[[#This Row],[Date]]-expected_production[[#This Row],[Commissioned Date]])/365.25),"")</f>
        <v>0.32854209445585214</v>
      </c>
      <c r="F90" s="49">
        <f>IF(expected_production[[#This Row],[Age (yrs)]]="",1,(1-DegradationRate)^expected_production[[#This Row],[Age (yrs)]])</f>
        <v>0.99769477940727358</v>
      </c>
      <c r="G90" s="52">
        <f>IF(expected_production[[#This Row],[Base Expected (kWh)]]="","",expected_production[[#This Row],[Base Expected (kWh)]]*expected_production[[#This Row],[Degradation Factor]])</f>
        <v>4978.9957966319989</v>
      </c>
    </row>
    <row r="91" spans="1:7" ht="15" hidden="1" customHeight="1" x14ac:dyDescent="0.3">
      <c r="A91" t="s">
        <v>49</v>
      </c>
      <c r="B91" s="2">
        <v>45809</v>
      </c>
      <c r="C91" s="52">
        <v>4761.8999999999996</v>
      </c>
      <c r="D91" s="48">
        <f>_xlfn.XLOOKUP(expected_production[[#This Row],[Site Name]],Table1[[Site Name ]],Table1[Commisioned Date],"")</f>
        <v>45658</v>
      </c>
      <c r="E91" s="47">
        <f>IF(ISNUMBER(expected_production[[#This Row],[Commissioned Date]]),MAX(0,(expected_production[[#This Row],[Date]]-expected_production[[#This Row],[Commissioned Date]])/365.25),"")</f>
        <v>0.4134154688569473</v>
      </c>
      <c r="F91" s="49">
        <f>IF(expected_production[[#This Row],[Age (yrs)]]="",1,(1-DegradationRate)^expected_production[[#This Row],[Age (yrs)]])</f>
        <v>0.99710012829655126</v>
      </c>
      <c r="G91" s="52">
        <f>IF(expected_production[[#This Row],[Base Expected (kWh)]]="","",expected_production[[#This Row],[Base Expected (kWh)]]*expected_production[[#This Row],[Degradation Factor]])</f>
        <v>4748.0911009353467</v>
      </c>
    </row>
    <row r="92" spans="1:7" ht="15" hidden="1" customHeight="1" x14ac:dyDescent="0.3">
      <c r="A92" t="s">
        <v>49</v>
      </c>
      <c r="B92" s="2">
        <v>45839</v>
      </c>
      <c r="C92" s="52">
        <v>4680.8999999999996</v>
      </c>
      <c r="D92" s="48">
        <f>_xlfn.XLOOKUP(expected_production[[#This Row],[Site Name]],Table1[[Site Name ]],Table1[Commisioned Date],"")</f>
        <v>45658</v>
      </c>
      <c r="E92" s="47">
        <f>IF(ISNUMBER(expected_production[[#This Row],[Commissioned Date]]),MAX(0,(expected_production[[#This Row],[Date]]-expected_production[[#This Row],[Commissioned Date]])/365.25),"")</f>
        <v>0.49555099247091033</v>
      </c>
      <c r="F92" s="49">
        <f>IF(expected_production[[#This Row],[Age (yrs)]]="",1,(1-DegradationRate)^expected_production[[#This Row],[Age (yrs)]])</f>
        <v>0.99652499694357521</v>
      </c>
      <c r="G92" s="52">
        <f>IF(expected_production[[#This Row],[Base Expected (kWh)]]="","",expected_production[[#This Row],[Base Expected (kWh)]]*expected_production[[#This Row],[Degradation Factor]])</f>
        <v>4664.6338581931805</v>
      </c>
    </row>
    <row r="93" spans="1:7" ht="15" hidden="1" customHeight="1" x14ac:dyDescent="0.3">
      <c r="A93" t="s">
        <v>49</v>
      </c>
      <c r="B93" s="2">
        <v>45870</v>
      </c>
      <c r="C93" s="52">
        <v>5249.7</v>
      </c>
      <c r="D93" s="48">
        <f>_xlfn.XLOOKUP(expected_production[[#This Row],[Site Name]],Table1[[Site Name ]],Table1[Commisioned Date],"")</f>
        <v>45658</v>
      </c>
      <c r="E93" s="47">
        <f>IF(ISNUMBER(expected_production[[#This Row],[Commissioned Date]]),MAX(0,(expected_production[[#This Row],[Date]]-expected_production[[#This Row],[Commissioned Date]])/365.25),"")</f>
        <v>0.58042436687200549</v>
      </c>
      <c r="F93" s="49">
        <f>IF(expected_production[[#This Row],[Age (yrs)]]="",1,(1-DegradationRate)^expected_production[[#This Row],[Age (yrs)]])</f>
        <v>0.99593104305253943</v>
      </c>
      <c r="G93" s="52">
        <f>IF(expected_production[[#This Row],[Base Expected (kWh)]]="","",expected_production[[#This Row],[Base Expected (kWh)]]*expected_production[[#This Row],[Degradation Factor]])</f>
        <v>5228.3391967129164</v>
      </c>
    </row>
    <row r="94" spans="1:7" ht="15" hidden="1" customHeight="1" x14ac:dyDescent="0.3">
      <c r="A94" t="s">
        <v>49</v>
      </c>
      <c r="B94" s="2">
        <v>45901</v>
      </c>
      <c r="C94" s="52">
        <v>4694.3999999999996</v>
      </c>
      <c r="D94" s="48">
        <f>_xlfn.XLOOKUP(expected_production[[#This Row],[Site Name]],Table1[[Site Name ]],Table1[Commisioned Date],"")</f>
        <v>45658</v>
      </c>
      <c r="E94" s="47">
        <f>IF(ISNUMBER(expected_production[[#This Row],[Commissioned Date]]),MAX(0,(expected_production[[#This Row],[Date]]-expected_production[[#This Row],[Commissioned Date]])/365.25),"")</f>
        <v>0.6652977412731006</v>
      </c>
      <c r="F94" s="49">
        <f>IF(expected_production[[#This Row],[Age (yrs)]]="",1,(1-DegradationRate)^expected_production[[#This Row],[Age (yrs)]])</f>
        <v>0.99533744317291917</v>
      </c>
      <c r="G94" s="52">
        <f>IF(expected_production[[#This Row],[Base Expected (kWh)]]="","",expected_production[[#This Row],[Base Expected (kWh)]]*expected_production[[#This Row],[Degradation Factor]])</f>
        <v>4672.512093230951</v>
      </c>
    </row>
    <row r="95" spans="1:7" ht="15" hidden="1" customHeight="1" x14ac:dyDescent="0.3">
      <c r="A95" t="s">
        <v>49</v>
      </c>
      <c r="B95" s="2">
        <v>45931</v>
      </c>
      <c r="C95" s="52">
        <v>4732.2</v>
      </c>
      <c r="D95" s="48">
        <f>_xlfn.XLOOKUP(expected_production[[#This Row],[Site Name]],Table1[[Site Name ]],Table1[Commisioned Date],"")</f>
        <v>45658</v>
      </c>
      <c r="E95" s="47">
        <f>IF(ISNUMBER(expected_production[[#This Row],[Commissioned Date]]),MAX(0,(expected_production[[#This Row],[Date]]-expected_production[[#This Row],[Commissioned Date]])/365.25),"")</f>
        <v>0.74743326488706363</v>
      </c>
      <c r="F95" s="49">
        <f>IF(expected_production[[#This Row],[Age (yrs)]]="",1,(1-DegradationRate)^expected_production[[#This Row],[Age (yrs)]])</f>
        <v>0.99476332854379179</v>
      </c>
      <c r="G95" s="52">
        <f>IF(expected_production[[#This Row],[Base Expected (kWh)]]="","",expected_production[[#This Row],[Base Expected (kWh)]]*expected_production[[#This Row],[Degradation Factor]])</f>
        <v>4707.4190233349309</v>
      </c>
    </row>
    <row r="96" spans="1:7" ht="15" hidden="1" customHeight="1" x14ac:dyDescent="0.3">
      <c r="A96" t="s">
        <v>49</v>
      </c>
      <c r="B96" s="2">
        <v>45962</v>
      </c>
      <c r="C96" s="52">
        <v>4822.2</v>
      </c>
      <c r="D96" s="48">
        <f>_xlfn.XLOOKUP(expected_production[[#This Row],[Site Name]],Table1[[Site Name ]],Table1[Commisioned Date],"")</f>
        <v>45658</v>
      </c>
      <c r="E96" s="47">
        <f>IF(ISNUMBER(expected_production[[#This Row],[Commissioned Date]]),MAX(0,(expected_production[[#This Row],[Date]]-expected_production[[#This Row],[Commissioned Date]])/365.25),"")</f>
        <v>0.83230663928815884</v>
      </c>
      <c r="F96" s="49">
        <f>IF(expected_production[[#This Row],[Age (yrs)]]="",1,(1-DegradationRate)^expected_production[[#This Row],[Age (yrs)]])</f>
        <v>0.99417042465130501</v>
      </c>
      <c r="G96" s="52">
        <f>IF(expected_production[[#This Row],[Base Expected (kWh)]]="","",expected_production[[#This Row],[Base Expected (kWh)]]*expected_production[[#This Row],[Degradation Factor]])</f>
        <v>4794.0886217535226</v>
      </c>
    </row>
    <row r="97" spans="1:7" ht="15" hidden="1" customHeight="1" x14ac:dyDescent="0.3">
      <c r="A97" t="s">
        <v>49</v>
      </c>
      <c r="B97" s="2">
        <v>45992</v>
      </c>
      <c r="C97" s="52">
        <v>4805.1000000000004</v>
      </c>
      <c r="D97" s="48">
        <f>_xlfn.XLOOKUP(expected_production[[#This Row],[Site Name]],Table1[[Site Name ]],Table1[Commisioned Date],"")</f>
        <v>45658</v>
      </c>
      <c r="E97" s="47">
        <f>IF(ISNUMBER(expected_production[[#This Row],[Commissioned Date]]),MAX(0,(expected_production[[#This Row],[Date]]-expected_production[[#This Row],[Commissioned Date]])/365.25),"")</f>
        <v>0.91444216290212188</v>
      </c>
      <c r="F97" s="49">
        <f>IF(expected_production[[#This Row],[Age (yrs)]]="",1,(1-DegradationRate)^expected_production[[#This Row],[Age (yrs)]])</f>
        <v>0.99359698316314138</v>
      </c>
      <c r="G97" s="52">
        <f>IF(expected_production[[#This Row],[Base Expected (kWh)]]="","",expected_production[[#This Row],[Base Expected (kWh)]]*expected_production[[#This Row],[Degradation Factor]])</f>
        <v>4774.3328637972108</v>
      </c>
    </row>
    <row r="98" spans="1:7" ht="15" hidden="1" customHeight="1" x14ac:dyDescent="0.3">
      <c r="A98" t="s">
        <v>49</v>
      </c>
      <c r="B98" s="2">
        <v>46023</v>
      </c>
      <c r="C98" s="52">
        <v>4801.5</v>
      </c>
      <c r="D98" s="48">
        <f>_xlfn.XLOOKUP(expected_production[[#This Row],[Site Name]],Table1[[Site Name ]],Table1[Commisioned Date],"")</f>
        <v>45658</v>
      </c>
      <c r="E98" s="47">
        <f>IF(ISNUMBER(expected_production[[#This Row],[Commissioned Date]]),MAX(0,(expected_production[[#This Row],[Date]]-expected_production[[#This Row],[Commissioned Date]])/365.25),"")</f>
        <v>0.99931553730321698</v>
      </c>
      <c r="F98" s="49">
        <f>IF(expected_production[[#This Row],[Age (yrs)]]="",1,(1-DegradationRate)^expected_production[[#This Row],[Age (yrs)]])</f>
        <v>0.99300477444175339</v>
      </c>
      <c r="G98" s="52">
        <f>IF(expected_production[[#This Row],[Base Expected (kWh)]]="","",expected_production[[#This Row],[Base Expected (kWh)]]*expected_production[[#This Row],[Degradation Factor]])</f>
        <v>4767.9124244820787</v>
      </c>
    </row>
    <row r="99" spans="1:7" ht="15" hidden="1" customHeight="1" x14ac:dyDescent="0.3">
      <c r="A99" t="s">
        <v>49</v>
      </c>
      <c r="B99" s="2">
        <v>46054</v>
      </c>
      <c r="C99" s="52">
        <v>4303.8</v>
      </c>
      <c r="D99" s="48">
        <f>_xlfn.XLOOKUP(expected_production[[#This Row],[Site Name]],Table1[[Site Name ]],Table1[Commisioned Date],"")</f>
        <v>45658</v>
      </c>
      <c r="E99" s="47">
        <f>IF(ISNUMBER(expected_production[[#This Row],[Commissioned Date]]),MAX(0,(expected_production[[#This Row],[Date]]-expected_production[[#This Row],[Commissioned Date]])/365.25),"")</f>
        <v>1.0841889117043122</v>
      </c>
      <c r="F99" s="49">
        <f>IF(expected_production[[#This Row],[Age (yrs)]]="",1,(1-DegradationRate)^expected_production[[#This Row],[Age (yrs)]])</f>
        <v>0.99241291869161596</v>
      </c>
      <c r="G99" s="52">
        <f>IF(expected_production[[#This Row],[Base Expected (kWh)]]="","",expected_production[[#This Row],[Base Expected (kWh)]]*expected_production[[#This Row],[Degradation Factor]])</f>
        <v>4271.1467194649767</v>
      </c>
    </row>
    <row r="100" spans="1:7" ht="15" hidden="1" customHeight="1" x14ac:dyDescent="0.3">
      <c r="A100" t="s">
        <v>49</v>
      </c>
      <c r="B100" s="2">
        <v>46082</v>
      </c>
      <c r="C100" s="52">
        <v>4545.8999999999996</v>
      </c>
      <c r="D100" s="48">
        <f>_xlfn.XLOOKUP(expected_production[[#This Row],[Site Name]],Table1[[Site Name ]],Table1[Commisioned Date],"")</f>
        <v>45658</v>
      </c>
      <c r="E100" s="47">
        <f>IF(ISNUMBER(expected_production[[#This Row],[Commissioned Date]]),MAX(0,(expected_production[[#This Row],[Date]]-expected_production[[#This Row],[Commissioned Date]])/365.25),"")</f>
        <v>1.160848733744011</v>
      </c>
      <c r="F100" s="49">
        <f>IF(expected_production[[#This Row],[Age (yrs)]]="",1,(1-DegradationRate)^expected_production[[#This Row],[Age (yrs)]])</f>
        <v>0.99187864251571922</v>
      </c>
      <c r="G100" s="52">
        <f>IF(expected_production[[#This Row],[Base Expected (kWh)]]="","",expected_production[[#This Row],[Base Expected (kWh)]]*expected_production[[#This Row],[Degradation Factor]])</f>
        <v>4508.981121012208</v>
      </c>
    </row>
    <row r="101" spans="1:7" ht="15" hidden="1" customHeight="1" x14ac:dyDescent="0.3">
      <c r="A101" t="s">
        <v>49</v>
      </c>
      <c r="B101" s="2">
        <v>46113</v>
      </c>
      <c r="C101" s="52">
        <v>4619.7</v>
      </c>
      <c r="D101" s="48">
        <f>_xlfn.XLOOKUP(expected_production[[#This Row],[Site Name]],Table1[[Site Name ]],Table1[Commisioned Date],"")</f>
        <v>45658</v>
      </c>
      <c r="E101" s="47">
        <f>IF(ISNUMBER(expected_production[[#This Row],[Commissioned Date]]),MAX(0,(expected_production[[#This Row],[Date]]-expected_production[[#This Row],[Commissioned Date]])/365.25),"")</f>
        <v>1.2457221081451062</v>
      </c>
      <c r="F101" s="49">
        <f>IF(expected_production[[#This Row],[Age (yrs)]]="",1,(1-DegradationRate)^expected_production[[#This Row],[Age (yrs)]])</f>
        <v>0.99128745796845308</v>
      </c>
      <c r="G101" s="52">
        <f>IF(expected_production[[#This Row],[Base Expected (kWh)]]="","",expected_production[[#This Row],[Base Expected (kWh)]]*expected_production[[#This Row],[Degradation Factor]])</f>
        <v>4579.4506695768623</v>
      </c>
    </row>
    <row r="102" spans="1:7" ht="15" hidden="1" customHeight="1" x14ac:dyDescent="0.3">
      <c r="A102" t="s">
        <v>49</v>
      </c>
      <c r="B102" s="2">
        <v>46143</v>
      </c>
      <c r="C102" s="52">
        <v>4990.5</v>
      </c>
      <c r="D102" s="48">
        <f>_xlfn.XLOOKUP(expected_production[[#This Row],[Site Name]],Table1[[Site Name ]],Table1[Commisioned Date],"")</f>
        <v>45658</v>
      </c>
      <c r="E102" s="47">
        <f>IF(ISNUMBER(expected_production[[#This Row],[Commissioned Date]]),MAX(0,(expected_production[[#This Row],[Date]]-expected_production[[#This Row],[Commissioned Date]])/365.25),"")</f>
        <v>1.3278576317590691</v>
      </c>
      <c r="F102" s="49">
        <f>IF(expected_production[[#This Row],[Age (yrs)]]="",1,(1-DegradationRate)^expected_production[[#This Row],[Age (yrs)]])</f>
        <v>0.99071567938703453</v>
      </c>
      <c r="G102" s="52">
        <f>IF(expected_production[[#This Row],[Base Expected (kWh)]]="","",expected_production[[#This Row],[Base Expected (kWh)]]*expected_production[[#This Row],[Degradation Factor]])</f>
        <v>4944.1665979809959</v>
      </c>
    </row>
    <row r="103" spans="1:7" ht="15" hidden="1" customHeight="1" x14ac:dyDescent="0.3">
      <c r="A103" t="s">
        <v>49</v>
      </c>
      <c r="B103" s="2">
        <v>46174</v>
      </c>
      <c r="C103" s="52">
        <v>4761.8999999999996</v>
      </c>
      <c r="D103" s="48">
        <f>_xlfn.XLOOKUP(expected_production[[#This Row],[Site Name]],Table1[[Site Name ]],Table1[Commisioned Date],"")</f>
        <v>45658</v>
      </c>
      <c r="E103" s="47">
        <f>IF(ISNUMBER(expected_production[[#This Row],[Commissioned Date]]),MAX(0,(expected_production[[#This Row],[Date]]-expected_production[[#This Row],[Commissioned Date]])/365.25),"")</f>
        <v>1.4127310061601643</v>
      </c>
      <c r="F103" s="49">
        <f>IF(expected_production[[#This Row],[Age (yrs)]]="",1,(1-DegradationRate)^expected_production[[#This Row],[Age (yrs)]])</f>
        <v>0.9901251879949603</v>
      </c>
      <c r="G103" s="52">
        <f>IF(expected_production[[#This Row],[Base Expected (kWh)]]="","",expected_production[[#This Row],[Base Expected (kWh)]]*expected_production[[#This Row],[Degradation Factor]])</f>
        <v>4714.8771327132008</v>
      </c>
    </row>
    <row r="104" spans="1:7" ht="15" hidden="1" customHeight="1" x14ac:dyDescent="0.3">
      <c r="A104" t="s">
        <v>49</v>
      </c>
      <c r="B104" s="2">
        <v>46204</v>
      </c>
      <c r="C104" s="52">
        <v>4680.8999999999996</v>
      </c>
      <c r="D104" s="48">
        <f>_xlfn.XLOOKUP(expected_production[[#This Row],[Site Name]],Table1[[Site Name ]],Table1[Commisioned Date],"")</f>
        <v>45658</v>
      </c>
      <c r="E104" s="47">
        <f>IF(ISNUMBER(expected_production[[#This Row],[Commissioned Date]]),MAX(0,(expected_production[[#This Row],[Date]]-expected_production[[#This Row],[Commissioned Date]])/365.25),"")</f>
        <v>1.4948665297741273</v>
      </c>
      <c r="F104" s="49">
        <f>IF(expected_production[[#This Row],[Age (yrs)]]="",1,(1-DegradationRate)^expected_production[[#This Row],[Age (yrs)]])</f>
        <v>0.98955407981552379</v>
      </c>
      <c r="G104" s="52">
        <f>IF(expected_production[[#This Row],[Base Expected (kWh)]]="","",expected_production[[#This Row],[Base Expected (kWh)]]*expected_production[[#This Row],[Degradation Factor]])</f>
        <v>4632.0036922084846</v>
      </c>
    </row>
    <row r="105" spans="1:7" ht="15" hidden="1" customHeight="1" x14ac:dyDescent="0.3">
      <c r="A105" t="s">
        <v>49</v>
      </c>
      <c r="B105" s="2">
        <v>46235</v>
      </c>
      <c r="C105" s="52">
        <v>5249.7</v>
      </c>
      <c r="D105" s="48">
        <f>_xlfn.XLOOKUP(expected_production[[#This Row],[Site Name]],Table1[[Site Name ]],Table1[Commisioned Date],"")</f>
        <v>45658</v>
      </c>
      <c r="E105" s="47">
        <f>IF(ISNUMBER(expected_production[[#This Row],[Commissioned Date]]),MAX(0,(expected_production[[#This Row],[Date]]-expected_production[[#This Row],[Commissioned Date]])/365.25),"")</f>
        <v>1.5797399041752225</v>
      </c>
      <c r="F105" s="49">
        <f>IF(expected_production[[#This Row],[Age (yrs)]]="",1,(1-DegradationRate)^expected_production[[#This Row],[Age (yrs)]])</f>
        <v>0.98896428076592713</v>
      </c>
      <c r="G105" s="52">
        <f>IF(expected_production[[#This Row],[Base Expected (kWh)]]="","",expected_production[[#This Row],[Base Expected (kWh)]]*expected_production[[#This Row],[Degradation Factor]])</f>
        <v>5191.7657847368873</v>
      </c>
    </row>
    <row r="106" spans="1:7" ht="15" hidden="1" customHeight="1" x14ac:dyDescent="0.3">
      <c r="A106" t="s">
        <v>49</v>
      </c>
      <c r="B106" s="2">
        <v>46266</v>
      </c>
      <c r="C106" s="52">
        <v>4694.3999999999996</v>
      </c>
      <c r="D106" s="48">
        <f>_xlfn.XLOOKUP(expected_production[[#This Row],[Site Name]],Table1[[Site Name ]],Table1[Commisioned Date],"")</f>
        <v>45658</v>
      </c>
      <c r="E106" s="47">
        <f>IF(ISNUMBER(expected_production[[#This Row],[Commissioned Date]]),MAX(0,(expected_production[[#This Row],[Date]]-expected_production[[#This Row],[Commissioned Date]])/365.25),"")</f>
        <v>1.6646132785763177</v>
      </c>
      <c r="F106" s="49">
        <f>IF(expected_production[[#This Row],[Age (yrs)]]="",1,(1-DegradationRate)^expected_production[[#This Row],[Age (yrs)]])</f>
        <v>0.98837483325135611</v>
      </c>
      <c r="G106" s="52">
        <f>IF(expected_production[[#This Row],[Base Expected (kWh)]]="","",expected_production[[#This Row],[Base Expected (kWh)]]*expected_production[[#This Row],[Degradation Factor]])</f>
        <v>4639.8268172151656</v>
      </c>
    </row>
    <row r="107" spans="1:7" ht="15" hidden="1" customHeight="1" x14ac:dyDescent="0.3">
      <c r="A107" t="s">
        <v>49</v>
      </c>
      <c r="B107" s="2">
        <v>46296</v>
      </c>
      <c r="C107" s="52">
        <v>4732.2</v>
      </c>
      <c r="D107" s="48">
        <f>_xlfn.XLOOKUP(expected_production[[#This Row],[Site Name]],Table1[[Site Name ]],Table1[Commisioned Date],"")</f>
        <v>45658</v>
      </c>
      <c r="E107" s="47">
        <f>IF(ISNUMBER(expected_production[[#This Row],[Commissioned Date]]),MAX(0,(expected_production[[#This Row],[Date]]-expected_production[[#This Row],[Commissioned Date]])/365.25),"")</f>
        <v>1.7467488021902806</v>
      </c>
      <c r="F107" s="49">
        <f>IF(expected_production[[#This Row],[Age (yrs)]]="",1,(1-DegradationRate)^expected_production[[#This Row],[Age (yrs)]])</f>
        <v>0.98780473468355579</v>
      </c>
      <c r="G107" s="52">
        <f>IF(expected_production[[#This Row],[Base Expected (kWh)]]="","",expected_production[[#This Row],[Base Expected (kWh)]]*expected_production[[#This Row],[Degradation Factor]])</f>
        <v>4674.4895654695229</v>
      </c>
    </row>
    <row r="108" spans="1:7" ht="15" hidden="1" customHeight="1" x14ac:dyDescent="0.3">
      <c r="A108" t="s">
        <v>49</v>
      </c>
      <c r="B108" s="2">
        <v>46327</v>
      </c>
      <c r="C108" s="52">
        <v>4822.2</v>
      </c>
      <c r="D108" s="48">
        <f>_xlfn.XLOOKUP(expected_production[[#This Row],[Site Name]],Table1[[Site Name ]],Table1[Commisioned Date],"")</f>
        <v>45658</v>
      </c>
      <c r="E108" s="47">
        <f>IF(ISNUMBER(expected_production[[#This Row],[Commissioned Date]]),MAX(0,(expected_production[[#This Row],[Date]]-expected_production[[#This Row],[Commissioned Date]])/365.25),"")</f>
        <v>1.8316221765913758</v>
      </c>
      <c r="F108" s="49">
        <f>IF(expected_production[[#This Row],[Age (yrs)]]="",1,(1-DegradationRate)^expected_production[[#This Row],[Age (yrs)]])</f>
        <v>0.98721597828753127</v>
      </c>
      <c r="G108" s="52">
        <f>IF(expected_production[[#This Row],[Base Expected (kWh)]]="","",expected_production[[#This Row],[Base Expected (kWh)]]*expected_production[[#This Row],[Degradation Factor]])</f>
        <v>4760.5528904981329</v>
      </c>
    </row>
    <row r="109" spans="1:7" ht="15" hidden="1" customHeight="1" x14ac:dyDescent="0.3">
      <c r="A109" t="s">
        <v>49</v>
      </c>
      <c r="B109" s="2">
        <v>46357</v>
      </c>
      <c r="C109" s="52">
        <v>4805.1000000000004</v>
      </c>
      <c r="D109" s="48">
        <f>_xlfn.XLOOKUP(expected_production[[#This Row],[Site Name]],Table1[[Site Name ]],Table1[Commisioned Date],"")</f>
        <v>45658</v>
      </c>
      <c r="E109" s="47">
        <f>IF(ISNUMBER(expected_production[[#This Row],[Commissioned Date]]),MAX(0,(expected_production[[#This Row],[Date]]-expected_production[[#This Row],[Commissioned Date]])/365.25),"")</f>
        <v>1.9137577002053388</v>
      </c>
      <c r="F109" s="49">
        <f>IF(expected_production[[#This Row],[Age (yrs)]]="",1,(1-DegradationRate)^expected_production[[#This Row],[Age (yrs)]])</f>
        <v>0.98664654815192177</v>
      </c>
      <c r="G109" s="52">
        <f>IF(expected_production[[#This Row],[Base Expected (kWh)]]="","",expected_production[[#This Row],[Base Expected (kWh)]]*expected_production[[#This Row],[Degradation Factor]])</f>
        <v>4740.9353285247998</v>
      </c>
    </row>
    <row r="110" spans="1:7" ht="15" hidden="1" customHeight="1" x14ac:dyDescent="0.3">
      <c r="A110" t="s">
        <v>64</v>
      </c>
      <c r="B110" s="2">
        <v>45292</v>
      </c>
      <c r="C110" s="52">
        <v>8151.3</v>
      </c>
      <c r="D110" s="48">
        <f>_xlfn.XLOOKUP(expected_production[[#This Row],[Site Name]],Table1[[Site Name ]],Table1[Commisioned Date],"")</f>
        <v>45610</v>
      </c>
      <c r="E110" s="47">
        <f>IF(ISNUMBER(expected_production[[#This Row],[Commissioned Date]]),MAX(0,(expected_production[[#This Row],[Date]]-expected_production[[#This Row],[Commissioned Date]])/365.25),"")</f>
        <v>0</v>
      </c>
      <c r="F110" s="49">
        <f>IF(expected_production[[#This Row],[Age (yrs)]]="",1,(1-DegradationRate)^expected_production[[#This Row],[Age (yrs)]])</f>
        <v>1</v>
      </c>
      <c r="G110" s="52">
        <f>IF(expected_production[[#This Row],[Base Expected (kWh)]]="","",expected_production[[#This Row],[Base Expected (kWh)]]*expected_production[[#This Row],[Degradation Factor]])</f>
        <v>8151.3</v>
      </c>
    </row>
    <row r="111" spans="1:7" ht="15" hidden="1" customHeight="1" x14ac:dyDescent="0.3">
      <c r="A111" t="s">
        <v>64</v>
      </c>
      <c r="B111" s="2">
        <v>45323</v>
      </c>
      <c r="C111" s="52">
        <v>7235.1</v>
      </c>
      <c r="D111" s="48">
        <f>_xlfn.XLOOKUP(expected_production[[#This Row],[Site Name]],Table1[[Site Name ]],Table1[Commisioned Date],"")</f>
        <v>45610</v>
      </c>
      <c r="E111" s="47">
        <f>IF(ISNUMBER(expected_production[[#This Row],[Commissioned Date]]),MAX(0,(expected_production[[#This Row],[Date]]-expected_production[[#This Row],[Commissioned Date]])/365.25),"")</f>
        <v>0</v>
      </c>
      <c r="F111" s="49">
        <f>IF(expected_production[[#This Row],[Age (yrs)]]="",1,(1-DegradationRate)^expected_production[[#This Row],[Age (yrs)]])</f>
        <v>1</v>
      </c>
      <c r="G111" s="52">
        <f>IF(expected_production[[#This Row],[Base Expected (kWh)]]="","",expected_production[[#This Row],[Base Expected (kWh)]]*expected_production[[#This Row],[Degradation Factor]])</f>
        <v>7235.1</v>
      </c>
    </row>
    <row r="112" spans="1:7" ht="15" hidden="1" customHeight="1" x14ac:dyDescent="0.3">
      <c r="A112" t="s">
        <v>64</v>
      </c>
      <c r="B112" s="2">
        <v>45352</v>
      </c>
      <c r="C112" s="52">
        <v>7075.8</v>
      </c>
      <c r="D112" s="48">
        <f>_xlfn.XLOOKUP(expected_production[[#This Row],[Site Name]],Table1[[Site Name ]],Table1[Commisioned Date],"")</f>
        <v>45610</v>
      </c>
      <c r="E112" s="47">
        <f>IF(ISNUMBER(expected_production[[#This Row],[Commissioned Date]]),MAX(0,(expected_production[[#This Row],[Date]]-expected_production[[#This Row],[Commissioned Date]])/365.25),"")</f>
        <v>0</v>
      </c>
      <c r="F112" s="49">
        <f>IF(expected_production[[#This Row],[Age (yrs)]]="",1,(1-DegradationRate)^expected_production[[#This Row],[Age (yrs)]])</f>
        <v>1</v>
      </c>
      <c r="G112" s="52">
        <f>IF(expected_production[[#This Row],[Base Expected (kWh)]]="","",expected_production[[#This Row],[Base Expected (kWh)]]*expected_production[[#This Row],[Degradation Factor]])</f>
        <v>7075.8</v>
      </c>
    </row>
    <row r="113" spans="1:7" ht="15" hidden="1" customHeight="1" x14ac:dyDescent="0.3">
      <c r="A113" t="s">
        <v>64</v>
      </c>
      <c r="B113" s="2">
        <v>45383</v>
      </c>
      <c r="C113" s="52">
        <v>5754.6</v>
      </c>
      <c r="D113" s="48">
        <f>_xlfn.XLOOKUP(expected_production[[#This Row],[Site Name]],Table1[[Site Name ]],Table1[Commisioned Date],"")</f>
        <v>45610</v>
      </c>
      <c r="E113" s="47">
        <f>IF(ISNUMBER(expected_production[[#This Row],[Commissioned Date]]),MAX(0,(expected_production[[#This Row],[Date]]-expected_production[[#This Row],[Commissioned Date]])/365.25),"")</f>
        <v>0</v>
      </c>
      <c r="F113" s="49">
        <f>IF(expected_production[[#This Row],[Age (yrs)]]="",1,(1-DegradationRate)^expected_production[[#This Row],[Age (yrs)]])</f>
        <v>1</v>
      </c>
      <c r="G113" s="52">
        <f>IF(expected_production[[#This Row],[Base Expected (kWh)]]="","",expected_production[[#This Row],[Base Expected (kWh)]]*expected_production[[#This Row],[Degradation Factor]])</f>
        <v>5754.6</v>
      </c>
    </row>
    <row r="114" spans="1:7" ht="15" hidden="1" customHeight="1" x14ac:dyDescent="0.3">
      <c r="A114" t="s">
        <v>64</v>
      </c>
      <c r="B114" s="2">
        <v>45413</v>
      </c>
      <c r="C114" s="52">
        <v>5424.3</v>
      </c>
      <c r="D114" s="48">
        <f>_xlfn.XLOOKUP(expected_production[[#This Row],[Site Name]],Table1[[Site Name ]],Table1[Commisioned Date],"")</f>
        <v>45610</v>
      </c>
      <c r="E114" s="47">
        <f>IF(ISNUMBER(expected_production[[#This Row],[Commissioned Date]]),MAX(0,(expected_production[[#This Row],[Date]]-expected_production[[#This Row],[Commissioned Date]])/365.25),"")</f>
        <v>0</v>
      </c>
      <c r="F114" s="49">
        <f>IF(expected_production[[#This Row],[Age (yrs)]]="",1,(1-DegradationRate)^expected_production[[#This Row],[Age (yrs)]])</f>
        <v>1</v>
      </c>
      <c r="G114" s="52">
        <f>IF(expected_production[[#This Row],[Base Expected (kWh)]]="","",expected_production[[#This Row],[Base Expected (kWh)]]*expected_production[[#This Row],[Degradation Factor]])</f>
        <v>5424.3</v>
      </c>
    </row>
    <row r="115" spans="1:7" ht="15" hidden="1" customHeight="1" x14ac:dyDescent="0.3">
      <c r="A115" t="s">
        <v>64</v>
      </c>
      <c r="B115" s="2">
        <v>45444</v>
      </c>
      <c r="C115" s="52">
        <v>4787.1000000000004</v>
      </c>
      <c r="D115" s="48">
        <f>_xlfn.XLOOKUP(expected_production[[#This Row],[Site Name]],Table1[[Site Name ]],Table1[Commisioned Date],"")</f>
        <v>45610</v>
      </c>
      <c r="E115" s="47">
        <f>IF(ISNUMBER(expected_production[[#This Row],[Commissioned Date]]),MAX(0,(expected_production[[#This Row],[Date]]-expected_production[[#This Row],[Commissioned Date]])/365.25),"")</f>
        <v>0</v>
      </c>
      <c r="F115" s="49">
        <f>IF(expected_production[[#This Row],[Age (yrs)]]="",1,(1-DegradationRate)^expected_production[[#This Row],[Age (yrs)]])</f>
        <v>1</v>
      </c>
      <c r="G115" s="52">
        <f>IF(expected_production[[#This Row],[Base Expected (kWh)]]="","",expected_production[[#This Row],[Base Expected (kWh)]]*expected_production[[#This Row],[Degradation Factor]])</f>
        <v>4787.1000000000004</v>
      </c>
    </row>
    <row r="116" spans="1:7" ht="15" hidden="1" customHeight="1" x14ac:dyDescent="0.3">
      <c r="A116" t="s">
        <v>64</v>
      </c>
      <c r="B116" s="2">
        <v>45474</v>
      </c>
      <c r="C116" s="52">
        <v>5360.4</v>
      </c>
      <c r="D116" s="48">
        <f>_xlfn.XLOOKUP(expected_production[[#This Row],[Site Name]],Table1[[Site Name ]],Table1[Commisioned Date],"")</f>
        <v>45610</v>
      </c>
      <c r="E116" s="47">
        <f>IF(ISNUMBER(expected_production[[#This Row],[Commissioned Date]]),MAX(0,(expected_production[[#This Row],[Date]]-expected_production[[#This Row],[Commissioned Date]])/365.25),"")</f>
        <v>0</v>
      </c>
      <c r="F116" s="49">
        <f>IF(expected_production[[#This Row],[Age (yrs)]]="",1,(1-DegradationRate)^expected_production[[#This Row],[Age (yrs)]])</f>
        <v>1</v>
      </c>
      <c r="G116" s="52">
        <f>IF(expected_production[[#This Row],[Base Expected (kWh)]]="","",expected_production[[#This Row],[Base Expected (kWh)]]*expected_production[[#This Row],[Degradation Factor]])</f>
        <v>5360.4</v>
      </c>
    </row>
    <row r="117" spans="1:7" ht="15" hidden="1" customHeight="1" x14ac:dyDescent="0.3">
      <c r="A117" t="s">
        <v>64</v>
      </c>
      <c r="B117" s="2">
        <v>45505</v>
      </c>
      <c r="C117" s="52">
        <v>6363</v>
      </c>
      <c r="D117" s="48">
        <f>_xlfn.XLOOKUP(expected_production[[#This Row],[Site Name]],Table1[[Site Name ]],Table1[Commisioned Date],"")</f>
        <v>45610</v>
      </c>
      <c r="E117" s="47">
        <f>IF(ISNUMBER(expected_production[[#This Row],[Commissioned Date]]),MAX(0,(expected_production[[#This Row],[Date]]-expected_production[[#This Row],[Commissioned Date]])/365.25),"")</f>
        <v>0</v>
      </c>
      <c r="F117" s="49">
        <f>IF(expected_production[[#This Row],[Age (yrs)]]="",1,(1-DegradationRate)^expected_production[[#This Row],[Age (yrs)]])</f>
        <v>1</v>
      </c>
      <c r="G117" s="52">
        <f>IF(expected_production[[#This Row],[Base Expected (kWh)]]="","",expected_production[[#This Row],[Base Expected (kWh)]]*expected_production[[#This Row],[Degradation Factor]])</f>
        <v>6363</v>
      </c>
    </row>
    <row r="118" spans="1:7" ht="15" hidden="1" customHeight="1" x14ac:dyDescent="0.3">
      <c r="A118" t="s">
        <v>64</v>
      </c>
      <c r="B118" s="2">
        <v>45536</v>
      </c>
      <c r="C118" s="52">
        <v>7218.9</v>
      </c>
      <c r="D118" s="48">
        <f>_xlfn.XLOOKUP(expected_production[[#This Row],[Site Name]],Table1[[Site Name ]],Table1[Commisioned Date],"")</f>
        <v>45610</v>
      </c>
      <c r="E118" s="47">
        <f>IF(ISNUMBER(expected_production[[#This Row],[Commissioned Date]]),MAX(0,(expected_production[[#This Row],[Date]]-expected_production[[#This Row],[Commissioned Date]])/365.25),"")</f>
        <v>0</v>
      </c>
      <c r="F118" s="49">
        <f>IF(expected_production[[#This Row],[Age (yrs)]]="",1,(1-DegradationRate)^expected_production[[#This Row],[Age (yrs)]])</f>
        <v>1</v>
      </c>
      <c r="G118" s="52">
        <f>IF(expected_production[[#This Row],[Base Expected (kWh)]]="","",expected_production[[#This Row],[Base Expected (kWh)]]*expected_production[[#This Row],[Degradation Factor]])</f>
        <v>7218.9</v>
      </c>
    </row>
    <row r="119" spans="1:7" ht="15" hidden="1" customHeight="1" x14ac:dyDescent="0.3">
      <c r="A119" t="s">
        <v>64</v>
      </c>
      <c r="B119" s="2">
        <v>45566</v>
      </c>
      <c r="C119" s="52">
        <v>7839</v>
      </c>
      <c r="D119" s="48">
        <f>_xlfn.XLOOKUP(expected_production[[#This Row],[Site Name]],Table1[[Site Name ]],Table1[Commisioned Date],"")</f>
        <v>45610</v>
      </c>
      <c r="E119" s="47">
        <f>IF(ISNUMBER(expected_production[[#This Row],[Commissioned Date]]),MAX(0,(expected_production[[#This Row],[Date]]-expected_production[[#This Row],[Commissioned Date]])/365.25),"")</f>
        <v>0</v>
      </c>
      <c r="F119" s="49">
        <f>IF(expected_production[[#This Row],[Age (yrs)]]="",1,(1-DegradationRate)^expected_production[[#This Row],[Age (yrs)]])</f>
        <v>1</v>
      </c>
      <c r="G119" s="52">
        <f>IF(expected_production[[#This Row],[Base Expected (kWh)]]="","",expected_production[[#This Row],[Base Expected (kWh)]]*expected_production[[#This Row],[Degradation Factor]])</f>
        <v>7839</v>
      </c>
    </row>
    <row r="120" spans="1:7" ht="15" hidden="1" customHeight="1" x14ac:dyDescent="0.3">
      <c r="A120" t="s">
        <v>64</v>
      </c>
      <c r="B120" s="2">
        <v>45597</v>
      </c>
      <c r="C120" s="52">
        <v>8191.8</v>
      </c>
      <c r="D120" s="48">
        <f>_xlfn.XLOOKUP(expected_production[[#This Row],[Site Name]],Table1[[Site Name ]],Table1[Commisioned Date],"")</f>
        <v>45610</v>
      </c>
      <c r="E120" s="47">
        <f>IF(ISNUMBER(expected_production[[#This Row],[Commissioned Date]]),MAX(0,(expected_production[[#This Row],[Date]]-expected_production[[#This Row],[Commissioned Date]])/365.25),"")</f>
        <v>0</v>
      </c>
      <c r="F120" s="49">
        <f>IF(expected_production[[#This Row],[Age (yrs)]]="",1,(1-DegradationRate)^expected_production[[#This Row],[Age (yrs)]])</f>
        <v>1</v>
      </c>
      <c r="G120" s="52">
        <f>IF(expected_production[[#This Row],[Base Expected (kWh)]]="","",expected_production[[#This Row],[Base Expected (kWh)]]*expected_production[[#This Row],[Degradation Factor]])</f>
        <v>8191.8</v>
      </c>
    </row>
    <row r="121" spans="1:7" ht="15" hidden="1" customHeight="1" x14ac:dyDescent="0.3">
      <c r="A121" t="s">
        <v>64</v>
      </c>
      <c r="B121" s="2">
        <v>45627</v>
      </c>
      <c r="C121" s="52">
        <v>8227.7999999999993</v>
      </c>
      <c r="D121" s="48">
        <f>_xlfn.XLOOKUP(expected_production[[#This Row],[Site Name]],Table1[[Site Name ]],Table1[Commisioned Date],"")</f>
        <v>45610</v>
      </c>
      <c r="E121" s="47">
        <f>IF(ISNUMBER(expected_production[[#This Row],[Commissioned Date]]),MAX(0,(expected_production[[#This Row],[Date]]-expected_production[[#This Row],[Commissioned Date]])/365.25),"")</f>
        <v>4.6543463381245723E-2</v>
      </c>
      <c r="F121" s="49">
        <f>IF(expected_production[[#This Row],[Age (yrs)]]="",1,(1-DegradationRate)^expected_production[[#This Row],[Age (yrs)]])</f>
        <v>0.99967310353421079</v>
      </c>
      <c r="G121" s="52">
        <f>IF(expected_production[[#This Row],[Base Expected (kWh)]]="","",expected_production[[#This Row],[Base Expected (kWh)]]*expected_production[[#This Row],[Degradation Factor]])</f>
        <v>8225.1103612587794</v>
      </c>
    </row>
    <row r="122" spans="1:7" ht="15" hidden="1" customHeight="1" x14ac:dyDescent="0.3">
      <c r="A122" t="s">
        <v>64</v>
      </c>
      <c r="B122" s="2">
        <v>45658</v>
      </c>
      <c r="C122" s="52">
        <v>8151.3</v>
      </c>
      <c r="D122" s="48">
        <f>_xlfn.XLOOKUP(expected_production[[#This Row],[Site Name]],Table1[[Site Name ]],Table1[Commisioned Date],"")</f>
        <v>45610</v>
      </c>
      <c r="E122" s="47">
        <f>IF(ISNUMBER(expected_production[[#This Row],[Commissioned Date]]),MAX(0,(expected_production[[#This Row],[Date]]-expected_production[[#This Row],[Commissioned Date]])/365.25),"")</f>
        <v>0.13141683778234087</v>
      </c>
      <c r="F122" s="49">
        <f>IF(expected_production[[#This Row],[Age (yrs)]]="",1,(1-DegradationRate)^expected_production[[#This Row],[Age (yrs)]])</f>
        <v>0.99907727329269247</v>
      </c>
      <c r="G122" s="52">
        <f>IF(expected_production[[#This Row],[Base Expected (kWh)]]="","",expected_production[[#This Row],[Base Expected (kWh)]]*expected_production[[#This Row],[Degradation Factor]])</f>
        <v>8143.7785777907247</v>
      </c>
    </row>
    <row r="123" spans="1:7" ht="15" hidden="1" customHeight="1" x14ac:dyDescent="0.3">
      <c r="A123" t="s">
        <v>64</v>
      </c>
      <c r="B123" s="2">
        <v>45689</v>
      </c>
      <c r="C123" s="52">
        <v>7235.1</v>
      </c>
      <c r="D123" s="48">
        <f>_xlfn.XLOOKUP(expected_production[[#This Row],[Site Name]],Table1[[Site Name ]],Table1[Commisioned Date],"")</f>
        <v>45610</v>
      </c>
      <c r="E123" s="47">
        <f>IF(ISNUMBER(expected_production[[#This Row],[Commissioned Date]]),MAX(0,(expected_production[[#This Row],[Date]]-expected_production[[#This Row],[Commissioned Date]])/365.25),"")</f>
        <v>0.216290212183436</v>
      </c>
      <c r="F123" s="49">
        <f>IF(expected_production[[#This Row],[Age (yrs)]]="",1,(1-DegradationRate)^expected_production[[#This Row],[Age (yrs)]])</f>
        <v>0.99848179818094163</v>
      </c>
      <c r="G123" s="52">
        <f>IF(expected_production[[#This Row],[Base Expected (kWh)]]="","",expected_production[[#This Row],[Base Expected (kWh)]]*expected_production[[#This Row],[Degradation Factor]])</f>
        <v>7224.1156580189308</v>
      </c>
    </row>
    <row r="124" spans="1:7" ht="15" hidden="1" customHeight="1" x14ac:dyDescent="0.3">
      <c r="A124" t="s">
        <v>64</v>
      </c>
      <c r="B124" s="2">
        <v>45717</v>
      </c>
      <c r="C124" s="52">
        <v>7075.8</v>
      </c>
      <c r="D124" s="48">
        <f>_xlfn.XLOOKUP(expected_production[[#This Row],[Site Name]],Table1[[Site Name ]],Table1[Commisioned Date],"")</f>
        <v>45610</v>
      </c>
      <c r="E124" s="47">
        <f>IF(ISNUMBER(expected_production[[#This Row],[Commissioned Date]]),MAX(0,(expected_production[[#This Row],[Date]]-expected_production[[#This Row],[Commissioned Date]])/365.25),"")</f>
        <v>0.29295003422313481</v>
      </c>
      <c r="F124" s="49">
        <f>IF(expected_production[[#This Row],[Age (yrs)]]="",1,(1-DegradationRate)^expected_production[[#This Row],[Age (yrs)]])</f>
        <v>0.99794425475845372</v>
      </c>
      <c r="G124" s="52">
        <f>IF(expected_production[[#This Row],[Base Expected (kWh)]]="","",expected_production[[#This Row],[Base Expected (kWh)]]*expected_production[[#This Row],[Degradation Factor]])</f>
        <v>7061.2539578198666</v>
      </c>
    </row>
    <row r="125" spans="1:7" ht="15" hidden="1" customHeight="1" x14ac:dyDescent="0.3">
      <c r="A125" t="s">
        <v>64</v>
      </c>
      <c r="B125" s="2">
        <v>45748</v>
      </c>
      <c r="C125" s="52">
        <v>5754.6</v>
      </c>
      <c r="D125" s="48">
        <f>_xlfn.XLOOKUP(expected_production[[#This Row],[Site Name]],Table1[[Site Name ]],Table1[Commisioned Date],"")</f>
        <v>45610</v>
      </c>
      <c r="E125" s="47">
        <f>IF(ISNUMBER(expected_production[[#This Row],[Commissioned Date]]),MAX(0,(expected_production[[#This Row],[Date]]-expected_production[[#This Row],[Commissioned Date]])/365.25),"")</f>
        <v>0.37782340862422997</v>
      </c>
      <c r="F125" s="49">
        <f>IF(expected_production[[#This Row],[Age (yrs)]]="",1,(1-DegradationRate)^expected_production[[#This Row],[Age (yrs)]])</f>
        <v>0.99734945495416538</v>
      </c>
      <c r="G125" s="52">
        <f>IF(expected_production[[#This Row],[Base Expected (kWh)]]="","",expected_production[[#This Row],[Base Expected (kWh)]]*expected_production[[#This Row],[Degradation Factor]])</f>
        <v>5739.3471734792402</v>
      </c>
    </row>
    <row r="126" spans="1:7" ht="15" hidden="1" customHeight="1" x14ac:dyDescent="0.3">
      <c r="A126" t="s">
        <v>64</v>
      </c>
      <c r="B126" s="2">
        <v>45778</v>
      </c>
      <c r="C126" s="52">
        <v>5424.3</v>
      </c>
      <c r="D126" s="48">
        <f>_xlfn.XLOOKUP(expected_production[[#This Row],[Site Name]],Table1[[Site Name ]],Table1[Commisioned Date],"")</f>
        <v>45610</v>
      </c>
      <c r="E126" s="47">
        <f>IF(ISNUMBER(expected_production[[#This Row],[Commissioned Date]]),MAX(0,(expected_production[[#This Row],[Date]]-expected_production[[#This Row],[Commissioned Date]])/365.25),"")</f>
        <v>0.45995893223819301</v>
      </c>
      <c r="F126" s="49">
        <f>IF(expected_production[[#This Row],[Age (yrs)]]="",1,(1-DegradationRate)^expected_production[[#This Row],[Age (yrs)]])</f>
        <v>0.99677417978857319</v>
      </c>
      <c r="G126" s="52">
        <f>IF(expected_production[[#This Row],[Base Expected (kWh)]]="","",expected_production[[#This Row],[Base Expected (kWh)]]*expected_production[[#This Row],[Degradation Factor]])</f>
        <v>5406.8021834271576</v>
      </c>
    </row>
    <row r="127" spans="1:7" ht="15" hidden="1" customHeight="1" x14ac:dyDescent="0.3">
      <c r="A127" t="s">
        <v>64</v>
      </c>
      <c r="B127" s="2">
        <v>45809</v>
      </c>
      <c r="C127" s="52">
        <v>4787.1000000000004</v>
      </c>
      <c r="D127" s="48">
        <f>_xlfn.XLOOKUP(expected_production[[#This Row],[Site Name]],Table1[[Site Name ]],Table1[Commisioned Date],"")</f>
        <v>45610</v>
      </c>
      <c r="E127" s="47">
        <f>IF(ISNUMBER(expected_production[[#This Row],[Commissioned Date]]),MAX(0,(expected_production[[#This Row],[Date]]-expected_production[[#This Row],[Commissioned Date]])/365.25),"")</f>
        <v>0.54483230663928817</v>
      </c>
      <c r="F127" s="49">
        <f>IF(expected_production[[#This Row],[Age (yrs)]]="",1,(1-DegradationRate)^expected_production[[#This Row],[Age (yrs)]])</f>
        <v>0.99618007737831227</v>
      </c>
      <c r="G127" s="52">
        <f>IF(expected_production[[#This Row],[Base Expected (kWh)]]="","",expected_production[[#This Row],[Base Expected (kWh)]]*expected_production[[#This Row],[Degradation Factor]])</f>
        <v>4768.8136484177194</v>
      </c>
    </row>
    <row r="128" spans="1:7" ht="15" hidden="1" customHeight="1" x14ac:dyDescent="0.3">
      <c r="A128" t="s">
        <v>64</v>
      </c>
      <c r="B128" s="2">
        <v>45839</v>
      </c>
      <c r="C128" s="52">
        <v>5360.4</v>
      </c>
      <c r="D128" s="48">
        <f>_xlfn.XLOOKUP(expected_production[[#This Row],[Site Name]],Table1[[Site Name ]],Table1[Commisioned Date],"")</f>
        <v>45610</v>
      </c>
      <c r="E128" s="47">
        <f>IF(ISNUMBER(expected_production[[#This Row],[Commissioned Date]]),MAX(0,(expected_production[[#This Row],[Date]]-expected_production[[#This Row],[Commissioned Date]])/365.25),"")</f>
        <v>0.6269678302532512</v>
      </c>
      <c r="F128" s="49">
        <f>IF(expected_production[[#This Row],[Age (yrs)]]="",1,(1-DegradationRate)^expected_production[[#This Row],[Age (yrs)]])</f>
        <v>0.99560547671439581</v>
      </c>
      <c r="G128" s="52">
        <f>IF(expected_production[[#This Row],[Base Expected (kWh)]]="","",expected_production[[#This Row],[Base Expected (kWh)]]*expected_production[[#This Row],[Degradation Factor]])</f>
        <v>5336.8435973798469</v>
      </c>
    </row>
    <row r="129" spans="1:7" ht="15" hidden="1" customHeight="1" x14ac:dyDescent="0.3">
      <c r="A129" t="s">
        <v>64</v>
      </c>
      <c r="B129" s="2">
        <v>45870</v>
      </c>
      <c r="C129" s="52">
        <v>6363</v>
      </c>
      <c r="D129" s="48">
        <f>_xlfn.XLOOKUP(expected_production[[#This Row],[Site Name]],Table1[[Site Name ]],Table1[Commisioned Date],"")</f>
        <v>45610</v>
      </c>
      <c r="E129" s="47">
        <f>IF(ISNUMBER(expected_production[[#This Row],[Commissioned Date]]),MAX(0,(expected_production[[#This Row],[Date]]-expected_production[[#This Row],[Commissioned Date]])/365.25),"")</f>
        <v>0.7118412046543463</v>
      </c>
      <c r="F129" s="49">
        <f>IF(expected_production[[#This Row],[Age (yrs)]]="",1,(1-DegradationRate)^expected_production[[#This Row],[Age (yrs)]])</f>
        <v>0.99501207088047827</v>
      </c>
      <c r="G129" s="52">
        <f>IF(expected_production[[#This Row],[Base Expected (kWh)]]="","",expected_production[[#This Row],[Base Expected (kWh)]]*expected_production[[#This Row],[Degradation Factor]])</f>
        <v>6331.2618070124836</v>
      </c>
    </row>
    <row r="130" spans="1:7" ht="15" hidden="1" customHeight="1" x14ac:dyDescent="0.3">
      <c r="A130" t="s">
        <v>64</v>
      </c>
      <c r="B130" s="2">
        <v>45901</v>
      </c>
      <c r="C130" s="52">
        <v>7218.9</v>
      </c>
      <c r="D130" s="48">
        <f>_xlfn.XLOOKUP(expected_production[[#This Row],[Site Name]],Table1[[Site Name ]],Table1[Commisioned Date],"")</f>
        <v>45610</v>
      </c>
      <c r="E130" s="47">
        <f>IF(ISNUMBER(expected_production[[#This Row],[Commissioned Date]]),MAX(0,(expected_production[[#This Row],[Date]]-expected_production[[#This Row],[Commissioned Date]])/365.25),"")</f>
        <v>0.79671457905544152</v>
      </c>
      <c r="F130" s="49">
        <f>IF(expected_production[[#This Row],[Age (yrs)]]="",1,(1-DegradationRate)^expected_production[[#This Row],[Age (yrs)]])</f>
        <v>0.99441901873132033</v>
      </c>
      <c r="G130" s="52">
        <f>IF(expected_production[[#This Row],[Base Expected (kWh)]]="","",expected_production[[#This Row],[Base Expected (kWh)]]*expected_production[[#This Row],[Degradation Factor]])</f>
        <v>7178.6114543195281</v>
      </c>
    </row>
    <row r="131" spans="1:7" ht="15" hidden="1" customHeight="1" x14ac:dyDescent="0.3">
      <c r="A131" t="s">
        <v>64</v>
      </c>
      <c r="B131" s="2">
        <v>45931</v>
      </c>
      <c r="C131" s="52">
        <v>7839</v>
      </c>
      <c r="D131" s="48">
        <f>_xlfn.XLOOKUP(expected_production[[#This Row],[Site Name]],Table1[[Site Name ]],Table1[Commisioned Date],"")</f>
        <v>45610</v>
      </c>
      <c r="E131" s="47">
        <f>IF(ISNUMBER(expected_production[[#This Row],[Commissioned Date]]),MAX(0,(expected_production[[#This Row],[Date]]-expected_production[[#This Row],[Commissioned Date]])/365.25),"")</f>
        <v>0.87885010266940455</v>
      </c>
      <c r="F131" s="49">
        <f>IF(expected_production[[#This Row],[Age (yrs)]]="",1,(1-DegradationRate)^expected_production[[#This Row],[Age (yrs)]])</f>
        <v>0.99384543385309432</v>
      </c>
      <c r="G131" s="52">
        <f>IF(expected_production[[#This Row],[Base Expected (kWh)]]="","",expected_production[[#This Row],[Base Expected (kWh)]]*expected_production[[#This Row],[Degradation Factor]])</f>
        <v>7790.7543559744063</v>
      </c>
    </row>
    <row r="132" spans="1:7" ht="15" hidden="1" customHeight="1" x14ac:dyDescent="0.3">
      <c r="A132" t="s">
        <v>64</v>
      </c>
      <c r="B132" s="2">
        <v>45962</v>
      </c>
      <c r="C132" s="52">
        <v>8191.8</v>
      </c>
      <c r="D132" s="48">
        <f>_xlfn.XLOOKUP(expected_production[[#This Row],[Site Name]],Table1[[Site Name ]],Table1[Commisioned Date],"")</f>
        <v>45610</v>
      </c>
      <c r="E132" s="47">
        <f>IF(ISNUMBER(expected_production[[#This Row],[Commissioned Date]]),MAX(0,(expected_production[[#This Row],[Date]]-expected_production[[#This Row],[Commissioned Date]])/365.25),"")</f>
        <v>0.96372347707049966</v>
      </c>
      <c r="F132" s="49">
        <f>IF(expected_production[[#This Row],[Age (yrs)]]="",1,(1-DegradationRate)^expected_production[[#This Row],[Age (yrs)]])</f>
        <v>0.99325307704886401</v>
      </c>
      <c r="G132" s="52">
        <f>IF(expected_production[[#This Row],[Base Expected (kWh)]]="","",expected_production[[#This Row],[Base Expected (kWh)]]*expected_production[[#This Row],[Degradation Factor]])</f>
        <v>8136.5305565688841</v>
      </c>
    </row>
    <row r="133" spans="1:7" ht="15" hidden="1" customHeight="1" x14ac:dyDescent="0.3">
      <c r="A133" t="s">
        <v>64</v>
      </c>
      <c r="B133" s="2">
        <v>45992</v>
      </c>
      <c r="C133" s="52">
        <v>8227.7999999999993</v>
      </c>
      <c r="D133" s="48">
        <f>_xlfn.XLOOKUP(expected_production[[#This Row],[Site Name]],Table1[[Site Name ]],Table1[Commisioned Date],"")</f>
        <v>45610</v>
      </c>
      <c r="E133" s="47">
        <f>IF(ISNUMBER(expected_production[[#This Row],[Commissioned Date]]),MAX(0,(expected_production[[#This Row],[Date]]-expected_production[[#This Row],[Commissioned Date]])/365.25),"")</f>
        <v>1.0458590006844628</v>
      </c>
      <c r="F133" s="49">
        <f>IF(expected_production[[#This Row],[Age (yrs)]]="",1,(1-DegradationRate)^expected_production[[#This Row],[Age (yrs)]])</f>
        <v>0.99268016469047649</v>
      </c>
      <c r="G133" s="52">
        <f>IF(expected_production[[#This Row],[Base Expected (kWh)]]="","",expected_production[[#This Row],[Base Expected (kWh)]]*expected_production[[#This Row],[Degradation Factor]])</f>
        <v>8167.5738590403016</v>
      </c>
    </row>
    <row r="134" spans="1:7" ht="15" hidden="1" customHeight="1" x14ac:dyDescent="0.3">
      <c r="A134" t="s">
        <v>64</v>
      </c>
      <c r="B134" s="2">
        <v>46023</v>
      </c>
      <c r="C134" s="52">
        <v>8151.3</v>
      </c>
      <c r="D134" s="48">
        <f>_xlfn.XLOOKUP(expected_production[[#This Row],[Site Name]],Table1[[Site Name ]],Table1[Commisioned Date],"")</f>
        <v>45610</v>
      </c>
      <c r="E134" s="47">
        <f>IF(ISNUMBER(expected_production[[#This Row],[Commissioned Date]]),MAX(0,(expected_production[[#This Row],[Date]]-expected_production[[#This Row],[Commissioned Date]])/365.25),"")</f>
        <v>1.1307323750855578</v>
      </c>
      <c r="F134" s="49">
        <f>IF(expected_production[[#This Row],[Age (yrs)]]="",1,(1-DegradationRate)^expected_production[[#This Row],[Age (yrs)]])</f>
        <v>0.99208850241589208</v>
      </c>
      <c r="G134" s="52">
        <f>IF(expected_production[[#This Row],[Base Expected (kWh)]]="","",expected_production[[#This Row],[Base Expected (kWh)]]*expected_production[[#This Row],[Degradation Factor]])</f>
        <v>8086.8110097426616</v>
      </c>
    </row>
    <row r="135" spans="1:7" ht="15" hidden="1" customHeight="1" x14ac:dyDescent="0.3">
      <c r="A135" t="s">
        <v>64</v>
      </c>
      <c r="B135" s="2">
        <v>46054</v>
      </c>
      <c r="C135" s="52">
        <v>7235.1</v>
      </c>
      <c r="D135" s="48">
        <f>_xlfn.XLOOKUP(expected_production[[#This Row],[Site Name]],Table1[[Site Name ]],Table1[Commisioned Date],"")</f>
        <v>45610</v>
      </c>
      <c r="E135" s="47">
        <f>IF(ISNUMBER(expected_production[[#This Row],[Commissioned Date]]),MAX(0,(expected_production[[#This Row],[Date]]-expected_production[[#This Row],[Commissioned Date]])/365.25),"")</f>
        <v>1.215605749486653</v>
      </c>
      <c r="F135" s="49">
        <f>IF(expected_production[[#This Row],[Age (yrs)]]="",1,(1-DegradationRate)^expected_production[[#This Row],[Age (yrs)]])</f>
        <v>0.99149719278686221</v>
      </c>
      <c r="G135" s="52">
        <f>IF(expected_production[[#This Row],[Base Expected (kWh)]]="","",expected_production[[#This Row],[Base Expected (kWh)]]*expected_production[[#This Row],[Degradation Factor]])</f>
        <v>7173.5813395322275</v>
      </c>
    </row>
    <row r="136" spans="1:7" ht="15" hidden="1" customHeight="1" x14ac:dyDescent="0.3">
      <c r="A136" t="s">
        <v>64</v>
      </c>
      <c r="B136" s="2">
        <v>46082</v>
      </c>
      <c r="C136" s="52">
        <v>7075.8</v>
      </c>
      <c r="D136" s="48">
        <f>_xlfn.XLOOKUP(expected_production[[#This Row],[Site Name]],Table1[[Site Name ]],Table1[Commisioned Date],"")</f>
        <v>45610</v>
      </c>
      <c r="E136" s="47">
        <f>IF(ISNUMBER(expected_production[[#This Row],[Commissioned Date]]),MAX(0,(expected_production[[#This Row],[Date]]-expected_production[[#This Row],[Commissioned Date]])/365.25),"")</f>
        <v>1.2922655715263518</v>
      </c>
      <c r="F136" s="49">
        <f>IF(expected_production[[#This Row],[Age (yrs)]]="",1,(1-DegradationRate)^expected_production[[#This Row],[Age (yrs)]])</f>
        <v>0.99096340960186202</v>
      </c>
      <c r="G136" s="52">
        <f>IF(expected_production[[#This Row],[Base Expected (kWh)]]="","",expected_production[[#This Row],[Base Expected (kWh)]]*expected_production[[#This Row],[Degradation Factor]])</f>
        <v>7011.8588936608558</v>
      </c>
    </row>
    <row r="137" spans="1:7" ht="15" hidden="1" customHeight="1" x14ac:dyDescent="0.3">
      <c r="A137" t="s">
        <v>64</v>
      </c>
      <c r="B137" s="2">
        <v>46113</v>
      </c>
      <c r="C137" s="52">
        <v>5754.6</v>
      </c>
      <c r="D137" s="48">
        <f>_xlfn.XLOOKUP(expected_production[[#This Row],[Site Name]],Table1[[Site Name ]],Table1[Commisioned Date],"")</f>
        <v>45610</v>
      </c>
      <c r="E137" s="47">
        <f>IF(ISNUMBER(expected_production[[#This Row],[Commissioned Date]]),MAX(0,(expected_production[[#This Row],[Date]]-expected_production[[#This Row],[Commissioned Date]])/365.25),"")</f>
        <v>1.377138945927447</v>
      </c>
      <c r="F137" s="49">
        <f>IF(expected_production[[#This Row],[Age (yrs)]]="",1,(1-DegradationRate)^expected_production[[#This Row],[Age (yrs)]])</f>
        <v>0.99037277055636663</v>
      </c>
      <c r="G137" s="52">
        <f>IF(expected_production[[#This Row],[Base Expected (kWh)]]="","",expected_production[[#This Row],[Base Expected (kWh)]]*expected_production[[#This Row],[Degradation Factor]])</f>
        <v>5699.1991454436675</v>
      </c>
    </row>
    <row r="138" spans="1:7" ht="15" hidden="1" customHeight="1" x14ac:dyDescent="0.3">
      <c r="A138" t="s">
        <v>64</v>
      </c>
      <c r="B138" s="2">
        <v>46143</v>
      </c>
      <c r="C138" s="52">
        <v>5424.3</v>
      </c>
      <c r="D138" s="48">
        <f>_xlfn.XLOOKUP(expected_production[[#This Row],[Site Name]],Table1[[Site Name ]],Table1[Commisioned Date],"")</f>
        <v>45610</v>
      </c>
      <c r="E138" s="47">
        <f>IF(ISNUMBER(expected_production[[#This Row],[Commissioned Date]]),MAX(0,(expected_production[[#This Row],[Date]]-expected_production[[#This Row],[Commissioned Date]])/365.25),"")</f>
        <v>1.4592744695414099</v>
      </c>
      <c r="F138" s="49">
        <f>IF(expected_production[[#This Row],[Age (yrs)]]="",1,(1-DegradationRate)^expected_production[[#This Row],[Age (yrs)]])</f>
        <v>0.98980151957031581</v>
      </c>
      <c r="G138" s="52">
        <f>IF(expected_production[[#This Row],[Base Expected (kWh)]]="","",expected_production[[#This Row],[Base Expected (kWh)]]*expected_production[[#This Row],[Degradation Factor]])</f>
        <v>5368.9803826052639</v>
      </c>
    </row>
    <row r="139" spans="1:7" ht="15" hidden="1" customHeight="1" x14ac:dyDescent="0.3">
      <c r="A139" t="s">
        <v>64</v>
      </c>
      <c r="B139" s="2">
        <v>46174</v>
      </c>
      <c r="C139" s="52">
        <v>4787.1000000000004</v>
      </c>
      <c r="D139" s="48">
        <f>_xlfn.XLOOKUP(expected_production[[#This Row],[Site Name]],Table1[[Site Name ]],Table1[Commisioned Date],"")</f>
        <v>45610</v>
      </c>
      <c r="E139" s="47">
        <f>IF(ISNUMBER(expected_production[[#This Row],[Commissioned Date]]),MAX(0,(expected_production[[#This Row],[Date]]-expected_production[[#This Row],[Commissioned Date]])/365.25),"")</f>
        <v>1.5441478439425051</v>
      </c>
      <c r="F139" s="49">
        <f>IF(expected_production[[#This Row],[Age (yrs)]]="",1,(1-DegradationRate)^expected_production[[#This Row],[Age (yrs)]])</f>
        <v>0.98921157304041951</v>
      </c>
      <c r="G139" s="52">
        <f>IF(expected_production[[#This Row],[Base Expected (kWh)]]="","",expected_production[[#This Row],[Base Expected (kWh)]]*expected_production[[#This Row],[Degradation Factor]])</f>
        <v>4735.4547213017922</v>
      </c>
    </row>
    <row r="140" spans="1:7" ht="15" hidden="1" customHeight="1" x14ac:dyDescent="0.3">
      <c r="A140" t="s">
        <v>64</v>
      </c>
      <c r="B140" s="2">
        <v>46204</v>
      </c>
      <c r="C140" s="52">
        <v>5360.4</v>
      </c>
      <c r="D140" s="48">
        <f>_xlfn.XLOOKUP(expected_production[[#This Row],[Site Name]],Table1[[Site Name ]],Table1[Commisioned Date],"")</f>
        <v>45610</v>
      </c>
      <c r="E140" s="47">
        <f>IF(ISNUMBER(expected_production[[#This Row],[Commissioned Date]]),MAX(0,(expected_production[[#This Row],[Date]]-expected_production[[#This Row],[Commissioned Date]])/365.25),"")</f>
        <v>1.6262833675564681</v>
      </c>
      <c r="F140" s="49">
        <f>IF(expected_production[[#This Row],[Age (yrs)]]="",1,(1-DegradationRate)^expected_production[[#This Row],[Age (yrs)]])</f>
        <v>0.988640991837753</v>
      </c>
      <c r="G140" s="52">
        <f>IF(expected_production[[#This Row],[Base Expected (kWh)]]="","",expected_production[[#This Row],[Base Expected (kWh)]]*expected_production[[#This Row],[Degradation Factor]])</f>
        <v>5299.5111726470905</v>
      </c>
    </row>
    <row r="141" spans="1:7" ht="15" hidden="1" customHeight="1" x14ac:dyDescent="0.3">
      <c r="A141" t="s">
        <v>64</v>
      </c>
      <c r="B141" s="2">
        <v>46235</v>
      </c>
      <c r="C141" s="52">
        <v>6363</v>
      </c>
      <c r="D141" s="48">
        <f>_xlfn.XLOOKUP(expected_production[[#This Row],[Site Name]],Table1[[Site Name ]],Table1[Commisioned Date],"")</f>
        <v>45610</v>
      </c>
      <c r="E141" s="47">
        <f>IF(ISNUMBER(expected_production[[#This Row],[Commissioned Date]]),MAX(0,(expected_production[[#This Row],[Date]]-expected_production[[#This Row],[Commissioned Date]])/365.25),"")</f>
        <v>1.7111567419575633</v>
      </c>
      <c r="F141" s="49">
        <f>IF(expected_production[[#This Row],[Age (yrs)]]="",1,(1-DegradationRate)^expected_production[[#This Row],[Age (yrs)]])</f>
        <v>0.98805173701149118</v>
      </c>
      <c r="G141" s="52">
        <f>IF(expected_production[[#This Row],[Base Expected (kWh)]]="","",expected_production[[#This Row],[Base Expected (kWh)]]*expected_production[[#This Row],[Degradation Factor]])</f>
        <v>6286.9732026041183</v>
      </c>
    </row>
    <row r="142" spans="1:7" ht="15" hidden="1" customHeight="1" x14ac:dyDescent="0.3">
      <c r="A142" t="s">
        <v>64</v>
      </c>
      <c r="B142" s="2">
        <v>46266</v>
      </c>
      <c r="C142" s="52">
        <v>7218.9</v>
      </c>
      <c r="D142" s="48">
        <f>_xlfn.XLOOKUP(expected_production[[#This Row],[Site Name]],Table1[[Site Name ]],Table1[Commisioned Date],"")</f>
        <v>45610</v>
      </c>
      <c r="E142" s="47">
        <f>IF(ISNUMBER(expected_production[[#This Row],[Commissioned Date]]),MAX(0,(expected_production[[#This Row],[Date]]-expected_production[[#This Row],[Commissioned Date]])/365.25),"")</f>
        <v>1.7960301163586585</v>
      </c>
      <c r="F142" s="49">
        <f>IF(expected_production[[#This Row],[Age (yrs)]]="",1,(1-DegradationRate)^expected_production[[#This Row],[Age (yrs)]])</f>
        <v>0.98746283339588448</v>
      </c>
      <c r="G142" s="52">
        <f>IF(expected_production[[#This Row],[Base Expected (kWh)]]="","",expected_production[[#This Row],[Base Expected (kWh)]]*expected_production[[#This Row],[Degradation Factor]])</f>
        <v>7128.39544800155</v>
      </c>
    </row>
    <row r="143" spans="1:7" ht="15" hidden="1" customHeight="1" x14ac:dyDescent="0.3">
      <c r="A143" t="s">
        <v>64</v>
      </c>
      <c r="B143" s="2">
        <v>46296</v>
      </c>
      <c r="C143" s="52">
        <v>7839</v>
      </c>
      <c r="D143" s="48">
        <f>_xlfn.XLOOKUP(expected_production[[#This Row],[Site Name]],Table1[[Site Name ]],Table1[Commisioned Date],"")</f>
        <v>45610</v>
      </c>
      <c r="E143" s="47">
        <f>IF(ISNUMBER(expected_production[[#This Row],[Commissioned Date]]),MAX(0,(expected_production[[#This Row],[Date]]-expected_production[[#This Row],[Commissioned Date]])/365.25),"")</f>
        <v>1.8781656399726214</v>
      </c>
      <c r="F143" s="49">
        <f>IF(expected_production[[#This Row],[Age (yrs)]]="",1,(1-DegradationRate)^expected_production[[#This Row],[Age (yrs)]])</f>
        <v>0.98689326087325846</v>
      </c>
      <c r="G143" s="52">
        <f>IF(expected_production[[#This Row],[Base Expected (kWh)]]="","",expected_production[[#This Row],[Base Expected (kWh)]]*expected_production[[#This Row],[Degradation Factor]])</f>
        <v>7736.2562719854732</v>
      </c>
    </row>
    <row r="144" spans="1:7" ht="15" hidden="1" customHeight="1" x14ac:dyDescent="0.3">
      <c r="A144" t="s">
        <v>64</v>
      </c>
      <c r="B144" s="2">
        <v>46327</v>
      </c>
      <c r="C144" s="52">
        <v>8191.8</v>
      </c>
      <c r="D144" s="48">
        <f>_xlfn.XLOOKUP(expected_production[[#This Row],[Site Name]],Table1[[Site Name ]],Table1[Commisioned Date],"")</f>
        <v>45610</v>
      </c>
      <c r="E144" s="47">
        <f>IF(ISNUMBER(expected_production[[#This Row],[Commissioned Date]]),MAX(0,(expected_production[[#This Row],[Date]]-expected_production[[#This Row],[Commissioned Date]])/365.25),"")</f>
        <v>1.9630390143737166</v>
      </c>
      <c r="F144" s="49">
        <f>IF(expected_production[[#This Row],[Age (yrs)]]="",1,(1-DegradationRate)^expected_production[[#This Row],[Age (yrs)]])</f>
        <v>0.98630504773848471</v>
      </c>
      <c r="G144" s="52">
        <f>IF(expected_production[[#This Row],[Base Expected (kWh)]]="","",expected_production[[#This Row],[Base Expected (kWh)]]*expected_production[[#This Row],[Degradation Factor]])</f>
        <v>8079.6136900641195</v>
      </c>
    </row>
    <row r="145" spans="1:7" ht="15" hidden="1" customHeight="1" x14ac:dyDescent="0.3">
      <c r="A145" t="s">
        <v>64</v>
      </c>
      <c r="B145" s="2">
        <v>46357</v>
      </c>
      <c r="C145" s="52">
        <v>8227.7999999999993</v>
      </c>
      <c r="D145" s="48">
        <f>_xlfn.XLOOKUP(expected_production[[#This Row],[Site Name]],Table1[[Site Name ]],Table1[Commisioned Date],"")</f>
        <v>45610</v>
      </c>
      <c r="E145" s="47">
        <f>IF(ISNUMBER(expected_production[[#This Row],[Commissioned Date]]),MAX(0,(expected_production[[#This Row],[Date]]-expected_production[[#This Row],[Commissioned Date]])/365.25),"")</f>
        <v>2.0451745379876796</v>
      </c>
      <c r="F145" s="49">
        <f>IF(expected_production[[#This Row],[Age (yrs)]]="",1,(1-DegradationRate)^expected_production[[#This Row],[Age (yrs)]])</f>
        <v>0.98573614303126922</v>
      </c>
      <c r="G145" s="52">
        <f>IF(expected_production[[#This Row],[Base Expected (kWh)]]="","",expected_production[[#This Row],[Base Expected (kWh)]]*expected_production[[#This Row],[Degradation Factor]])</f>
        <v>8110.4398376326762</v>
      </c>
    </row>
    <row r="146" spans="1:7" ht="15" hidden="1" customHeight="1" x14ac:dyDescent="0.3">
      <c r="A146" t="s">
        <v>55</v>
      </c>
      <c r="B146" s="2">
        <v>45292</v>
      </c>
      <c r="C146" s="52">
        <v>16262.2</v>
      </c>
      <c r="D146" s="48">
        <f>_xlfn.XLOOKUP(expected_production[[#This Row],[Site Name]],Table1[[Site Name ]],Table1[Commisioned Date],"")</f>
        <v>44908</v>
      </c>
      <c r="E146" s="47">
        <f>IF(ISNUMBER(expected_production[[#This Row],[Commissioned Date]]),MAX(0,(expected_production[[#This Row],[Date]]-expected_production[[#This Row],[Commissioned Date]])/365.25),"")</f>
        <v>1.0513347022587269</v>
      </c>
      <c r="F146" s="49">
        <f>IF(expected_production[[#This Row],[Age (yrs)]]="",1,(1-DegradationRate)^expected_production[[#This Row],[Age (yrs)]])</f>
        <v>0.99264198228498268</v>
      </c>
      <c r="G146" s="52">
        <f>IF(expected_production[[#This Row],[Base Expected (kWh)]]="","",expected_production[[#This Row],[Base Expected (kWh)]]*expected_production[[#This Row],[Degradation Factor]])</f>
        <v>16142.542444314846</v>
      </c>
    </row>
    <row r="147" spans="1:7" ht="15" hidden="1" customHeight="1" x14ac:dyDescent="0.3">
      <c r="A147" t="s">
        <v>55</v>
      </c>
      <c r="B147" s="2">
        <v>45323</v>
      </c>
      <c r="C147" s="52">
        <v>13986.75</v>
      </c>
      <c r="D147" s="48">
        <f>_xlfn.XLOOKUP(expected_production[[#This Row],[Site Name]],Table1[[Site Name ]],Table1[Commisioned Date],"")</f>
        <v>44908</v>
      </c>
      <c r="E147" s="47">
        <f>IF(ISNUMBER(expected_production[[#This Row],[Commissioned Date]]),MAX(0,(expected_production[[#This Row],[Date]]-expected_production[[#This Row],[Commissioned Date]])/365.25),"")</f>
        <v>1.1362080766598219</v>
      </c>
      <c r="F147" s="49">
        <f>IF(expected_production[[#This Row],[Age (yrs)]]="",1,(1-DegradationRate)^expected_production[[#This Row],[Age (yrs)]])</f>
        <v>0.99205034276806958</v>
      </c>
      <c r="G147" s="52">
        <f>IF(expected_production[[#This Row],[Base Expected (kWh)]]="","",expected_production[[#This Row],[Base Expected (kWh)]]*expected_production[[#This Row],[Degradation Factor]])</f>
        <v>13875.560131711298</v>
      </c>
    </row>
    <row r="148" spans="1:7" ht="15" hidden="1" customHeight="1" x14ac:dyDescent="0.3">
      <c r="A148" t="s">
        <v>55</v>
      </c>
      <c r="B148" s="2">
        <v>45352</v>
      </c>
      <c r="C148" s="52">
        <v>15463.2</v>
      </c>
      <c r="D148" s="48">
        <f>_xlfn.XLOOKUP(expected_production[[#This Row],[Site Name]],Table1[[Site Name ]],Table1[Commisioned Date],"")</f>
        <v>44908</v>
      </c>
      <c r="E148" s="47">
        <f>IF(ISNUMBER(expected_production[[#This Row],[Commissioned Date]]),MAX(0,(expected_production[[#This Row],[Date]]-expected_production[[#This Row],[Commissioned Date]])/365.25),"")</f>
        <v>1.215605749486653</v>
      </c>
      <c r="F148" s="49">
        <f>IF(expected_production[[#This Row],[Age (yrs)]]="",1,(1-DegradationRate)^expected_production[[#This Row],[Age (yrs)]])</f>
        <v>0.99149719278686221</v>
      </c>
      <c r="G148" s="52">
        <f>IF(expected_production[[#This Row],[Base Expected (kWh)]]="","",expected_production[[#This Row],[Base Expected (kWh)]]*expected_production[[#This Row],[Degradation Factor]])</f>
        <v>15331.719391501809</v>
      </c>
    </row>
    <row r="149" spans="1:7" ht="15" hidden="1" customHeight="1" x14ac:dyDescent="0.3">
      <c r="A149" t="s">
        <v>55</v>
      </c>
      <c r="B149" s="2">
        <v>45383</v>
      </c>
      <c r="C149" s="52">
        <v>14886.05</v>
      </c>
      <c r="D149" s="48">
        <f>_xlfn.XLOOKUP(expected_production[[#This Row],[Site Name]],Table1[[Site Name ]],Table1[Commisioned Date],"")</f>
        <v>44908</v>
      </c>
      <c r="E149" s="47">
        <f>IF(ISNUMBER(expected_production[[#This Row],[Commissioned Date]]),MAX(0,(expected_production[[#This Row],[Date]]-expected_production[[#This Row],[Commissioned Date]])/365.25),"")</f>
        <v>1.3004791238877482</v>
      </c>
      <c r="F149" s="49">
        <f>IF(expected_production[[#This Row],[Age (yrs)]]="",1,(1-DegradationRate)^expected_production[[#This Row],[Age (yrs)]])</f>
        <v>0.99090623559320123</v>
      </c>
      <c r="G149" s="52">
        <f>IF(expected_production[[#This Row],[Base Expected (kWh)]]="","",expected_production[[#This Row],[Base Expected (kWh)]]*expected_production[[#This Row],[Degradation Factor]])</f>
        <v>14750.679768352173</v>
      </c>
    </row>
    <row r="150" spans="1:7" ht="15" hidden="1" customHeight="1" x14ac:dyDescent="0.3">
      <c r="A150" t="s">
        <v>55</v>
      </c>
      <c r="B150" s="2">
        <v>45413</v>
      </c>
      <c r="C150" s="52">
        <v>14411.75</v>
      </c>
      <c r="D150" s="48">
        <f>_xlfn.XLOOKUP(expected_production[[#This Row],[Site Name]],Table1[[Site Name ]],Table1[Commisioned Date],"")</f>
        <v>44908</v>
      </c>
      <c r="E150" s="47">
        <f>IF(ISNUMBER(expected_production[[#This Row],[Commissioned Date]]),MAX(0,(expected_production[[#This Row],[Date]]-expected_production[[#This Row],[Commissioned Date]])/365.25),"")</f>
        <v>1.3826146475017111</v>
      </c>
      <c r="F150" s="49">
        <f>IF(expected_production[[#This Row],[Age (yrs)]]="",1,(1-DegradationRate)^expected_production[[#This Row],[Age (yrs)]])</f>
        <v>0.99033467690237775</v>
      </c>
      <c r="G150" s="52">
        <f>IF(expected_production[[#This Row],[Base Expected (kWh)]]="","",expected_production[[#This Row],[Base Expected (kWh)]]*expected_production[[#This Row],[Degradation Factor]])</f>
        <v>14272.455779847842</v>
      </c>
    </row>
    <row r="151" spans="1:7" ht="15" hidden="1" customHeight="1" x14ac:dyDescent="0.3">
      <c r="A151" t="s">
        <v>55</v>
      </c>
      <c r="B151" s="2">
        <v>45444</v>
      </c>
      <c r="C151" s="52">
        <v>13050.05</v>
      </c>
      <c r="D151" s="48">
        <f>_xlfn.XLOOKUP(expected_production[[#This Row],[Site Name]],Table1[[Site Name ]],Table1[Commisioned Date],"")</f>
        <v>44908</v>
      </c>
      <c r="E151" s="47">
        <f>IF(ISNUMBER(expected_production[[#This Row],[Commissioned Date]]),MAX(0,(expected_production[[#This Row],[Date]]-expected_production[[#This Row],[Commissioned Date]])/365.25),"")</f>
        <v>1.4674880219028064</v>
      </c>
      <c r="F151" s="49">
        <f>IF(expected_production[[#This Row],[Age (yrs)]]="",1,(1-DegradationRate)^expected_production[[#This Row],[Age (yrs)]])</f>
        <v>0.98974441259733981</v>
      </c>
      <c r="G151" s="52">
        <f>IF(expected_production[[#This Row],[Base Expected (kWh)]]="","",expected_production[[#This Row],[Base Expected (kWh)]]*expected_production[[#This Row],[Degradation Factor]])</f>
        <v>12916.214071615914</v>
      </c>
    </row>
    <row r="152" spans="1:7" ht="15" hidden="1" customHeight="1" x14ac:dyDescent="0.3">
      <c r="A152" t="s">
        <v>55</v>
      </c>
      <c r="B152" s="2">
        <v>45474</v>
      </c>
      <c r="C152" s="52">
        <v>13735.15</v>
      </c>
      <c r="D152" s="48">
        <f>_xlfn.XLOOKUP(expected_production[[#This Row],[Site Name]],Table1[[Site Name ]],Table1[Commisioned Date],"")</f>
        <v>44908</v>
      </c>
      <c r="E152" s="47">
        <f>IF(ISNUMBER(expected_production[[#This Row],[Commissioned Date]]),MAX(0,(expected_production[[#This Row],[Date]]-expected_production[[#This Row],[Commissioned Date]])/365.25),"")</f>
        <v>1.5496235455167693</v>
      </c>
      <c r="F152" s="49">
        <f>IF(expected_production[[#This Row],[Age (yrs)]]="",1,(1-DegradationRate)^expected_production[[#This Row],[Age (yrs)]])</f>
        <v>0.98917352405067993</v>
      </c>
      <c r="G152" s="52">
        <f>IF(expected_production[[#This Row],[Base Expected (kWh)]]="","",expected_production[[#This Row],[Base Expected (kWh)]]*expected_production[[#This Row],[Degradation Factor]])</f>
        <v>13586.446728864696</v>
      </c>
    </row>
    <row r="153" spans="1:7" ht="15" hidden="1" customHeight="1" x14ac:dyDescent="0.3">
      <c r="A153" t="s">
        <v>55</v>
      </c>
      <c r="B153" s="2">
        <v>45505</v>
      </c>
      <c r="C153" s="52">
        <v>15350.15</v>
      </c>
      <c r="D153" s="48">
        <f>_xlfn.XLOOKUP(expected_production[[#This Row],[Site Name]],Table1[[Site Name ]],Table1[Commisioned Date],"")</f>
        <v>44908</v>
      </c>
      <c r="E153" s="47">
        <f>IF(ISNUMBER(expected_production[[#This Row],[Commissioned Date]]),MAX(0,(expected_production[[#This Row],[Date]]-expected_production[[#This Row],[Commissioned Date]])/365.25),"")</f>
        <v>1.6344969199178645</v>
      </c>
      <c r="F153" s="49">
        <f>IF(expected_production[[#This Row],[Age (yrs)]]="",1,(1-DegradationRate)^expected_production[[#This Row],[Age (yrs)]])</f>
        <v>0.98858395182186332</v>
      </c>
      <c r="G153" s="52">
        <f>IF(expected_production[[#This Row],[Base Expected (kWh)]]="","",expected_production[[#This Row],[Base Expected (kWh)]]*expected_production[[#This Row],[Degradation Factor]])</f>
        <v>15174.911948058374</v>
      </c>
    </row>
    <row r="154" spans="1:7" ht="15" hidden="1" customHeight="1" x14ac:dyDescent="0.3">
      <c r="A154" t="s">
        <v>55</v>
      </c>
      <c r="B154" s="2">
        <v>45536</v>
      </c>
      <c r="C154" s="52">
        <v>15431.75</v>
      </c>
      <c r="D154" s="48">
        <f>_xlfn.XLOOKUP(expected_production[[#This Row],[Site Name]],Table1[[Site Name ]],Table1[Commisioned Date],"")</f>
        <v>44908</v>
      </c>
      <c r="E154" s="47">
        <f>IF(ISNUMBER(expected_production[[#This Row],[Commissioned Date]]),MAX(0,(expected_production[[#This Row],[Date]]-expected_production[[#This Row],[Commissioned Date]])/365.25),"")</f>
        <v>1.7193702943189597</v>
      </c>
      <c r="F154" s="49">
        <f>IF(expected_production[[#This Row],[Age (yrs)]]="",1,(1-DegradationRate)^expected_production[[#This Row],[Age (yrs)]])</f>
        <v>0.98799473099288171</v>
      </c>
      <c r="G154" s="52">
        <f>IF(expected_production[[#This Row],[Base Expected (kWh)]]="","",expected_production[[#This Row],[Base Expected (kWh)]]*expected_production[[#This Row],[Degradation Factor]])</f>
        <v>15246.487689999401</v>
      </c>
    </row>
    <row r="155" spans="1:7" ht="15" hidden="1" customHeight="1" x14ac:dyDescent="0.3">
      <c r="A155" t="s">
        <v>55</v>
      </c>
      <c r="B155" s="2">
        <v>45566</v>
      </c>
      <c r="C155" s="52">
        <v>14821.45</v>
      </c>
      <c r="D155" s="48">
        <f>_xlfn.XLOOKUP(expected_production[[#This Row],[Site Name]],Table1[[Site Name ]],Table1[Commisioned Date],"")</f>
        <v>44908</v>
      </c>
      <c r="E155" s="47">
        <f>IF(ISNUMBER(expected_production[[#This Row],[Commissioned Date]]),MAX(0,(expected_production[[#This Row],[Date]]-expected_production[[#This Row],[Commissioned Date]])/365.25),"")</f>
        <v>1.8015058179329226</v>
      </c>
      <c r="F155" s="49">
        <f>IF(expected_production[[#This Row],[Age (yrs)]]="",1,(1-DegradationRate)^expected_production[[#This Row],[Age (yrs)]])</f>
        <v>0.98742485166958849</v>
      </c>
      <c r="G155" s="52">
        <f>IF(expected_production[[#This Row],[Base Expected (kWh)]]="","",expected_production[[#This Row],[Base Expected (kWh)]]*expected_production[[#This Row],[Degradation Factor]])</f>
        <v>14635.068067778224</v>
      </c>
    </row>
    <row r="156" spans="1:7" ht="15" hidden="1" customHeight="1" x14ac:dyDescent="0.3">
      <c r="A156" t="s">
        <v>55</v>
      </c>
      <c r="B156" s="2">
        <v>45597</v>
      </c>
      <c r="C156" s="52">
        <v>14695.65</v>
      </c>
      <c r="D156" s="48">
        <f>_xlfn.XLOOKUP(expected_production[[#This Row],[Site Name]],Table1[[Site Name ]],Table1[Commisioned Date],"")</f>
        <v>44908</v>
      </c>
      <c r="E156" s="47">
        <f>IF(ISNUMBER(expected_production[[#This Row],[Commissioned Date]]),MAX(0,(expected_production[[#This Row],[Date]]-expected_production[[#This Row],[Commissioned Date]])/365.25),"")</f>
        <v>1.8863791923340179</v>
      </c>
      <c r="F156" s="49">
        <f>IF(expected_production[[#This Row],[Age (yrs)]]="",1,(1-DegradationRate)^expected_production[[#This Row],[Age (yrs)]])</f>
        <v>0.98683632169336777</v>
      </c>
      <c r="G156" s="52">
        <f>IF(expected_production[[#This Row],[Base Expected (kWh)]]="","",expected_production[[#This Row],[Base Expected (kWh)]]*expected_production[[#This Row],[Degradation Factor]])</f>
        <v>14502.20119089314</v>
      </c>
    </row>
    <row r="157" spans="1:7" ht="15" hidden="1" customHeight="1" x14ac:dyDescent="0.3">
      <c r="A157" t="s">
        <v>55</v>
      </c>
      <c r="B157" s="2">
        <v>45627</v>
      </c>
      <c r="C157" s="52">
        <v>16154.25</v>
      </c>
      <c r="D157" s="48">
        <f>_xlfn.XLOOKUP(expected_production[[#This Row],[Site Name]],Table1[[Site Name ]],Table1[Commisioned Date],"")</f>
        <v>44908</v>
      </c>
      <c r="E157" s="47">
        <f>IF(ISNUMBER(expected_production[[#This Row],[Commissioned Date]]),MAX(0,(expected_production[[#This Row],[Date]]-expected_production[[#This Row],[Commissioned Date]])/365.25),"")</f>
        <v>1.9685147159479808</v>
      </c>
      <c r="F157" s="49">
        <f>IF(expected_production[[#This Row],[Age (yrs)]]="",1,(1-DegradationRate)^expected_production[[#This Row],[Age (yrs)]])</f>
        <v>0.98626711054520444</v>
      </c>
      <c r="G157" s="52">
        <f>IF(expected_production[[#This Row],[Base Expected (kWh)]]="","",expected_production[[#This Row],[Base Expected (kWh)]]*expected_production[[#This Row],[Degradation Factor]])</f>
        <v>15932.405470524869</v>
      </c>
    </row>
    <row r="158" spans="1:7" ht="15" hidden="1" customHeight="1" x14ac:dyDescent="0.3">
      <c r="A158" t="s">
        <v>55</v>
      </c>
      <c r="B158" s="2">
        <v>45658</v>
      </c>
      <c r="C158" s="52">
        <v>16262.2</v>
      </c>
      <c r="D158" s="48">
        <f>_xlfn.XLOOKUP(expected_production[[#This Row],[Site Name]],Table1[[Site Name ]],Table1[Commisioned Date],"")</f>
        <v>44908</v>
      </c>
      <c r="E158" s="47">
        <f>IF(ISNUMBER(expected_production[[#This Row],[Commissioned Date]]),MAX(0,(expected_production[[#This Row],[Date]]-expected_production[[#This Row],[Commissioned Date]])/365.25),"")</f>
        <v>2.0533880903490758</v>
      </c>
      <c r="F158" s="49">
        <f>IF(expected_production[[#This Row],[Age (yrs)]]="",1,(1-DegradationRate)^expected_production[[#This Row],[Age (yrs)]])</f>
        <v>0.98567927061173</v>
      </c>
      <c r="G158" s="52">
        <f>IF(expected_production[[#This Row],[Base Expected (kWh)]]="","",expected_production[[#This Row],[Base Expected (kWh)]]*expected_production[[#This Row],[Degradation Factor]])</f>
        <v>16029.313434542077</v>
      </c>
    </row>
    <row r="159" spans="1:7" ht="15" hidden="1" customHeight="1" x14ac:dyDescent="0.3">
      <c r="A159" t="s">
        <v>55</v>
      </c>
      <c r="B159" s="2">
        <v>45689</v>
      </c>
      <c r="C159" s="52">
        <v>13986.75</v>
      </c>
      <c r="D159" s="48">
        <f>_xlfn.XLOOKUP(expected_production[[#This Row],[Site Name]],Table1[[Site Name ]],Table1[Commisioned Date],"")</f>
        <v>44908</v>
      </c>
      <c r="E159" s="47">
        <f>IF(ISNUMBER(expected_production[[#This Row],[Commissioned Date]]),MAX(0,(expected_production[[#This Row],[Date]]-expected_production[[#This Row],[Commissioned Date]])/365.25),"")</f>
        <v>2.1382614647501712</v>
      </c>
      <c r="F159" s="49">
        <f>IF(expected_production[[#This Row],[Age (yrs)]]="",1,(1-DegradationRate)^expected_production[[#This Row],[Age (yrs)]])</f>
        <v>0.98509178104559902</v>
      </c>
      <c r="G159" s="52">
        <f>IF(expected_production[[#This Row],[Base Expected (kWh)]]="","",expected_production[[#This Row],[Base Expected (kWh)]]*expected_production[[#This Row],[Degradation Factor]])</f>
        <v>13778.232468539532</v>
      </c>
    </row>
    <row r="160" spans="1:7" ht="15" hidden="1" customHeight="1" x14ac:dyDescent="0.3">
      <c r="A160" t="s">
        <v>55</v>
      </c>
      <c r="B160" s="2">
        <v>45717</v>
      </c>
      <c r="C160" s="52">
        <v>15463.2</v>
      </c>
      <c r="D160" s="48">
        <f>_xlfn.XLOOKUP(expected_production[[#This Row],[Site Name]],Table1[[Site Name ]],Table1[Commisioned Date],"")</f>
        <v>44908</v>
      </c>
      <c r="E160" s="47">
        <f>IF(ISNUMBER(expected_production[[#This Row],[Commissioned Date]]),MAX(0,(expected_production[[#This Row],[Date]]-expected_production[[#This Row],[Commissioned Date]])/365.25),"")</f>
        <v>2.21492128678987</v>
      </c>
      <c r="F160" s="49">
        <f>IF(expected_production[[#This Row],[Age (yrs)]]="",1,(1-DegradationRate)^expected_production[[#This Row],[Age (yrs)]])</f>
        <v>0.98456144628294973</v>
      </c>
      <c r="G160" s="52">
        <f>IF(expected_production[[#This Row],[Base Expected (kWh)]]="","",expected_production[[#This Row],[Base Expected (kWh)]]*expected_production[[#This Row],[Degradation Factor]])</f>
        <v>15224.470556162509</v>
      </c>
    </row>
    <row r="161" spans="1:7" ht="15" hidden="1" customHeight="1" x14ac:dyDescent="0.3">
      <c r="A161" t="s">
        <v>55</v>
      </c>
      <c r="B161" s="2">
        <v>45748</v>
      </c>
      <c r="C161" s="52">
        <v>14886.05</v>
      </c>
      <c r="D161" s="48">
        <f>_xlfn.XLOOKUP(expected_production[[#This Row],[Site Name]],Table1[[Site Name ]],Table1[Commisioned Date],"")</f>
        <v>44908</v>
      </c>
      <c r="E161" s="47">
        <f>IF(ISNUMBER(expected_production[[#This Row],[Commissioned Date]]),MAX(0,(expected_production[[#This Row],[Date]]-expected_production[[#This Row],[Commissioned Date]])/365.25),"")</f>
        <v>2.299794661190965</v>
      </c>
      <c r="F161" s="49">
        <f>IF(expected_production[[#This Row],[Age (yrs)]]="",1,(1-DegradationRate)^expected_production[[#This Row],[Age (yrs)]])</f>
        <v>0.98397462296815374</v>
      </c>
      <c r="G161" s="52">
        <f>IF(expected_production[[#This Row],[Base Expected (kWh)]]="","",expected_production[[#This Row],[Base Expected (kWh)]]*expected_production[[#This Row],[Degradation Factor]])</f>
        <v>14647.495436235084</v>
      </c>
    </row>
    <row r="162" spans="1:7" ht="15" hidden="1" customHeight="1" x14ac:dyDescent="0.3">
      <c r="A162" t="s">
        <v>55</v>
      </c>
      <c r="B162" s="2">
        <v>45778</v>
      </c>
      <c r="C162" s="52">
        <v>14411.75</v>
      </c>
      <c r="D162" s="48">
        <f>_xlfn.XLOOKUP(expected_production[[#This Row],[Site Name]],Table1[[Site Name ]],Table1[Commisioned Date],"")</f>
        <v>44908</v>
      </c>
      <c r="E162" s="47">
        <f>IF(ISNUMBER(expected_production[[#This Row],[Commissioned Date]]),MAX(0,(expected_production[[#This Row],[Date]]-expected_production[[#This Row],[Commissioned Date]])/365.25),"")</f>
        <v>2.3819301848049284</v>
      </c>
      <c r="F162" s="49">
        <f>IF(expected_production[[#This Row],[Age (yrs)]]="",1,(1-DegradationRate)^expected_production[[#This Row],[Age (yrs)]])</f>
        <v>0.98340706245929232</v>
      </c>
      <c r="G162" s="52">
        <f>IF(expected_production[[#This Row],[Base Expected (kWh)]]="","",expected_production[[#This Row],[Base Expected (kWh)]]*expected_production[[#This Row],[Degradation Factor]])</f>
        <v>14172.616732397706</v>
      </c>
    </row>
    <row r="163" spans="1:7" ht="15" hidden="1" customHeight="1" x14ac:dyDescent="0.3">
      <c r="A163" t="s">
        <v>55</v>
      </c>
      <c r="B163" s="2">
        <v>45809</v>
      </c>
      <c r="C163" s="52">
        <v>13050.05</v>
      </c>
      <c r="D163" s="48">
        <f>_xlfn.XLOOKUP(expected_production[[#This Row],[Site Name]],Table1[[Site Name ]],Table1[Commisioned Date],"")</f>
        <v>44908</v>
      </c>
      <c r="E163" s="47">
        <f>IF(ISNUMBER(expected_production[[#This Row],[Commissioned Date]]),MAX(0,(expected_production[[#This Row],[Date]]-expected_production[[#This Row],[Commissioned Date]])/365.25),"")</f>
        <v>2.4668035592060233</v>
      </c>
      <c r="F163" s="49">
        <f>IF(expected_production[[#This Row],[Age (yrs)]]="",1,(1-DegradationRate)^expected_production[[#This Row],[Age (yrs)]])</f>
        <v>0.98282092718620717</v>
      </c>
      <c r="G163" s="52">
        <f>IF(expected_production[[#This Row],[Base Expected (kWh)]]="","",expected_production[[#This Row],[Base Expected (kWh)]]*expected_production[[#This Row],[Degradation Factor]])</f>
        <v>12825.862240826362</v>
      </c>
    </row>
    <row r="164" spans="1:7" ht="15" hidden="1" customHeight="1" x14ac:dyDescent="0.3">
      <c r="A164" t="s">
        <v>55</v>
      </c>
      <c r="B164" s="2">
        <v>45839</v>
      </c>
      <c r="C164" s="52">
        <v>13735.15</v>
      </c>
      <c r="D164" s="48">
        <f>_xlfn.XLOOKUP(expected_production[[#This Row],[Site Name]],Table1[[Site Name ]],Table1[Commisioned Date],"")</f>
        <v>44908</v>
      </c>
      <c r="E164" s="47">
        <f>IF(ISNUMBER(expected_production[[#This Row],[Commissioned Date]]),MAX(0,(expected_production[[#This Row],[Date]]-expected_production[[#This Row],[Commissioned Date]])/365.25),"")</f>
        <v>2.5489390828199863</v>
      </c>
      <c r="F164" s="49">
        <f>IF(expected_production[[#This Row],[Age (yrs)]]="",1,(1-DegradationRate)^expected_production[[#This Row],[Age (yrs)]])</f>
        <v>0.98225403213369966</v>
      </c>
      <c r="G164" s="52">
        <f>IF(expected_production[[#This Row],[Base Expected (kWh)]]="","",expected_production[[#This Row],[Base Expected (kWh)]]*expected_production[[#This Row],[Degradation Factor]])</f>
        <v>13491.406469461184</v>
      </c>
    </row>
    <row r="165" spans="1:7" ht="15" hidden="1" customHeight="1" x14ac:dyDescent="0.3">
      <c r="A165" t="s">
        <v>55</v>
      </c>
      <c r="B165" s="2">
        <v>45870</v>
      </c>
      <c r="C165" s="52">
        <v>15350.15</v>
      </c>
      <c r="D165" s="48">
        <f>_xlfn.XLOOKUP(expected_production[[#This Row],[Site Name]],Table1[[Site Name ]],Table1[Commisioned Date],"")</f>
        <v>44908</v>
      </c>
      <c r="E165" s="47">
        <f>IF(ISNUMBER(expected_production[[#This Row],[Commissioned Date]]),MAX(0,(expected_production[[#This Row],[Date]]-expected_production[[#This Row],[Commissioned Date]])/365.25),"")</f>
        <v>2.6338124572210813</v>
      </c>
      <c r="F165" s="49">
        <f>IF(expected_production[[#This Row],[Age (yrs)]]="",1,(1-DegradationRate)^expected_production[[#This Row],[Age (yrs)]])</f>
        <v>0.98166858409560664</v>
      </c>
      <c r="G165" s="52">
        <f>IF(expected_production[[#This Row],[Base Expected (kWh)]]="","",expected_production[[#This Row],[Base Expected (kWh)]]*expected_production[[#This Row],[Degradation Factor]])</f>
        <v>15068.760016155176</v>
      </c>
    </row>
    <row r="166" spans="1:7" ht="15" hidden="1" customHeight="1" x14ac:dyDescent="0.3">
      <c r="A166" t="s">
        <v>55</v>
      </c>
      <c r="B166" s="2">
        <v>45901</v>
      </c>
      <c r="C166" s="52">
        <v>15431.75</v>
      </c>
      <c r="D166" s="48">
        <f>_xlfn.XLOOKUP(expected_production[[#This Row],[Site Name]],Table1[[Site Name ]],Table1[Commisioned Date],"")</f>
        <v>44908</v>
      </c>
      <c r="E166" s="47">
        <f>IF(ISNUMBER(expected_production[[#This Row],[Commissioned Date]]),MAX(0,(expected_production[[#This Row],[Date]]-expected_production[[#This Row],[Commissioned Date]])/365.25),"")</f>
        <v>2.7186858316221767</v>
      </c>
      <c r="F166" s="49">
        <f>IF(expected_production[[#This Row],[Age (yrs)]]="",1,(1-DegradationRate)^expected_production[[#This Row],[Age (yrs)]])</f>
        <v>0.98108348499922726</v>
      </c>
      <c r="G166" s="52">
        <f>IF(expected_production[[#This Row],[Base Expected (kWh)]]="","",expected_production[[#This Row],[Base Expected (kWh)]]*expected_production[[#This Row],[Degradation Factor]])</f>
        <v>15139.835069636825</v>
      </c>
    </row>
    <row r="167" spans="1:7" ht="15" hidden="1" customHeight="1" x14ac:dyDescent="0.3">
      <c r="A167" t="s">
        <v>55</v>
      </c>
      <c r="B167" s="2">
        <v>45931</v>
      </c>
      <c r="C167" s="52">
        <v>14821.45</v>
      </c>
      <c r="D167" s="48">
        <f>_xlfn.XLOOKUP(expected_production[[#This Row],[Site Name]],Table1[[Site Name ]],Table1[Commisioned Date],"")</f>
        <v>44908</v>
      </c>
      <c r="E167" s="47">
        <f>IF(ISNUMBER(expected_production[[#This Row],[Commissioned Date]]),MAX(0,(expected_production[[#This Row],[Date]]-expected_production[[#This Row],[Commissioned Date]])/365.25),"")</f>
        <v>2.8008213552361396</v>
      </c>
      <c r="F167" s="49">
        <f>IF(expected_production[[#This Row],[Age (yrs)]]="",1,(1-DegradationRate)^expected_production[[#This Row],[Age (yrs)]])</f>
        <v>0.98051759211034151</v>
      </c>
      <c r="G167" s="52">
        <f>IF(expected_production[[#This Row],[Base Expected (kWh)]]="","",expected_production[[#This Row],[Base Expected (kWh)]]*expected_production[[#This Row],[Degradation Factor]])</f>
        <v>14532.692465583821</v>
      </c>
    </row>
    <row r="168" spans="1:7" ht="15" hidden="1" customHeight="1" x14ac:dyDescent="0.3">
      <c r="A168" t="s">
        <v>55</v>
      </c>
      <c r="B168" s="2">
        <v>45962</v>
      </c>
      <c r="C168" s="52">
        <v>14695.65</v>
      </c>
      <c r="D168" s="48">
        <f>_xlfn.XLOOKUP(expected_production[[#This Row],[Site Name]],Table1[[Site Name ]],Table1[Commisioned Date],"")</f>
        <v>44908</v>
      </c>
      <c r="E168" s="47">
        <f>IF(ISNUMBER(expected_production[[#This Row],[Commissioned Date]]),MAX(0,(expected_production[[#This Row],[Date]]-expected_production[[#This Row],[Commissioned Date]])/365.25),"")</f>
        <v>2.8856947296372346</v>
      </c>
      <c r="F168" s="49">
        <f>IF(expected_production[[#This Row],[Age (yrs)]]="",1,(1-DegradationRate)^expected_production[[#This Row],[Age (yrs)]])</f>
        <v>0.97993317903405219</v>
      </c>
      <c r="G168" s="52">
        <f>IF(expected_production[[#This Row],[Base Expected (kWh)]]="","",expected_production[[#This Row],[Base Expected (kWh)]]*expected_production[[#This Row],[Degradation Factor]])</f>
        <v>14400.755022471769</v>
      </c>
    </row>
    <row r="169" spans="1:7" ht="15" hidden="1" customHeight="1" x14ac:dyDescent="0.3">
      <c r="A169" t="s">
        <v>55</v>
      </c>
      <c r="B169" s="2">
        <v>45992</v>
      </c>
      <c r="C169" s="52">
        <v>16154.25</v>
      </c>
      <c r="D169" s="48">
        <f>_xlfn.XLOOKUP(expected_production[[#This Row],[Site Name]],Table1[[Site Name ]],Table1[Commisioned Date],"")</f>
        <v>44908</v>
      </c>
      <c r="E169" s="47">
        <f>IF(ISNUMBER(expected_production[[#This Row],[Commissioned Date]]),MAX(0,(expected_production[[#This Row],[Date]]-expected_production[[#This Row],[Commissioned Date]])/365.25),"")</f>
        <v>2.967830253251198</v>
      </c>
      <c r="F169" s="49">
        <f>IF(expected_production[[#This Row],[Age (yrs)]]="",1,(1-DegradationRate)^expected_production[[#This Row],[Age (yrs)]])</f>
        <v>0.97936794964626062</v>
      </c>
      <c r="G169" s="52">
        <f>IF(expected_production[[#This Row],[Base Expected (kWh)]]="","",expected_production[[#This Row],[Base Expected (kWh)]]*expected_production[[#This Row],[Degradation Factor]])</f>
        <v>15820.954700573106</v>
      </c>
    </row>
    <row r="170" spans="1:7" ht="15" hidden="1" customHeight="1" x14ac:dyDescent="0.3">
      <c r="A170" t="s">
        <v>55</v>
      </c>
      <c r="B170" s="2">
        <v>46023</v>
      </c>
      <c r="C170" s="52">
        <v>16262.2</v>
      </c>
      <c r="D170" s="48">
        <f>_xlfn.XLOOKUP(expected_production[[#This Row],[Site Name]],Table1[[Site Name ]],Table1[Commisioned Date],"")</f>
        <v>44908</v>
      </c>
      <c r="E170" s="47">
        <f>IF(ISNUMBER(expected_production[[#This Row],[Commissioned Date]]),MAX(0,(expected_production[[#This Row],[Date]]-expected_production[[#This Row],[Commissioned Date]])/365.25),"")</f>
        <v>3.052703627652293</v>
      </c>
      <c r="F170" s="49">
        <f>IF(expected_production[[#This Row],[Age (yrs)]]="",1,(1-DegradationRate)^expected_production[[#This Row],[Age (yrs)]])</f>
        <v>0.978784221785713</v>
      </c>
      <c r="G170" s="52">
        <f>IF(expected_production[[#This Row],[Base Expected (kWh)]]="","",expected_production[[#This Row],[Base Expected (kWh)]]*expected_production[[#This Row],[Degradation Factor]])</f>
        <v>15917.184771523624</v>
      </c>
    </row>
    <row r="171" spans="1:7" ht="15" hidden="1" customHeight="1" x14ac:dyDescent="0.3">
      <c r="A171" t="s">
        <v>55</v>
      </c>
      <c r="B171" s="2">
        <v>46054</v>
      </c>
      <c r="C171" s="52">
        <v>13986.75</v>
      </c>
      <c r="D171" s="48">
        <f>_xlfn.XLOOKUP(expected_production[[#This Row],[Site Name]],Table1[[Site Name ]],Table1[Commisioned Date],"")</f>
        <v>44908</v>
      </c>
      <c r="E171" s="47">
        <f>IF(ISNUMBER(expected_production[[#This Row],[Commissioned Date]]),MAX(0,(expected_production[[#This Row],[Date]]-expected_production[[#This Row],[Commissioned Date]])/365.25),"")</f>
        <v>3.137577002053388</v>
      </c>
      <c r="F171" s="49">
        <f>IF(expected_production[[#This Row],[Age (yrs)]]="",1,(1-DegradationRate)^expected_production[[#This Row],[Age (yrs)]])</f>
        <v>0.97820084184161016</v>
      </c>
      <c r="G171" s="52">
        <f>IF(expected_production[[#This Row],[Base Expected (kWh)]]="","",expected_production[[#This Row],[Base Expected (kWh)]]*expected_production[[#This Row],[Degradation Factor]])</f>
        <v>13681.850624628141</v>
      </c>
    </row>
    <row r="172" spans="1:7" ht="15" hidden="1" customHeight="1" x14ac:dyDescent="0.3">
      <c r="A172" t="s">
        <v>55</v>
      </c>
      <c r="B172" s="2">
        <v>46082</v>
      </c>
      <c r="C172" s="52">
        <v>15463.2</v>
      </c>
      <c r="D172" s="48">
        <f>_xlfn.XLOOKUP(expected_production[[#This Row],[Site Name]],Table1[[Site Name ]],Table1[Commisioned Date],"")</f>
        <v>44908</v>
      </c>
      <c r="E172" s="47">
        <f>IF(ISNUMBER(expected_production[[#This Row],[Commissioned Date]]),MAX(0,(expected_production[[#This Row],[Date]]-expected_production[[#This Row],[Commissioned Date]])/365.25),"")</f>
        <v>3.2142368240930868</v>
      </c>
      <c r="F172" s="49">
        <f>IF(expected_production[[#This Row],[Age (yrs)]]="",1,(1-DegradationRate)^expected_production[[#This Row],[Age (yrs)]])</f>
        <v>0.97767421689024703</v>
      </c>
      <c r="G172" s="52">
        <f>IF(expected_production[[#This Row],[Base Expected (kWh)]]="","",expected_production[[#This Row],[Base Expected (kWh)]]*expected_production[[#This Row],[Degradation Factor]])</f>
        <v>15117.971950617268</v>
      </c>
    </row>
    <row r="173" spans="1:7" ht="15" hidden="1" customHeight="1" x14ac:dyDescent="0.3">
      <c r="A173" t="s">
        <v>55</v>
      </c>
      <c r="B173" s="2">
        <v>46113</v>
      </c>
      <c r="C173" s="52">
        <v>14886.05</v>
      </c>
      <c r="D173" s="48">
        <f>_xlfn.XLOOKUP(expected_production[[#This Row],[Site Name]],Table1[[Site Name ]],Table1[Commisioned Date],"")</f>
        <v>44908</v>
      </c>
      <c r="E173" s="47">
        <f>IF(ISNUMBER(expected_production[[#This Row],[Commissioned Date]]),MAX(0,(expected_production[[#This Row],[Date]]-expected_production[[#This Row],[Commissioned Date]])/365.25),"")</f>
        <v>3.2991101984941822</v>
      </c>
      <c r="F173" s="49">
        <f>IF(expected_production[[#This Row],[Age (yrs)]]="",1,(1-DegradationRate)^expected_production[[#This Row],[Age (yrs)]])</f>
        <v>0.97709149853690092</v>
      </c>
      <c r="G173" s="52">
        <f>IF(expected_production[[#This Row],[Base Expected (kWh)]]="","",expected_production[[#This Row],[Base Expected (kWh)]]*expected_production[[#This Row],[Degradation Factor]])</f>
        <v>14545.032901795234</v>
      </c>
    </row>
    <row r="174" spans="1:7" ht="15" hidden="1" customHeight="1" x14ac:dyDescent="0.3">
      <c r="A174" t="s">
        <v>55</v>
      </c>
      <c r="B174" s="2">
        <v>46143</v>
      </c>
      <c r="C174" s="52">
        <v>14411.75</v>
      </c>
      <c r="D174" s="48">
        <f>_xlfn.XLOOKUP(expected_production[[#This Row],[Site Name]],Table1[[Site Name ]],Table1[Commisioned Date],"")</f>
        <v>44908</v>
      </c>
      <c r="E174" s="47">
        <f>IF(ISNUMBER(expected_production[[#This Row],[Commissioned Date]]),MAX(0,(expected_production[[#This Row],[Date]]-expected_production[[#This Row],[Commissioned Date]])/365.25),"")</f>
        <v>3.3812457221081451</v>
      </c>
      <c r="F174" s="49">
        <f>IF(expected_production[[#This Row],[Age (yrs)]]="",1,(1-DegradationRate)^expected_production[[#This Row],[Age (yrs)]])</f>
        <v>0.97652790824181679</v>
      </c>
      <c r="G174" s="52">
        <f>IF(expected_production[[#This Row],[Base Expected (kWh)]]="","",expected_production[[#This Row],[Base Expected (kWh)]]*expected_production[[#This Row],[Degradation Factor]])</f>
        <v>14073.476081604003</v>
      </c>
    </row>
    <row r="175" spans="1:7" ht="15" hidden="1" customHeight="1" x14ac:dyDescent="0.3">
      <c r="A175" t="s">
        <v>55</v>
      </c>
      <c r="B175" s="2">
        <v>46174</v>
      </c>
      <c r="C175" s="52">
        <v>13050.05</v>
      </c>
      <c r="D175" s="48">
        <f>_xlfn.XLOOKUP(expected_production[[#This Row],[Site Name]],Table1[[Site Name ]],Table1[Commisioned Date],"")</f>
        <v>44908</v>
      </c>
      <c r="E175" s="47">
        <f>IF(ISNUMBER(expected_production[[#This Row],[Commissioned Date]]),MAX(0,(expected_production[[#This Row],[Date]]-expected_production[[#This Row],[Commissioned Date]])/365.25),"")</f>
        <v>3.4661190965092401</v>
      </c>
      <c r="F175" s="49">
        <f>IF(expected_production[[#This Row],[Age (yrs)]]="",1,(1-DegradationRate)^expected_production[[#This Row],[Age (yrs)]])</f>
        <v>0.97594587311717451</v>
      </c>
      <c r="G175" s="52">
        <f>IF(expected_production[[#This Row],[Base Expected (kWh)]]="","",expected_production[[#This Row],[Base Expected (kWh)]]*expected_production[[#This Row],[Degradation Factor]])</f>
        <v>12736.142441472783</v>
      </c>
    </row>
    <row r="176" spans="1:7" ht="15" hidden="1" customHeight="1" x14ac:dyDescent="0.3">
      <c r="A176" t="s">
        <v>55</v>
      </c>
      <c r="B176" s="2">
        <v>46204</v>
      </c>
      <c r="C176" s="52">
        <v>13735.15</v>
      </c>
      <c r="D176" s="48">
        <f>_xlfn.XLOOKUP(expected_production[[#This Row],[Site Name]],Table1[[Site Name ]],Table1[Commisioned Date],"")</f>
        <v>44908</v>
      </c>
      <c r="E176" s="47">
        <f>IF(ISNUMBER(expected_production[[#This Row],[Commissioned Date]]),MAX(0,(expected_production[[#This Row],[Date]]-expected_production[[#This Row],[Commissioned Date]])/365.25),"")</f>
        <v>3.5482546201232035</v>
      </c>
      <c r="F176" s="49">
        <f>IF(expected_production[[#This Row],[Age (yrs)]]="",1,(1-DegradationRate)^expected_production[[#This Row],[Age (yrs)]])</f>
        <v>0.97538294362342726</v>
      </c>
      <c r="G176" s="52">
        <f>IF(expected_production[[#This Row],[Base Expected (kWh)]]="","",expected_production[[#This Row],[Base Expected (kWh)]]*expected_production[[#This Row],[Degradation Factor]])</f>
        <v>13397.031038109317</v>
      </c>
    </row>
    <row r="177" spans="1:7" ht="15" hidden="1" customHeight="1" x14ac:dyDescent="0.3">
      <c r="A177" t="s">
        <v>55</v>
      </c>
      <c r="B177" s="2">
        <v>46235</v>
      </c>
      <c r="C177" s="52">
        <v>15350.15</v>
      </c>
      <c r="D177" s="48">
        <f>_xlfn.XLOOKUP(expected_production[[#This Row],[Site Name]],Table1[[Site Name ]],Table1[Commisioned Date],"")</f>
        <v>44908</v>
      </c>
      <c r="E177" s="47">
        <f>IF(ISNUMBER(expected_production[[#This Row],[Commissioned Date]]),MAX(0,(expected_production[[#This Row],[Date]]-expected_production[[#This Row],[Commissioned Date]])/365.25),"")</f>
        <v>3.6331279945242985</v>
      </c>
      <c r="F177" s="49">
        <f>IF(expected_production[[#This Row],[Age (yrs)]]="",1,(1-DegradationRate)^expected_production[[#This Row],[Age (yrs)]])</f>
        <v>0.97480159092641328</v>
      </c>
      <c r="G177" s="52">
        <f>IF(expected_production[[#This Row],[Base Expected (kWh)]]="","",expected_production[[#This Row],[Base Expected (kWh)]]*expected_production[[#This Row],[Degradation Factor]])</f>
        <v>14963.350640959083</v>
      </c>
    </row>
    <row r="178" spans="1:7" ht="15" hidden="1" customHeight="1" x14ac:dyDescent="0.3">
      <c r="A178" t="s">
        <v>55</v>
      </c>
      <c r="B178" s="2">
        <v>46266</v>
      </c>
      <c r="C178" s="52">
        <v>15431.75</v>
      </c>
      <c r="D178" s="48">
        <f>_xlfn.XLOOKUP(expected_production[[#This Row],[Site Name]],Table1[[Site Name ]],Table1[Commisioned Date],"")</f>
        <v>44908</v>
      </c>
      <c r="E178" s="47">
        <f>IF(ISNUMBER(expected_production[[#This Row],[Commissioned Date]]),MAX(0,(expected_production[[#This Row],[Date]]-expected_production[[#This Row],[Commissioned Date]])/365.25),"")</f>
        <v>3.7180013689253935</v>
      </c>
      <c r="F178" s="49">
        <f>IF(expected_production[[#This Row],[Age (yrs)]]="",1,(1-DegradationRate)^expected_production[[#This Row],[Age (yrs)]])</f>
        <v>0.97422058473018702</v>
      </c>
      <c r="G178" s="52">
        <f>IF(expected_production[[#This Row],[Base Expected (kWh)]]="","",expected_production[[#This Row],[Base Expected (kWh)]]*expected_production[[#This Row],[Degradation Factor]])</f>
        <v>15033.928508410063</v>
      </c>
    </row>
    <row r="179" spans="1:7" ht="15" hidden="1" customHeight="1" x14ac:dyDescent="0.3">
      <c r="A179" t="s">
        <v>55</v>
      </c>
      <c r="B179" s="2">
        <v>46296</v>
      </c>
      <c r="C179" s="52">
        <v>14821.45</v>
      </c>
      <c r="D179" s="48">
        <f>_xlfn.XLOOKUP(expected_production[[#This Row],[Site Name]],Table1[[Site Name ]],Table1[Commisioned Date],"")</f>
        <v>44908</v>
      </c>
      <c r="E179" s="47">
        <f>IF(ISNUMBER(expected_production[[#This Row],[Commissioned Date]]),MAX(0,(expected_production[[#This Row],[Date]]-expected_production[[#This Row],[Commissioned Date]])/365.25),"")</f>
        <v>3.8001368925393568</v>
      </c>
      <c r="F179" s="49">
        <f>IF(expected_production[[#This Row],[Age (yrs)]]="",1,(1-DegradationRate)^expected_production[[#This Row],[Age (yrs)]])</f>
        <v>0.97365865038970079</v>
      </c>
      <c r="G179" s="52">
        <f>IF(expected_production[[#This Row],[Base Expected (kWh)]]="","",expected_production[[#This Row],[Base Expected (kWh)]]*expected_production[[#This Row],[Degradation Factor]])</f>
        <v>14431.033003818431</v>
      </c>
    </row>
    <row r="180" spans="1:7" ht="15" hidden="1" customHeight="1" x14ac:dyDescent="0.3">
      <c r="A180" t="s">
        <v>55</v>
      </c>
      <c r="B180" s="2">
        <v>46327</v>
      </c>
      <c r="C180" s="52">
        <v>14695.65</v>
      </c>
      <c r="D180" s="48">
        <f>_xlfn.XLOOKUP(expected_production[[#This Row],[Site Name]],Table1[[Site Name ]],Table1[Commisioned Date],"")</f>
        <v>44908</v>
      </c>
      <c r="E180" s="47">
        <f>IF(ISNUMBER(expected_production[[#This Row],[Commissioned Date]]),MAX(0,(expected_production[[#This Row],[Date]]-expected_production[[#This Row],[Commissioned Date]])/365.25),"")</f>
        <v>3.8850102669404518</v>
      </c>
      <c r="F180" s="49">
        <f>IF(expected_production[[#This Row],[Age (yrs)]]="",1,(1-DegradationRate)^expected_production[[#This Row],[Age (yrs)]])</f>
        <v>0.97307832541469941</v>
      </c>
      <c r="G180" s="52">
        <f>IF(expected_production[[#This Row],[Base Expected (kWh)]]="","",expected_production[[#This Row],[Base Expected (kWh)]]*expected_production[[#This Row],[Degradation Factor]])</f>
        <v>14300.018492880527</v>
      </c>
    </row>
    <row r="181" spans="1:7" ht="15" hidden="1" customHeight="1" x14ac:dyDescent="0.3">
      <c r="A181" t="s">
        <v>55</v>
      </c>
      <c r="B181" s="2">
        <v>46357</v>
      </c>
      <c r="C181" s="52">
        <v>16154.25</v>
      </c>
      <c r="D181" s="48">
        <f>_xlfn.XLOOKUP(expected_production[[#This Row],[Site Name]],Table1[[Site Name ]],Table1[Commisioned Date],"")</f>
        <v>44908</v>
      </c>
      <c r="E181" s="47">
        <f>IF(ISNUMBER(expected_production[[#This Row],[Commissioned Date]]),MAX(0,(expected_production[[#This Row],[Date]]-expected_production[[#This Row],[Commissioned Date]])/365.25),"")</f>
        <v>3.9671457905544147</v>
      </c>
      <c r="F181" s="49">
        <f>IF(expected_production[[#This Row],[Age (yrs)]]="",1,(1-DegradationRate)^expected_production[[#This Row],[Age (yrs)]])</f>
        <v>0.97251704993396748</v>
      </c>
      <c r="G181" s="52">
        <f>IF(expected_production[[#This Row],[Base Expected (kWh)]]="","",expected_production[[#This Row],[Base Expected (kWh)]]*expected_production[[#This Row],[Degradation Factor]])</f>
        <v>15710.283553895793</v>
      </c>
    </row>
    <row r="182" spans="1:7" ht="15" hidden="1" customHeight="1" x14ac:dyDescent="0.3">
      <c r="A182" t="s">
        <v>60</v>
      </c>
      <c r="B182" s="2">
        <v>45292</v>
      </c>
      <c r="C182" s="52">
        <v>51314.734709999997</v>
      </c>
      <c r="D182" s="48">
        <f>_xlfn.XLOOKUP(expected_production[[#This Row],[Site Name]],Table1[[Site Name ]],Table1[Commisioned Date],"")</f>
        <v>45272</v>
      </c>
      <c r="E182" s="47">
        <f>IF(ISNUMBER(expected_production[[#This Row],[Commissioned Date]]),MAX(0,(expected_production[[#This Row],[Date]]-expected_production[[#This Row],[Commissioned Date]])/365.25),"")</f>
        <v>5.4757015742642023E-2</v>
      </c>
      <c r="F182" s="49">
        <f>IF(expected_production[[#This Row],[Age (yrs)]]="",1,(1-DegradationRate)^expected_production[[#This Row],[Age (yrs)]])</f>
        <v>0.99961542701646489</v>
      </c>
      <c r="G182" s="52">
        <f>IF(expected_production[[#This Row],[Base Expected (kWh)]]="","",expected_production[[#This Row],[Base Expected (kWh)]]*expected_production[[#This Row],[Degradation Factor]])</f>
        <v>51295.000449373256</v>
      </c>
    </row>
    <row r="183" spans="1:7" ht="15" hidden="1" customHeight="1" x14ac:dyDescent="0.3">
      <c r="A183" t="s">
        <v>60</v>
      </c>
      <c r="B183" s="2">
        <v>45323</v>
      </c>
      <c r="C183" s="52">
        <v>44103.290670000002</v>
      </c>
      <c r="D183" s="48">
        <f>_xlfn.XLOOKUP(expected_production[[#This Row],[Site Name]],Table1[[Site Name ]],Table1[Commisioned Date],"")</f>
        <v>45272</v>
      </c>
      <c r="E183" s="47">
        <f>IF(ISNUMBER(expected_production[[#This Row],[Commissioned Date]]),MAX(0,(expected_production[[#This Row],[Date]]-expected_production[[#This Row],[Commissioned Date]])/365.25),"")</f>
        <v>0.13963039014373715</v>
      </c>
      <c r="F183" s="49">
        <f>IF(expected_production[[#This Row],[Age (yrs)]]="",1,(1-DegradationRate)^expected_production[[#This Row],[Age (yrs)]])</f>
        <v>0.99901963115159775</v>
      </c>
      <c r="G183" s="52">
        <f>IF(expected_production[[#This Row],[Base Expected (kWh)]]="","",expected_production[[#This Row],[Base Expected (kWh)]]*expected_production[[#This Row],[Degradation Factor]])</f>
        <v>44060.053177715105</v>
      </c>
    </row>
    <row r="184" spans="1:7" ht="15" hidden="1" customHeight="1" x14ac:dyDescent="0.3">
      <c r="A184" t="s">
        <v>60</v>
      </c>
      <c r="B184" s="2">
        <v>45352</v>
      </c>
      <c r="C184" s="52">
        <v>48739.270049999999</v>
      </c>
      <c r="D184" s="48">
        <f>_xlfn.XLOOKUP(expected_production[[#This Row],[Site Name]],Table1[[Site Name ]],Table1[Commisioned Date],"")</f>
        <v>45272</v>
      </c>
      <c r="E184" s="47">
        <f>IF(ISNUMBER(expected_production[[#This Row],[Commissioned Date]]),MAX(0,(expected_production[[#This Row],[Date]]-expected_production[[#This Row],[Commissioned Date]])/365.25),"")</f>
        <v>0.21902806297056809</v>
      </c>
      <c r="F184" s="49">
        <f>IF(expected_production[[#This Row],[Age (yrs)]]="",1,(1-DegradationRate)^expected_production[[#This Row],[Age (yrs)]])</f>
        <v>0.9984625952166517</v>
      </c>
      <c r="G184" s="52">
        <f>IF(expected_production[[#This Row],[Base Expected (kWh)]]="","",expected_production[[#This Row],[Base Expected (kWh)]]*expected_production[[#This Row],[Degradation Factor]])</f>
        <v>48664.338063088224</v>
      </c>
    </row>
    <row r="185" spans="1:7" ht="15" hidden="1" customHeight="1" x14ac:dyDescent="0.3">
      <c r="A185" t="s">
        <v>60</v>
      </c>
      <c r="B185" s="2">
        <v>45383</v>
      </c>
      <c r="C185" s="52">
        <v>46849.898880000001</v>
      </c>
      <c r="D185" s="48">
        <f>_xlfn.XLOOKUP(expected_production[[#This Row],[Site Name]],Table1[[Site Name ]],Table1[Commisioned Date],"")</f>
        <v>45272</v>
      </c>
      <c r="E185" s="47">
        <f>IF(ISNUMBER(expected_production[[#This Row],[Commissioned Date]]),MAX(0,(expected_production[[#This Row],[Date]]-expected_production[[#This Row],[Commissioned Date]])/365.25),"")</f>
        <v>0.30390143737166325</v>
      </c>
      <c r="F185" s="49">
        <f>IF(expected_production[[#This Row],[Age (yrs)]]="",1,(1-DegradationRate)^expected_production[[#This Row],[Age (yrs)]])</f>
        <v>0.99786748646845025</v>
      </c>
      <c r="G185" s="52">
        <f>IF(expected_production[[#This Row],[Base Expected (kWh)]]="","",expected_production[[#This Row],[Base Expected (kWh)]]*expected_production[[#This Row],[Degradation Factor]])</f>
        <v>46749.990836686666</v>
      </c>
    </row>
    <row r="186" spans="1:7" ht="15" hidden="1" customHeight="1" x14ac:dyDescent="0.3">
      <c r="A186" t="s">
        <v>60</v>
      </c>
      <c r="B186" s="2">
        <v>45413</v>
      </c>
      <c r="C186" s="52">
        <v>45273.233339999999</v>
      </c>
      <c r="D186" s="48">
        <f>_xlfn.XLOOKUP(expected_production[[#This Row],[Site Name]],Table1[[Site Name ]],Table1[Commisioned Date],"")</f>
        <v>45272</v>
      </c>
      <c r="E186" s="47">
        <f>IF(ISNUMBER(expected_production[[#This Row],[Commissioned Date]]),MAX(0,(expected_production[[#This Row],[Date]]-expected_production[[#This Row],[Commissioned Date]])/365.25),"")</f>
        <v>0.38603696098562629</v>
      </c>
      <c r="F186" s="49">
        <f>IF(expected_production[[#This Row],[Age (yrs)]]="",1,(1-DegradationRate)^expected_production[[#This Row],[Age (yrs)]])</f>
        <v>0.9972919125002031</v>
      </c>
      <c r="G186" s="52">
        <f>IF(expected_production[[#This Row],[Base Expected (kWh)]]="","",expected_production[[#This Row],[Base Expected (kWh)]]*expected_production[[#This Row],[Degradation Factor]])</f>
        <v>45150.629462716555</v>
      </c>
    </row>
    <row r="187" spans="1:7" ht="15" hidden="1" customHeight="1" x14ac:dyDescent="0.3">
      <c r="A187" t="s">
        <v>60</v>
      </c>
      <c r="B187" s="2">
        <v>45444</v>
      </c>
      <c r="C187" s="52">
        <v>40943.971799999999</v>
      </c>
      <c r="D187" s="48">
        <f>_xlfn.XLOOKUP(expected_production[[#This Row],[Site Name]],Table1[[Site Name ]],Table1[Commisioned Date],"")</f>
        <v>45272</v>
      </c>
      <c r="E187" s="47">
        <f>IF(ISNUMBER(expected_production[[#This Row],[Commissioned Date]]),MAX(0,(expected_production[[#This Row],[Date]]-expected_production[[#This Row],[Commissioned Date]])/365.25),"")</f>
        <v>0.47091033538672145</v>
      </c>
      <c r="F187" s="49">
        <f>IF(expected_production[[#This Row],[Age (yrs)]]="",1,(1-DegradationRate)^expected_production[[#This Row],[Age (yrs)]])</f>
        <v>0.99669750150826131</v>
      </c>
      <c r="G187" s="52">
        <f>IF(expected_production[[#This Row],[Base Expected (kWh)]]="","",expected_production[[#This Row],[Base Expected (kWh)]]*expected_production[[#This Row],[Degradation Factor]])</f>
        <v>40808.754394884709</v>
      </c>
    </row>
    <row r="188" spans="1:7" ht="15" hidden="1" customHeight="1" x14ac:dyDescent="0.3">
      <c r="A188" t="s">
        <v>60</v>
      </c>
      <c r="B188" s="2">
        <v>45474</v>
      </c>
      <c r="C188" s="52">
        <v>43112.802960000001</v>
      </c>
      <c r="D188" s="48">
        <f>_xlfn.XLOOKUP(expected_production[[#This Row],[Site Name]],Table1[[Site Name ]],Table1[Commisioned Date],"")</f>
        <v>45272</v>
      </c>
      <c r="E188" s="47">
        <f>IF(ISNUMBER(expected_production[[#This Row],[Commissioned Date]]),MAX(0,(expected_production[[#This Row],[Date]]-expected_production[[#This Row],[Commissioned Date]])/365.25),"")</f>
        <v>0.55304585900068448</v>
      </c>
      <c r="F188" s="49">
        <f>IF(expected_production[[#This Row],[Age (yrs)]]="",1,(1-DegradationRate)^expected_production[[#This Row],[Age (yrs)]])</f>
        <v>0.99612260239203143</v>
      </c>
      <c r="G188" s="52">
        <f>IF(expected_production[[#This Row],[Base Expected (kWh)]]="","",expected_production[[#This Row],[Base Expected (kWh)]]*expected_production[[#This Row],[Degradation Factor]])</f>
        <v>42945.637480930076</v>
      </c>
    </row>
    <row r="189" spans="1:7" ht="15" hidden="1" customHeight="1" x14ac:dyDescent="0.3">
      <c r="A189" t="s">
        <v>60</v>
      </c>
      <c r="B189" s="2">
        <v>45505</v>
      </c>
      <c r="C189" s="52">
        <v>48266.50275</v>
      </c>
      <c r="D189" s="48">
        <f>_xlfn.XLOOKUP(expected_production[[#This Row],[Site Name]],Table1[[Site Name ]],Table1[Commisioned Date],"")</f>
        <v>45272</v>
      </c>
      <c r="E189" s="47">
        <f>IF(ISNUMBER(expected_production[[#This Row],[Commissioned Date]]),MAX(0,(expected_production[[#This Row],[Date]]-expected_production[[#This Row],[Commissioned Date]])/365.25),"")</f>
        <v>0.63791923340177958</v>
      </c>
      <c r="F189" s="49">
        <f>IF(expected_production[[#This Row],[Age (yrs)]]="",1,(1-DegradationRate)^expected_production[[#This Row],[Age (yrs)]])</f>
        <v>0.99552888833824049</v>
      </c>
      <c r="G189" s="52">
        <f>IF(expected_production[[#This Row],[Base Expected (kWh)]]="","",expected_production[[#This Row],[Base Expected (kWh)]]*expected_production[[#This Row],[Degradation Factor]])</f>
        <v>48050.697826682124</v>
      </c>
    </row>
    <row r="190" spans="1:7" ht="15" hidden="1" customHeight="1" x14ac:dyDescent="0.3">
      <c r="A190" t="s">
        <v>60</v>
      </c>
      <c r="B190" s="2">
        <v>45536</v>
      </c>
      <c r="C190" s="52">
        <v>48602.891430000003</v>
      </c>
      <c r="D190" s="48">
        <f>_xlfn.XLOOKUP(expected_production[[#This Row],[Site Name]],Table1[[Site Name ]],Table1[Commisioned Date],"")</f>
        <v>45272</v>
      </c>
      <c r="E190" s="47">
        <f>IF(ISNUMBER(expected_production[[#This Row],[Commissioned Date]]),MAX(0,(expected_production[[#This Row],[Date]]-expected_production[[#This Row],[Commissioned Date]])/365.25),"")</f>
        <v>0.7227926078028748</v>
      </c>
      <c r="F190" s="49">
        <f>IF(expected_production[[#This Row],[Age (yrs)]]="",1,(1-DegradationRate)^expected_production[[#This Row],[Age (yrs)]])</f>
        <v>0.99493552815291597</v>
      </c>
      <c r="G190" s="52">
        <f>IF(expected_production[[#This Row],[Base Expected (kWh)]]="","",expected_production[[#This Row],[Base Expected (kWh)]]*expected_production[[#This Row],[Degradation Factor]])</f>
        <v>48356.743454665884</v>
      </c>
    </row>
    <row r="191" spans="1:7" ht="15" hidden="1" customHeight="1" x14ac:dyDescent="0.3">
      <c r="A191" t="s">
        <v>60</v>
      </c>
      <c r="B191" s="2">
        <v>45566</v>
      </c>
      <c r="C191" s="52">
        <v>46748.910779999998</v>
      </c>
      <c r="D191" s="48">
        <f>_xlfn.XLOOKUP(expected_production[[#This Row],[Site Name]],Table1[[Site Name ]],Table1[Commisioned Date],"")</f>
        <v>45272</v>
      </c>
      <c r="E191" s="47">
        <f>IF(ISNUMBER(expected_production[[#This Row],[Commissioned Date]]),MAX(0,(expected_production[[#This Row],[Date]]-expected_production[[#This Row],[Commissioned Date]])/365.25),"")</f>
        <v>0.80492813141683783</v>
      </c>
      <c r="F191" s="49">
        <f>IF(expected_production[[#This Row],[Age (yrs)]]="",1,(1-DegradationRate)^expected_production[[#This Row],[Age (yrs)]])</f>
        <v>0.99436164534998406</v>
      </c>
      <c r="G191" s="52">
        <f>IF(expected_production[[#This Row],[Base Expected (kWh)]]="","",expected_production[[#This Row],[Base Expected (kWh)]]*expected_production[[#This Row],[Degradation Factor]])</f>
        <v>46485.323841520403</v>
      </c>
    </row>
    <row r="192" spans="1:7" ht="15" hidden="1" customHeight="1" x14ac:dyDescent="0.3">
      <c r="A192" t="s">
        <v>60</v>
      </c>
      <c r="B192" s="2">
        <v>45597</v>
      </c>
      <c r="C192" s="52">
        <v>46388.481570000004</v>
      </c>
      <c r="D192" s="48">
        <f>_xlfn.XLOOKUP(expected_production[[#This Row],[Site Name]],Table1[[Site Name ]],Table1[Commisioned Date],"")</f>
        <v>45272</v>
      </c>
      <c r="E192" s="47">
        <f>IF(ISNUMBER(expected_production[[#This Row],[Commissioned Date]]),MAX(0,(expected_production[[#This Row],[Date]]-expected_production[[#This Row],[Commissioned Date]])/365.25),"")</f>
        <v>0.88980150581793294</v>
      </c>
      <c r="F192" s="49">
        <f>IF(expected_production[[#This Row],[Age (yrs)]]="",1,(1-DegradationRate)^expected_production[[#This Row],[Age (yrs)]])</f>
        <v>0.99376898087075505</v>
      </c>
      <c r="G192" s="52">
        <f>IF(expected_production[[#This Row],[Base Expected (kWh)]]="","",expected_production[[#This Row],[Base Expected (kWh)]]*expected_production[[#This Row],[Degradation Factor]])</f>
        <v>46099.434053960707</v>
      </c>
    </row>
    <row r="193" spans="1:7" ht="15" hidden="1" customHeight="1" x14ac:dyDescent="0.3">
      <c r="A193" t="s">
        <v>60</v>
      </c>
      <c r="B193" s="2">
        <v>45627</v>
      </c>
      <c r="C193" s="52">
        <v>50640.311422710001</v>
      </c>
      <c r="D193" s="48">
        <f>_xlfn.XLOOKUP(expected_production[[#This Row],[Site Name]],Table1[[Site Name ]],Table1[Commisioned Date],"")</f>
        <v>45272</v>
      </c>
      <c r="E193" s="47">
        <f>IF(ISNUMBER(expected_production[[#This Row],[Commissioned Date]]),MAX(0,(expected_production[[#This Row],[Date]]-expected_production[[#This Row],[Commissioned Date]])/365.25),"")</f>
        <v>0.97193702943189597</v>
      </c>
      <c r="F193" s="49">
        <f>IF(expected_production[[#This Row],[Age (yrs)]]="",1,(1-DegradationRate)^expected_production[[#This Row],[Age (yrs)]])</f>
        <v>0.99319577093697398</v>
      </c>
      <c r="G193" s="52">
        <f>IF(expected_production[[#This Row],[Base Expected (kWh)]]="","",expected_production[[#This Row],[Base Expected (kWh)]]*expected_production[[#This Row],[Degradation Factor]])</f>
        <v>50295.743143966909</v>
      </c>
    </row>
    <row r="194" spans="1:7" ht="15" hidden="1" customHeight="1" x14ac:dyDescent="0.3">
      <c r="A194" t="s">
        <v>60</v>
      </c>
      <c r="B194" s="2">
        <v>45658</v>
      </c>
      <c r="C194" s="52">
        <v>51314.734709999997</v>
      </c>
      <c r="D194" s="48">
        <f>_xlfn.XLOOKUP(expected_production[[#This Row],[Site Name]],Table1[[Site Name ]],Table1[Commisioned Date],"")</f>
        <v>45272</v>
      </c>
      <c r="E194" s="47">
        <f>IF(ISNUMBER(expected_production[[#This Row],[Commissioned Date]]),MAX(0,(expected_production[[#This Row],[Date]]-expected_production[[#This Row],[Commissioned Date]])/365.25),"")</f>
        <v>1.0568104038329911</v>
      </c>
      <c r="F194" s="49">
        <f>IF(expected_production[[#This Row],[Age (yrs)]]="",1,(1-DegradationRate)^expected_production[[#This Row],[Age (yrs)]])</f>
        <v>0.99260380134813531</v>
      </c>
      <c r="G194" s="52">
        <f>IF(expected_production[[#This Row],[Base Expected (kWh)]]="","",expected_production[[#This Row],[Base Expected (kWh)]]*expected_production[[#This Row],[Degradation Factor]])</f>
        <v>50935.2007383171</v>
      </c>
    </row>
    <row r="195" spans="1:7" ht="15" hidden="1" customHeight="1" x14ac:dyDescent="0.3">
      <c r="A195" t="s">
        <v>60</v>
      </c>
      <c r="B195" s="2">
        <v>45689</v>
      </c>
      <c r="C195" s="52">
        <v>44103.290670000002</v>
      </c>
      <c r="D195" s="48">
        <f>_xlfn.XLOOKUP(expected_production[[#This Row],[Site Name]],Table1[[Site Name ]],Table1[Commisioned Date],"")</f>
        <v>45272</v>
      </c>
      <c r="E195" s="47">
        <f>IF(ISNUMBER(expected_production[[#This Row],[Commissioned Date]]),MAX(0,(expected_production[[#This Row],[Date]]-expected_production[[#This Row],[Commissioned Date]])/365.25),"")</f>
        <v>1.1416837782340863</v>
      </c>
      <c r="F195" s="49">
        <f>IF(expected_production[[#This Row],[Age (yrs)]]="",1,(1-DegradationRate)^expected_production[[#This Row],[Age (yrs)]])</f>
        <v>0.9920121845880181</v>
      </c>
      <c r="G195" s="52">
        <f>IF(expected_production[[#This Row],[Base Expected (kWh)]]="","",expected_production[[#This Row],[Base Expected (kWh)]]*expected_production[[#This Row],[Degradation Factor]])</f>
        <v>43751.001725067057</v>
      </c>
    </row>
    <row r="196" spans="1:7" ht="15" hidden="1" customHeight="1" x14ac:dyDescent="0.3">
      <c r="A196" t="s">
        <v>60</v>
      </c>
      <c r="B196" s="2">
        <v>45717</v>
      </c>
      <c r="C196" s="52">
        <v>48739.270049999999</v>
      </c>
      <c r="D196" s="48">
        <f>_xlfn.XLOOKUP(expected_production[[#This Row],[Site Name]],Table1[[Site Name ]],Table1[Commisioned Date],"")</f>
        <v>45272</v>
      </c>
      <c r="E196" s="47">
        <f>IF(ISNUMBER(expected_production[[#This Row],[Commissioned Date]]),MAX(0,(expected_production[[#This Row],[Date]]-expected_production[[#This Row],[Commissioned Date]])/365.25),"")</f>
        <v>1.2183436002737851</v>
      </c>
      <c r="F196" s="49">
        <f>IF(expected_production[[#This Row],[Age (yrs)]]="",1,(1-DegradationRate)^expected_production[[#This Row],[Age (yrs)]])</f>
        <v>0.99147812415163894</v>
      </c>
      <c r="G196" s="52">
        <f>IF(expected_production[[#This Row],[Base Expected (kWh)]]="","",expected_production[[#This Row],[Base Expected (kWh)]]*expected_production[[#This Row],[Degradation Factor]])</f>
        <v>48323.920041694153</v>
      </c>
    </row>
    <row r="197" spans="1:7" ht="15" hidden="1" customHeight="1" x14ac:dyDescent="0.3">
      <c r="A197" t="s">
        <v>60</v>
      </c>
      <c r="B197" s="2">
        <v>45748</v>
      </c>
      <c r="C197" s="52">
        <v>46849.898880000001</v>
      </c>
      <c r="D197" s="48">
        <f>_xlfn.XLOOKUP(expected_production[[#This Row],[Site Name]],Table1[[Site Name ]],Table1[Commisioned Date],"")</f>
        <v>45272</v>
      </c>
      <c r="E197" s="47">
        <f>IF(ISNUMBER(expected_production[[#This Row],[Commissioned Date]]),MAX(0,(expected_production[[#This Row],[Date]]-expected_production[[#This Row],[Commissioned Date]])/365.25),"")</f>
        <v>1.3032169746748803</v>
      </c>
      <c r="F197" s="49">
        <f>IF(expected_production[[#This Row],[Age (yrs)]]="",1,(1-DegradationRate)^expected_production[[#This Row],[Age (yrs)]])</f>
        <v>0.99088717832336293</v>
      </c>
      <c r="G197" s="52">
        <f>IF(expected_production[[#This Row],[Base Expected (kWh)]]="","",expected_production[[#This Row],[Base Expected (kWh)]]*expected_production[[#This Row],[Degradation Factor]])</f>
        <v>46422.964105938081</v>
      </c>
    </row>
    <row r="198" spans="1:7" ht="15" hidden="1" customHeight="1" x14ac:dyDescent="0.3">
      <c r="A198" t="s">
        <v>60</v>
      </c>
      <c r="B198" s="2">
        <v>45778</v>
      </c>
      <c r="C198" s="52">
        <v>45273.233339999999</v>
      </c>
      <c r="D198" s="48">
        <f>_xlfn.XLOOKUP(expected_production[[#This Row],[Site Name]],Table1[[Site Name ]],Table1[Commisioned Date],"")</f>
        <v>45272</v>
      </c>
      <c r="E198" s="47">
        <f>IF(ISNUMBER(expected_production[[#This Row],[Commissioned Date]]),MAX(0,(expected_production[[#This Row],[Date]]-expected_production[[#This Row],[Commissioned Date]])/365.25),"")</f>
        <v>1.3853524982888432</v>
      </c>
      <c r="F198" s="49">
        <f>IF(expected_production[[#This Row],[Age (yrs)]]="",1,(1-DegradationRate)^expected_production[[#This Row],[Age (yrs)]])</f>
        <v>0.99031563062484895</v>
      </c>
      <c r="G198" s="52">
        <f>IF(expected_production[[#This Row],[Base Expected (kWh)]]="","",expected_production[[#This Row],[Base Expected (kWh)]]*expected_production[[#This Row],[Degradation Factor]])</f>
        <v>44834.790625528032</v>
      </c>
    </row>
    <row r="199" spans="1:7" ht="15" hidden="1" customHeight="1" x14ac:dyDescent="0.3">
      <c r="A199" t="s">
        <v>60</v>
      </c>
      <c r="B199" s="2">
        <v>45809</v>
      </c>
      <c r="C199" s="52">
        <v>40943.971799999999</v>
      </c>
      <c r="D199" s="48">
        <f>_xlfn.XLOOKUP(expected_production[[#This Row],[Site Name]],Table1[[Site Name ]],Table1[Commisioned Date],"")</f>
        <v>45272</v>
      </c>
      <c r="E199" s="47">
        <f>IF(ISNUMBER(expected_production[[#This Row],[Commissioned Date]]),MAX(0,(expected_production[[#This Row],[Date]]-expected_production[[#This Row],[Commissioned Date]])/365.25),"")</f>
        <v>1.4702258726899384</v>
      </c>
      <c r="F199" s="49">
        <f>IF(expected_production[[#This Row],[Age (yrs)]]="",1,(1-DegradationRate)^expected_production[[#This Row],[Age (yrs)]])</f>
        <v>0.98972537767187019</v>
      </c>
      <c r="G199" s="52">
        <f>IF(expected_production[[#This Row],[Base Expected (kWh)]]="","",expected_production[[#This Row],[Base Expected (kWh)]]*expected_production[[#This Row],[Degradation Factor]])</f>
        <v>40523.2879531414</v>
      </c>
    </row>
    <row r="200" spans="1:7" ht="15" hidden="1" customHeight="1" x14ac:dyDescent="0.3">
      <c r="A200" t="s">
        <v>60</v>
      </c>
      <c r="B200" s="2">
        <v>45839</v>
      </c>
      <c r="C200" s="52">
        <v>43112.802960000001</v>
      </c>
      <c r="D200" s="48">
        <f>_xlfn.XLOOKUP(expected_production[[#This Row],[Site Name]],Table1[[Site Name ]],Table1[Commisioned Date],"")</f>
        <v>45272</v>
      </c>
      <c r="E200" s="47">
        <f>IF(ISNUMBER(expected_production[[#This Row],[Commissioned Date]]),MAX(0,(expected_production[[#This Row],[Date]]-expected_production[[#This Row],[Commissioned Date]])/365.25),"")</f>
        <v>1.5523613963039014</v>
      </c>
      <c r="F200" s="49">
        <f>IF(expected_production[[#This Row],[Age (yrs)]]="",1,(1-DegradationRate)^expected_production[[#This Row],[Age (yrs)]])</f>
        <v>0.98915450010463157</v>
      </c>
      <c r="G200" s="52">
        <f>IF(expected_production[[#This Row],[Base Expected (kWh)]]="","",expected_production[[#This Row],[Base Expected (kWh)]]*expected_production[[#This Row],[Degradation Factor]])</f>
        <v>42645.223060008284</v>
      </c>
    </row>
    <row r="201" spans="1:7" ht="15" hidden="1" customHeight="1" x14ac:dyDescent="0.3">
      <c r="A201" t="s">
        <v>60</v>
      </c>
      <c r="B201" s="2">
        <v>45870</v>
      </c>
      <c r="C201" s="52">
        <v>48266.50275</v>
      </c>
      <c r="D201" s="48">
        <f>_xlfn.XLOOKUP(expected_production[[#This Row],[Site Name]],Table1[[Site Name ]],Table1[Commisioned Date],"")</f>
        <v>45272</v>
      </c>
      <c r="E201" s="47">
        <f>IF(ISNUMBER(expected_production[[#This Row],[Commissioned Date]]),MAX(0,(expected_production[[#This Row],[Date]]-expected_production[[#This Row],[Commissioned Date]])/365.25),"")</f>
        <v>1.6372347707049966</v>
      </c>
      <c r="F201" s="49">
        <f>IF(expected_production[[#This Row],[Age (yrs)]]="",1,(1-DegradationRate)^expected_production[[#This Row],[Age (yrs)]])</f>
        <v>0.98856493921456401</v>
      </c>
      <c r="G201" s="52">
        <f>IF(expected_production[[#This Row],[Base Expected (kWh)]]="","",expected_production[[#This Row],[Base Expected (kWh)]]*expected_production[[#This Row],[Degradation Factor]])</f>
        <v>47714.572357153338</v>
      </c>
    </row>
    <row r="202" spans="1:7" ht="15" hidden="1" customHeight="1" x14ac:dyDescent="0.3">
      <c r="A202" t="s">
        <v>60</v>
      </c>
      <c r="B202" s="2">
        <v>45901</v>
      </c>
      <c r="C202" s="52">
        <v>48602.891430000003</v>
      </c>
      <c r="D202" s="48">
        <f>_xlfn.XLOOKUP(expected_production[[#This Row],[Site Name]],Table1[[Site Name ]],Table1[Commisioned Date],"")</f>
        <v>45272</v>
      </c>
      <c r="E202" s="47">
        <f>IF(ISNUMBER(expected_production[[#This Row],[Commissioned Date]]),MAX(0,(expected_production[[#This Row],[Date]]-expected_production[[#This Row],[Commissioned Date]])/365.25),"")</f>
        <v>1.7221081451060918</v>
      </c>
      <c r="F202" s="49">
        <f>IF(expected_production[[#This Row],[Age (yrs)]]="",1,(1-DegradationRate)^expected_production[[#This Row],[Age (yrs)]])</f>
        <v>0.98797572971757319</v>
      </c>
      <c r="G202" s="52">
        <f>IF(expected_production[[#This Row],[Base Expected (kWh)]]="","",expected_production[[#This Row],[Base Expected (kWh)]]*expected_production[[#This Row],[Degradation Factor]])</f>
        <v>48018.47712693824</v>
      </c>
    </row>
    <row r="203" spans="1:7" ht="15" hidden="1" customHeight="1" x14ac:dyDescent="0.3">
      <c r="A203" t="s">
        <v>60</v>
      </c>
      <c r="B203" s="2">
        <v>45931</v>
      </c>
      <c r="C203" s="52">
        <v>46748.910779999998</v>
      </c>
      <c r="D203" s="48">
        <f>_xlfn.XLOOKUP(expected_production[[#This Row],[Site Name]],Table1[[Site Name ]],Table1[Commisioned Date],"")</f>
        <v>45272</v>
      </c>
      <c r="E203" s="47">
        <f>IF(ISNUMBER(expected_production[[#This Row],[Commissioned Date]]),MAX(0,(expected_production[[#This Row],[Date]]-expected_production[[#This Row],[Commissioned Date]])/365.25),"")</f>
        <v>1.8042436687200547</v>
      </c>
      <c r="F203" s="49">
        <f>IF(expected_production[[#This Row],[Age (yrs)]]="",1,(1-DegradationRate)^expected_production[[#This Row],[Age (yrs)]])</f>
        <v>0.98740586135429176</v>
      </c>
      <c r="G203" s="52">
        <f>IF(expected_production[[#This Row],[Base Expected (kWh)]]="","",expected_production[[#This Row],[Base Expected (kWh)]]*expected_production[[#This Row],[Degradation Factor]])</f>
        <v>46160.148516100831</v>
      </c>
    </row>
    <row r="204" spans="1:7" ht="15" hidden="1" customHeight="1" x14ac:dyDescent="0.3">
      <c r="A204" t="s">
        <v>60</v>
      </c>
      <c r="B204" s="2">
        <v>45962</v>
      </c>
      <c r="C204" s="52">
        <v>46388.481570000004</v>
      </c>
      <c r="D204" s="48">
        <f>_xlfn.XLOOKUP(expected_production[[#This Row],[Site Name]],Table1[[Site Name ]],Table1[Commisioned Date],"")</f>
        <v>45272</v>
      </c>
      <c r="E204" s="47">
        <f>IF(ISNUMBER(expected_production[[#This Row],[Commissioned Date]]),MAX(0,(expected_production[[#This Row],[Date]]-expected_production[[#This Row],[Commissioned Date]])/365.25),"")</f>
        <v>1.8891170431211499</v>
      </c>
      <c r="F204" s="49">
        <f>IF(expected_production[[#This Row],[Age (yrs)]]="",1,(1-DegradationRate)^expected_production[[#This Row],[Age (yrs)]])</f>
        <v>0.98681734269677523</v>
      </c>
      <c r="G204" s="52">
        <f>IF(expected_production[[#This Row],[Base Expected (kWh)]]="","",expected_production[[#This Row],[Base Expected (kWh)]]*expected_production[[#This Row],[Degradation Factor]])</f>
        <v>45776.958114645735</v>
      </c>
    </row>
    <row r="205" spans="1:7" ht="15" hidden="1" customHeight="1" x14ac:dyDescent="0.3">
      <c r="A205" t="s">
        <v>60</v>
      </c>
      <c r="B205" s="2">
        <v>45992</v>
      </c>
      <c r="C205" s="52">
        <v>50640.311422710001</v>
      </c>
      <c r="D205" s="48">
        <f>_xlfn.XLOOKUP(expected_production[[#This Row],[Site Name]],Table1[[Site Name ]],Table1[Commisioned Date],"")</f>
        <v>45272</v>
      </c>
      <c r="E205" s="47">
        <f>IF(ISNUMBER(expected_production[[#This Row],[Commissioned Date]]),MAX(0,(expected_production[[#This Row],[Date]]-expected_production[[#This Row],[Commissioned Date]])/365.25),"")</f>
        <v>1.9712525667351128</v>
      </c>
      <c r="F205" s="49">
        <f>IF(expected_production[[#This Row],[Age (yrs)]]="",1,(1-DegradationRate)^expected_production[[#This Row],[Age (yrs)]])</f>
        <v>0.98624814249577331</v>
      </c>
      <c r="G205" s="52">
        <f>IF(expected_production[[#This Row],[Base Expected (kWh)]]="","",expected_production[[#This Row],[Base Expected (kWh)]]*expected_production[[#This Row],[Degradation Factor]])</f>
        <v>49943.913076055229</v>
      </c>
    </row>
    <row r="206" spans="1:7" ht="15" hidden="1" customHeight="1" x14ac:dyDescent="0.3">
      <c r="A206" t="s">
        <v>60</v>
      </c>
      <c r="B206" s="2">
        <v>46023</v>
      </c>
      <c r="C206" s="52">
        <v>51314.734709999997</v>
      </c>
      <c r="D206" s="48">
        <f>_xlfn.XLOOKUP(expected_production[[#This Row],[Site Name]],Table1[[Site Name ]],Table1[Commisioned Date],"")</f>
        <v>45272</v>
      </c>
      <c r="E206" s="47">
        <f>IF(ISNUMBER(expected_production[[#This Row],[Commissioned Date]]),MAX(0,(expected_production[[#This Row],[Date]]-expected_production[[#This Row],[Commissioned Date]])/365.25),"")</f>
        <v>2.0561259411362083</v>
      </c>
      <c r="F206" s="49">
        <f>IF(expected_production[[#This Row],[Age (yrs)]]="",1,(1-DegradationRate)^expected_production[[#This Row],[Age (yrs)]])</f>
        <v>0.98566031386773201</v>
      </c>
      <c r="G206" s="52">
        <f>IF(expected_production[[#This Row],[Base Expected (kWh)]]="","",expected_production[[#This Row],[Base Expected (kWh)]]*expected_production[[#This Row],[Degradation Factor]])</f>
        <v>50578.897520298</v>
      </c>
    </row>
    <row r="207" spans="1:7" ht="15" hidden="1" customHeight="1" x14ac:dyDescent="0.3">
      <c r="A207" t="s">
        <v>60</v>
      </c>
      <c r="B207" s="2">
        <v>46054</v>
      </c>
      <c r="C207" s="52">
        <v>44103.290670000002</v>
      </c>
      <c r="D207" s="48">
        <f>_xlfn.XLOOKUP(expected_production[[#This Row],[Site Name]],Table1[[Site Name ]],Table1[Commisioned Date],"")</f>
        <v>45272</v>
      </c>
      <c r="E207" s="47">
        <f>IF(ISNUMBER(expected_production[[#This Row],[Commissioned Date]]),MAX(0,(expected_production[[#This Row],[Date]]-expected_production[[#This Row],[Commissioned Date]])/365.25),"")</f>
        <v>2.1409993155373033</v>
      </c>
      <c r="F207" s="49">
        <f>IF(expected_production[[#This Row],[Age (yrs)]]="",1,(1-DegradationRate)^expected_production[[#This Row],[Age (yrs)]])</f>
        <v>0.9850728356002959</v>
      </c>
      <c r="G207" s="52">
        <f>IF(expected_production[[#This Row],[Base Expected (kWh)]]="","",expected_production[[#This Row],[Base Expected (kWh)]]*expected_production[[#This Row],[Degradation Factor]])</f>
        <v>43444.953599600973</v>
      </c>
    </row>
    <row r="208" spans="1:7" ht="15" hidden="1" customHeight="1" x14ac:dyDescent="0.3">
      <c r="A208" t="s">
        <v>60</v>
      </c>
      <c r="B208" s="2">
        <v>46082</v>
      </c>
      <c r="C208" s="52">
        <v>48739.270049999999</v>
      </c>
      <c r="D208" s="48">
        <f>_xlfn.XLOOKUP(expected_production[[#This Row],[Site Name]],Table1[[Site Name ]],Table1[Commisioned Date],"")</f>
        <v>45272</v>
      </c>
      <c r="E208" s="47">
        <f>IF(ISNUMBER(expected_production[[#This Row],[Commissioned Date]]),MAX(0,(expected_production[[#This Row],[Date]]-expected_production[[#This Row],[Commissioned Date]])/365.25),"")</f>
        <v>2.2176591375770021</v>
      </c>
      <c r="F208" s="49">
        <f>IF(expected_production[[#This Row],[Age (yrs)]]="",1,(1-DegradationRate)^expected_production[[#This Row],[Age (yrs)]])</f>
        <v>0.98454251103713097</v>
      </c>
      <c r="G208" s="52">
        <f>IF(expected_production[[#This Row],[Base Expected (kWh)]]="","",expected_production[[#This Row],[Base Expected (kWh)]]*expected_production[[#This Row],[Degradation Factor]])</f>
        <v>47985.883321143832</v>
      </c>
    </row>
    <row r="209" spans="1:7" ht="15" hidden="1" customHeight="1" x14ac:dyDescent="0.3">
      <c r="A209" t="s">
        <v>60</v>
      </c>
      <c r="B209" s="2">
        <v>46113</v>
      </c>
      <c r="C209" s="52">
        <v>46849.898880000001</v>
      </c>
      <c r="D209" s="48">
        <f>_xlfn.XLOOKUP(expected_production[[#This Row],[Site Name]],Table1[[Site Name ]],Table1[Commisioned Date],"")</f>
        <v>45272</v>
      </c>
      <c r="E209" s="47">
        <f>IF(ISNUMBER(expected_production[[#This Row],[Commissioned Date]]),MAX(0,(expected_production[[#This Row],[Date]]-expected_production[[#This Row],[Commissioned Date]])/365.25),"")</f>
        <v>2.3025325119780971</v>
      </c>
      <c r="F209" s="49">
        <f>IF(expected_production[[#This Row],[Age (yrs)]]="",1,(1-DegradationRate)^expected_production[[#This Row],[Age (yrs)]])</f>
        <v>0.98395569900821644</v>
      </c>
      <c r="G209" s="52">
        <f>IF(expected_production[[#This Row],[Base Expected (kWh)]]="","",expected_production[[#This Row],[Base Expected (kWh)]]*expected_production[[#This Row],[Degradation Factor]])</f>
        <v>46098.225000934661</v>
      </c>
    </row>
    <row r="210" spans="1:7" ht="15" hidden="1" customHeight="1" x14ac:dyDescent="0.3">
      <c r="A210" t="s">
        <v>60</v>
      </c>
      <c r="B210" s="2">
        <v>46143</v>
      </c>
      <c r="C210" s="52">
        <v>45273.233339999999</v>
      </c>
      <c r="D210" s="48">
        <f>_xlfn.XLOOKUP(expected_production[[#This Row],[Site Name]],Table1[[Site Name ]],Table1[Commisioned Date],"")</f>
        <v>45272</v>
      </c>
      <c r="E210" s="47">
        <f>IF(ISNUMBER(expected_production[[#This Row],[Commissioned Date]]),MAX(0,(expected_production[[#This Row],[Date]]-expected_production[[#This Row],[Commissioned Date]])/365.25),"")</f>
        <v>2.3846680355920604</v>
      </c>
      <c r="F210" s="49">
        <f>IF(expected_production[[#This Row],[Age (yrs)]]="",1,(1-DegradationRate)^expected_production[[#This Row],[Age (yrs)]])</f>
        <v>0.98338814941477093</v>
      </c>
      <c r="G210" s="52">
        <f>IF(expected_production[[#This Row],[Base Expected (kWh)]]="","",expected_production[[#This Row],[Base Expected (kWh)]]*expected_production[[#This Row],[Degradation Factor]])</f>
        <v>44521.16115224571</v>
      </c>
    </row>
    <row r="211" spans="1:7" ht="15" hidden="1" customHeight="1" x14ac:dyDescent="0.3">
      <c r="A211" t="s">
        <v>60</v>
      </c>
      <c r="B211" s="2">
        <v>46174</v>
      </c>
      <c r="C211" s="52">
        <v>40943.971799999999</v>
      </c>
      <c r="D211" s="48">
        <f>_xlfn.XLOOKUP(expected_production[[#This Row],[Site Name]],Table1[[Site Name ]],Table1[Commisioned Date],"")</f>
        <v>45272</v>
      </c>
      <c r="E211" s="47">
        <f>IF(ISNUMBER(expected_production[[#This Row],[Commissioned Date]]),MAX(0,(expected_production[[#This Row],[Date]]-expected_production[[#This Row],[Commissioned Date]])/365.25),"")</f>
        <v>2.4695414099931554</v>
      </c>
      <c r="F211" s="49">
        <f>IF(expected_production[[#This Row],[Age (yrs)]]="",1,(1-DegradationRate)^expected_production[[#This Row],[Age (yrs)]])</f>
        <v>0.9828020254143347</v>
      </c>
      <c r="G211" s="52">
        <f>IF(expected_production[[#This Row],[Base Expected (kWh)]]="","",expected_production[[#This Row],[Base Expected (kWh)]]*expected_production[[#This Row],[Degradation Factor]])</f>
        <v>40239.8184135474</v>
      </c>
    </row>
    <row r="212" spans="1:7" ht="15" hidden="1" customHeight="1" x14ac:dyDescent="0.3">
      <c r="A212" t="s">
        <v>60</v>
      </c>
      <c r="B212" s="2">
        <v>46204</v>
      </c>
      <c r="C212" s="52">
        <v>43112.802960000001</v>
      </c>
      <c r="D212" s="48">
        <f>_xlfn.XLOOKUP(expected_production[[#This Row],[Site Name]],Table1[[Site Name ]],Table1[Commisioned Date],"")</f>
        <v>45272</v>
      </c>
      <c r="E212" s="47">
        <f>IF(ISNUMBER(expected_production[[#This Row],[Commissioned Date]]),MAX(0,(expected_production[[#This Row],[Date]]-expected_production[[#This Row],[Commissioned Date]])/365.25),"")</f>
        <v>2.5516769336071183</v>
      </c>
      <c r="F212" s="49">
        <f>IF(expected_production[[#This Row],[Age (yrs)]]="",1,(1-DegradationRate)^expected_production[[#This Row],[Age (yrs)]])</f>
        <v>0.982235141264445</v>
      </c>
      <c r="G212" s="52">
        <f>IF(expected_production[[#This Row],[Base Expected (kWh)]]="","",expected_production[[#This Row],[Base Expected (kWh)]]*expected_production[[#This Row],[Degradation Factor]])</f>
        <v>42346.910105721785</v>
      </c>
    </row>
    <row r="213" spans="1:7" ht="15" hidden="1" customHeight="1" x14ac:dyDescent="0.3">
      <c r="A213" t="s">
        <v>60</v>
      </c>
      <c r="B213" s="2">
        <v>46235</v>
      </c>
      <c r="C213" s="52">
        <v>48266.50275</v>
      </c>
      <c r="D213" s="48">
        <f>_xlfn.XLOOKUP(expected_production[[#This Row],[Site Name]],Table1[[Site Name ]],Table1[Commisioned Date],"")</f>
        <v>45272</v>
      </c>
      <c r="E213" s="47">
        <f>IF(ISNUMBER(expected_production[[#This Row],[Commissioned Date]]),MAX(0,(expected_production[[#This Row],[Date]]-expected_production[[#This Row],[Commissioned Date]])/365.25),"")</f>
        <v>2.6365503080082138</v>
      </c>
      <c r="F213" s="49">
        <f>IF(expected_production[[#This Row],[Age (yrs)]]="",1,(1-DegradationRate)^expected_production[[#This Row],[Age (yrs)]])</f>
        <v>0.98164970448578381</v>
      </c>
      <c r="G213" s="52">
        <f>IF(expected_production[[#This Row],[Base Expected (kWh)]]="","",expected_production[[#This Row],[Base Expected (kWh)]]*expected_production[[#This Row],[Degradation Factor]])</f>
        <v>47380.798161099774</v>
      </c>
    </row>
    <row r="214" spans="1:7" ht="15" hidden="1" customHeight="1" x14ac:dyDescent="0.3">
      <c r="A214" t="s">
        <v>60</v>
      </c>
      <c r="B214" s="2">
        <v>46266</v>
      </c>
      <c r="C214" s="52">
        <v>48602.891430000003</v>
      </c>
      <c r="D214" s="48">
        <f>_xlfn.XLOOKUP(expected_production[[#This Row],[Site Name]],Table1[[Site Name ]],Table1[Commisioned Date],"")</f>
        <v>45272</v>
      </c>
      <c r="E214" s="47">
        <f>IF(ISNUMBER(expected_production[[#This Row],[Commissioned Date]]),MAX(0,(expected_production[[#This Row],[Date]]-expected_production[[#This Row],[Commissioned Date]])/365.25),"")</f>
        <v>2.7214236824093088</v>
      </c>
      <c r="F214" s="49">
        <f>IF(expected_production[[#This Row],[Age (yrs)]]="",1,(1-DegradationRate)^expected_production[[#This Row],[Age (yrs)]])</f>
        <v>0.98106461664212541</v>
      </c>
      <c r="G214" s="52">
        <f>IF(expected_production[[#This Row],[Base Expected (kWh)]]="","",expected_production[[#This Row],[Base Expected (kWh)]]*expected_production[[#This Row],[Degradation Factor]])</f>
        <v>47682.577048471794</v>
      </c>
    </row>
    <row r="215" spans="1:7" ht="15" hidden="1" customHeight="1" x14ac:dyDescent="0.3">
      <c r="A215" t="s">
        <v>60</v>
      </c>
      <c r="B215" s="2">
        <v>46296</v>
      </c>
      <c r="C215" s="52">
        <v>46748.910779999998</v>
      </c>
      <c r="D215" s="48">
        <f>_xlfn.XLOOKUP(expected_production[[#This Row],[Site Name]],Table1[[Site Name ]],Table1[Commisioned Date],"")</f>
        <v>45272</v>
      </c>
      <c r="E215" s="47">
        <f>IF(ISNUMBER(expected_production[[#This Row],[Commissioned Date]]),MAX(0,(expected_production[[#This Row],[Date]]-expected_production[[#This Row],[Commissioned Date]])/365.25),"")</f>
        <v>2.8035592060232717</v>
      </c>
      <c r="F215" s="49">
        <f>IF(expected_production[[#This Row],[Age (yrs)]]="",1,(1-DegradationRate)^expected_production[[#This Row],[Age (yrs)]])</f>
        <v>0.98049873463658366</v>
      </c>
      <c r="G215" s="52">
        <f>IF(expected_production[[#This Row],[Base Expected (kWh)]]="","",expected_production[[#This Row],[Base Expected (kWh)]]*expected_production[[#This Row],[Degradation Factor]])</f>
        <v>45837.247865428544</v>
      </c>
    </row>
    <row r="216" spans="1:7" ht="15" hidden="1" customHeight="1" x14ac:dyDescent="0.3">
      <c r="A216" t="s">
        <v>60</v>
      </c>
      <c r="B216" s="2">
        <v>46327</v>
      </c>
      <c r="C216" s="52">
        <v>46388.481570000004</v>
      </c>
      <c r="D216" s="48">
        <f>_xlfn.XLOOKUP(expected_production[[#This Row],[Site Name]],Table1[[Site Name ]],Table1[Commisioned Date],"")</f>
        <v>45272</v>
      </c>
      <c r="E216" s="47">
        <f>IF(ISNUMBER(expected_production[[#This Row],[Commissioned Date]]),MAX(0,(expected_production[[#This Row],[Date]]-expected_production[[#This Row],[Commissioned Date]])/365.25),"")</f>
        <v>2.8884325804243667</v>
      </c>
      <c r="F216" s="49">
        <f>IF(expected_production[[#This Row],[Age (yrs)]]="",1,(1-DegradationRate)^expected_production[[#This Row],[Age (yrs)]])</f>
        <v>0.97991433279982176</v>
      </c>
      <c r="G216" s="52">
        <f>IF(expected_production[[#This Row],[Base Expected (kWh)]]="","",expected_production[[#This Row],[Base Expected (kWh)]]*expected_production[[#This Row],[Degradation Factor]])</f>
        <v>45456.737967263383</v>
      </c>
    </row>
    <row r="217" spans="1:7" ht="15" hidden="1" customHeight="1" x14ac:dyDescent="0.3">
      <c r="A217" t="s">
        <v>60</v>
      </c>
      <c r="B217" s="2">
        <v>46357</v>
      </c>
      <c r="C217" s="52">
        <v>50640.311422710001</v>
      </c>
      <c r="D217" s="48">
        <f>_xlfn.XLOOKUP(expected_production[[#This Row],[Site Name]],Table1[[Site Name ]],Table1[Commisioned Date],"")</f>
        <v>45272</v>
      </c>
      <c r="E217" s="47">
        <f>IF(ISNUMBER(expected_production[[#This Row],[Commissioned Date]]),MAX(0,(expected_production[[#This Row],[Date]]-expected_production[[#This Row],[Commissioned Date]])/365.25),"")</f>
        <v>2.97056810403833</v>
      </c>
      <c r="F217" s="49">
        <f>IF(expected_production[[#This Row],[Age (yrs)]]="",1,(1-DegradationRate)^expected_production[[#This Row],[Age (yrs)]])</f>
        <v>0.97934911428261362</v>
      </c>
      <c r="G217" s="52">
        <f>IF(expected_production[[#This Row],[Base Expected (kWh)]]="","",expected_production[[#This Row],[Base Expected (kWh)]]*expected_production[[#This Row],[Degradation Factor]])</f>
        <v>49594.544138826765</v>
      </c>
    </row>
    <row r="218" spans="1:7" ht="15" hidden="1" customHeight="1" x14ac:dyDescent="0.3">
      <c r="A218" t="s">
        <v>61</v>
      </c>
      <c r="B218" s="2">
        <v>45292</v>
      </c>
      <c r="C218" s="52">
        <v>13787.1</v>
      </c>
      <c r="D218" s="48">
        <f>_xlfn.XLOOKUP(expected_production[[#This Row],[Site Name]],Table1[[Site Name ]],Table1[Commisioned Date],"")</f>
        <v>45272</v>
      </c>
      <c r="E218" s="47">
        <f>IF(ISNUMBER(expected_production[[#This Row],[Commissioned Date]]),MAX(0,(expected_production[[#This Row],[Date]]-expected_production[[#This Row],[Commissioned Date]])/365.25),"")</f>
        <v>5.4757015742642023E-2</v>
      </c>
      <c r="F218" s="49">
        <f>IF(expected_production[[#This Row],[Age (yrs)]]="",1,(1-DegradationRate)^expected_production[[#This Row],[Age (yrs)]])</f>
        <v>0.99961542701646489</v>
      </c>
      <c r="G218" s="52">
        <f>IF(expected_production[[#This Row],[Base Expected (kWh)]]="","",expected_production[[#This Row],[Base Expected (kWh)]]*expected_production[[#This Row],[Degradation Factor]])</f>
        <v>13781.797853818704</v>
      </c>
    </row>
    <row r="219" spans="1:7" ht="15" hidden="1" customHeight="1" x14ac:dyDescent="0.3">
      <c r="A219" t="s">
        <v>61</v>
      </c>
      <c r="B219" s="2">
        <v>45323</v>
      </c>
      <c r="C219" s="52">
        <v>11359.8</v>
      </c>
      <c r="D219" s="48">
        <f>_xlfn.XLOOKUP(expected_production[[#This Row],[Site Name]],Table1[[Site Name ]],Table1[Commisioned Date],"")</f>
        <v>45272</v>
      </c>
      <c r="E219" s="47">
        <f>IF(ISNUMBER(expected_production[[#This Row],[Commissioned Date]]),MAX(0,(expected_production[[#This Row],[Date]]-expected_production[[#This Row],[Commissioned Date]])/365.25),"")</f>
        <v>0.13963039014373715</v>
      </c>
      <c r="F219" s="49">
        <f>IF(expected_production[[#This Row],[Age (yrs)]]="",1,(1-DegradationRate)^expected_production[[#This Row],[Age (yrs)]])</f>
        <v>0.99901963115159775</v>
      </c>
      <c r="G219" s="52">
        <f>IF(expected_production[[#This Row],[Base Expected (kWh)]]="","",expected_production[[#This Row],[Base Expected (kWh)]]*expected_production[[#This Row],[Degradation Factor]])</f>
        <v>11348.66320595592</v>
      </c>
    </row>
    <row r="220" spans="1:7" ht="15" hidden="1" customHeight="1" x14ac:dyDescent="0.3">
      <c r="A220" t="s">
        <v>61</v>
      </c>
      <c r="B220" s="2">
        <v>45352</v>
      </c>
      <c r="C220" s="52">
        <v>10881</v>
      </c>
      <c r="D220" s="48">
        <f>_xlfn.XLOOKUP(expected_production[[#This Row],[Site Name]],Table1[[Site Name ]],Table1[Commisioned Date],"")</f>
        <v>45272</v>
      </c>
      <c r="E220" s="47">
        <f>IF(ISNUMBER(expected_production[[#This Row],[Commissioned Date]]),MAX(0,(expected_production[[#This Row],[Date]]-expected_production[[#This Row],[Commissioned Date]])/365.25),"")</f>
        <v>0.21902806297056809</v>
      </c>
      <c r="F220" s="49">
        <f>IF(expected_production[[#This Row],[Age (yrs)]]="",1,(1-DegradationRate)^expected_production[[#This Row],[Age (yrs)]])</f>
        <v>0.9984625952166517</v>
      </c>
      <c r="G220" s="52">
        <f>IF(expected_production[[#This Row],[Base Expected (kWh)]]="","",expected_production[[#This Row],[Base Expected (kWh)]]*expected_production[[#This Row],[Degradation Factor]])</f>
        <v>10864.271498552387</v>
      </c>
    </row>
    <row r="221" spans="1:7" ht="15" hidden="1" customHeight="1" x14ac:dyDescent="0.3">
      <c r="A221" t="s">
        <v>61</v>
      </c>
      <c r="B221" s="2">
        <v>45383</v>
      </c>
      <c r="C221" s="52">
        <v>7828.2</v>
      </c>
      <c r="D221" s="48">
        <f>_xlfn.XLOOKUP(expected_production[[#This Row],[Site Name]],Table1[[Site Name ]],Table1[Commisioned Date],"")</f>
        <v>45272</v>
      </c>
      <c r="E221" s="47">
        <f>IF(ISNUMBER(expected_production[[#This Row],[Commissioned Date]]),MAX(0,(expected_production[[#This Row],[Date]]-expected_production[[#This Row],[Commissioned Date]])/365.25),"")</f>
        <v>0.30390143737166325</v>
      </c>
      <c r="F221" s="49">
        <f>IF(expected_production[[#This Row],[Age (yrs)]]="",1,(1-DegradationRate)^expected_production[[#This Row],[Age (yrs)]])</f>
        <v>0.99786748646845025</v>
      </c>
      <c r="G221" s="52">
        <f>IF(expected_production[[#This Row],[Base Expected (kWh)]]="","",expected_production[[#This Row],[Base Expected (kWh)]]*expected_production[[#This Row],[Degradation Factor]])</f>
        <v>7811.5062575723223</v>
      </c>
    </row>
    <row r="222" spans="1:7" ht="15" hidden="1" customHeight="1" x14ac:dyDescent="0.3">
      <c r="A222" t="s">
        <v>61</v>
      </c>
      <c r="B222" s="2">
        <v>45413</v>
      </c>
      <c r="C222" s="52">
        <v>5953.5</v>
      </c>
      <c r="D222" s="48">
        <f>_xlfn.XLOOKUP(expected_production[[#This Row],[Site Name]],Table1[[Site Name ]],Table1[Commisioned Date],"")</f>
        <v>45272</v>
      </c>
      <c r="E222" s="47">
        <f>IF(ISNUMBER(expected_production[[#This Row],[Commissioned Date]]),MAX(0,(expected_production[[#This Row],[Date]]-expected_production[[#This Row],[Commissioned Date]])/365.25),"")</f>
        <v>0.38603696098562629</v>
      </c>
      <c r="F222" s="49">
        <f>IF(expected_production[[#This Row],[Age (yrs)]]="",1,(1-DegradationRate)^expected_production[[#This Row],[Age (yrs)]])</f>
        <v>0.9972919125002031</v>
      </c>
      <c r="G222" s="52">
        <f>IF(expected_production[[#This Row],[Base Expected (kWh)]]="","",expected_production[[#This Row],[Base Expected (kWh)]]*expected_production[[#This Row],[Degradation Factor]])</f>
        <v>5937.377401069959</v>
      </c>
    </row>
    <row r="223" spans="1:7" ht="15" hidden="1" customHeight="1" x14ac:dyDescent="0.3">
      <c r="A223" t="s">
        <v>61</v>
      </c>
      <c r="B223" s="2">
        <v>45444</v>
      </c>
      <c r="C223" s="52">
        <v>5166</v>
      </c>
      <c r="D223" s="48">
        <f>_xlfn.XLOOKUP(expected_production[[#This Row],[Site Name]],Table1[[Site Name ]],Table1[Commisioned Date],"")</f>
        <v>45272</v>
      </c>
      <c r="E223" s="47">
        <f>IF(ISNUMBER(expected_production[[#This Row],[Commissioned Date]]),MAX(0,(expected_production[[#This Row],[Date]]-expected_production[[#This Row],[Commissioned Date]])/365.25),"")</f>
        <v>0.47091033538672145</v>
      </c>
      <c r="F223" s="49">
        <f>IF(expected_production[[#This Row],[Age (yrs)]]="",1,(1-DegradationRate)^expected_production[[#This Row],[Age (yrs)]])</f>
        <v>0.99669750150826131</v>
      </c>
      <c r="G223" s="52">
        <f>IF(expected_production[[#This Row],[Base Expected (kWh)]]="","",expected_production[[#This Row],[Base Expected (kWh)]]*expected_production[[#This Row],[Degradation Factor]])</f>
        <v>5148.9392927916779</v>
      </c>
    </row>
    <row r="224" spans="1:7" ht="15" hidden="1" customHeight="1" x14ac:dyDescent="0.3">
      <c r="A224" t="s">
        <v>61</v>
      </c>
      <c r="B224" s="2">
        <v>45474</v>
      </c>
      <c r="C224" s="52">
        <v>5564.7</v>
      </c>
      <c r="D224" s="48">
        <f>_xlfn.XLOOKUP(expected_production[[#This Row],[Site Name]],Table1[[Site Name ]],Table1[Commisioned Date],"")</f>
        <v>45272</v>
      </c>
      <c r="E224" s="47">
        <f>IF(ISNUMBER(expected_production[[#This Row],[Commissioned Date]]),MAX(0,(expected_production[[#This Row],[Date]]-expected_production[[#This Row],[Commissioned Date]])/365.25),"")</f>
        <v>0.55304585900068448</v>
      </c>
      <c r="F224" s="49">
        <f>IF(expected_production[[#This Row],[Age (yrs)]]="",1,(1-DegradationRate)^expected_production[[#This Row],[Age (yrs)]])</f>
        <v>0.99612260239203143</v>
      </c>
      <c r="G224" s="52">
        <f>IF(expected_production[[#This Row],[Base Expected (kWh)]]="","",expected_production[[#This Row],[Base Expected (kWh)]]*expected_production[[#This Row],[Degradation Factor]])</f>
        <v>5543.1234455309368</v>
      </c>
    </row>
    <row r="225" spans="1:7" ht="15" hidden="1" customHeight="1" x14ac:dyDescent="0.3">
      <c r="A225" t="s">
        <v>61</v>
      </c>
      <c r="B225" s="2">
        <v>45505</v>
      </c>
      <c r="C225" s="52">
        <v>6960.6</v>
      </c>
      <c r="D225" s="48">
        <f>_xlfn.XLOOKUP(expected_production[[#This Row],[Site Name]],Table1[[Site Name ]],Table1[Commisioned Date],"")</f>
        <v>45272</v>
      </c>
      <c r="E225" s="47">
        <f>IF(ISNUMBER(expected_production[[#This Row],[Commissioned Date]]),MAX(0,(expected_production[[#This Row],[Date]]-expected_production[[#This Row],[Commissioned Date]])/365.25),"")</f>
        <v>0.63791923340177958</v>
      </c>
      <c r="F225" s="49">
        <f>IF(expected_production[[#This Row],[Age (yrs)]]="",1,(1-DegradationRate)^expected_production[[#This Row],[Age (yrs)]])</f>
        <v>0.99552888833824049</v>
      </c>
      <c r="G225" s="52">
        <f>IF(expected_production[[#This Row],[Base Expected (kWh)]]="","",expected_production[[#This Row],[Base Expected (kWh)]]*expected_production[[#This Row],[Degradation Factor]])</f>
        <v>6929.4783801671574</v>
      </c>
    </row>
    <row r="226" spans="1:7" ht="15" hidden="1" customHeight="1" x14ac:dyDescent="0.3">
      <c r="A226" t="s">
        <v>61</v>
      </c>
      <c r="B226" s="2">
        <v>45536</v>
      </c>
      <c r="C226" s="52">
        <v>8946</v>
      </c>
      <c r="D226" s="48">
        <f>_xlfn.XLOOKUP(expected_production[[#This Row],[Site Name]],Table1[[Site Name ]],Table1[Commisioned Date],"")</f>
        <v>45272</v>
      </c>
      <c r="E226" s="47">
        <f>IF(ISNUMBER(expected_production[[#This Row],[Commissioned Date]]),MAX(0,(expected_production[[#This Row],[Date]]-expected_production[[#This Row],[Commissioned Date]])/365.25),"")</f>
        <v>0.7227926078028748</v>
      </c>
      <c r="F226" s="49">
        <f>IF(expected_production[[#This Row],[Age (yrs)]]="",1,(1-DegradationRate)^expected_production[[#This Row],[Age (yrs)]])</f>
        <v>0.99493552815291597</v>
      </c>
      <c r="G226" s="52">
        <f>IF(expected_production[[#This Row],[Base Expected (kWh)]]="","",expected_production[[#This Row],[Base Expected (kWh)]]*expected_production[[#This Row],[Degradation Factor]])</f>
        <v>8900.6932348559858</v>
      </c>
    </row>
    <row r="227" spans="1:7" ht="15" hidden="1" customHeight="1" x14ac:dyDescent="0.3">
      <c r="A227" t="s">
        <v>61</v>
      </c>
      <c r="B227" s="2">
        <v>45566</v>
      </c>
      <c r="C227" s="52">
        <v>11314.8</v>
      </c>
      <c r="D227" s="48">
        <f>_xlfn.XLOOKUP(expected_production[[#This Row],[Site Name]],Table1[[Site Name ]],Table1[Commisioned Date],"")</f>
        <v>45272</v>
      </c>
      <c r="E227" s="47">
        <f>IF(ISNUMBER(expected_production[[#This Row],[Commissioned Date]]),MAX(0,(expected_production[[#This Row],[Date]]-expected_production[[#This Row],[Commissioned Date]])/365.25),"")</f>
        <v>0.80492813141683783</v>
      </c>
      <c r="F227" s="49">
        <f>IF(expected_production[[#This Row],[Age (yrs)]]="",1,(1-DegradationRate)^expected_production[[#This Row],[Age (yrs)]])</f>
        <v>0.99436164534998406</v>
      </c>
      <c r="G227" s="52">
        <f>IF(expected_production[[#This Row],[Base Expected (kWh)]]="","",expected_production[[#This Row],[Base Expected (kWh)]]*expected_production[[#This Row],[Degradation Factor]])</f>
        <v>11251.003144805998</v>
      </c>
    </row>
    <row r="228" spans="1:7" ht="15" hidden="1" customHeight="1" x14ac:dyDescent="0.3">
      <c r="A228" t="s">
        <v>61</v>
      </c>
      <c r="B228" s="2">
        <v>45597</v>
      </c>
      <c r="C228" s="52">
        <v>12713.4</v>
      </c>
      <c r="D228" s="48">
        <f>_xlfn.XLOOKUP(expected_production[[#This Row],[Site Name]],Table1[[Site Name ]],Table1[Commisioned Date],"")</f>
        <v>45272</v>
      </c>
      <c r="E228" s="47">
        <f>IF(ISNUMBER(expected_production[[#This Row],[Commissioned Date]]),MAX(0,(expected_production[[#This Row],[Date]]-expected_production[[#This Row],[Commissioned Date]])/365.25),"")</f>
        <v>0.88980150581793294</v>
      </c>
      <c r="F228" s="49">
        <f>IF(expected_production[[#This Row],[Age (yrs)]]="",1,(1-DegradationRate)^expected_production[[#This Row],[Age (yrs)]])</f>
        <v>0.99376898087075505</v>
      </c>
      <c r="G228" s="52">
        <f>IF(expected_production[[#This Row],[Base Expected (kWh)]]="","",expected_production[[#This Row],[Base Expected (kWh)]]*expected_production[[#This Row],[Degradation Factor]])</f>
        <v>12634.182561402256</v>
      </c>
    </row>
    <row r="229" spans="1:7" ht="15" hidden="1" customHeight="1" x14ac:dyDescent="0.3">
      <c r="A229" t="s">
        <v>61</v>
      </c>
      <c r="B229" s="2">
        <v>45627</v>
      </c>
      <c r="C229" s="52">
        <v>13878.9</v>
      </c>
      <c r="D229" s="48">
        <f>_xlfn.XLOOKUP(expected_production[[#This Row],[Site Name]],Table1[[Site Name ]],Table1[Commisioned Date],"")</f>
        <v>45272</v>
      </c>
      <c r="E229" s="47">
        <f>IF(ISNUMBER(expected_production[[#This Row],[Commissioned Date]]),MAX(0,(expected_production[[#This Row],[Date]]-expected_production[[#This Row],[Commissioned Date]])/365.25),"")</f>
        <v>0.97193702943189597</v>
      </c>
      <c r="F229" s="49">
        <f>IF(expected_production[[#This Row],[Age (yrs)]]="",1,(1-DegradationRate)^expected_production[[#This Row],[Age (yrs)]])</f>
        <v>0.99319577093697398</v>
      </c>
      <c r="G229" s="52">
        <f>IF(expected_production[[#This Row],[Base Expected (kWh)]]="","",expected_production[[#This Row],[Base Expected (kWh)]]*expected_production[[#This Row],[Degradation Factor]])</f>
        <v>13784.464785257167</v>
      </c>
    </row>
    <row r="230" spans="1:7" ht="15" hidden="1" customHeight="1" x14ac:dyDescent="0.3">
      <c r="A230" t="s">
        <v>61</v>
      </c>
      <c r="B230" s="2">
        <v>45658</v>
      </c>
      <c r="C230" s="52">
        <v>13787.1</v>
      </c>
      <c r="D230" s="48">
        <f>_xlfn.XLOOKUP(expected_production[[#This Row],[Site Name]],Table1[[Site Name ]],Table1[Commisioned Date],"")</f>
        <v>45272</v>
      </c>
      <c r="E230" s="47">
        <f>IF(ISNUMBER(expected_production[[#This Row],[Commissioned Date]]),MAX(0,(expected_production[[#This Row],[Date]]-expected_production[[#This Row],[Commissioned Date]])/365.25),"")</f>
        <v>1.0568104038329911</v>
      </c>
      <c r="F230" s="49">
        <f>IF(expected_production[[#This Row],[Age (yrs)]]="",1,(1-DegradationRate)^expected_production[[#This Row],[Age (yrs)]])</f>
        <v>0.99260380134813531</v>
      </c>
      <c r="G230" s="52">
        <f>IF(expected_production[[#This Row],[Base Expected (kWh)]]="","",expected_production[[#This Row],[Base Expected (kWh)]]*expected_production[[#This Row],[Degradation Factor]])</f>
        <v>13685.127869566877</v>
      </c>
    </row>
    <row r="231" spans="1:7" ht="15" hidden="1" customHeight="1" x14ac:dyDescent="0.3">
      <c r="A231" t="s">
        <v>61</v>
      </c>
      <c r="B231" s="2">
        <v>45689</v>
      </c>
      <c r="C231" s="52">
        <v>11359.8</v>
      </c>
      <c r="D231" s="48">
        <f>_xlfn.XLOOKUP(expected_production[[#This Row],[Site Name]],Table1[[Site Name ]],Table1[Commisioned Date],"")</f>
        <v>45272</v>
      </c>
      <c r="E231" s="47">
        <f>IF(ISNUMBER(expected_production[[#This Row],[Commissioned Date]]),MAX(0,(expected_production[[#This Row],[Date]]-expected_production[[#This Row],[Commissioned Date]])/365.25),"")</f>
        <v>1.1416837782340863</v>
      </c>
      <c r="F231" s="49">
        <f>IF(expected_production[[#This Row],[Age (yrs)]]="",1,(1-DegradationRate)^expected_production[[#This Row],[Age (yrs)]])</f>
        <v>0.9920121845880181</v>
      </c>
      <c r="G231" s="52">
        <f>IF(expected_production[[#This Row],[Base Expected (kWh)]]="","",expected_production[[#This Row],[Base Expected (kWh)]]*expected_production[[#This Row],[Degradation Factor]])</f>
        <v>11269.060014482968</v>
      </c>
    </row>
    <row r="232" spans="1:7" ht="15" hidden="1" customHeight="1" x14ac:dyDescent="0.3">
      <c r="A232" t="s">
        <v>61</v>
      </c>
      <c r="B232" s="2">
        <v>45717</v>
      </c>
      <c r="C232" s="52">
        <v>10881</v>
      </c>
      <c r="D232" s="48">
        <f>_xlfn.XLOOKUP(expected_production[[#This Row],[Site Name]],Table1[[Site Name ]],Table1[Commisioned Date],"")</f>
        <v>45272</v>
      </c>
      <c r="E232" s="47">
        <f>IF(ISNUMBER(expected_production[[#This Row],[Commissioned Date]]),MAX(0,(expected_production[[#This Row],[Date]]-expected_production[[#This Row],[Commissioned Date]])/365.25),"")</f>
        <v>1.2183436002737851</v>
      </c>
      <c r="F232" s="49">
        <f>IF(expected_production[[#This Row],[Age (yrs)]]="",1,(1-DegradationRate)^expected_production[[#This Row],[Age (yrs)]])</f>
        <v>0.99147812415163894</v>
      </c>
      <c r="G232" s="52">
        <f>IF(expected_production[[#This Row],[Base Expected (kWh)]]="","",expected_production[[#This Row],[Base Expected (kWh)]]*expected_production[[#This Row],[Degradation Factor]])</f>
        <v>10788.273468893984</v>
      </c>
    </row>
    <row r="233" spans="1:7" ht="15" hidden="1" customHeight="1" x14ac:dyDescent="0.3">
      <c r="A233" t="s">
        <v>61</v>
      </c>
      <c r="B233" s="2">
        <v>45748</v>
      </c>
      <c r="C233" s="52">
        <v>7828.2</v>
      </c>
      <c r="D233" s="48">
        <f>_xlfn.XLOOKUP(expected_production[[#This Row],[Site Name]],Table1[[Site Name ]],Table1[Commisioned Date],"")</f>
        <v>45272</v>
      </c>
      <c r="E233" s="47">
        <f>IF(ISNUMBER(expected_production[[#This Row],[Commissioned Date]]),MAX(0,(expected_production[[#This Row],[Date]]-expected_production[[#This Row],[Commissioned Date]])/365.25),"")</f>
        <v>1.3032169746748803</v>
      </c>
      <c r="F233" s="49">
        <f>IF(expected_production[[#This Row],[Age (yrs)]]="",1,(1-DegradationRate)^expected_production[[#This Row],[Age (yrs)]])</f>
        <v>0.99088717832336293</v>
      </c>
      <c r="G233" s="52">
        <f>IF(expected_production[[#This Row],[Base Expected (kWh)]]="","",expected_production[[#This Row],[Base Expected (kWh)]]*expected_production[[#This Row],[Degradation Factor]])</f>
        <v>7756.8630093509491</v>
      </c>
    </row>
    <row r="234" spans="1:7" ht="15" hidden="1" customHeight="1" x14ac:dyDescent="0.3">
      <c r="A234" t="s">
        <v>61</v>
      </c>
      <c r="B234" s="2">
        <v>45778</v>
      </c>
      <c r="C234" s="52">
        <v>5953.5</v>
      </c>
      <c r="D234" s="48">
        <f>_xlfn.XLOOKUP(expected_production[[#This Row],[Site Name]],Table1[[Site Name ]],Table1[Commisioned Date],"")</f>
        <v>45272</v>
      </c>
      <c r="E234" s="47">
        <f>IF(ISNUMBER(expected_production[[#This Row],[Commissioned Date]]),MAX(0,(expected_production[[#This Row],[Date]]-expected_production[[#This Row],[Commissioned Date]])/365.25),"")</f>
        <v>1.3853524982888432</v>
      </c>
      <c r="F234" s="49">
        <f>IF(expected_production[[#This Row],[Age (yrs)]]="",1,(1-DegradationRate)^expected_production[[#This Row],[Age (yrs)]])</f>
        <v>0.99031563062484895</v>
      </c>
      <c r="G234" s="52">
        <f>IF(expected_production[[#This Row],[Base Expected (kWh)]]="","",expected_production[[#This Row],[Base Expected (kWh)]]*expected_production[[#This Row],[Degradation Factor]])</f>
        <v>5895.8441069250384</v>
      </c>
    </row>
    <row r="235" spans="1:7" ht="15" hidden="1" customHeight="1" x14ac:dyDescent="0.3">
      <c r="A235" t="s">
        <v>61</v>
      </c>
      <c r="B235" s="2">
        <v>45809</v>
      </c>
      <c r="C235" s="52">
        <v>5166</v>
      </c>
      <c r="D235" s="48">
        <f>_xlfn.XLOOKUP(expected_production[[#This Row],[Site Name]],Table1[[Site Name ]],Table1[Commisioned Date],"")</f>
        <v>45272</v>
      </c>
      <c r="E235" s="47">
        <f>IF(ISNUMBER(expected_production[[#This Row],[Commissioned Date]]),MAX(0,(expected_production[[#This Row],[Date]]-expected_production[[#This Row],[Commissioned Date]])/365.25),"")</f>
        <v>1.4702258726899384</v>
      </c>
      <c r="F235" s="49">
        <f>IF(expected_production[[#This Row],[Age (yrs)]]="",1,(1-DegradationRate)^expected_production[[#This Row],[Age (yrs)]])</f>
        <v>0.98972537767187019</v>
      </c>
      <c r="G235" s="52">
        <f>IF(expected_production[[#This Row],[Base Expected (kWh)]]="","",expected_production[[#This Row],[Base Expected (kWh)]]*expected_production[[#This Row],[Degradation Factor]])</f>
        <v>5112.9213010528811</v>
      </c>
    </row>
    <row r="236" spans="1:7" ht="15" hidden="1" customHeight="1" x14ac:dyDescent="0.3">
      <c r="A236" t="s">
        <v>61</v>
      </c>
      <c r="B236" s="2">
        <v>45839</v>
      </c>
      <c r="C236" s="52">
        <v>5564.7</v>
      </c>
      <c r="D236" s="48">
        <f>_xlfn.XLOOKUP(expected_production[[#This Row],[Site Name]],Table1[[Site Name ]],Table1[Commisioned Date],"")</f>
        <v>45272</v>
      </c>
      <c r="E236" s="47">
        <f>IF(ISNUMBER(expected_production[[#This Row],[Commissioned Date]]),MAX(0,(expected_production[[#This Row],[Date]]-expected_production[[#This Row],[Commissioned Date]])/365.25),"")</f>
        <v>1.5523613963039014</v>
      </c>
      <c r="F236" s="49">
        <f>IF(expected_production[[#This Row],[Age (yrs)]]="",1,(1-DegradationRate)^expected_production[[#This Row],[Age (yrs)]])</f>
        <v>0.98915450010463157</v>
      </c>
      <c r="G236" s="52">
        <f>IF(expected_production[[#This Row],[Base Expected (kWh)]]="","",expected_production[[#This Row],[Base Expected (kWh)]]*expected_production[[#This Row],[Degradation Factor]])</f>
        <v>5504.3480467322433</v>
      </c>
    </row>
    <row r="237" spans="1:7" ht="15" hidden="1" customHeight="1" x14ac:dyDescent="0.3">
      <c r="A237" t="s">
        <v>61</v>
      </c>
      <c r="B237" s="2">
        <v>45870</v>
      </c>
      <c r="C237" s="52">
        <v>6960.6</v>
      </c>
      <c r="D237" s="48">
        <f>_xlfn.XLOOKUP(expected_production[[#This Row],[Site Name]],Table1[[Site Name ]],Table1[Commisioned Date],"")</f>
        <v>45272</v>
      </c>
      <c r="E237" s="47">
        <f>IF(ISNUMBER(expected_production[[#This Row],[Commissioned Date]]),MAX(0,(expected_production[[#This Row],[Date]]-expected_production[[#This Row],[Commissioned Date]])/365.25),"")</f>
        <v>1.6372347707049966</v>
      </c>
      <c r="F237" s="49">
        <f>IF(expected_production[[#This Row],[Age (yrs)]]="",1,(1-DegradationRate)^expected_production[[#This Row],[Age (yrs)]])</f>
        <v>0.98856493921456401</v>
      </c>
      <c r="G237" s="52">
        <f>IF(expected_production[[#This Row],[Base Expected (kWh)]]="","",expected_production[[#This Row],[Base Expected (kWh)]]*expected_production[[#This Row],[Degradation Factor]])</f>
        <v>6881.0051158968945</v>
      </c>
    </row>
    <row r="238" spans="1:7" ht="15" hidden="1" customHeight="1" x14ac:dyDescent="0.3">
      <c r="A238" t="s">
        <v>61</v>
      </c>
      <c r="B238" s="2">
        <v>45901</v>
      </c>
      <c r="C238" s="52">
        <v>8946</v>
      </c>
      <c r="D238" s="48">
        <f>_xlfn.XLOOKUP(expected_production[[#This Row],[Site Name]],Table1[[Site Name ]],Table1[Commisioned Date],"")</f>
        <v>45272</v>
      </c>
      <c r="E238" s="47">
        <f>IF(ISNUMBER(expected_production[[#This Row],[Commissioned Date]]),MAX(0,(expected_production[[#This Row],[Date]]-expected_production[[#This Row],[Commissioned Date]])/365.25),"")</f>
        <v>1.7221081451060918</v>
      </c>
      <c r="F238" s="49">
        <f>IF(expected_production[[#This Row],[Age (yrs)]]="",1,(1-DegradationRate)^expected_production[[#This Row],[Age (yrs)]])</f>
        <v>0.98797572971757319</v>
      </c>
      <c r="G238" s="52">
        <f>IF(expected_production[[#This Row],[Base Expected (kWh)]]="","",expected_production[[#This Row],[Base Expected (kWh)]]*expected_production[[#This Row],[Degradation Factor]])</f>
        <v>8838.4308780534102</v>
      </c>
    </row>
    <row r="239" spans="1:7" ht="15" hidden="1" customHeight="1" x14ac:dyDescent="0.3">
      <c r="A239" t="s">
        <v>61</v>
      </c>
      <c r="B239" s="2">
        <v>45931</v>
      </c>
      <c r="C239" s="52">
        <v>11314.8</v>
      </c>
      <c r="D239" s="48">
        <f>_xlfn.XLOOKUP(expected_production[[#This Row],[Site Name]],Table1[[Site Name ]],Table1[Commisioned Date],"")</f>
        <v>45272</v>
      </c>
      <c r="E239" s="47">
        <f>IF(ISNUMBER(expected_production[[#This Row],[Commissioned Date]]),MAX(0,(expected_production[[#This Row],[Date]]-expected_production[[#This Row],[Commissioned Date]])/365.25),"")</f>
        <v>1.8042436687200547</v>
      </c>
      <c r="F239" s="49">
        <f>IF(expected_production[[#This Row],[Age (yrs)]]="",1,(1-DegradationRate)^expected_production[[#This Row],[Age (yrs)]])</f>
        <v>0.98740586135429176</v>
      </c>
      <c r="G239" s="52">
        <f>IF(expected_production[[#This Row],[Base Expected (kWh)]]="","",expected_production[[#This Row],[Base Expected (kWh)]]*expected_production[[#This Row],[Degradation Factor]])</f>
        <v>11172.299840051539</v>
      </c>
    </row>
    <row r="240" spans="1:7" ht="15" hidden="1" customHeight="1" x14ac:dyDescent="0.3">
      <c r="A240" t="s">
        <v>61</v>
      </c>
      <c r="B240" s="2">
        <v>45962</v>
      </c>
      <c r="C240" s="52">
        <v>12713.4</v>
      </c>
      <c r="D240" s="48">
        <f>_xlfn.XLOOKUP(expected_production[[#This Row],[Site Name]],Table1[[Site Name ]],Table1[Commisioned Date],"")</f>
        <v>45272</v>
      </c>
      <c r="E240" s="47">
        <f>IF(ISNUMBER(expected_production[[#This Row],[Commissioned Date]]),MAX(0,(expected_production[[#This Row],[Date]]-expected_production[[#This Row],[Commissioned Date]])/365.25),"")</f>
        <v>1.8891170431211499</v>
      </c>
      <c r="F240" s="49">
        <f>IF(expected_production[[#This Row],[Age (yrs)]]="",1,(1-DegradationRate)^expected_production[[#This Row],[Age (yrs)]])</f>
        <v>0.98681734269677523</v>
      </c>
      <c r="G240" s="52">
        <f>IF(expected_production[[#This Row],[Base Expected (kWh)]]="","",expected_production[[#This Row],[Base Expected (kWh)]]*expected_production[[#This Row],[Degradation Factor]])</f>
        <v>12545.803604641182</v>
      </c>
    </row>
    <row r="241" spans="1:7" ht="15" hidden="1" customHeight="1" x14ac:dyDescent="0.3">
      <c r="A241" t="s">
        <v>61</v>
      </c>
      <c r="B241" s="2">
        <v>45992</v>
      </c>
      <c r="C241" s="52">
        <v>13878.9</v>
      </c>
      <c r="D241" s="48">
        <f>_xlfn.XLOOKUP(expected_production[[#This Row],[Site Name]],Table1[[Site Name ]],Table1[Commisioned Date],"")</f>
        <v>45272</v>
      </c>
      <c r="E241" s="47">
        <f>IF(ISNUMBER(expected_production[[#This Row],[Commissioned Date]]),MAX(0,(expected_production[[#This Row],[Date]]-expected_production[[#This Row],[Commissioned Date]])/365.25),"")</f>
        <v>1.9712525667351128</v>
      </c>
      <c r="F241" s="49">
        <f>IF(expected_production[[#This Row],[Age (yrs)]]="",1,(1-DegradationRate)^expected_production[[#This Row],[Age (yrs)]])</f>
        <v>0.98624814249577331</v>
      </c>
      <c r="G241" s="52">
        <f>IF(expected_production[[#This Row],[Base Expected (kWh)]]="","",expected_production[[#This Row],[Base Expected (kWh)]]*expected_production[[#This Row],[Degradation Factor]])</f>
        <v>13688.039344884588</v>
      </c>
    </row>
    <row r="242" spans="1:7" ht="15" hidden="1" customHeight="1" x14ac:dyDescent="0.3">
      <c r="A242" t="s">
        <v>61</v>
      </c>
      <c r="B242" s="2">
        <v>46023</v>
      </c>
      <c r="C242" s="52">
        <v>13787.1</v>
      </c>
      <c r="D242" s="48">
        <f>_xlfn.XLOOKUP(expected_production[[#This Row],[Site Name]],Table1[[Site Name ]],Table1[Commisioned Date],"")</f>
        <v>45272</v>
      </c>
      <c r="E242" s="47">
        <f>IF(ISNUMBER(expected_production[[#This Row],[Commissioned Date]]),MAX(0,(expected_production[[#This Row],[Date]]-expected_production[[#This Row],[Commissioned Date]])/365.25),"")</f>
        <v>2.0561259411362083</v>
      </c>
      <c r="F242" s="49">
        <f>IF(expected_production[[#This Row],[Age (yrs)]]="",1,(1-DegradationRate)^expected_production[[#This Row],[Age (yrs)]])</f>
        <v>0.98566031386773201</v>
      </c>
      <c r="G242" s="52">
        <f>IF(expected_production[[#This Row],[Base Expected (kWh)]]="","",expected_production[[#This Row],[Base Expected (kWh)]]*expected_production[[#This Row],[Degradation Factor]])</f>
        <v>13589.397313325808</v>
      </c>
    </row>
    <row r="243" spans="1:7" ht="15" hidden="1" customHeight="1" x14ac:dyDescent="0.3">
      <c r="A243" t="s">
        <v>61</v>
      </c>
      <c r="B243" s="2">
        <v>46054</v>
      </c>
      <c r="C243" s="52">
        <v>11359.8</v>
      </c>
      <c r="D243" s="48">
        <f>_xlfn.XLOOKUP(expected_production[[#This Row],[Site Name]],Table1[[Site Name ]],Table1[Commisioned Date],"")</f>
        <v>45272</v>
      </c>
      <c r="E243" s="47">
        <f>IF(ISNUMBER(expected_production[[#This Row],[Commissioned Date]]),MAX(0,(expected_production[[#This Row],[Date]]-expected_production[[#This Row],[Commissioned Date]])/365.25),"")</f>
        <v>2.1409993155373033</v>
      </c>
      <c r="F243" s="49">
        <f>IF(expected_production[[#This Row],[Age (yrs)]]="",1,(1-DegradationRate)^expected_production[[#This Row],[Age (yrs)]])</f>
        <v>0.9850728356002959</v>
      </c>
      <c r="G243" s="52">
        <f>IF(expected_production[[#This Row],[Base Expected (kWh)]]="","",expected_production[[#This Row],[Base Expected (kWh)]]*expected_production[[#This Row],[Degradation Factor]])</f>
        <v>11190.230397852241</v>
      </c>
    </row>
    <row r="244" spans="1:7" ht="15" hidden="1" customHeight="1" x14ac:dyDescent="0.3">
      <c r="A244" t="s">
        <v>61</v>
      </c>
      <c r="B244" s="2">
        <v>46082</v>
      </c>
      <c r="C244" s="52">
        <v>10881</v>
      </c>
      <c r="D244" s="48">
        <f>_xlfn.XLOOKUP(expected_production[[#This Row],[Site Name]],Table1[[Site Name ]],Table1[Commisioned Date],"")</f>
        <v>45272</v>
      </c>
      <c r="E244" s="47">
        <f>IF(ISNUMBER(expected_production[[#This Row],[Commissioned Date]]),MAX(0,(expected_production[[#This Row],[Date]]-expected_production[[#This Row],[Commissioned Date]])/365.25),"")</f>
        <v>2.2176591375770021</v>
      </c>
      <c r="F244" s="49">
        <f>IF(expected_production[[#This Row],[Age (yrs)]]="",1,(1-DegradationRate)^expected_production[[#This Row],[Age (yrs)]])</f>
        <v>0.98454251103713097</v>
      </c>
      <c r="G244" s="52">
        <f>IF(expected_production[[#This Row],[Base Expected (kWh)]]="","",expected_production[[#This Row],[Base Expected (kWh)]]*expected_production[[#This Row],[Degradation Factor]])</f>
        <v>10712.807062595022</v>
      </c>
    </row>
    <row r="245" spans="1:7" ht="15" hidden="1" customHeight="1" x14ac:dyDescent="0.3">
      <c r="A245" t="s">
        <v>61</v>
      </c>
      <c r="B245" s="2">
        <v>46113</v>
      </c>
      <c r="C245" s="52">
        <v>7828.2</v>
      </c>
      <c r="D245" s="48">
        <f>_xlfn.XLOOKUP(expected_production[[#This Row],[Site Name]],Table1[[Site Name ]],Table1[Commisioned Date],"")</f>
        <v>45272</v>
      </c>
      <c r="E245" s="47">
        <f>IF(ISNUMBER(expected_production[[#This Row],[Commissioned Date]]),MAX(0,(expected_production[[#This Row],[Date]]-expected_production[[#This Row],[Commissioned Date]])/365.25),"")</f>
        <v>2.3025325119780971</v>
      </c>
      <c r="F245" s="49">
        <f>IF(expected_production[[#This Row],[Age (yrs)]]="",1,(1-DegradationRate)^expected_production[[#This Row],[Age (yrs)]])</f>
        <v>0.98395569900821644</v>
      </c>
      <c r="G245" s="52">
        <f>IF(expected_production[[#This Row],[Base Expected (kWh)]]="","",expected_production[[#This Row],[Base Expected (kWh)]]*expected_production[[#This Row],[Degradation Factor]])</f>
        <v>7702.6020029761194</v>
      </c>
    </row>
    <row r="246" spans="1:7" ht="15" hidden="1" customHeight="1" x14ac:dyDescent="0.3">
      <c r="A246" t="s">
        <v>61</v>
      </c>
      <c r="B246" s="2">
        <v>46143</v>
      </c>
      <c r="C246" s="52">
        <v>5953.5</v>
      </c>
      <c r="D246" s="48">
        <f>_xlfn.XLOOKUP(expected_production[[#This Row],[Site Name]],Table1[[Site Name ]],Table1[Commisioned Date],"")</f>
        <v>45272</v>
      </c>
      <c r="E246" s="47">
        <f>IF(ISNUMBER(expected_production[[#This Row],[Commissioned Date]]),MAX(0,(expected_production[[#This Row],[Date]]-expected_production[[#This Row],[Commissioned Date]])/365.25),"")</f>
        <v>2.3846680355920604</v>
      </c>
      <c r="F246" s="49">
        <f>IF(expected_production[[#This Row],[Age (yrs)]]="",1,(1-DegradationRate)^expected_production[[#This Row],[Age (yrs)]])</f>
        <v>0.98338814941477093</v>
      </c>
      <c r="G246" s="52">
        <f>IF(expected_production[[#This Row],[Base Expected (kWh)]]="","",expected_production[[#This Row],[Base Expected (kWh)]]*expected_production[[#This Row],[Degradation Factor]])</f>
        <v>5854.601347540839</v>
      </c>
    </row>
    <row r="247" spans="1:7" ht="15" hidden="1" customHeight="1" x14ac:dyDescent="0.3">
      <c r="A247" t="s">
        <v>61</v>
      </c>
      <c r="B247" s="2">
        <v>46174</v>
      </c>
      <c r="C247" s="52">
        <v>5166</v>
      </c>
      <c r="D247" s="48">
        <f>_xlfn.XLOOKUP(expected_production[[#This Row],[Site Name]],Table1[[Site Name ]],Table1[Commisioned Date],"")</f>
        <v>45272</v>
      </c>
      <c r="E247" s="47">
        <f>IF(ISNUMBER(expected_production[[#This Row],[Commissioned Date]]),MAX(0,(expected_production[[#This Row],[Date]]-expected_production[[#This Row],[Commissioned Date]])/365.25),"")</f>
        <v>2.4695414099931554</v>
      </c>
      <c r="F247" s="49">
        <f>IF(expected_production[[#This Row],[Age (yrs)]]="",1,(1-DegradationRate)^expected_production[[#This Row],[Age (yrs)]])</f>
        <v>0.9828020254143347</v>
      </c>
      <c r="G247" s="52">
        <f>IF(expected_production[[#This Row],[Base Expected (kWh)]]="","",expected_production[[#This Row],[Base Expected (kWh)]]*expected_production[[#This Row],[Degradation Factor]])</f>
        <v>5077.1552632904531</v>
      </c>
    </row>
    <row r="248" spans="1:7" ht="15" hidden="1" customHeight="1" x14ac:dyDescent="0.3">
      <c r="A248" t="s">
        <v>61</v>
      </c>
      <c r="B248" s="2">
        <v>46204</v>
      </c>
      <c r="C248" s="52">
        <v>5564.7</v>
      </c>
      <c r="D248" s="48">
        <f>_xlfn.XLOOKUP(expected_production[[#This Row],[Site Name]],Table1[[Site Name ]],Table1[Commisioned Date],"")</f>
        <v>45272</v>
      </c>
      <c r="E248" s="47">
        <f>IF(ISNUMBER(expected_production[[#This Row],[Commissioned Date]]),MAX(0,(expected_production[[#This Row],[Date]]-expected_production[[#This Row],[Commissioned Date]])/365.25),"")</f>
        <v>2.5516769336071183</v>
      </c>
      <c r="F248" s="49">
        <f>IF(expected_production[[#This Row],[Age (yrs)]]="",1,(1-DegradationRate)^expected_production[[#This Row],[Age (yrs)]])</f>
        <v>0.982235141264445</v>
      </c>
      <c r="G248" s="52">
        <f>IF(expected_production[[#This Row],[Base Expected (kWh)]]="","",expected_production[[#This Row],[Base Expected (kWh)]]*expected_production[[#This Row],[Degradation Factor]])</f>
        <v>5465.8438905942567</v>
      </c>
    </row>
    <row r="249" spans="1:7" ht="15" hidden="1" customHeight="1" x14ac:dyDescent="0.3">
      <c r="A249" t="s">
        <v>61</v>
      </c>
      <c r="B249" s="2">
        <v>46235</v>
      </c>
      <c r="C249" s="52">
        <v>6960.6</v>
      </c>
      <c r="D249" s="48">
        <f>_xlfn.XLOOKUP(expected_production[[#This Row],[Site Name]],Table1[[Site Name ]],Table1[Commisioned Date],"")</f>
        <v>45272</v>
      </c>
      <c r="E249" s="47">
        <f>IF(ISNUMBER(expected_production[[#This Row],[Commissioned Date]]),MAX(0,(expected_production[[#This Row],[Date]]-expected_production[[#This Row],[Commissioned Date]])/365.25),"")</f>
        <v>2.6365503080082138</v>
      </c>
      <c r="F249" s="49">
        <f>IF(expected_production[[#This Row],[Age (yrs)]]="",1,(1-DegradationRate)^expected_production[[#This Row],[Age (yrs)]])</f>
        <v>0.98164970448578381</v>
      </c>
      <c r="G249" s="52">
        <f>IF(expected_production[[#This Row],[Base Expected (kWh)]]="","",expected_production[[#This Row],[Base Expected (kWh)]]*expected_production[[#This Row],[Degradation Factor]])</f>
        <v>6832.8709330437468</v>
      </c>
    </row>
    <row r="250" spans="1:7" ht="15" customHeight="1" x14ac:dyDescent="0.3">
      <c r="A250" t="s">
        <v>61</v>
      </c>
      <c r="B250" s="2">
        <v>46266</v>
      </c>
      <c r="C250" s="52">
        <v>8946</v>
      </c>
      <c r="D250" s="48">
        <f>_xlfn.XLOOKUP(expected_production[[#This Row],[Site Name]],Table1[[Site Name ]],Table1[Commisioned Date],"")</f>
        <v>45272</v>
      </c>
      <c r="E250" s="47">
        <f>IF(ISNUMBER(expected_production[[#This Row],[Commissioned Date]]),MAX(0,(expected_production[[#This Row],[Date]]-expected_production[[#This Row],[Commissioned Date]])/365.25),"")</f>
        <v>2.7214236824093088</v>
      </c>
      <c r="F250" s="49">
        <f>IF(expected_production[[#This Row],[Age (yrs)]]="",1,(1-DegradationRate)^expected_production[[#This Row],[Age (yrs)]])</f>
        <v>0.98106461664212541</v>
      </c>
      <c r="G250" s="52">
        <f>IF(expected_production[[#This Row],[Base Expected (kWh)]]="","",expected_production[[#This Row],[Base Expected (kWh)]]*expected_production[[#This Row],[Degradation Factor]])</f>
        <v>8776.6040604804548</v>
      </c>
    </row>
    <row r="251" spans="1:7" ht="15" hidden="1" customHeight="1" x14ac:dyDescent="0.3">
      <c r="A251" t="s">
        <v>61</v>
      </c>
      <c r="B251" s="2">
        <v>46296</v>
      </c>
      <c r="C251" s="52">
        <v>11314.8</v>
      </c>
      <c r="D251" s="48">
        <f>_xlfn.XLOOKUP(expected_production[[#This Row],[Site Name]],Table1[[Site Name ]],Table1[Commisioned Date],"")</f>
        <v>45272</v>
      </c>
      <c r="E251" s="47">
        <f>IF(ISNUMBER(expected_production[[#This Row],[Commissioned Date]]),MAX(0,(expected_production[[#This Row],[Date]]-expected_production[[#This Row],[Commissioned Date]])/365.25),"")</f>
        <v>2.8035592060232717</v>
      </c>
      <c r="F251" s="49">
        <f>IF(expected_production[[#This Row],[Age (yrs)]]="",1,(1-DegradationRate)^expected_production[[#This Row],[Age (yrs)]])</f>
        <v>0.98049873463658366</v>
      </c>
      <c r="G251" s="52">
        <f>IF(expected_production[[#This Row],[Base Expected (kWh)]]="","",expected_production[[#This Row],[Base Expected (kWh)]]*expected_production[[#This Row],[Degradation Factor]])</f>
        <v>11094.147082666015</v>
      </c>
    </row>
    <row r="252" spans="1:7" ht="15" hidden="1" customHeight="1" x14ac:dyDescent="0.3">
      <c r="A252" t="s">
        <v>61</v>
      </c>
      <c r="B252" s="2">
        <v>46327</v>
      </c>
      <c r="C252" s="52">
        <v>12713.4</v>
      </c>
      <c r="D252" s="48">
        <f>_xlfn.XLOOKUP(expected_production[[#This Row],[Site Name]],Table1[[Site Name ]],Table1[Commisioned Date],"")</f>
        <v>45272</v>
      </c>
      <c r="E252" s="47">
        <f>IF(ISNUMBER(expected_production[[#This Row],[Commissioned Date]]),MAX(0,(expected_production[[#This Row],[Date]]-expected_production[[#This Row],[Commissioned Date]])/365.25),"")</f>
        <v>2.8884325804243667</v>
      </c>
      <c r="F252" s="49">
        <f>IF(expected_production[[#This Row],[Age (yrs)]]="",1,(1-DegradationRate)^expected_production[[#This Row],[Age (yrs)]])</f>
        <v>0.97991433279982176</v>
      </c>
      <c r="G252" s="52">
        <f>IF(expected_production[[#This Row],[Base Expected (kWh)]]="","",expected_production[[#This Row],[Base Expected (kWh)]]*expected_production[[#This Row],[Degradation Factor]])</f>
        <v>12458.042878617254</v>
      </c>
    </row>
    <row r="253" spans="1:7" ht="15" hidden="1" customHeight="1" x14ac:dyDescent="0.3">
      <c r="A253" t="s">
        <v>61</v>
      </c>
      <c r="B253" s="2">
        <v>46357</v>
      </c>
      <c r="C253" s="52">
        <v>13878.9</v>
      </c>
      <c r="D253" s="48">
        <f>_xlfn.XLOOKUP(expected_production[[#This Row],[Site Name]],Table1[[Site Name ]],Table1[Commisioned Date],"")</f>
        <v>45272</v>
      </c>
      <c r="E253" s="47">
        <f>IF(ISNUMBER(expected_production[[#This Row],[Commissioned Date]]),MAX(0,(expected_production[[#This Row],[Date]]-expected_production[[#This Row],[Commissioned Date]])/365.25),"")</f>
        <v>2.97056810403833</v>
      </c>
      <c r="F253" s="49">
        <f>IF(expected_production[[#This Row],[Age (yrs)]]="",1,(1-DegradationRate)^expected_production[[#This Row],[Age (yrs)]])</f>
        <v>0.97934911428261362</v>
      </c>
      <c r="G253" s="52">
        <f>IF(expected_production[[#This Row],[Base Expected (kWh)]]="","",expected_production[[#This Row],[Base Expected (kWh)]]*expected_production[[#This Row],[Degradation Factor]])</f>
        <v>13592.288422216965</v>
      </c>
    </row>
    <row r="254" spans="1:7" ht="15" hidden="1" customHeight="1" x14ac:dyDescent="0.3">
      <c r="A254" t="s">
        <v>66</v>
      </c>
      <c r="B254" s="2">
        <v>45292</v>
      </c>
      <c r="C254" s="52">
        <v>2202.3000000000002</v>
      </c>
      <c r="D254" s="48">
        <f>_xlfn.XLOOKUP(expected_production[[#This Row],[Site Name]],Table1[[Site Name ]],Table1[Commisioned Date],"")</f>
        <v>45183</v>
      </c>
      <c r="E254" s="47">
        <f>IF(ISNUMBER(expected_production[[#This Row],[Commissioned Date]]),MAX(0,(expected_production[[#This Row],[Date]]-expected_production[[#This Row],[Commissioned Date]])/365.25),"")</f>
        <v>0.29842573579739906</v>
      </c>
      <c r="F254" s="49">
        <f>IF(expected_production[[#This Row],[Age (yrs)]]="",1,(1-DegradationRate)^expected_production[[#This Row],[Age (yrs)]])</f>
        <v>0.99790586987523477</v>
      </c>
      <c r="G254" s="52">
        <f>IF(expected_production[[#This Row],[Base Expected (kWh)]]="","",expected_production[[#This Row],[Base Expected (kWh)]]*expected_production[[#This Row],[Degradation Factor]])</f>
        <v>2197.6880972262297</v>
      </c>
    </row>
    <row r="255" spans="1:7" ht="15" hidden="1" customHeight="1" x14ac:dyDescent="0.3">
      <c r="A255" t="s">
        <v>66</v>
      </c>
      <c r="B255" s="2">
        <v>45323</v>
      </c>
      <c r="C255" s="52">
        <v>1983.6</v>
      </c>
      <c r="D255" s="48">
        <f>_xlfn.XLOOKUP(expected_production[[#This Row],[Site Name]],Table1[[Site Name ]],Table1[Commisioned Date],"")</f>
        <v>45183</v>
      </c>
      <c r="E255" s="47">
        <f>IF(ISNUMBER(expected_production[[#This Row],[Commissioned Date]]),MAX(0,(expected_production[[#This Row],[Date]]-expected_production[[#This Row],[Commissioned Date]])/365.25),"")</f>
        <v>0.38329911019849416</v>
      </c>
      <c r="F255" s="49">
        <f>IF(expected_production[[#This Row],[Age (yrs)]]="",1,(1-DegradationRate)^expected_production[[#This Row],[Age (yrs)]])</f>
        <v>0.99731109294929954</v>
      </c>
      <c r="G255" s="52">
        <f>IF(expected_production[[#This Row],[Base Expected (kWh)]]="","",expected_production[[#This Row],[Base Expected (kWh)]]*expected_production[[#This Row],[Degradation Factor]])</f>
        <v>1978.2662839742304</v>
      </c>
    </row>
    <row r="256" spans="1:7" ht="15" hidden="1" customHeight="1" x14ac:dyDescent="0.3">
      <c r="A256" t="s">
        <v>66</v>
      </c>
      <c r="B256" s="2">
        <v>45352</v>
      </c>
      <c r="C256" s="52">
        <v>2127.6</v>
      </c>
      <c r="D256" s="48">
        <f>_xlfn.XLOOKUP(expected_production[[#This Row],[Site Name]],Table1[[Site Name ]],Table1[Commisioned Date],"")</f>
        <v>45183</v>
      </c>
      <c r="E256" s="47">
        <f>IF(ISNUMBER(expected_production[[#This Row],[Commissioned Date]]),MAX(0,(expected_production[[#This Row],[Date]]-expected_production[[#This Row],[Commissioned Date]])/365.25),"")</f>
        <v>0.46269678302532513</v>
      </c>
      <c r="F256" s="49">
        <f>IF(expected_production[[#This Row],[Age (yrs)]]="",1,(1-DegradationRate)^expected_production[[#This Row],[Age (yrs)]])</f>
        <v>0.99675500966547792</v>
      </c>
      <c r="G256" s="52">
        <f>IF(expected_production[[#This Row],[Base Expected (kWh)]]="","",expected_production[[#This Row],[Base Expected (kWh)]]*expected_production[[#This Row],[Degradation Factor]])</f>
        <v>2120.6959585642708</v>
      </c>
    </row>
    <row r="257" spans="1:7" ht="15" hidden="1" customHeight="1" x14ac:dyDescent="0.3">
      <c r="A257" t="s">
        <v>66</v>
      </c>
      <c r="B257" s="2">
        <v>45383</v>
      </c>
      <c r="C257" s="52">
        <v>1767.6</v>
      </c>
      <c r="D257" s="48">
        <f>_xlfn.XLOOKUP(expected_production[[#This Row],[Site Name]],Table1[[Site Name ]],Table1[Commisioned Date],"")</f>
        <v>45183</v>
      </c>
      <c r="E257" s="47">
        <f>IF(ISNUMBER(expected_production[[#This Row],[Commissioned Date]]),MAX(0,(expected_production[[#This Row],[Date]]-expected_production[[#This Row],[Commissioned Date]])/365.25),"")</f>
        <v>0.54757015742642023</v>
      </c>
      <c r="F257" s="49">
        <f>IF(expected_production[[#This Row],[Age (yrs)]]="",1,(1-DegradationRate)^expected_production[[#This Row],[Age (yrs)]])</f>
        <v>0.99616091868109125</v>
      </c>
      <c r="G257" s="52">
        <f>IF(expected_production[[#This Row],[Base Expected (kWh)]]="","",expected_production[[#This Row],[Base Expected (kWh)]]*expected_production[[#This Row],[Degradation Factor]])</f>
        <v>1760.8140398606968</v>
      </c>
    </row>
    <row r="258" spans="1:7" ht="15" hidden="1" customHeight="1" x14ac:dyDescent="0.3">
      <c r="A258" t="s">
        <v>66</v>
      </c>
      <c r="B258" s="2">
        <v>45413</v>
      </c>
      <c r="C258" s="52">
        <v>1631.7</v>
      </c>
      <c r="D258" s="48">
        <f>_xlfn.XLOOKUP(expected_production[[#This Row],[Site Name]],Table1[[Site Name ]],Table1[Commisioned Date],"")</f>
        <v>45183</v>
      </c>
      <c r="E258" s="47">
        <f>IF(ISNUMBER(expected_production[[#This Row],[Commissioned Date]]),MAX(0,(expected_production[[#This Row],[Date]]-expected_production[[#This Row],[Commissioned Date]])/365.25),"")</f>
        <v>0.62970568104038327</v>
      </c>
      <c r="F258" s="49">
        <f>IF(expected_production[[#This Row],[Age (yrs)]]="",1,(1-DegradationRate)^expected_production[[#This Row],[Age (yrs)]])</f>
        <v>0.99558632906798805</v>
      </c>
      <c r="G258" s="52">
        <f>IF(expected_production[[#This Row],[Base Expected (kWh)]]="","",expected_production[[#This Row],[Base Expected (kWh)]]*expected_production[[#This Row],[Degradation Factor]])</f>
        <v>1624.4982131402362</v>
      </c>
    </row>
    <row r="259" spans="1:7" ht="15" hidden="1" customHeight="1" x14ac:dyDescent="0.3">
      <c r="A259" t="s">
        <v>66</v>
      </c>
      <c r="B259" s="2">
        <v>45444</v>
      </c>
      <c r="C259" s="52">
        <v>1480.5</v>
      </c>
      <c r="D259" s="48">
        <f>_xlfn.XLOOKUP(expected_production[[#This Row],[Site Name]],Table1[[Site Name ]],Table1[Commisioned Date],"")</f>
        <v>45183</v>
      </c>
      <c r="E259" s="47">
        <f>IF(ISNUMBER(expected_production[[#This Row],[Commissioned Date]]),MAX(0,(expected_production[[#This Row],[Date]]-expected_production[[#This Row],[Commissioned Date]])/365.25),"")</f>
        <v>0.71457905544147848</v>
      </c>
      <c r="F259" s="49">
        <f>IF(expected_production[[#This Row],[Age (yrs)]]="",1,(1-DegradationRate)^expected_production[[#This Row],[Age (yrs)]])</f>
        <v>0.99499293464654803</v>
      </c>
      <c r="G259" s="52">
        <f>IF(expected_production[[#This Row],[Base Expected (kWh)]]="","",expected_production[[#This Row],[Base Expected (kWh)]]*expected_production[[#This Row],[Degradation Factor]])</f>
        <v>1473.0870397442143</v>
      </c>
    </row>
    <row r="260" spans="1:7" ht="15" hidden="1" customHeight="1" x14ac:dyDescent="0.3">
      <c r="A260" t="s">
        <v>66</v>
      </c>
      <c r="B260" s="2">
        <v>45474</v>
      </c>
      <c r="C260" s="52">
        <v>1612.8</v>
      </c>
      <c r="D260" s="48">
        <f>_xlfn.XLOOKUP(expected_production[[#This Row],[Site Name]],Table1[[Site Name ]],Table1[Commisioned Date],"")</f>
        <v>45183</v>
      </c>
      <c r="E260" s="47">
        <f>IF(ISNUMBER(expected_production[[#This Row],[Commissioned Date]]),MAX(0,(expected_production[[#This Row],[Date]]-expected_production[[#This Row],[Commissioned Date]])/365.25),"")</f>
        <v>0.79671457905544152</v>
      </c>
      <c r="F260" s="49">
        <f>IF(expected_production[[#This Row],[Age (yrs)]]="",1,(1-DegradationRate)^expected_production[[#This Row],[Age (yrs)]])</f>
        <v>0.99441901873132033</v>
      </c>
      <c r="G260" s="52">
        <f>IF(expected_production[[#This Row],[Base Expected (kWh)]]="","",expected_production[[#This Row],[Base Expected (kWh)]]*expected_production[[#This Row],[Degradation Factor]])</f>
        <v>1603.7989934098734</v>
      </c>
    </row>
    <row r="261" spans="1:7" ht="15" hidden="1" customHeight="1" x14ac:dyDescent="0.3">
      <c r="A261" t="s">
        <v>66</v>
      </c>
      <c r="B261" s="2">
        <v>45505</v>
      </c>
      <c r="C261" s="52">
        <v>1764</v>
      </c>
      <c r="D261" s="48">
        <f>_xlfn.XLOOKUP(expected_production[[#This Row],[Site Name]],Table1[[Site Name ]],Table1[Commisioned Date],"")</f>
        <v>45183</v>
      </c>
      <c r="E261" s="47">
        <f>IF(ISNUMBER(expected_production[[#This Row],[Commissioned Date]]),MAX(0,(expected_production[[#This Row],[Date]]-expected_production[[#This Row],[Commissioned Date]])/365.25),"")</f>
        <v>0.88158795345653662</v>
      </c>
      <c r="F261" s="49">
        <f>IF(expected_production[[#This Row],[Age (yrs)]]="",1,(1-DegradationRate)^expected_production[[#This Row],[Age (yrs)]])</f>
        <v>0.99382632005611704</v>
      </c>
      <c r="G261" s="52">
        <f>IF(expected_production[[#This Row],[Base Expected (kWh)]]="","",expected_production[[#This Row],[Base Expected (kWh)]]*expected_production[[#This Row],[Degradation Factor]])</f>
        <v>1753.1096285789904</v>
      </c>
    </row>
    <row r="262" spans="1:7" ht="15" hidden="1" customHeight="1" x14ac:dyDescent="0.3">
      <c r="A262" t="s">
        <v>66</v>
      </c>
      <c r="B262" s="2">
        <v>45536</v>
      </c>
      <c r="C262" s="52">
        <v>1868.4</v>
      </c>
      <c r="D262" s="48">
        <f>_xlfn.XLOOKUP(expected_production[[#This Row],[Site Name]],Table1[[Site Name ]],Table1[Commisioned Date],"")</f>
        <v>45183</v>
      </c>
      <c r="E262" s="47">
        <f>IF(ISNUMBER(expected_production[[#This Row],[Commissioned Date]]),MAX(0,(expected_production[[#This Row],[Date]]-expected_production[[#This Row],[Commissioned Date]])/365.25),"")</f>
        <v>0.96646132785763172</v>
      </c>
      <c r="F262" s="49">
        <f>IF(expected_production[[#This Row],[Age (yrs)]]="",1,(1-DegradationRate)^expected_production[[#This Row],[Age (yrs)]])</f>
        <v>0.99323397464418917</v>
      </c>
      <c r="G262" s="52">
        <f>IF(expected_production[[#This Row],[Base Expected (kWh)]]="","",expected_production[[#This Row],[Base Expected (kWh)]]*expected_production[[#This Row],[Degradation Factor]])</f>
        <v>1855.7583582252032</v>
      </c>
    </row>
    <row r="263" spans="1:7" ht="15" hidden="1" customHeight="1" x14ac:dyDescent="0.3">
      <c r="A263" t="s">
        <v>66</v>
      </c>
      <c r="B263" s="2">
        <v>45566</v>
      </c>
      <c r="C263" s="52">
        <v>1900.8</v>
      </c>
      <c r="D263" s="48">
        <f>_xlfn.XLOOKUP(expected_production[[#This Row],[Site Name]],Table1[[Site Name ]],Table1[Commisioned Date],"")</f>
        <v>45183</v>
      </c>
      <c r="E263" s="47">
        <f>IF(ISNUMBER(expected_production[[#This Row],[Commissioned Date]]),MAX(0,(expected_production[[#This Row],[Date]]-expected_production[[#This Row],[Commissioned Date]])/365.25),"")</f>
        <v>1.0485968514715949</v>
      </c>
      <c r="F263" s="49">
        <f>IF(expected_production[[#This Row],[Age (yrs)]]="",1,(1-DegradationRate)^expected_production[[#This Row],[Age (yrs)]])</f>
        <v>0.99266107330414532</v>
      </c>
      <c r="G263" s="52">
        <f>IF(expected_production[[#This Row],[Base Expected (kWh)]]="","",expected_production[[#This Row],[Base Expected (kWh)]]*expected_production[[#This Row],[Degradation Factor]])</f>
        <v>1886.8501681365194</v>
      </c>
    </row>
    <row r="264" spans="1:7" ht="15" hidden="1" customHeight="1" x14ac:dyDescent="0.3">
      <c r="A264" t="s">
        <v>66</v>
      </c>
      <c r="B264" s="2">
        <v>45597</v>
      </c>
      <c r="C264" s="52">
        <v>1835.1</v>
      </c>
      <c r="D264" s="48">
        <f>_xlfn.XLOOKUP(expected_production[[#This Row],[Site Name]],Table1[[Site Name ]],Table1[Commisioned Date],"")</f>
        <v>45183</v>
      </c>
      <c r="E264" s="47">
        <f>IF(ISNUMBER(expected_production[[#This Row],[Commissioned Date]]),MAX(0,(expected_production[[#This Row],[Date]]-expected_production[[#This Row],[Commissioned Date]])/365.25),"")</f>
        <v>1.1334702258726899</v>
      </c>
      <c r="F264" s="49">
        <f>IF(expected_production[[#This Row],[Age (yrs)]]="",1,(1-DegradationRate)^expected_production[[#This Row],[Age (yrs)]])</f>
        <v>0.99206942240850593</v>
      </c>
      <c r="G264" s="52">
        <f>IF(expected_production[[#This Row],[Base Expected (kWh)]]="","",expected_production[[#This Row],[Base Expected (kWh)]]*expected_production[[#This Row],[Degradation Factor]])</f>
        <v>1820.5465970618491</v>
      </c>
    </row>
    <row r="265" spans="1:7" ht="15" hidden="1" customHeight="1" x14ac:dyDescent="0.3">
      <c r="A265" t="s">
        <v>66</v>
      </c>
      <c r="B265" s="2">
        <v>45627</v>
      </c>
      <c r="C265" s="52">
        <v>1986.3</v>
      </c>
      <c r="D265" s="48">
        <f>_xlfn.XLOOKUP(expected_production[[#This Row],[Site Name]],Table1[[Site Name ]],Table1[Commisioned Date],"")</f>
        <v>45183</v>
      </c>
      <c r="E265" s="47">
        <f>IF(ISNUMBER(expected_production[[#This Row],[Commissioned Date]]),MAX(0,(expected_production[[#This Row],[Date]]-expected_production[[#This Row],[Commissioned Date]])/365.25),"")</f>
        <v>1.215605749486653</v>
      </c>
      <c r="F265" s="49">
        <f>IF(expected_production[[#This Row],[Age (yrs)]]="",1,(1-DegradationRate)^expected_production[[#This Row],[Age (yrs)]])</f>
        <v>0.99149719278686221</v>
      </c>
      <c r="G265" s="52">
        <f>IF(expected_production[[#This Row],[Base Expected (kWh)]]="","",expected_production[[#This Row],[Base Expected (kWh)]]*expected_production[[#This Row],[Degradation Factor]])</f>
        <v>1969.4108740325444</v>
      </c>
    </row>
    <row r="266" spans="1:7" ht="15" hidden="1" customHeight="1" x14ac:dyDescent="0.3">
      <c r="A266" t="s">
        <v>66</v>
      </c>
      <c r="B266" s="2">
        <v>45658</v>
      </c>
      <c r="C266" s="52">
        <v>2202.3000000000002</v>
      </c>
      <c r="D266" s="48">
        <f>_xlfn.XLOOKUP(expected_production[[#This Row],[Site Name]],Table1[[Site Name ]],Table1[Commisioned Date],"")</f>
        <v>45183</v>
      </c>
      <c r="E266" s="47">
        <f>IF(ISNUMBER(expected_production[[#This Row],[Commissioned Date]]),MAX(0,(expected_production[[#This Row],[Date]]-expected_production[[#This Row],[Commissioned Date]])/365.25),"")</f>
        <v>1.3004791238877482</v>
      </c>
      <c r="F266" s="49">
        <f>IF(expected_production[[#This Row],[Age (yrs)]]="",1,(1-DegradationRate)^expected_production[[#This Row],[Age (yrs)]])</f>
        <v>0.99090623559320123</v>
      </c>
      <c r="G266" s="52">
        <f>IF(expected_production[[#This Row],[Base Expected (kWh)]]="","",expected_production[[#This Row],[Base Expected (kWh)]]*expected_production[[#This Row],[Degradation Factor]])</f>
        <v>2182.2728026469072</v>
      </c>
    </row>
    <row r="267" spans="1:7" ht="15" hidden="1" customHeight="1" x14ac:dyDescent="0.3">
      <c r="A267" t="s">
        <v>66</v>
      </c>
      <c r="B267" s="2">
        <v>45689</v>
      </c>
      <c r="C267" s="52">
        <v>1983.6</v>
      </c>
      <c r="D267" s="48">
        <f>_xlfn.XLOOKUP(expected_production[[#This Row],[Site Name]],Table1[[Site Name ]],Table1[Commisioned Date],"")</f>
        <v>45183</v>
      </c>
      <c r="E267" s="47">
        <f>IF(ISNUMBER(expected_production[[#This Row],[Commissioned Date]]),MAX(0,(expected_production[[#This Row],[Date]]-expected_production[[#This Row],[Commissioned Date]])/365.25),"")</f>
        <v>1.3853524982888432</v>
      </c>
      <c r="F267" s="49">
        <f>IF(expected_production[[#This Row],[Age (yrs)]]="",1,(1-DegradationRate)^expected_production[[#This Row],[Age (yrs)]])</f>
        <v>0.99031563062484895</v>
      </c>
      <c r="G267" s="52">
        <f>IF(expected_production[[#This Row],[Base Expected (kWh)]]="","",expected_production[[#This Row],[Base Expected (kWh)]]*expected_production[[#This Row],[Degradation Factor]])</f>
        <v>1964.3900849074503</v>
      </c>
    </row>
    <row r="268" spans="1:7" ht="15" hidden="1" customHeight="1" x14ac:dyDescent="0.3">
      <c r="A268" t="s">
        <v>66</v>
      </c>
      <c r="B268" s="2">
        <v>45717</v>
      </c>
      <c r="C268" s="52">
        <v>2127.6</v>
      </c>
      <c r="D268" s="48">
        <f>_xlfn.XLOOKUP(expected_production[[#This Row],[Site Name]],Table1[[Site Name ]],Table1[Commisioned Date],"")</f>
        <v>45183</v>
      </c>
      <c r="E268" s="47">
        <f>IF(ISNUMBER(expected_production[[#This Row],[Commissioned Date]]),MAX(0,(expected_production[[#This Row],[Date]]-expected_production[[#This Row],[Commissioned Date]])/365.25),"")</f>
        <v>1.462012320328542</v>
      </c>
      <c r="F268" s="49">
        <f>IF(expected_production[[#This Row],[Age (yrs)]]="",1,(1-DegradationRate)^expected_production[[#This Row],[Age (yrs)]])</f>
        <v>0.98978248354655562</v>
      </c>
      <c r="G268" s="52">
        <f>IF(expected_production[[#This Row],[Base Expected (kWh)]]="","",expected_production[[#This Row],[Base Expected (kWh)]]*expected_production[[#This Row],[Degradation Factor]])</f>
        <v>2105.8612119936515</v>
      </c>
    </row>
    <row r="269" spans="1:7" ht="15" hidden="1" customHeight="1" x14ac:dyDescent="0.3">
      <c r="A269" t="s">
        <v>66</v>
      </c>
      <c r="B269" s="2">
        <v>45748</v>
      </c>
      <c r="C269" s="52">
        <v>1767.6</v>
      </c>
      <c r="D269" s="48">
        <f>_xlfn.XLOOKUP(expected_production[[#This Row],[Site Name]],Table1[[Site Name ]],Table1[Commisioned Date],"")</f>
        <v>45183</v>
      </c>
      <c r="E269" s="47">
        <f>IF(ISNUMBER(expected_production[[#This Row],[Commissioned Date]]),MAX(0,(expected_production[[#This Row],[Date]]-expected_production[[#This Row],[Commissioned Date]])/365.25),"")</f>
        <v>1.5468856947296372</v>
      </c>
      <c r="F269" s="49">
        <f>IF(expected_production[[#This Row],[Age (yrs)]]="",1,(1-DegradationRate)^expected_production[[#This Row],[Age (yrs)]])</f>
        <v>0.98919254836260684</v>
      </c>
      <c r="G269" s="52">
        <f>IF(expected_production[[#This Row],[Base Expected (kWh)]]="","",expected_production[[#This Row],[Base Expected (kWh)]]*expected_production[[#This Row],[Degradation Factor]])</f>
        <v>1748.4967484857439</v>
      </c>
    </row>
    <row r="270" spans="1:7" ht="15" hidden="1" customHeight="1" x14ac:dyDescent="0.3">
      <c r="A270" t="s">
        <v>66</v>
      </c>
      <c r="B270" s="2">
        <v>45778</v>
      </c>
      <c r="C270" s="52">
        <v>1631.7</v>
      </c>
      <c r="D270" s="48">
        <f>_xlfn.XLOOKUP(expected_production[[#This Row],[Site Name]],Table1[[Site Name ]],Table1[Commisioned Date],"")</f>
        <v>45183</v>
      </c>
      <c r="E270" s="47">
        <f>IF(ISNUMBER(expected_production[[#This Row],[Commissioned Date]]),MAX(0,(expected_production[[#This Row],[Date]]-expected_production[[#This Row],[Commissioned Date]])/365.25),"")</f>
        <v>1.6290212183436004</v>
      </c>
      <c r="F270" s="49">
        <f>IF(expected_production[[#This Row],[Age (yrs)]]="",1,(1-DegradationRate)^expected_production[[#This Row],[Age (yrs)]])</f>
        <v>0.98862197813345076</v>
      </c>
      <c r="G270" s="52">
        <f>IF(expected_production[[#This Row],[Base Expected (kWh)]]="","",expected_production[[#This Row],[Base Expected (kWh)]]*expected_production[[#This Row],[Degradation Factor]])</f>
        <v>1613.1344817203517</v>
      </c>
    </row>
    <row r="271" spans="1:7" ht="15" hidden="1" customHeight="1" x14ac:dyDescent="0.3">
      <c r="A271" t="s">
        <v>66</v>
      </c>
      <c r="B271" s="2">
        <v>45809</v>
      </c>
      <c r="C271" s="52">
        <v>1480.5</v>
      </c>
      <c r="D271" s="48">
        <f>_xlfn.XLOOKUP(expected_production[[#This Row],[Site Name]],Table1[[Site Name ]],Table1[Commisioned Date],"")</f>
        <v>45183</v>
      </c>
      <c r="E271" s="47">
        <f>IF(ISNUMBER(expected_production[[#This Row],[Commissioned Date]]),MAX(0,(expected_production[[#This Row],[Date]]-expected_production[[#This Row],[Commissioned Date]])/365.25),"")</f>
        <v>1.7138945927446954</v>
      </c>
      <c r="F271" s="49">
        <f>IF(expected_production[[#This Row],[Age (yrs)]]="",1,(1-DegradationRate)^expected_production[[#This Row],[Age (yrs)]])</f>
        <v>0.98803273463983365</v>
      </c>
      <c r="G271" s="52">
        <f>IF(expected_production[[#This Row],[Base Expected (kWh)]]="","",expected_production[[#This Row],[Base Expected (kWh)]]*expected_production[[#This Row],[Degradation Factor]])</f>
        <v>1462.7824636342737</v>
      </c>
    </row>
    <row r="272" spans="1:7" ht="15" hidden="1" customHeight="1" x14ac:dyDescent="0.3">
      <c r="A272" t="s">
        <v>66</v>
      </c>
      <c r="B272" s="2">
        <v>45839</v>
      </c>
      <c r="C272" s="52">
        <v>1612.8</v>
      </c>
      <c r="D272" s="48">
        <f>_xlfn.XLOOKUP(expected_production[[#This Row],[Site Name]],Table1[[Site Name ]],Table1[Commisioned Date],"")</f>
        <v>45183</v>
      </c>
      <c r="E272" s="47">
        <f>IF(ISNUMBER(expected_production[[#This Row],[Commissioned Date]]),MAX(0,(expected_production[[#This Row],[Date]]-expected_production[[#This Row],[Commissioned Date]])/365.25),"")</f>
        <v>1.7960301163586585</v>
      </c>
      <c r="F272" s="49">
        <f>IF(expected_production[[#This Row],[Age (yrs)]]="",1,(1-DegradationRate)^expected_production[[#This Row],[Age (yrs)]])</f>
        <v>0.98746283339588448</v>
      </c>
      <c r="G272" s="52">
        <f>IF(expected_production[[#This Row],[Base Expected (kWh)]]="","",expected_production[[#This Row],[Base Expected (kWh)]]*expected_production[[#This Row],[Degradation Factor]])</f>
        <v>1592.5800577008824</v>
      </c>
    </row>
    <row r="273" spans="1:7" ht="15" hidden="1" customHeight="1" x14ac:dyDescent="0.3">
      <c r="A273" t="s">
        <v>66</v>
      </c>
      <c r="B273" s="2">
        <v>45870</v>
      </c>
      <c r="C273" s="52">
        <v>1764</v>
      </c>
      <c r="D273" s="48">
        <f>_xlfn.XLOOKUP(expected_production[[#This Row],[Site Name]],Table1[[Site Name ]],Table1[Commisioned Date],"")</f>
        <v>45183</v>
      </c>
      <c r="E273" s="47">
        <f>IF(ISNUMBER(expected_production[[#This Row],[Commissioned Date]]),MAX(0,(expected_production[[#This Row],[Date]]-expected_production[[#This Row],[Commissioned Date]])/365.25),"")</f>
        <v>1.8809034907597535</v>
      </c>
      <c r="F273" s="49">
        <f>IF(expected_production[[#This Row],[Age (yrs)]]="",1,(1-DegradationRate)^expected_production[[#This Row],[Age (yrs)]])</f>
        <v>0.98687428078160233</v>
      </c>
      <c r="G273" s="52">
        <f>IF(expected_production[[#This Row],[Base Expected (kWh)]]="","",expected_production[[#This Row],[Base Expected (kWh)]]*expected_production[[#This Row],[Degradation Factor]])</f>
        <v>1740.8462312987465</v>
      </c>
    </row>
    <row r="274" spans="1:7" ht="15" hidden="1" customHeight="1" x14ac:dyDescent="0.3">
      <c r="A274" t="s">
        <v>66</v>
      </c>
      <c r="B274" s="2">
        <v>45901</v>
      </c>
      <c r="C274" s="52">
        <v>1868.4</v>
      </c>
      <c r="D274" s="48">
        <f>_xlfn.XLOOKUP(expected_production[[#This Row],[Site Name]],Table1[[Site Name ]],Table1[Commisioned Date],"")</f>
        <v>45183</v>
      </c>
      <c r="E274" s="47">
        <f>IF(ISNUMBER(expected_production[[#This Row],[Commissioned Date]]),MAX(0,(expected_production[[#This Row],[Date]]-expected_production[[#This Row],[Commissioned Date]])/365.25),"")</f>
        <v>1.9657768651608487</v>
      </c>
      <c r="F274" s="49">
        <f>IF(expected_production[[#This Row],[Age (yrs)]]="",1,(1-DegradationRate)^expected_production[[#This Row],[Age (yrs)]])</f>
        <v>0.98628607895943921</v>
      </c>
      <c r="G274" s="52">
        <f>IF(expected_production[[#This Row],[Base Expected (kWh)]]="","",expected_production[[#This Row],[Base Expected (kWh)]]*expected_production[[#This Row],[Degradation Factor]])</f>
        <v>1842.7769099278164</v>
      </c>
    </row>
    <row r="275" spans="1:7" ht="15" hidden="1" customHeight="1" x14ac:dyDescent="0.3">
      <c r="A275" t="s">
        <v>66</v>
      </c>
      <c r="B275" s="2">
        <v>45931</v>
      </c>
      <c r="C275" s="52">
        <v>1900.8</v>
      </c>
      <c r="D275" s="48">
        <f>_xlfn.XLOOKUP(expected_production[[#This Row],[Site Name]],Table1[[Site Name ]],Table1[Commisioned Date],"")</f>
        <v>45183</v>
      </c>
      <c r="E275" s="47">
        <f>IF(ISNUMBER(expected_production[[#This Row],[Commissioned Date]]),MAX(0,(expected_production[[#This Row],[Date]]-expected_production[[#This Row],[Commissioned Date]])/365.25),"")</f>
        <v>2.0479123887748116</v>
      </c>
      <c r="F275" s="49">
        <f>IF(expected_production[[#This Row],[Age (yrs)]]="",1,(1-DegradationRate)^expected_production[[#This Row],[Age (yrs)]])</f>
        <v>0.98571718519349161</v>
      </c>
      <c r="G275" s="52">
        <f>IF(expected_production[[#This Row],[Base Expected (kWh)]]="","",expected_production[[#This Row],[Base Expected (kWh)]]*expected_production[[#This Row],[Degradation Factor]])</f>
        <v>1873.6512256157887</v>
      </c>
    </row>
    <row r="276" spans="1:7" ht="15" hidden="1" customHeight="1" x14ac:dyDescent="0.3">
      <c r="A276" t="s">
        <v>66</v>
      </c>
      <c r="B276" s="2">
        <v>45962</v>
      </c>
      <c r="C276" s="52">
        <v>1835.1</v>
      </c>
      <c r="D276" s="48">
        <f>_xlfn.XLOOKUP(expected_production[[#This Row],[Site Name]],Table1[[Site Name ]],Table1[Commisioned Date],"")</f>
        <v>45183</v>
      </c>
      <c r="E276" s="47">
        <f>IF(ISNUMBER(expected_production[[#This Row],[Commissioned Date]]),MAX(0,(expected_production[[#This Row],[Date]]-expected_production[[#This Row],[Commissioned Date]])/365.25),"")</f>
        <v>2.1327857631759071</v>
      </c>
      <c r="F276" s="49">
        <f>IF(expected_production[[#This Row],[Age (yrs)]]="",1,(1-DegradationRate)^expected_production[[#This Row],[Age (yrs)]])</f>
        <v>0.98512967302931898</v>
      </c>
      <c r="G276" s="52">
        <f>IF(expected_production[[#This Row],[Base Expected (kWh)]]="","",expected_production[[#This Row],[Base Expected (kWh)]]*expected_production[[#This Row],[Degradation Factor]])</f>
        <v>1807.8114629761033</v>
      </c>
    </row>
    <row r="277" spans="1:7" ht="15" hidden="1" customHeight="1" x14ac:dyDescent="0.3">
      <c r="A277" t="s">
        <v>66</v>
      </c>
      <c r="B277" s="2">
        <v>45992</v>
      </c>
      <c r="C277" s="52">
        <v>1986.3</v>
      </c>
      <c r="D277" s="48">
        <f>_xlfn.XLOOKUP(expected_production[[#This Row],[Site Name]],Table1[[Site Name ]],Table1[Commisioned Date],"")</f>
        <v>45183</v>
      </c>
      <c r="E277" s="47">
        <f>IF(ISNUMBER(expected_production[[#This Row],[Commissioned Date]]),MAX(0,(expected_production[[#This Row],[Date]]-expected_production[[#This Row],[Commissioned Date]])/365.25),"")</f>
        <v>2.21492128678987</v>
      </c>
      <c r="F277" s="49">
        <f>IF(expected_production[[#This Row],[Age (yrs)]]="",1,(1-DegradationRate)^expected_production[[#This Row],[Age (yrs)]])</f>
        <v>0.98456144628294973</v>
      </c>
      <c r="G277" s="52">
        <f>IF(expected_production[[#This Row],[Base Expected (kWh)]]="","",expected_production[[#This Row],[Base Expected (kWh)]]*expected_production[[#This Row],[Degradation Factor]])</f>
        <v>1955.634400751823</v>
      </c>
    </row>
    <row r="278" spans="1:7" ht="15" hidden="1" customHeight="1" x14ac:dyDescent="0.3">
      <c r="A278" t="s">
        <v>66</v>
      </c>
      <c r="B278" s="2">
        <v>46023</v>
      </c>
      <c r="C278" s="52">
        <v>2202.3000000000002</v>
      </c>
      <c r="D278" s="48">
        <f>_xlfn.XLOOKUP(expected_production[[#This Row],[Site Name]],Table1[[Site Name ]],Table1[Commisioned Date],"")</f>
        <v>45183</v>
      </c>
      <c r="E278" s="47">
        <f>IF(ISNUMBER(expected_production[[#This Row],[Commissioned Date]]),MAX(0,(expected_production[[#This Row],[Date]]-expected_production[[#This Row],[Commissioned Date]])/365.25),"")</f>
        <v>2.299794661190965</v>
      </c>
      <c r="F278" s="49">
        <f>IF(expected_production[[#This Row],[Age (yrs)]]="",1,(1-DegradationRate)^expected_production[[#This Row],[Age (yrs)]])</f>
        <v>0.98397462296815374</v>
      </c>
      <c r="G278" s="52">
        <f>IF(expected_production[[#This Row],[Base Expected (kWh)]]="","",expected_production[[#This Row],[Base Expected (kWh)]]*expected_production[[#This Row],[Degradation Factor]])</f>
        <v>2167.0073121627652</v>
      </c>
    </row>
    <row r="279" spans="1:7" ht="15" hidden="1" customHeight="1" x14ac:dyDescent="0.3">
      <c r="A279" t="s">
        <v>66</v>
      </c>
      <c r="B279" s="2">
        <v>46054</v>
      </c>
      <c r="C279" s="52">
        <v>1983.6</v>
      </c>
      <c r="D279" s="48">
        <f>_xlfn.XLOOKUP(expected_production[[#This Row],[Site Name]],Table1[[Site Name ]],Table1[Commisioned Date],"")</f>
        <v>45183</v>
      </c>
      <c r="E279" s="47">
        <f>IF(ISNUMBER(expected_production[[#This Row],[Commissioned Date]]),MAX(0,(expected_production[[#This Row],[Date]]-expected_production[[#This Row],[Commissioned Date]])/365.25),"")</f>
        <v>2.3846680355920604</v>
      </c>
      <c r="F279" s="49">
        <f>IF(expected_production[[#This Row],[Age (yrs)]]="",1,(1-DegradationRate)^expected_production[[#This Row],[Age (yrs)]])</f>
        <v>0.98338814941477093</v>
      </c>
      <c r="G279" s="52">
        <f>IF(expected_production[[#This Row],[Base Expected (kWh)]]="","",expected_production[[#This Row],[Base Expected (kWh)]]*expected_production[[#This Row],[Degradation Factor]])</f>
        <v>1950.6487331791395</v>
      </c>
    </row>
    <row r="280" spans="1:7" ht="15" hidden="1" customHeight="1" x14ac:dyDescent="0.3">
      <c r="A280" t="s">
        <v>66</v>
      </c>
      <c r="B280" s="2">
        <v>46082</v>
      </c>
      <c r="C280" s="52">
        <v>2127.6</v>
      </c>
      <c r="D280" s="48">
        <f>_xlfn.XLOOKUP(expected_production[[#This Row],[Site Name]],Table1[[Site Name ]],Table1[Commisioned Date],"")</f>
        <v>45183</v>
      </c>
      <c r="E280" s="47">
        <f>IF(ISNUMBER(expected_production[[#This Row],[Commissioned Date]]),MAX(0,(expected_production[[#This Row],[Date]]-expected_production[[#This Row],[Commissioned Date]])/365.25),"")</f>
        <v>2.4613278576317592</v>
      </c>
      <c r="F280" s="49">
        <f>IF(expected_production[[#This Row],[Age (yrs)]]="",1,(1-DegradationRate)^expected_production[[#This Row],[Age (yrs)]])</f>
        <v>0.98285873182054595</v>
      </c>
      <c r="G280" s="52">
        <f>IF(expected_production[[#This Row],[Base Expected (kWh)]]="","",expected_production[[#This Row],[Base Expected (kWh)]]*expected_production[[#This Row],[Degradation Factor]])</f>
        <v>2091.1302378213936</v>
      </c>
    </row>
    <row r="281" spans="1:7" ht="15" hidden="1" customHeight="1" x14ac:dyDescent="0.3">
      <c r="A281" t="s">
        <v>66</v>
      </c>
      <c r="B281" s="2">
        <v>46113</v>
      </c>
      <c r="C281" s="52">
        <v>1767.6</v>
      </c>
      <c r="D281" s="48">
        <f>_xlfn.XLOOKUP(expected_production[[#This Row],[Site Name]],Table1[[Site Name ]],Table1[Commisioned Date],"")</f>
        <v>45183</v>
      </c>
      <c r="E281" s="47">
        <f>IF(ISNUMBER(expected_production[[#This Row],[Commissioned Date]]),MAX(0,(expected_production[[#This Row],[Date]]-expected_production[[#This Row],[Commissioned Date]])/365.25),"")</f>
        <v>2.5462012320328542</v>
      </c>
      <c r="F281" s="49">
        <f>IF(expected_production[[#This Row],[Age (yrs)]]="",1,(1-DegradationRate)^expected_production[[#This Row],[Age (yrs)]])</f>
        <v>0.98227292336627359</v>
      </c>
      <c r="G281" s="52">
        <f>IF(expected_production[[#This Row],[Base Expected (kWh)]]="","",expected_production[[#This Row],[Base Expected (kWh)]]*expected_production[[#This Row],[Degradation Factor]])</f>
        <v>1736.2656193422251</v>
      </c>
    </row>
    <row r="282" spans="1:7" ht="15" hidden="1" customHeight="1" x14ac:dyDescent="0.3">
      <c r="A282" t="s">
        <v>66</v>
      </c>
      <c r="B282" s="2">
        <v>46143</v>
      </c>
      <c r="C282" s="52">
        <v>1631.7</v>
      </c>
      <c r="D282" s="48">
        <f>_xlfn.XLOOKUP(expected_production[[#This Row],[Site Name]],Table1[[Site Name ]],Table1[Commisioned Date],"")</f>
        <v>45183</v>
      </c>
      <c r="E282" s="47">
        <f>IF(ISNUMBER(expected_production[[#This Row],[Commissioned Date]]),MAX(0,(expected_production[[#This Row],[Date]]-expected_production[[#This Row],[Commissioned Date]])/365.25),"")</f>
        <v>2.6283367556468171</v>
      </c>
      <c r="F282" s="49">
        <f>IF(expected_production[[#This Row],[Age (yrs)]]="",1,(1-DegradationRate)^expected_production[[#This Row],[Age (yrs)]])</f>
        <v>0.98170634440456728</v>
      </c>
      <c r="G282" s="52">
        <f>IF(expected_production[[#This Row],[Base Expected (kWh)]]="","",expected_production[[#This Row],[Base Expected (kWh)]]*expected_production[[#This Row],[Degradation Factor]])</f>
        <v>1601.8502421649325</v>
      </c>
    </row>
    <row r="283" spans="1:7" ht="15" hidden="1" customHeight="1" x14ac:dyDescent="0.3">
      <c r="A283" t="s">
        <v>66</v>
      </c>
      <c r="B283" s="2">
        <v>46174</v>
      </c>
      <c r="C283" s="52">
        <v>1480.5</v>
      </c>
      <c r="D283" s="48">
        <f>_xlfn.XLOOKUP(expected_production[[#This Row],[Site Name]],Table1[[Site Name ]],Table1[Commisioned Date],"")</f>
        <v>45183</v>
      </c>
      <c r="E283" s="47">
        <f>IF(ISNUMBER(expected_production[[#This Row],[Commissioned Date]]),MAX(0,(expected_production[[#This Row],[Date]]-expected_production[[#This Row],[Commissioned Date]])/365.25),"")</f>
        <v>2.7132101300479126</v>
      </c>
      <c r="F283" s="49">
        <f>IF(expected_production[[#This Row],[Age (yrs)]]="",1,(1-DegradationRate)^expected_production[[#This Row],[Age (yrs)]])</f>
        <v>0.98112122280209679</v>
      </c>
      <c r="G283" s="52">
        <f>IF(expected_production[[#This Row],[Base Expected (kWh)]]="","",expected_production[[#This Row],[Base Expected (kWh)]]*expected_production[[#This Row],[Degradation Factor]])</f>
        <v>1452.5499703585042</v>
      </c>
    </row>
    <row r="284" spans="1:7" ht="15" hidden="1" customHeight="1" x14ac:dyDescent="0.3">
      <c r="A284" t="s">
        <v>66</v>
      </c>
      <c r="B284" s="2">
        <v>46204</v>
      </c>
      <c r="C284" s="52">
        <v>1612.8</v>
      </c>
      <c r="D284" s="48">
        <f>_xlfn.XLOOKUP(expected_production[[#This Row],[Site Name]],Table1[[Site Name ]],Table1[Commisioned Date],"")</f>
        <v>45183</v>
      </c>
      <c r="E284" s="47">
        <f>IF(ISNUMBER(expected_production[[#This Row],[Commissioned Date]]),MAX(0,(expected_production[[#This Row],[Date]]-expected_production[[#This Row],[Commissioned Date]])/365.25),"")</f>
        <v>2.7953456536618755</v>
      </c>
      <c r="F284" s="49">
        <f>IF(expected_production[[#This Row],[Age (yrs)]]="",1,(1-DegradationRate)^expected_production[[#This Row],[Age (yrs)]])</f>
        <v>0.98055530814589498</v>
      </c>
      <c r="G284" s="52">
        <f>IF(expected_production[[#This Row],[Base Expected (kWh)]]="","",expected_production[[#This Row],[Base Expected (kWh)]]*expected_production[[#This Row],[Degradation Factor]])</f>
        <v>1581.4396009776995</v>
      </c>
    </row>
    <row r="285" spans="1:7" ht="15" hidden="1" customHeight="1" x14ac:dyDescent="0.3">
      <c r="A285" t="s">
        <v>66</v>
      </c>
      <c r="B285" s="2">
        <v>46235</v>
      </c>
      <c r="C285" s="52">
        <v>1764</v>
      </c>
      <c r="D285" s="48">
        <f>_xlfn.XLOOKUP(expected_production[[#This Row],[Site Name]],Table1[[Site Name ]],Table1[Commisioned Date],"")</f>
        <v>45183</v>
      </c>
      <c r="E285" s="47">
        <f>IF(ISNUMBER(expected_production[[#This Row],[Commissioned Date]]),MAX(0,(expected_production[[#This Row],[Date]]-expected_production[[#This Row],[Commissioned Date]])/365.25),"")</f>
        <v>2.8802190280629705</v>
      </c>
      <c r="F285" s="49">
        <f>IF(expected_production[[#This Row],[Age (yrs)]]="",1,(1-DegradationRate)^expected_production[[#This Row],[Age (yrs)]])</f>
        <v>0.97997087258990268</v>
      </c>
      <c r="G285" s="52">
        <f>IF(expected_production[[#This Row],[Base Expected (kWh)]]="","",expected_production[[#This Row],[Base Expected (kWh)]]*expected_production[[#This Row],[Degradation Factor]])</f>
        <v>1728.6686192485884</v>
      </c>
    </row>
    <row r="286" spans="1:7" ht="15" hidden="1" customHeight="1" x14ac:dyDescent="0.3">
      <c r="A286" t="s">
        <v>66</v>
      </c>
      <c r="B286" s="2">
        <v>46266</v>
      </c>
      <c r="C286" s="52">
        <v>1868.4</v>
      </c>
      <c r="D286" s="48">
        <f>_xlfn.XLOOKUP(expected_production[[#This Row],[Site Name]],Table1[[Site Name ]],Table1[Commisioned Date],"")</f>
        <v>45183</v>
      </c>
      <c r="E286" s="47">
        <f>IF(ISNUMBER(expected_production[[#This Row],[Commissioned Date]]),MAX(0,(expected_production[[#This Row],[Date]]-expected_production[[#This Row],[Commissioned Date]])/365.25),"")</f>
        <v>2.9650924024640659</v>
      </c>
      <c r="F286" s="49">
        <f>IF(expected_production[[#This Row],[Age (yrs)]]="",1,(1-DegradationRate)^expected_production[[#This Row],[Age (yrs)]])</f>
        <v>0.97938678537215929</v>
      </c>
      <c r="G286" s="52">
        <f>IF(expected_production[[#This Row],[Base Expected (kWh)]]="","",expected_production[[#This Row],[Base Expected (kWh)]]*expected_production[[#This Row],[Degradation Factor]])</f>
        <v>1829.8862697893426</v>
      </c>
    </row>
    <row r="287" spans="1:7" ht="15" hidden="1" customHeight="1" x14ac:dyDescent="0.3">
      <c r="A287" t="s">
        <v>66</v>
      </c>
      <c r="B287" s="2">
        <v>46296</v>
      </c>
      <c r="C287" s="52">
        <v>1900.8</v>
      </c>
      <c r="D287" s="48">
        <f>_xlfn.XLOOKUP(expected_production[[#This Row],[Site Name]],Table1[[Site Name ]],Table1[Commisioned Date],"")</f>
        <v>45183</v>
      </c>
      <c r="E287" s="47">
        <f>IF(ISNUMBER(expected_production[[#This Row],[Commissioned Date]]),MAX(0,(expected_production[[#This Row],[Date]]-expected_production[[#This Row],[Commissioned Date]])/365.25),"")</f>
        <v>3.0472279260780288</v>
      </c>
      <c r="F287" s="49">
        <f>IF(expected_production[[#This Row],[Age (yrs)]]="",1,(1-DegradationRate)^expected_production[[#This Row],[Age (yrs)]])</f>
        <v>0.97882187114642316</v>
      </c>
      <c r="G287" s="52">
        <f>IF(expected_production[[#This Row],[Base Expected (kWh)]]="","",expected_production[[#This Row],[Base Expected (kWh)]]*expected_production[[#This Row],[Degradation Factor]])</f>
        <v>1860.544612675121</v>
      </c>
    </row>
    <row r="288" spans="1:7" ht="15" hidden="1" customHeight="1" x14ac:dyDescent="0.3">
      <c r="A288" t="s">
        <v>66</v>
      </c>
      <c r="B288" s="2">
        <v>46327</v>
      </c>
      <c r="C288" s="52">
        <v>1835.1</v>
      </c>
      <c r="D288" s="48">
        <f>_xlfn.XLOOKUP(expected_production[[#This Row],[Site Name]],Table1[[Site Name ]],Table1[Commisioned Date],"")</f>
        <v>45183</v>
      </c>
      <c r="E288" s="47">
        <f>IF(ISNUMBER(expected_production[[#This Row],[Commissioned Date]]),MAX(0,(expected_production[[#This Row],[Date]]-expected_production[[#This Row],[Commissioned Date]])/365.25),"")</f>
        <v>3.1321013004791238</v>
      </c>
      <c r="F288" s="49">
        <f>IF(expected_production[[#This Row],[Age (yrs)]]="",1,(1-DegradationRate)^expected_production[[#This Row],[Age (yrs)]])</f>
        <v>0.97823846876235721</v>
      </c>
      <c r="G288" s="52">
        <f>IF(expected_production[[#This Row],[Base Expected (kWh)]]="","",expected_production[[#This Row],[Base Expected (kWh)]]*expected_production[[#This Row],[Degradation Factor]])</f>
        <v>1795.1654140258015</v>
      </c>
    </row>
    <row r="289" spans="1:7" ht="15" hidden="1" customHeight="1" x14ac:dyDescent="0.3">
      <c r="A289" t="s">
        <v>66</v>
      </c>
      <c r="B289" s="2">
        <v>46357</v>
      </c>
      <c r="C289" s="52">
        <v>1986.3</v>
      </c>
      <c r="D289" s="48">
        <f>_xlfn.XLOOKUP(expected_production[[#This Row],[Site Name]],Table1[[Site Name ]],Table1[Commisioned Date],"")</f>
        <v>45183</v>
      </c>
      <c r="E289" s="47">
        <f>IF(ISNUMBER(expected_production[[#This Row],[Commissioned Date]]),MAX(0,(expected_production[[#This Row],[Date]]-expected_production[[#This Row],[Commissioned Date]])/365.25),"")</f>
        <v>3.2142368240930868</v>
      </c>
      <c r="F289" s="49">
        <f>IF(expected_production[[#This Row],[Age (yrs)]]="",1,(1-DegradationRate)^expected_production[[#This Row],[Age (yrs)]])</f>
        <v>0.97767421689024703</v>
      </c>
      <c r="G289" s="52">
        <f>IF(expected_production[[#This Row],[Base Expected (kWh)]]="","",expected_production[[#This Row],[Base Expected (kWh)]]*expected_production[[#This Row],[Degradation Factor]])</f>
        <v>1941.9542970090977</v>
      </c>
    </row>
    <row r="290" spans="1:7" ht="15" hidden="1" customHeight="1" x14ac:dyDescent="0.3">
      <c r="A290" t="s">
        <v>71</v>
      </c>
      <c r="B290" s="2">
        <v>45292</v>
      </c>
      <c r="C290" s="52">
        <v>26689.5</v>
      </c>
      <c r="D290" s="48">
        <f>_xlfn.XLOOKUP(expected_production[[#This Row],[Site Name]],Table1[[Site Name ]],Table1[Commisioned Date],"")</f>
        <v>45449</v>
      </c>
      <c r="E290" s="47">
        <f>IF(ISNUMBER(expected_production[[#This Row],[Commissioned Date]]),MAX(0,(expected_production[[#This Row],[Date]]-expected_production[[#This Row],[Commissioned Date]])/365.25),"")</f>
        <v>0</v>
      </c>
      <c r="F290" s="49">
        <f>IF(expected_production[[#This Row],[Age (yrs)]]="",1,(1-DegradationRate)^expected_production[[#This Row],[Age (yrs)]])</f>
        <v>1</v>
      </c>
      <c r="G290" s="52">
        <f>IF(expected_production[[#This Row],[Base Expected (kWh)]]="","",expected_production[[#This Row],[Base Expected (kWh)]]*expected_production[[#This Row],[Degradation Factor]])</f>
        <v>26689.5</v>
      </c>
    </row>
    <row r="291" spans="1:7" ht="15" hidden="1" customHeight="1" x14ac:dyDescent="0.3">
      <c r="A291" t="s">
        <v>71</v>
      </c>
      <c r="B291" s="2">
        <v>45323</v>
      </c>
      <c r="C291" s="52">
        <v>20674.8</v>
      </c>
      <c r="D291" s="48">
        <f>_xlfn.XLOOKUP(expected_production[[#This Row],[Site Name]],Table1[[Site Name ]],Table1[Commisioned Date],"")</f>
        <v>45449</v>
      </c>
      <c r="E291" s="47">
        <f>IF(ISNUMBER(expected_production[[#This Row],[Commissioned Date]]),MAX(0,(expected_production[[#This Row],[Date]]-expected_production[[#This Row],[Commissioned Date]])/365.25),"")</f>
        <v>0</v>
      </c>
      <c r="F291" s="49">
        <f>IF(expected_production[[#This Row],[Age (yrs)]]="",1,(1-DegradationRate)^expected_production[[#This Row],[Age (yrs)]])</f>
        <v>1</v>
      </c>
      <c r="G291" s="52">
        <f>IF(expected_production[[#This Row],[Base Expected (kWh)]]="","",expected_production[[#This Row],[Base Expected (kWh)]]*expected_production[[#This Row],[Degradation Factor]])</f>
        <v>20674.8</v>
      </c>
    </row>
    <row r="292" spans="1:7" ht="15" hidden="1" customHeight="1" x14ac:dyDescent="0.3">
      <c r="A292" t="s">
        <v>71</v>
      </c>
      <c r="B292" s="2">
        <v>45352</v>
      </c>
      <c r="C292" s="52">
        <v>20095.2</v>
      </c>
      <c r="D292" s="48">
        <f>_xlfn.XLOOKUP(expected_production[[#This Row],[Site Name]],Table1[[Site Name ]],Table1[Commisioned Date],"")</f>
        <v>45449</v>
      </c>
      <c r="E292" s="47">
        <f>IF(ISNUMBER(expected_production[[#This Row],[Commissioned Date]]),MAX(0,(expected_production[[#This Row],[Date]]-expected_production[[#This Row],[Commissioned Date]])/365.25),"")</f>
        <v>0</v>
      </c>
      <c r="F292" s="49">
        <f>IF(expected_production[[#This Row],[Age (yrs)]]="",1,(1-DegradationRate)^expected_production[[#This Row],[Age (yrs)]])</f>
        <v>1</v>
      </c>
      <c r="G292" s="52">
        <f>IF(expected_production[[#This Row],[Base Expected (kWh)]]="","",expected_production[[#This Row],[Base Expected (kWh)]]*expected_production[[#This Row],[Degradation Factor]])</f>
        <v>20095.2</v>
      </c>
    </row>
    <row r="293" spans="1:7" ht="15" hidden="1" customHeight="1" x14ac:dyDescent="0.3">
      <c r="A293" t="s">
        <v>71</v>
      </c>
      <c r="B293" s="2">
        <v>45383</v>
      </c>
      <c r="C293" s="52">
        <v>16286.4</v>
      </c>
      <c r="D293" s="48">
        <f>_xlfn.XLOOKUP(expected_production[[#This Row],[Site Name]],Table1[[Site Name ]],Table1[Commisioned Date],"")</f>
        <v>45449</v>
      </c>
      <c r="E293" s="47">
        <f>IF(ISNUMBER(expected_production[[#This Row],[Commissioned Date]]),MAX(0,(expected_production[[#This Row],[Date]]-expected_production[[#This Row],[Commissioned Date]])/365.25),"")</f>
        <v>0</v>
      </c>
      <c r="F293" s="49">
        <f>IF(expected_production[[#This Row],[Age (yrs)]]="",1,(1-DegradationRate)^expected_production[[#This Row],[Age (yrs)]])</f>
        <v>1</v>
      </c>
      <c r="G293" s="52">
        <f>IF(expected_production[[#This Row],[Base Expected (kWh)]]="","",expected_production[[#This Row],[Base Expected (kWh)]]*expected_production[[#This Row],[Degradation Factor]])</f>
        <v>16286.4</v>
      </c>
    </row>
    <row r="294" spans="1:7" ht="15" hidden="1" customHeight="1" x14ac:dyDescent="0.3">
      <c r="A294" t="s">
        <v>71</v>
      </c>
      <c r="B294" s="2">
        <v>45413</v>
      </c>
      <c r="C294" s="52">
        <v>13518.9</v>
      </c>
      <c r="D294" s="48">
        <f>_xlfn.XLOOKUP(expected_production[[#This Row],[Site Name]],Table1[[Site Name ]],Table1[Commisioned Date],"")</f>
        <v>45449</v>
      </c>
      <c r="E294" s="47">
        <f>IF(ISNUMBER(expected_production[[#This Row],[Commissioned Date]]),MAX(0,(expected_production[[#This Row],[Date]]-expected_production[[#This Row],[Commissioned Date]])/365.25),"")</f>
        <v>0</v>
      </c>
      <c r="F294" s="49">
        <f>IF(expected_production[[#This Row],[Age (yrs)]]="",1,(1-DegradationRate)^expected_production[[#This Row],[Age (yrs)]])</f>
        <v>1</v>
      </c>
      <c r="G294" s="52">
        <f>IF(expected_production[[#This Row],[Base Expected (kWh)]]="","",expected_production[[#This Row],[Base Expected (kWh)]]*expected_production[[#This Row],[Degradation Factor]])</f>
        <v>13518.9</v>
      </c>
    </row>
    <row r="295" spans="1:7" ht="15" hidden="1" customHeight="1" x14ac:dyDescent="0.3">
      <c r="A295" t="s">
        <v>71</v>
      </c>
      <c r="B295" s="2">
        <v>45444</v>
      </c>
      <c r="C295" s="52">
        <v>11864.7</v>
      </c>
      <c r="D295" s="48">
        <f>_xlfn.XLOOKUP(expected_production[[#This Row],[Site Name]],Table1[[Site Name ]],Table1[Commisioned Date],"")</f>
        <v>45449</v>
      </c>
      <c r="E295" s="47">
        <f>IF(ISNUMBER(expected_production[[#This Row],[Commissioned Date]]),MAX(0,(expected_production[[#This Row],[Date]]-expected_production[[#This Row],[Commissioned Date]])/365.25),"")</f>
        <v>0</v>
      </c>
      <c r="F295" s="49">
        <f>IF(expected_production[[#This Row],[Age (yrs)]]="",1,(1-DegradationRate)^expected_production[[#This Row],[Age (yrs)]])</f>
        <v>1</v>
      </c>
      <c r="G295" s="52">
        <f>IF(expected_production[[#This Row],[Base Expected (kWh)]]="","",expected_production[[#This Row],[Base Expected (kWh)]]*expected_production[[#This Row],[Degradation Factor]])</f>
        <v>11864.7</v>
      </c>
    </row>
    <row r="296" spans="1:7" ht="15" hidden="1" customHeight="1" x14ac:dyDescent="0.3">
      <c r="A296" t="s">
        <v>71</v>
      </c>
      <c r="B296" s="2">
        <v>45474</v>
      </c>
      <c r="C296" s="52">
        <v>13589.1</v>
      </c>
      <c r="D296" s="48">
        <f>_xlfn.XLOOKUP(expected_production[[#This Row],[Site Name]],Table1[[Site Name ]],Table1[Commisioned Date],"")</f>
        <v>45449</v>
      </c>
      <c r="E296" s="47">
        <f>IF(ISNUMBER(expected_production[[#This Row],[Commissioned Date]]),MAX(0,(expected_production[[#This Row],[Date]]-expected_production[[#This Row],[Commissioned Date]])/365.25),"")</f>
        <v>6.8446269678302529E-2</v>
      </c>
      <c r="F296" s="49">
        <f>IF(expected_production[[#This Row],[Age (yrs)]]="",1,(1-DegradationRate)^expected_production[[#This Row],[Age (yrs)]])</f>
        <v>0.99951930688161261</v>
      </c>
      <c r="G296" s="52">
        <f>IF(expected_production[[#This Row],[Base Expected (kWh)]]="","",expected_production[[#This Row],[Base Expected (kWh)]]*expected_production[[#This Row],[Degradation Factor]])</f>
        <v>13582.567813144922</v>
      </c>
    </row>
    <row r="297" spans="1:7" ht="15" hidden="1" customHeight="1" x14ac:dyDescent="0.3">
      <c r="A297" t="s">
        <v>71</v>
      </c>
      <c r="B297" s="2">
        <v>45505</v>
      </c>
      <c r="C297" s="52">
        <v>17109</v>
      </c>
      <c r="D297" s="48">
        <f>_xlfn.XLOOKUP(expected_production[[#This Row],[Site Name]],Table1[[Site Name ]],Table1[Commisioned Date],"")</f>
        <v>45449</v>
      </c>
      <c r="E297" s="47">
        <f>IF(ISNUMBER(expected_production[[#This Row],[Commissioned Date]]),MAX(0,(expected_production[[#This Row],[Date]]-expected_production[[#This Row],[Commissioned Date]])/365.25),"")</f>
        <v>0.15331964407939766</v>
      </c>
      <c r="F297" s="49">
        <f>IF(expected_production[[#This Row],[Age (yrs)]]="",1,(1-DegradationRate)^expected_production[[#This Row],[Age (yrs)]])</f>
        <v>0.99892356830675655</v>
      </c>
      <c r="G297" s="52">
        <f>IF(expected_production[[#This Row],[Base Expected (kWh)]]="","",expected_production[[#This Row],[Base Expected (kWh)]]*expected_production[[#This Row],[Degradation Factor]])</f>
        <v>17090.583330160298</v>
      </c>
    </row>
    <row r="298" spans="1:7" ht="15" hidden="1" customHeight="1" x14ac:dyDescent="0.3">
      <c r="A298" t="s">
        <v>71</v>
      </c>
      <c r="B298" s="2">
        <v>45536</v>
      </c>
      <c r="C298" s="52">
        <v>19506.599999999999</v>
      </c>
      <c r="D298" s="48">
        <f>_xlfn.XLOOKUP(expected_production[[#This Row],[Site Name]],Table1[[Site Name ]],Table1[Commisioned Date],"")</f>
        <v>45449</v>
      </c>
      <c r="E298" s="47">
        <f>IF(ISNUMBER(expected_production[[#This Row],[Commissioned Date]]),MAX(0,(expected_production[[#This Row],[Date]]-expected_production[[#This Row],[Commissioned Date]])/365.25),"")</f>
        <v>0.23819301848049282</v>
      </c>
      <c r="F298" s="49">
        <f>IF(expected_production[[#This Row],[Age (yrs)]]="",1,(1-DegradationRate)^expected_production[[#This Row],[Age (yrs)]])</f>
        <v>0.99832818480703212</v>
      </c>
      <c r="G298" s="52">
        <f>IF(expected_production[[#This Row],[Base Expected (kWh)]]="","",expected_production[[#This Row],[Base Expected (kWh)]]*expected_production[[#This Row],[Degradation Factor]])</f>
        <v>19473.98856975685</v>
      </c>
    </row>
    <row r="299" spans="1:7" ht="15" hidden="1" customHeight="1" x14ac:dyDescent="0.3">
      <c r="A299" t="s">
        <v>71</v>
      </c>
      <c r="B299" s="2">
        <v>45566</v>
      </c>
      <c r="C299" s="52">
        <v>24081.3</v>
      </c>
      <c r="D299" s="48">
        <f>_xlfn.XLOOKUP(expected_production[[#This Row],[Site Name]],Table1[[Site Name ]],Table1[Commisioned Date],"")</f>
        <v>45449</v>
      </c>
      <c r="E299" s="47">
        <f>IF(ISNUMBER(expected_production[[#This Row],[Commissioned Date]]),MAX(0,(expected_production[[#This Row],[Date]]-expected_production[[#This Row],[Commissioned Date]])/365.25),"")</f>
        <v>0.32032854209445583</v>
      </c>
      <c r="F299" s="49">
        <f>IF(expected_production[[#This Row],[Age (yrs)]]="",1,(1-DegradationRate)^expected_production[[#This Row],[Age (yrs)]])</f>
        <v>0.99775234510613553</v>
      </c>
      <c r="G299" s="52">
        <f>IF(expected_production[[#This Row],[Base Expected (kWh)]]="","",expected_production[[#This Row],[Base Expected (kWh)]]*expected_production[[#This Row],[Degradation Factor]])</f>
        <v>24027.17354820438</v>
      </c>
    </row>
    <row r="300" spans="1:7" ht="15" hidden="1" customHeight="1" x14ac:dyDescent="0.3">
      <c r="A300" t="s">
        <v>71</v>
      </c>
      <c r="B300" s="2">
        <v>45597</v>
      </c>
      <c r="C300" s="52">
        <v>25889.4</v>
      </c>
      <c r="D300" s="48">
        <f>_xlfn.XLOOKUP(expected_production[[#This Row],[Site Name]],Table1[[Site Name ]],Table1[Commisioned Date],"")</f>
        <v>45449</v>
      </c>
      <c r="E300" s="47">
        <f>IF(ISNUMBER(expected_production[[#This Row],[Commissioned Date]]),MAX(0,(expected_production[[#This Row],[Date]]-expected_production[[#This Row],[Commissioned Date]])/365.25),"")</f>
        <v>0.40520191649555098</v>
      </c>
      <c r="F300" s="49">
        <f>IF(expected_production[[#This Row],[Age (yrs)]]="",1,(1-DegradationRate)^expected_production[[#This Row],[Age (yrs)]])</f>
        <v>0.99715765968481296</v>
      </c>
      <c r="G300" s="52">
        <f>IF(expected_production[[#This Row],[Base Expected (kWh)]]="","",expected_production[[#This Row],[Base Expected (kWh)]]*expected_production[[#This Row],[Degradation Factor]])</f>
        <v>25815.813514643996</v>
      </c>
    </row>
    <row r="301" spans="1:7" ht="15" hidden="1" customHeight="1" x14ac:dyDescent="0.3">
      <c r="A301" t="s">
        <v>71</v>
      </c>
      <c r="B301" s="2">
        <v>45627</v>
      </c>
      <c r="C301" s="52">
        <v>27992.7</v>
      </c>
      <c r="D301" s="48">
        <f>_xlfn.XLOOKUP(expected_production[[#This Row],[Site Name]],Table1[[Site Name ]],Table1[Commisioned Date],"")</f>
        <v>45449</v>
      </c>
      <c r="E301" s="47">
        <f>IF(ISNUMBER(expected_production[[#This Row],[Commissioned Date]]),MAX(0,(expected_production[[#This Row],[Date]]-expected_production[[#This Row],[Commissioned Date]])/365.25),"")</f>
        <v>0.48733744010951402</v>
      </c>
      <c r="F301" s="49">
        <f>IF(expected_production[[#This Row],[Age (yrs)]]="",1,(1-DegradationRate)^expected_production[[#This Row],[Age (yrs)]])</f>
        <v>0.99658249514750141</v>
      </c>
      <c r="G301" s="52">
        <f>IF(expected_production[[#This Row],[Base Expected (kWh)]]="","",expected_production[[#This Row],[Base Expected (kWh)]]*expected_production[[#This Row],[Degradation Factor]])</f>
        <v>27897.034811915462</v>
      </c>
    </row>
    <row r="302" spans="1:7" ht="15" hidden="1" customHeight="1" x14ac:dyDescent="0.3">
      <c r="A302" t="s">
        <v>71</v>
      </c>
      <c r="B302" s="2">
        <v>45658</v>
      </c>
      <c r="C302" s="52">
        <v>26689.5</v>
      </c>
      <c r="D302" s="48">
        <f>_xlfn.XLOOKUP(expected_production[[#This Row],[Site Name]],Table1[[Site Name ]],Table1[Commisioned Date],"")</f>
        <v>45449</v>
      </c>
      <c r="E302" s="47">
        <f>IF(ISNUMBER(expected_production[[#This Row],[Commissioned Date]]),MAX(0,(expected_production[[#This Row],[Date]]-expected_production[[#This Row],[Commissioned Date]])/365.25),"")</f>
        <v>0.57221081451060918</v>
      </c>
      <c r="F302" s="49">
        <f>IF(expected_production[[#This Row],[Age (yrs)]]="",1,(1-DegradationRate)^expected_production[[#This Row],[Age (yrs)]])</f>
        <v>0.99598850698609409</v>
      </c>
      <c r="G302" s="52">
        <f>IF(expected_production[[#This Row],[Base Expected (kWh)]]="","",expected_production[[#This Row],[Base Expected (kWh)]]*expected_production[[#This Row],[Degradation Factor]])</f>
        <v>26582.435257205358</v>
      </c>
    </row>
    <row r="303" spans="1:7" ht="15" hidden="1" customHeight="1" x14ac:dyDescent="0.3">
      <c r="A303" t="s">
        <v>71</v>
      </c>
      <c r="B303" s="2">
        <v>45689</v>
      </c>
      <c r="C303" s="52">
        <v>20674.8</v>
      </c>
      <c r="D303" s="48">
        <f>_xlfn.XLOOKUP(expected_production[[#This Row],[Site Name]],Table1[[Site Name ]],Table1[Commisioned Date],"")</f>
        <v>45449</v>
      </c>
      <c r="E303" s="47">
        <f>IF(ISNUMBER(expected_production[[#This Row],[Commissioned Date]]),MAX(0,(expected_production[[#This Row],[Date]]-expected_production[[#This Row],[Commissioned Date]])/365.25),"")</f>
        <v>0.65708418891170428</v>
      </c>
      <c r="F303" s="49">
        <f>IF(expected_production[[#This Row],[Age (yrs)]]="",1,(1-DegradationRate)^expected_production[[#This Row],[Age (yrs)]])</f>
        <v>0.99539487285652817</v>
      </c>
      <c r="G303" s="52">
        <f>IF(expected_production[[#This Row],[Base Expected (kWh)]]="","",expected_production[[#This Row],[Base Expected (kWh)]]*expected_production[[#This Row],[Degradation Factor]])</f>
        <v>20579.58991733415</v>
      </c>
    </row>
    <row r="304" spans="1:7" ht="15" hidden="1" customHeight="1" x14ac:dyDescent="0.3">
      <c r="A304" t="s">
        <v>71</v>
      </c>
      <c r="B304" s="2">
        <v>45717</v>
      </c>
      <c r="C304" s="52">
        <v>20095.2</v>
      </c>
      <c r="D304" s="48">
        <f>_xlfn.XLOOKUP(expected_production[[#This Row],[Site Name]],Table1[[Site Name ]],Table1[Commisioned Date],"")</f>
        <v>45449</v>
      </c>
      <c r="E304" s="47">
        <f>IF(ISNUMBER(expected_production[[#This Row],[Commissioned Date]]),MAX(0,(expected_production[[#This Row],[Date]]-expected_production[[#This Row],[Commissioned Date]])/365.25),"")</f>
        <v>0.73374401095140318</v>
      </c>
      <c r="F304" s="49">
        <f>IF(expected_production[[#This Row],[Age (yrs)]]="",1,(1-DegradationRate)^expected_production[[#This Row],[Age (yrs)]])</f>
        <v>0.99485899131351263</v>
      </c>
      <c r="G304" s="52">
        <f>IF(expected_production[[#This Row],[Base Expected (kWh)]]="","",expected_production[[#This Row],[Base Expected (kWh)]]*expected_production[[#This Row],[Degradation Factor]])</f>
        <v>19991.890402243298</v>
      </c>
    </row>
    <row r="305" spans="1:7" ht="15" hidden="1" customHeight="1" x14ac:dyDescent="0.3">
      <c r="A305" t="s">
        <v>71</v>
      </c>
      <c r="B305" s="2">
        <v>45748</v>
      </c>
      <c r="C305" s="52">
        <v>16286.4</v>
      </c>
      <c r="D305" s="48">
        <f>_xlfn.XLOOKUP(expected_production[[#This Row],[Site Name]],Table1[[Site Name ]],Table1[Commisioned Date],"")</f>
        <v>45449</v>
      </c>
      <c r="E305" s="47">
        <f>IF(ISNUMBER(expected_production[[#This Row],[Commissioned Date]]),MAX(0,(expected_production[[#This Row],[Date]]-expected_production[[#This Row],[Commissioned Date]])/365.25),"")</f>
        <v>0.81861738535249828</v>
      </c>
      <c r="F305" s="49">
        <f>IF(expected_production[[#This Row],[Age (yrs)]]="",1,(1-DegradationRate)^expected_production[[#This Row],[Age (yrs)]])</f>
        <v>0.99426603040361594</v>
      </c>
      <c r="G305" s="52">
        <f>IF(expected_production[[#This Row],[Base Expected (kWh)]]="","",expected_production[[#This Row],[Base Expected (kWh)]]*expected_production[[#This Row],[Degradation Factor]])</f>
        <v>16193.014277565449</v>
      </c>
    </row>
    <row r="306" spans="1:7" ht="15" hidden="1" customHeight="1" x14ac:dyDescent="0.3">
      <c r="A306" t="s">
        <v>71</v>
      </c>
      <c r="B306" s="2">
        <v>45778</v>
      </c>
      <c r="C306" s="52">
        <v>13518.9</v>
      </c>
      <c r="D306" s="48">
        <f>_xlfn.XLOOKUP(expected_production[[#This Row],[Site Name]],Table1[[Site Name ]],Table1[Commisioned Date],"")</f>
        <v>45449</v>
      </c>
      <c r="E306" s="47">
        <f>IF(ISNUMBER(expected_production[[#This Row],[Commissioned Date]]),MAX(0,(expected_production[[#This Row],[Date]]-expected_production[[#This Row],[Commissioned Date]])/365.25),"")</f>
        <v>0.90075290896646132</v>
      </c>
      <c r="F306" s="49">
        <f>IF(expected_production[[#This Row],[Age (yrs)]]="",1,(1-DegradationRate)^expected_production[[#This Row],[Age (yrs)]])</f>
        <v>0.99369253376967082</v>
      </c>
      <c r="G306" s="52">
        <f>IF(expected_production[[#This Row],[Base Expected (kWh)]]="","",expected_production[[#This Row],[Base Expected (kWh)]]*expected_production[[#This Row],[Degradation Factor]])</f>
        <v>13433.629994778803</v>
      </c>
    </row>
    <row r="307" spans="1:7" ht="15" hidden="1" customHeight="1" x14ac:dyDescent="0.3">
      <c r="A307" t="s">
        <v>71</v>
      </c>
      <c r="B307" s="2">
        <v>45809</v>
      </c>
      <c r="C307" s="52">
        <v>11864.7</v>
      </c>
      <c r="D307" s="48">
        <f>_xlfn.XLOOKUP(expected_production[[#This Row],[Site Name]],Table1[[Site Name ]],Table1[Commisioned Date],"")</f>
        <v>45449</v>
      </c>
      <c r="E307" s="47">
        <f>IF(ISNUMBER(expected_production[[#This Row],[Commissioned Date]]),MAX(0,(expected_production[[#This Row],[Date]]-expected_production[[#This Row],[Commissioned Date]])/365.25),"")</f>
        <v>0.98562628336755642</v>
      </c>
      <c r="F307" s="49">
        <f>IF(expected_production[[#This Row],[Age (yrs)]]="",1,(1-DegradationRate)^expected_production[[#This Row],[Age (yrs)]])</f>
        <v>0.993100268097725</v>
      </c>
      <c r="G307" s="52">
        <f>IF(expected_production[[#This Row],[Base Expected (kWh)]]="","",expected_production[[#This Row],[Base Expected (kWh)]]*expected_production[[#This Row],[Degradation Factor]])</f>
        <v>11782.836750899078</v>
      </c>
    </row>
    <row r="308" spans="1:7" ht="15" hidden="1" customHeight="1" x14ac:dyDescent="0.3">
      <c r="A308" t="s">
        <v>71</v>
      </c>
      <c r="B308" s="2">
        <v>45839</v>
      </c>
      <c r="C308" s="52">
        <v>13589.1</v>
      </c>
      <c r="D308" s="48">
        <f>_xlfn.XLOOKUP(expected_production[[#This Row],[Site Name]],Table1[[Site Name ]],Table1[Commisioned Date],"")</f>
        <v>45449</v>
      </c>
      <c r="E308" s="47">
        <f>IF(ISNUMBER(expected_production[[#This Row],[Commissioned Date]]),MAX(0,(expected_production[[#This Row],[Date]]-expected_production[[#This Row],[Commissioned Date]])/365.25),"")</f>
        <v>1.0677618069815196</v>
      </c>
      <c r="F308" s="49">
        <f>IF(expected_production[[#This Row],[Age (yrs)]]="",1,(1-DegradationRate)^expected_production[[#This Row],[Age (yrs)]])</f>
        <v>0.99252744388015346</v>
      </c>
      <c r="G308" s="52">
        <f>IF(expected_production[[#This Row],[Base Expected (kWh)]]="","",expected_production[[#This Row],[Base Expected (kWh)]]*expected_production[[#This Row],[Degradation Factor]])</f>
        <v>13487.554687631793</v>
      </c>
    </row>
    <row r="309" spans="1:7" ht="15" hidden="1" customHeight="1" x14ac:dyDescent="0.3">
      <c r="A309" t="s">
        <v>71</v>
      </c>
      <c r="B309" s="2">
        <v>45870</v>
      </c>
      <c r="C309" s="52">
        <v>17109</v>
      </c>
      <c r="D309" s="48">
        <f>_xlfn.XLOOKUP(expected_production[[#This Row],[Site Name]],Table1[[Site Name ]],Table1[Commisioned Date],"")</f>
        <v>45449</v>
      </c>
      <c r="E309" s="47">
        <f>IF(ISNUMBER(expected_production[[#This Row],[Commissioned Date]]),MAX(0,(expected_production[[#This Row],[Date]]-expected_production[[#This Row],[Commissioned Date]])/365.25),"")</f>
        <v>1.1526351813826146</v>
      </c>
      <c r="F309" s="49">
        <f>IF(expected_production[[#This Row],[Age (yrs)]]="",1,(1-DegradationRate)^expected_production[[#This Row],[Age (yrs)]])</f>
        <v>0.99193587263100214</v>
      </c>
      <c r="G309" s="52">
        <f>IF(expected_production[[#This Row],[Base Expected (kWh)]]="","",expected_production[[#This Row],[Base Expected (kWh)]]*expected_production[[#This Row],[Degradation Factor]])</f>
        <v>16971.030844843815</v>
      </c>
    </row>
    <row r="310" spans="1:7" ht="15" hidden="1" customHeight="1" x14ac:dyDescent="0.3">
      <c r="A310" t="s">
        <v>71</v>
      </c>
      <c r="B310" s="2">
        <v>45901</v>
      </c>
      <c r="C310" s="52">
        <v>19506.599999999999</v>
      </c>
      <c r="D310" s="48">
        <f>_xlfn.XLOOKUP(expected_production[[#This Row],[Site Name]],Table1[[Site Name ]],Table1[Commisioned Date],"")</f>
        <v>45449</v>
      </c>
      <c r="E310" s="47">
        <f>IF(ISNUMBER(expected_production[[#This Row],[Commissioned Date]]),MAX(0,(expected_production[[#This Row],[Date]]-expected_production[[#This Row],[Commissioned Date]])/365.25),"")</f>
        <v>1.2375085557837098</v>
      </c>
      <c r="F310" s="49">
        <f>IF(expected_production[[#This Row],[Age (yrs)]]="",1,(1-DegradationRate)^expected_production[[#This Row],[Age (yrs)]])</f>
        <v>0.99134465397315208</v>
      </c>
      <c r="G310" s="52">
        <f>IF(expected_production[[#This Row],[Base Expected (kWh)]]="","",expected_production[[#This Row],[Base Expected (kWh)]]*expected_production[[#This Row],[Degradation Factor]])</f>
        <v>19337.763627192686</v>
      </c>
    </row>
    <row r="311" spans="1:7" ht="15" hidden="1" customHeight="1" x14ac:dyDescent="0.3">
      <c r="A311" t="s">
        <v>71</v>
      </c>
      <c r="B311" s="2">
        <v>45931</v>
      </c>
      <c r="C311" s="52">
        <v>24081.3</v>
      </c>
      <c r="D311" s="48">
        <f>_xlfn.XLOOKUP(expected_production[[#This Row],[Site Name]],Table1[[Site Name ]],Table1[Commisioned Date],"")</f>
        <v>45449</v>
      </c>
      <c r="E311" s="47">
        <f>IF(ISNUMBER(expected_production[[#This Row],[Commissioned Date]]),MAX(0,(expected_production[[#This Row],[Date]]-expected_production[[#This Row],[Commissioned Date]])/365.25),"")</f>
        <v>1.3196440793976729</v>
      </c>
      <c r="F311" s="49">
        <f>IF(expected_production[[#This Row],[Age (yrs)]]="",1,(1-DegradationRate)^expected_production[[#This Row],[Age (yrs)]])</f>
        <v>0.99077284240084862</v>
      </c>
      <c r="G311" s="52">
        <f>IF(expected_production[[#This Row],[Base Expected (kWh)]]="","",expected_production[[#This Row],[Base Expected (kWh)]]*expected_production[[#This Row],[Degradation Factor]])</f>
        <v>23859.098049707554</v>
      </c>
    </row>
    <row r="312" spans="1:7" ht="15" hidden="1" customHeight="1" x14ac:dyDescent="0.3">
      <c r="A312" t="s">
        <v>71</v>
      </c>
      <c r="B312" s="2">
        <v>45962</v>
      </c>
      <c r="C312" s="52">
        <v>25889.4</v>
      </c>
      <c r="D312" s="48">
        <f>_xlfn.XLOOKUP(expected_production[[#This Row],[Site Name]],Table1[[Site Name ]],Table1[Commisioned Date],"")</f>
        <v>45449</v>
      </c>
      <c r="E312" s="47">
        <f>IF(ISNUMBER(expected_production[[#This Row],[Commissioned Date]]),MAX(0,(expected_production[[#This Row],[Date]]-expected_production[[#This Row],[Commissioned Date]])/365.25),"")</f>
        <v>1.4045174537987679</v>
      </c>
      <c r="F312" s="49">
        <f>IF(expected_production[[#This Row],[Age (yrs)]]="",1,(1-DegradationRate)^expected_production[[#This Row],[Age (yrs)]])</f>
        <v>0.99018231693818437</v>
      </c>
      <c r="G312" s="52">
        <f>IF(expected_production[[#This Row],[Base Expected (kWh)]]="","",expected_production[[#This Row],[Base Expected (kWh)]]*expected_production[[#This Row],[Degradation Factor]])</f>
        <v>25635.226076139432</v>
      </c>
    </row>
    <row r="313" spans="1:7" ht="15" hidden="1" customHeight="1" x14ac:dyDescent="0.3">
      <c r="A313" t="s">
        <v>71</v>
      </c>
      <c r="B313" s="2">
        <v>45992</v>
      </c>
      <c r="C313" s="52">
        <v>27992.7</v>
      </c>
      <c r="D313" s="48">
        <f>_xlfn.XLOOKUP(expected_production[[#This Row],[Site Name]],Table1[[Site Name ]],Table1[Commisioned Date],"")</f>
        <v>45449</v>
      </c>
      <c r="E313" s="47">
        <f>IF(ISNUMBER(expected_production[[#This Row],[Commissioned Date]]),MAX(0,(expected_production[[#This Row],[Date]]-expected_production[[#This Row],[Commissioned Date]])/365.25),"")</f>
        <v>1.4866529774127311</v>
      </c>
      <c r="F313" s="49">
        <f>IF(expected_production[[#This Row],[Age (yrs)]]="",1,(1-DegradationRate)^expected_production[[#This Row],[Age (yrs)]])</f>
        <v>0.98961117580654445</v>
      </c>
      <c r="G313" s="52">
        <f>IF(expected_production[[#This Row],[Base Expected (kWh)]]="","",expected_production[[#This Row],[Base Expected (kWh)]]*expected_production[[#This Row],[Degradation Factor]])</f>
        <v>27701.888760999856</v>
      </c>
    </row>
    <row r="314" spans="1:7" ht="15" hidden="1" customHeight="1" x14ac:dyDescent="0.3">
      <c r="A314" t="s">
        <v>71</v>
      </c>
      <c r="B314" s="2">
        <v>46023</v>
      </c>
      <c r="C314" s="52">
        <v>26689.5</v>
      </c>
      <c r="D314" s="48">
        <f>_xlfn.XLOOKUP(expected_production[[#This Row],[Site Name]],Table1[[Site Name ]],Table1[Commisioned Date],"")</f>
        <v>45449</v>
      </c>
      <c r="E314" s="47">
        <f>IF(ISNUMBER(expected_production[[#This Row],[Commissioned Date]]),MAX(0,(expected_production[[#This Row],[Date]]-expected_production[[#This Row],[Commissioned Date]])/365.25),"")</f>
        <v>1.5715263518138261</v>
      </c>
      <c r="F314" s="49">
        <f>IF(expected_production[[#This Row],[Age (yrs)]]="",1,(1-DegradationRate)^expected_production[[#This Row],[Age (yrs)]])</f>
        <v>0.98902134272630504</v>
      </c>
      <c r="G314" s="52">
        <f>IF(expected_production[[#This Row],[Base Expected (kWh)]]="","",expected_production[[#This Row],[Base Expected (kWh)]]*expected_production[[#This Row],[Degradation Factor]])</f>
        <v>26396.485126693718</v>
      </c>
    </row>
    <row r="315" spans="1:7" ht="15" hidden="1" customHeight="1" x14ac:dyDescent="0.3">
      <c r="A315" t="s">
        <v>71</v>
      </c>
      <c r="B315" s="2">
        <v>46054</v>
      </c>
      <c r="C315" s="52">
        <v>20674.8</v>
      </c>
      <c r="D315" s="48">
        <f>_xlfn.XLOOKUP(expected_production[[#This Row],[Site Name]],Table1[[Site Name ]],Table1[Commisioned Date],"")</f>
        <v>45449</v>
      </c>
      <c r="E315" s="47">
        <f>IF(ISNUMBER(expected_production[[#This Row],[Commissioned Date]]),MAX(0,(expected_production[[#This Row],[Date]]-expected_production[[#This Row],[Commissioned Date]])/365.25),"")</f>
        <v>1.6563997262149213</v>
      </c>
      <c r="F315" s="49">
        <f>IF(expected_production[[#This Row],[Age (yrs)]]="",1,(1-DegradationRate)^expected_production[[#This Row],[Age (yrs)]])</f>
        <v>0.98843186120137461</v>
      </c>
      <c r="G315" s="52">
        <f>IF(expected_production[[#This Row],[Base Expected (kWh)]]="","",expected_production[[#This Row],[Base Expected (kWh)]]*expected_production[[#This Row],[Degradation Factor]])</f>
        <v>20435.631043966179</v>
      </c>
    </row>
    <row r="316" spans="1:7" ht="15" hidden="1" customHeight="1" x14ac:dyDescent="0.3">
      <c r="A316" t="s">
        <v>71</v>
      </c>
      <c r="B316" s="2">
        <v>46082</v>
      </c>
      <c r="C316" s="52">
        <v>20095.2</v>
      </c>
      <c r="D316" s="48">
        <f>_xlfn.XLOOKUP(expected_production[[#This Row],[Site Name]],Table1[[Site Name ]],Table1[Commisioned Date],"")</f>
        <v>45449</v>
      </c>
      <c r="E316" s="47">
        <f>IF(ISNUMBER(expected_production[[#This Row],[Commissioned Date]]),MAX(0,(expected_production[[#This Row],[Date]]-expected_production[[#This Row],[Commissioned Date]])/365.25),"")</f>
        <v>1.7330595482546201</v>
      </c>
      <c r="F316" s="49">
        <f>IF(expected_production[[#This Row],[Age (yrs)]]="",1,(1-DegradationRate)^expected_production[[#This Row],[Age (yrs)]])</f>
        <v>0.98789972827062489</v>
      </c>
      <c r="G316" s="52">
        <f>IF(expected_production[[#This Row],[Base Expected (kWh)]]="","",expected_production[[#This Row],[Base Expected (kWh)]]*expected_production[[#This Row],[Degradation Factor]])</f>
        <v>19852.042619543863</v>
      </c>
    </row>
    <row r="317" spans="1:7" ht="15" hidden="1" customHeight="1" x14ac:dyDescent="0.3">
      <c r="A317" t="s">
        <v>71</v>
      </c>
      <c r="B317" s="2">
        <v>46113</v>
      </c>
      <c r="C317" s="52">
        <v>16286.4</v>
      </c>
      <c r="D317" s="48">
        <f>_xlfn.XLOOKUP(expected_production[[#This Row],[Site Name]],Table1[[Site Name ]],Table1[Commisioned Date],"")</f>
        <v>45449</v>
      </c>
      <c r="E317" s="47">
        <f>IF(ISNUMBER(expected_production[[#This Row],[Commissioned Date]]),MAX(0,(expected_production[[#This Row],[Date]]-expected_production[[#This Row],[Commissioned Date]])/365.25),"")</f>
        <v>1.8179329226557153</v>
      </c>
      <c r="F317" s="49">
        <f>IF(expected_production[[#This Row],[Age (yrs)]]="",1,(1-DegradationRate)^expected_production[[#This Row],[Age (yrs)]])</f>
        <v>0.98731091525604009</v>
      </c>
      <c r="G317" s="52">
        <f>IF(expected_production[[#This Row],[Base Expected (kWh)]]="","",expected_production[[#This Row],[Base Expected (kWh)]]*expected_production[[#This Row],[Degradation Factor]])</f>
        <v>16079.740490225971</v>
      </c>
    </row>
    <row r="318" spans="1:7" ht="15" hidden="1" customHeight="1" x14ac:dyDescent="0.3">
      <c r="A318" t="s">
        <v>71</v>
      </c>
      <c r="B318" s="2">
        <v>46143</v>
      </c>
      <c r="C318" s="52">
        <v>13518.9</v>
      </c>
      <c r="D318" s="48">
        <f>_xlfn.XLOOKUP(expected_production[[#This Row],[Site Name]],Table1[[Site Name ]],Table1[Commisioned Date],"")</f>
        <v>45449</v>
      </c>
      <c r="E318" s="47">
        <f>IF(ISNUMBER(expected_production[[#This Row],[Commissioned Date]]),MAX(0,(expected_production[[#This Row],[Date]]-expected_production[[#This Row],[Commissioned Date]])/365.25),"")</f>
        <v>1.9000684462696784</v>
      </c>
      <c r="F318" s="49">
        <f>IF(expected_production[[#This Row],[Age (yrs)]]="",1,(1-DegradationRate)^expected_production[[#This Row],[Age (yrs)]])</f>
        <v>0.9867414303604064</v>
      </c>
      <c r="G318" s="52">
        <f>IF(expected_production[[#This Row],[Base Expected (kWh)]]="","",expected_production[[#This Row],[Base Expected (kWh)]]*expected_production[[#This Row],[Degradation Factor]])</f>
        <v>13339.658722899298</v>
      </c>
    </row>
    <row r="319" spans="1:7" ht="15" hidden="1" customHeight="1" x14ac:dyDescent="0.3">
      <c r="A319" t="s">
        <v>71</v>
      </c>
      <c r="B319" s="2">
        <v>46174</v>
      </c>
      <c r="C319" s="52">
        <v>11864.7</v>
      </c>
      <c r="D319" s="48">
        <f>_xlfn.XLOOKUP(expected_production[[#This Row],[Site Name]],Table1[[Site Name ]],Table1[Commisioned Date],"")</f>
        <v>45449</v>
      </c>
      <c r="E319" s="47">
        <f>IF(ISNUMBER(expected_production[[#This Row],[Commissioned Date]]),MAX(0,(expected_production[[#This Row],[Date]]-expected_production[[#This Row],[Commissioned Date]])/365.25),"")</f>
        <v>1.9849418206707734</v>
      </c>
      <c r="F319" s="49">
        <f>IF(expected_production[[#This Row],[Age (yrs)]]="",1,(1-DegradationRate)^expected_production[[#This Row],[Age (yrs)]])</f>
        <v>0.9861533077204262</v>
      </c>
      <c r="G319" s="52">
        <f>IF(expected_production[[#This Row],[Base Expected (kWh)]]="","",expected_production[[#This Row],[Base Expected (kWh)]]*expected_production[[#This Row],[Degradation Factor]])</f>
        <v>11700.413150110542</v>
      </c>
    </row>
    <row r="320" spans="1:7" ht="15" hidden="1" customHeight="1" x14ac:dyDescent="0.3">
      <c r="A320" t="s">
        <v>71</v>
      </c>
      <c r="B320" s="2">
        <v>46204</v>
      </c>
      <c r="C320" s="52">
        <v>13589.1</v>
      </c>
      <c r="D320" s="48">
        <f>_xlfn.XLOOKUP(expected_production[[#This Row],[Site Name]],Table1[[Site Name ]],Table1[Commisioned Date],"")</f>
        <v>45449</v>
      </c>
      <c r="E320" s="47">
        <f>IF(ISNUMBER(expected_production[[#This Row],[Commissioned Date]]),MAX(0,(expected_production[[#This Row],[Date]]-expected_production[[#This Row],[Commissioned Date]])/365.25),"")</f>
        <v>2.0670773442847366</v>
      </c>
      <c r="F320" s="49">
        <f>IF(expected_production[[#This Row],[Age (yrs)]]="",1,(1-DegradationRate)^expected_production[[#This Row],[Age (yrs)]])</f>
        <v>0.98558449053746178</v>
      </c>
      <c r="G320" s="52">
        <f>IF(expected_production[[#This Row],[Base Expected (kWh)]]="","",expected_production[[#This Row],[Base Expected (kWh)]]*expected_production[[#This Row],[Degradation Factor]])</f>
        <v>13393.206200362622</v>
      </c>
    </row>
    <row r="321" spans="1:7" ht="15" hidden="1" customHeight="1" x14ac:dyDescent="0.3">
      <c r="A321" t="s">
        <v>71</v>
      </c>
      <c r="B321" s="2">
        <v>46235</v>
      </c>
      <c r="C321" s="52">
        <v>17109</v>
      </c>
      <c r="D321" s="48">
        <f>_xlfn.XLOOKUP(expected_production[[#This Row],[Site Name]],Table1[[Site Name ]],Table1[Commisioned Date],"")</f>
        <v>45449</v>
      </c>
      <c r="E321" s="47">
        <f>IF(ISNUMBER(expected_production[[#This Row],[Commissioned Date]]),MAX(0,(expected_production[[#This Row],[Date]]-expected_production[[#This Row],[Commissioned Date]])/365.25),"")</f>
        <v>2.1519507186858315</v>
      </c>
      <c r="F321" s="49">
        <f>IF(expected_production[[#This Row],[Age (yrs)]]="",1,(1-DegradationRate)^expected_production[[#This Row],[Age (yrs)]])</f>
        <v>0.98499705746263211</v>
      </c>
      <c r="G321" s="52">
        <f>IF(expected_production[[#This Row],[Base Expected (kWh)]]="","",expected_production[[#This Row],[Base Expected (kWh)]]*expected_production[[#This Row],[Degradation Factor]])</f>
        <v>16852.314656128172</v>
      </c>
    </row>
    <row r="322" spans="1:7" ht="15" hidden="1" customHeight="1" x14ac:dyDescent="0.3">
      <c r="A322" t="s">
        <v>71</v>
      </c>
      <c r="B322" s="2">
        <v>46266</v>
      </c>
      <c r="C322" s="52">
        <v>19506.599999999999</v>
      </c>
      <c r="D322" s="48">
        <f>_xlfn.XLOOKUP(expected_production[[#This Row],[Site Name]],Table1[[Site Name ]],Table1[Commisioned Date],"")</f>
        <v>45449</v>
      </c>
      <c r="E322" s="47">
        <f>IF(ISNUMBER(expected_production[[#This Row],[Commissioned Date]]),MAX(0,(expected_production[[#This Row],[Date]]-expected_production[[#This Row],[Commissioned Date]])/365.25),"")</f>
        <v>2.236824093086927</v>
      </c>
      <c r="F322" s="49">
        <f>IF(expected_production[[#This Row],[Age (yrs)]]="",1,(1-DegradationRate)^expected_production[[#This Row],[Age (yrs)]])</f>
        <v>0.98440997451264789</v>
      </c>
      <c r="G322" s="52">
        <f>IF(expected_production[[#This Row],[Base Expected (kWh)]]="","",expected_production[[#This Row],[Base Expected (kWh)]]*expected_production[[#This Row],[Degradation Factor]])</f>
        <v>19202.491608828415</v>
      </c>
    </row>
    <row r="323" spans="1:7" ht="15" hidden="1" customHeight="1" x14ac:dyDescent="0.3">
      <c r="A323" t="s">
        <v>71</v>
      </c>
      <c r="B323" s="2">
        <v>46296</v>
      </c>
      <c r="C323" s="52">
        <v>24081.3</v>
      </c>
      <c r="D323" s="48">
        <f>_xlfn.XLOOKUP(expected_production[[#This Row],[Site Name]],Table1[[Site Name ]],Table1[Commisioned Date],"")</f>
        <v>45449</v>
      </c>
      <c r="E323" s="47">
        <f>IF(ISNUMBER(expected_production[[#This Row],[Commissioned Date]]),MAX(0,(expected_production[[#This Row],[Date]]-expected_production[[#This Row],[Commissioned Date]])/365.25),"")</f>
        <v>2.3189596167008899</v>
      </c>
      <c r="F323" s="49">
        <f>IF(expected_production[[#This Row],[Age (yrs)]]="",1,(1-DegradationRate)^expected_production[[#This Row],[Age (yrs)]])</f>
        <v>0.98384216289126947</v>
      </c>
      <c r="G323" s="52">
        <f>IF(expected_production[[#This Row],[Base Expected (kWh)]]="","",expected_production[[#This Row],[Base Expected (kWh)]]*expected_production[[#This Row],[Degradation Factor]])</f>
        <v>23692.198277233525</v>
      </c>
    </row>
    <row r="324" spans="1:7" ht="15" hidden="1" customHeight="1" x14ac:dyDescent="0.3">
      <c r="A324" t="s">
        <v>71</v>
      </c>
      <c r="B324" s="2">
        <v>46327</v>
      </c>
      <c r="C324" s="52">
        <v>25889.4</v>
      </c>
      <c r="D324" s="48">
        <f>_xlfn.XLOOKUP(expected_production[[#This Row],[Site Name]],Table1[[Site Name ]],Table1[Commisioned Date],"")</f>
        <v>45449</v>
      </c>
      <c r="E324" s="47">
        <f>IF(ISNUMBER(expected_production[[#This Row],[Commissioned Date]]),MAX(0,(expected_production[[#This Row],[Date]]-expected_production[[#This Row],[Commissioned Date]])/365.25),"")</f>
        <v>2.4038329911019849</v>
      </c>
      <c r="F324" s="49">
        <f>IF(expected_production[[#This Row],[Age (yrs)]]="",1,(1-DegradationRate)^expected_production[[#This Row],[Age (yrs)]])</f>
        <v>0.98325576828741457</v>
      </c>
      <c r="G324" s="52">
        <f>IF(expected_production[[#This Row],[Base Expected (kWh)]]="","",expected_production[[#This Row],[Base Expected (kWh)]]*expected_production[[#This Row],[Degradation Factor]])</f>
        <v>25455.901887500193</v>
      </c>
    </row>
    <row r="325" spans="1:7" ht="15" hidden="1" customHeight="1" x14ac:dyDescent="0.3">
      <c r="A325" t="s">
        <v>71</v>
      </c>
      <c r="B325" s="2">
        <v>46357</v>
      </c>
      <c r="C325" s="52">
        <v>27992.7</v>
      </c>
      <c r="D325" s="48">
        <f>_xlfn.XLOOKUP(expected_production[[#This Row],[Site Name]],Table1[[Site Name ]],Table1[Commisioned Date],"")</f>
        <v>45449</v>
      </c>
      <c r="E325" s="47">
        <f>IF(ISNUMBER(expected_production[[#This Row],[Commissioned Date]]),MAX(0,(expected_production[[#This Row],[Date]]-expected_production[[#This Row],[Commissioned Date]])/365.25),"")</f>
        <v>2.4859685147159478</v>
      </c>
      <c r="F325" s="49">
        <f>IF(expected_production[[#This Row],[Age (yrs)]]="",1,(1-DegradationRate)^expected_production[[#This Row],[Age (yrs)]])</f>
        <v>0.98268862241681598</v>
      </c>
      <c r="G325" s="52">
        <f>IF(expected_production[[#This Row],[Base Expected (kWh)]]="","",expected_production[[#This Row],[Base Expected (kWh)]]*expected_production[[#This Row],[Degradation Factor]])</f>
        <v>27508.107800727204</v>
      </c>
    </row>
    <row r="326" spans="1:7" ht="15" hidden="1" customHeight="1" x14ac:dyDescent="0.3">
      <c r="A326" t="s">
        <v>77</v>
      </c>
      <c r="B326" s="2">
        <v>45292</v>
      </c>
      <c r="C326" s="52">
        <v>21105</v>
      </c>
      <c r="D326" s="48" t="str">
        <f>_xlfn.XLOOKUP(expected_production[[#This Row],[Site Name]],Table1[[Site Name ]],Table1[Commisioned Date],"")</f>
        <v>2025/02/29</v>
      </c>
      <c r="E326" s="47" t="str">
        <f>IF(ISNUMBER(expected_production[[#This Row],[Commissioned Date]]),MAX(0,(expected_production[[#This Row],[Date]]-expected_production[[#This Row],[Commissioned Date]])/365.25),"")</f>
        <v/>
      </c>
      <c r="F326" s="49">
        <f>IF(expected_production[[#This Row],[Age (yrs)]]="",1,(1-DegradationRate)^expected_production[[#This Row],[Age (yrs)]])</f>
        <v>1</v>
      </c>
      <c r="G326" s="52">
        <f>IF(expected_production[[#This Row],[Base Expected (kWh)]]="","",expected_production[[#This Row],[Base Expected (kWh)]]*expected_production[[#This Row],[Degradation Factor]])</f>
        <v>21105</v>
      </c>
    </row>
    <row r="327" spans="1:7" ht="15" hidden="1" customHeight="1" x14ac:dyDescent="0.3">
      <c r="A327" t="s">
        <v>77</v>
      </c>
      <c r="B327" s="2">
        <v>45323</v>
      </c>
      <c r="C327" s="52">
        <v>18220.5</v>
      </c>
      <c r="D327" s="48" t="str">
        <f>_xlfn.XLOOKUP(expected_production[[#This Row],[Site Name]],Table1[[Site Name ]],Table1[Commisioned Date],"")</f>
        <v>2025/02/29</v>
      </c>
      <c r="E327" s="47" t="str">
        <f>IF(ISNUMBER(expected_production[[#This Row],[Commissioned Date]]),MAX(0,(expected_production[[#This Row],[Date]]-expected_production[[#This Row],[Commissioned Date]])/365.25),"")</f>
        <v/>
      </c>
      <c r="F327" s="49">
        <f>IF(expected_production[[#This Row],[Age (yrs)]]="",1,(1-DegradationRate)^expected_production[[#This Row],[Age (yrs)]])</f>
        <v>1</v>
      </c>
      <c r="G327" s="52">
        <f>IF(expected_production[[#This Row],[Base Expected (kWh)]]="","",expected_production[[#This Row],[Base Expected (kWh)]]*expected_production[[#This Row],[Degradation Factor]])</f>
        <v>18220.5</v>
      </c>
    </row>
    <row r="328" spans="1:7" ht="15" hidden="1" customHeight="1" x14ac:dyDescent="0.3">
      <c r="A328" t="s">
        <v>77</v>
      </c>
      <c r="B328" s="2">
        <v>45352</v>
      </c>
      <c r="C328" s="52">
        <v>18368.099999999999</v>
      </c>
      <c r="D328" s="48" t="str">
        <f>_xlfn.XLOOKUP(expected_production[[#This Row],[Site Name]],Table1[[Site Name ]],Table1[Commisioned Date],"")</f>
        <v>2025/02/29</v>
      </c>
      <c r="E328" s="47" t="str">
        <f>IF(ISNUMBER(expected_production[[#This Row],[Commissioned Date]]),MAX(0,(expected_production[[#This Row],[Date]]-expected_production[[#This Row],[Commissioned Date]])/365.25),"")</f>
        <v/>
      </c>
      <c r="F328" s="49">
        <f>IF(expected_production[[#This Row],[Age (yrs)]]="",1,(1-DegradationRate)^expected_production[[#This Row],[Age (yrs)]])</f>
        <v>1</v>
      </c>
      <c r="G328" s="52">
        <f>IF(expected_production[[#This Row],[Base Expected (kWh)]]="","",expected_production[[#This Row],[Base Expected (kWh)]]*expected_production[[#This Row],[Degradation Factor]])</f>
        <v>18368.099999999999</v>
      </c>
    </row>
    <row r="329" spans="1:7" ht="15" hidden="1" customHeight="1" x14ac:dyDescent="0.3">
      <c r="A329" t="s">
        <v>77</v>
      </c>
      <c r="B329" s="2">
        <v>45383</v>
      </c>
      <c r="C329" s="52">
        <v>15103.8</v>
      </c>
      <c r="D329" s="48" t="str">
        <f>_xlfn.XLOOKUP(expected_production[[#This Row],[Site Name]],Table1[[Site Name ]],Table1[Commisioned Date],"")</f>
        <v>2025/02/29</v>
      </c>
      <c r="E329" s="47" t="str">
        <f>IF(ISNUMBER(expected_production[[#This Row],[Commissioned Date]]),MAX(0,(expected_production[[#This Row],[Date]]-expected_production[[#This Row],[Commissioned Date]])/365.25),"")</f>
        <v/>
      </c>
      <c r="F329" s="49">
        <f>IF(expected_production[[#This Row],[Age (yrs)]]="",1,(1-DegradationRate)^expected_production[[#This Row],[Age (yrs)]])</f>
        <v>1</v>
      </c>
      <c r="G329" s="52">
        <f>IF(expected_production[[#This Row],[Base Expected (kWh)]]="","",expected_production[[#This Row],[Base Expected (kWh)]]*expected_production[[#This Row],[Degradation Factor]])</f>
        <v>15103.8</v>
      </c>
    </row>
    <row r="330" spans="1:7" ht="15" hidden="1" customHeight="1" x14ac:dyDescent="0.3">
      <c r="A330" t="s">
        <v>77</v>
      </c>
      <c r="B330" s="2">
        <v>45413</v>
      </c>
      <c r="C330" s="52">
        <v>14130</v>
      </c>
      <c r="D330" s="48" t="str">
        <f>_xlfn.XLOOKUP(expected_production[[#This Row],[Site Name]],Table1[[Site Name ]],Table1[Commisioned Date],"")</f>
        <v>2025/02/29</v>
      </c>
      <c r="E330" s="47" t="str">
        <f>IF(ISNUMBER(expected_production[[#This Row],[Commissioned Date]]),MAX(0,(expected_production[[#This Row],[Date]]-expected_production[[#This Row],[Commissioned Date]])/365.25),"")</f>
        <v/>
      </c>
      <c r="F330" s="49">
        <f>IF(expected_production[[#This Row],[Age (yrs)]]="",1,(1-DegradationRate)^expected_production[[#This Row],[Age (yrs)]])</f>
        <v>1</v>
      </c>
      <c r="G330" s="52">
        <f>IF(expected_production[[#This Row],[Base Expected (kWh)]]="","",expected_production[[#This Row],[Base Expected (kWh)]]*expected_production[[#This Row],[Degradation Factor]])</f>
        <v>14130</v>
      </c>
    </row>
    <row r="331" spans="1:7" ht="15" hidden="1" customHeight="1" x14ac:dyDescent="0.3">
      <c r="A331" t="s">
        <v>77</v>
      </c>
      <c r="B331" s="2">
        <v>45444</v>
      </c>
      <c r="C331" s="52">
        <v>12619.8</v>
      </c>
      <c r="D331" s="48" t="str">
        <f>_xlfn.XLOOKUP(expected_production[[#This Row],[Site Name]],Table1[[Site Name ]],Table1[Commisioned Date],"")</f>
        <v>2025/02/29</v>
      </c>
      <c r="E331" s="47" t="str">
        <f>IF(ISNUMBER(expected_production[[#This Row],[Commissioned Date]]),MAX(0,(expected_production[[#This Row],[Date]]-expected_production[[#This Row],[Commissioned Date]])/365.25),"")</f>
        <v/>
      </c>
      <c r="F331" s="49">
        <f>IF(expected_production[[#This Row],[Age (yrs)]]="",1,(1-DegradationRate)^expected_production[[#This Row],[Age (yrs)]])</f>
        <v>1</v>
      </c>
      <c r="G331" s="52">
        <f>IF(expected_production[[#This Row],[Base Expected (kWh)]]="","",expected_production[[#This Row],[Base Expected (kWh)]]*expected_production[[#This Row],[Degradation Factor]])</f>
        <v>12619.8</v>
      </c>
    </row>
    <row r="332" spans="1:7" ht="15" hidden="1" customHeight="1" x14ac:dyDescent="0.3">
      <c r="A332" t="s">
        <v>77</v>
      </c>
      <c r="B332" s="2">
        <v>45474</v>
      </c>
      <c r="C332" s="52">
        <v>14002.2</v>
      </c>
      <c r="D332" s="48" t="str">
        <f>_xlfn.XLOOKUP(expected_production[[#This Row],[Site Name]],Table1[[Site Name ]],Table1[Commisioned Date],"")</f>
        <v>2025/02/29</v>
      </c>
      <c r="E332" s="47" t="str">
        <f>IF(ISNUMBER(expected_production[[#This Row],[Commissioned Date]]),MAX(0,(expected_production[[#This Row],[Date]]-expected_production[[#This Row],[Commissioned Date]])/365.25),"")</f>
        <v/>
      </c>
      <c r="F332" s="49">
        <f>IF(expected_production[[#This Row],[Age (yrs)]]="",1,(1-DegradationRate)^expected_production[[#This Row],[Age (yrs)]])</f>
        <v>1</v>
      </c>
      <c r="G332" s="52">
        <f>IF(expected_production[[#This Row],[Base Expected (kWh)]]="","",expected_production[[#This Row],[Base Expected (kWh)]]*expected_production[[#This Row],[Degradation Factor]])</f>
        <v>14002.2</v>
      </c>
    </row>
    <row r="333" spans="1:7" ht="15" hidden="1" customHeight="1" x14ac:dyDescent="0.3">
      <c r="A333" t="s">
        <v>77</v>
      </c>
      <c r="B333" s="2">
        <v>45505</v>
      </c>
      <c r="C333" s="52">
        <v>16641.900000000001</v>
      </c>
      <c r="D333" s="48" t="str">
        <f>_xlfn.XLOOKUP(expected_production[[#This Row],[Site Name]],Table1[[Site Name ]],Table1[Commisioned Date],"")</f>
        <v>2025/02/29</v>
      </c>
      <c r="E333" s="47" t="str">
        <f>IF(ISNUMBER(expected_production[[#This Row],[Commissioned Date]]),MAX(0,(expected_production[[#This Row],[Date]]-expected_production[[#This Row],[Commissioned Date]])/365.25),"")</f>
        <v/>
      </c>
      <c r="F333" s="49">
        <f>IF(expected_production[[#This Row],[Age (yrs)]]="",1,(1-DegradationRate)^expected_production[[#This Row],[Age (yrs)]])</f>
        <v>1</v>
      </c>
      <c r="G333" s="52">
        <f>IF(expected_production[[#This Row],[Base Expected (kWh)]]="","",expected_production[[#This Row],[Base Expected (kWh)]]*expected_production[[#This Row],[Degradation Factor]])</f>
        <v>16641.900000000001</v>
      </c>
    </row>
    <row r="334" spans="1:7" ht="15" hidden="1" customHeight="1" x14ac:dyDescent="0.3">
      <c r="A334" t="s">
        <v>77</v>
      </c>
      <c r="B334" s="2">
        <v>45536</v>
      </c>
      <c r="C334" s="52">
        <v>18626.400000000001</v>
      </c>
      <c r="D334" s="48" t="str">
        <f>_xlfn.XLOOKUP(expected_production[[#This Row],[Site Name]],Table1[[Site Name ]],Table1[Commisioned Date],"")</f>
        <v>2025/02/29</v>
      </c>
      <c r="E334" s="47" t="str">
        <f>IF(ISNUMBER(expected_production[[#This Row],[Commissioned Date]]),MAX(0,(expected_production[[#This Row],[Date]]-expected_production[[#This Row],[Commissioned Date]])/365.25),"")</f>
        <v/>
      </c>
      <c r="F334" s="49">
        <f>IF(expected_production[[#This Row],[Age (yrs)]]="",1,(1-DegradationRate)^expected_production[[#This Row],[Age (yrs)]])</f>
        <v>1</v>
      </c>
      <c r="G334" s="52">
        <f>IF(expected_production[[#This Row],[Base Expected (kWh)]]="","",expected_production[[#This Row],[Base Expected (kWh)]]*expected_production[[#This Row],[Degradation Factor]])</f>
        <v>18626.400000000001</v>
      </c>
    </row>
    <row r="335" spans="1:7" ht="15" hidden="1" customHeight="1" x14ac:dyDescent="0.3">
      <c r="A335" t="s">
        <v>77</v>
      </c>
      <c r="B335" s="2">
        <v>45566</v>
      </c>
      <c r="C335" s="52">
        <v>20503.8</v>
      </c>
      <c r="D335" s="48" t="str">
        <f>_xlfn.XLOOKUP(expected_production[[#This Row],[Site Name]],Table1[[Site Name ]],Table1[Commisioned Date],"")</f>
        <v>2025/02/29</v>
      </c>
      <c r="E335" s="47" t="str">
        <f>IF(ISNUMBER(expected_production[[#This Row],[Commissioned Date]]),MAX(0,(expected_production[[#This Row],[Date]]-expected_production[[#This Row],[Commissioned Date]])/365.25),"")</f>
        <v/>
      </c>
      <c r="F335" s="49">
        <f>IF(expected_production[[#This Row],[Age (yrs)]]="",1,(1-DegradationRate)^expected_production[[#This Row],[Age (yrs)]])</f>
        <v>1</v>
      </c>
      <c r="G335" s="52">
        <f>IF(expected_production[[#This Row],[Base Expected (kWh)]]="","",expected_production[[#This Row],[Base Expected (kWh)]]*expected_production[[#This Row],[Degradation Factor]])</f>
        <v>20503.8</v>
      </c>
    </row>
    <row r="336" spans="1:7" ht="15" hidden="1" customHeight="1" x14ac:dyDescent="0.3">
      <c r="A336" t="s">
        <v>77</v>
      </c>
      <c r="B336" s="2">
        <v>45597</v>
      </c>
      <c r="C336" s="52">
        <v>20601</v>
      </c>
      <c r="D336" s="48" t="str">
        <f>_xlfn.XLOOKUP(expected_production[[#This Row],[Site Name]],Table1[[Site Name ]],Table1[Commisioned Date],"")</f>
        <v>2025/02/29</v>
      </c>
      <c r="E336" s="47" t="str">
        <f>IF(ISNUMBER(expected_production[[#This Row],[Commissioned Date]]),MAX(0,(expected_production[[#This Row],[Date]]-expected_production[[#This Row],[Commissioned Date]])/365.25),"")</f>
        <v/>
      </c>
      <c r="F336" s="49">
        <f>IF(expected_production[[#This Row],[Age (yrs)]]="",1,(1-DegradationRate)^expected_production[[#This Row],[Age (yrs)]])</f>
        <v>1</v>
      </c>
      <c r="G336" s="52">
        <f>IF(expected_production[[#This Row],[Base Expected (kWh)]]="","",expected_production[[#This Row],[Base Expected (kWh)]]*expected_production[[#This Row],[Degradation Factor]])</f>
        <v>20601</v>
      </c>
    </row>
    <row r="337" spans="1:7" ht="15" hidden="1" customHeight="1" x14ac:dyDescent="0.3">
      <c r="A337" t="s">
        <v>77</v>
      </c>
      <c r="B337" s="2">
        <v>45627</v>
      </c>
      <c r="C337" s="52">
        <v>22024.799999999999</v>
      </c>
      <c r="D337" s="48" t="str">
        <f>_xlfn.XLOOKUP(expected_production[[#This Row],[Site Name]],Table1[[Site Name ]],Table1[Commisioned Date],"")</f>
        <v>2025/02/29</v>
      </c>
      <c r="E337" s="47" t="str">
        <f>IF(ISNUMBER(expected_production[[#This Row],[Commissioned Date]]),MAX(0,(expected_production[[#This Row],[Date]]-expected_production[[#This Row],[Commissioned Date]])/365.25),"")</f>
        <v/>
      </c>
      <c r="F337" s="49">
        <f>IF(expected_production[[#This Row],[Age (yrs)]]="",1,(1-DegradationRate)^expected_production[[#This Row],[Age (yrs)]])</f>
        <v>1</v>
      </c>
      <c r="G337" s="52">
        <f>IF(expected_production[[#This Row],[Base Expected (kWh)]]="","",expected_production[[#This Row],[Base Expected (kWh)]]*expected_production[[#This Row],[Degradation Factor]])</f>
        <v>22024.799999999999</v>
      </c>
    </row>
    <row r="338" spans="1:7" ht="15" hidden="1" customHeight="1" x14ac:dyDescent="0.3">
      <c r="A338" t="s">
        <v>77</v>
      </c>
      <c r="B338" s="2">
        <v>45658</v>
      </c>
      <c r="C338" s="52">
        <v>21105</v>
      </c>
      <c r="D338" s="48" t="str">
        <f>_xlfn.XLOOKUP(expected_production[[#This Row],[Site Name]],Table1[[Site Name ]],Table1[Commisioned Date],"")</f>
        <v>2025/02/29</v>
      </c>
      <c r="E338" s="47" t="str">
        <f>IF(ISNUMBER(expected_production[[#This Row],[Commissioned Date]]),MAX(0,(expected_production[[#This Row],[Date]]-expected_production[[#This Row],[Commissioned Date]])/365.25),"")</f>
        <v/>
      </c>
      <c r="F338" s="49">
        <f>IF(expected_production[[#This Row],[Age (yrs)]]="",1,(1-DegradationRate)^expected_production[[#This Row],[Age (yrs)]])</f>
        <v>1</v>
      </c>
      <c r="G338" s="52">
        <f>IF(expected_production[[#This Row],[Base Expected (kWh)]]="","",expected_production[[#This Row],[Base Expected (kWh)]]*expected_production[[#This Row],[Degradation Factor]])</f>
        <v>21105</v>
      </c>
    </row>
    <row r="339" spans="1:7" ht="15" hidden="1" customHeight="1" x14ac:dyDescent="0.3">
      <c r="A339" t="s">
        <v>77</v>
      </c>
      <c r="B339" s="2">
        <v>45689</v>
      </c>
      <c r="C339" s="52">
        <v>18220.5</v>
      </c>
      <c r="D339" s="48" t="str">
        <f>_xlfn.XLOOKUP(expected_production[[#This Row],[Site Name]],Table1[[Site Name ]],Table1[Commisioned Date],"")</f>
        <v>2025/02/29</v>
      </c>
      <c r="E339" s="47" t="str">
        <f>IF(ISNUMBER(expected_production[[#This Row],[Commissioned Date]]),MAX(0,(expected_production[[#This Row],[Date]]-expected_production[[#This Row],[Commissioned Date]])/365.25),"")</f>
        <v/>
      </c>
      <c r="F339" s="49">
        <f>IF(expected_production[[#This Row],[Age (yrs)]]="",1,(1-DegradationRate)^expected_production[[#This Row],[Age (yrs)]])</f>
        <v>1</v>
      </c>
      <c r="G339" s="52">
        <f>IF(expected_production[[#This Row],[Base Expected (kWh)]]="","",expected_production[[#This Row],[Base Expected (kWh)]]*expected_production[[#This Row],[Degradation Factor]])</f>
        <v>18220.5</v>
      </c>
    </row>
    <row r="340" spans="1:7" ht="15" hidden="1" customHeight="1" x14ac:dyDescent="0.3">
      <c r="A340" t="s">
        <v>77</v>
      </c>
      <c r="B340" s="2">
        <v>45717</v>
      </c>
      <c r="C340" s="52">
        <v>18368.099999999999</v>
      </c>
      <c r="D340" s="48" t="str">
        <f>_xlfn.XLOOKUP(expected_production[[#This Row],[Site Name]],Table1[[Site Name ]],Table1[Commisioned Date],"")</f>
        <v>2025/02/29</v>
      </c>
      <c r="E340" s="47" t="str">
        <f>IF(ISNUMBER(expected_production[[#This Row],[Commissioned Date]]),MAX(0,(expected_production[[#This Row],[Date]]-expected_production[[#This Row],[Commissioned Date]])/365.25),"")</f>
        <v/>
      </c>
      <c r="F340" s="49">
        <f>IF(expected_production[[#This Row],[Age (yrs)]]="",1,(1-DegradationRate)^expected_production[[#This Row],[Age (yrs)]])</f>
        <v>1</v>
      </c>
      <c r="G340" s="52">
        <f>IF(expected_production[[#This Row],[Base Expected (kWh)]]="","",expected_production[[#This Row],[Base Expected (kWh)]]*expected_production[[#This Row],[Degradation Factor]])</f>
        <v>18368.099999999999</v>
      </c>
    </row>
    <row r="341" spans="1:7" ht="15" hidden="1" customHeight="1" x14ac:dyDescent="0.3">
      <c r="A341" t="s">
        <v>77</v>
      </c>
      <c r="B341" s="2">
        <v>45748</v>
      </c>
      <c r="C341" s="52">
        <v>15103.8</v>
      </c>
      <c r="D341" s="48" t="str">
        <f>_xlfn.XLOOKUP(expected_production[[#This Row],[Site Name]],Table1[[Site Name ]],Table1[Commisioned Date],"")</f>
        <v>2025/02/29</v>
      </c>
      <c r="E341" s="47" t="str">
        <f>IF(ISNUMBER(expected_production[[#This Row],[Commissioned Date]]),MAX(0,(expected_production[[#This Row],[Date]]-expected_production[[#This Row],[Commissioned Date]])/365.25),"")</f>
        <v/>
      </c>
      <c r="F341" s="49">
        <f>IF(expected_production[[#This Row],[Age (yrs)]]="",1,(1-DegradationRate)^expected_production[[#This Row],[Age (yrs)]])</f>
        <v>1</v>
      </c>
      <c r="G341" s="52">
        <f>IF(expected_production[[#This Row],[Base Expected (kWh)]]="","",expected_production[[#This Row],[Base Expected (kWh)]]*expected_production[[#This Row],[Degradation Factor]])</f>
        <v>15103.8</v>
      </c>
    </row>
    <row r="342" spans="1:7" ht="15" hidden="1" customHeight="1" x14ac:dyDescent="0.3">
      <c r="A342" t="s">
        <v>77</v>
      </c>
      <c r="B342" s="2">
        <v>45778</v>
      </c>
      <c r="C342" s="52">
        <v>14130</v>
      </c>
      <c r="D342" s="48" t="str">
        <f>_xlfn.XLOOKUP(expected_production[[#This Row],[Site Name]],Table1[[Site Name ]],Table1[Commisioned Date],"")</f>
        <v>2025/02/29</v>
      </c>
      <c r="E342" s="47" t="str">
        <f>IF(ISNUMBER(expected_production[[#This Row],[Commissioned Date]]),MAX(0,(expected_production[[#This Row],[Date]]-expected_production[[#This Row],[Commissioned Date]])/365.25),"")</f>
        <v/>
      </c>
      <c r="F342" s="49">
        <f>IF(expected_production[[#This Row],[Age (yrs)]]="",1,(1-DegradationRate)^expected_production[[#This Row],[Age (yrs)]])</f>
        <v>1</v>
      </c>
      <c r="G342" s="52">
        <f>IF(expected_production[[#This Row],[Base Expected (kWh)]]="","",expected_production[[#This Row],[Base Expected (kWh)]]*expected_production[[#This Row],[Degradation Factor]])</f>
        <v>14130</v>
      </c>
    </row>
    <row r="343" spans="1:7" ht="15" hidden="1" customHeight="1" x14ac:dyDescent="0.3">
      <c r="A343" t="s">
        <v>77</v>
      </c>
      <c r="B343" s="2">
        <v>45809</v>
      </c>
      <c r="C343" s="52">
        <v>12619.8</v>
      </c>
      <c r="D343" s="48" t="str">
        <f>_xlfn.XLOOKUP(expected_production[[#This Row],[Site Name]],Table1[[Site Name ]],Table1[Commisioned Date],"")</f>
        <v>2025/02/29</v>
      </c>
      <c r="E343" s="47" t="str">
        <f>IF(ISNUMBER(expected_production[[#This Row],[Commissioned Date]]),MAX(0,(expected_production[[#This Row],[Date]]-expected_production[[#This Row],[Commissioned Date]])/365.25),"")</f>
        <v/>
      </c>
      <c r="F343" s="49">
        <f>IF(expected_production[[#This Row],[Age (yrs)]]="",1,(1-DegradationRate)^expected_production[[#This Row],[Age (yrs)]])</f>
        <v>1</v>
      </c>
      <c r="G343" s="52">
        <f>IF(expected_production[[#This Row],[Base Expected (kWh)]]="","",expected_production[[#This Row],[Base Expected (kWh)]]*expected_production[[#This Row],[Degradation Factor]])</f>
        <v>12619.8</v>
      </c>
    </row>
    <row r="344" spans="1:7" ht="15" hidden="1" customHeight="1" x14ac:dyDescent="0.3">
      <c r="A344" t="s">
        <v>77</v>
      </c>
      <c r="B344" s="2">
        <v>45839</v>
      </c>
      <c r="C344" s="52">
        <v>14002.2</v>
      </c>
      <c r="D344" s="48" t="str">
        <f>_xlfn.XLOOKUP(expected_production[[#This Row],[Site Name]],Table1[[Site Name ]],Table1[Commisioned Date],"")</f>
        <v>2025/02/29</v>
      </c>
      <c r="E344" s="47" t="str">
        <f>IF(ISNUMBER(expected_production[[#This Row],[Commissioned Date]]),MAX(0,(expected_production[[#This Row],[Date]]-expected_production[[#This Row],[Commissioned Date]])/365.25),"")</f>
        <v/>
      </c>
      <c r="F344" s="49">
        <f>IF(expected_production[[#This Row],[Age (yrs)]]="",1,(1-DegradationRate)^expected_production[[#This Row],[Age (yrs)]])</f>
        <v>1</v>
      </c>
      <c r="G344" s="52">
        <f>IF(expected_production[[#This Row],[Base Expected (kWh)]]="","",expected_production[[#This Row],[Base Expected (kWh)]]*expected_production[[#This Row],[Degradation Factor]])</f>
        <v>14002.2</v>
      </c>
    </row>
    <row r="345" spans="1:7" ht="15" hidden="1" customHeight="1" x14ac:dyDescent="0.3">
      <c r="A345" t="s">
        <v>77</v>
      </c>
      <c r="B345" s="2">
        <v>45870</v>
      </c>
      <c r="C345" s="52">
        <v>16641.900000000001</v>
      </c>
      <c r="D345" s="48" t="str">
        <f>_xlfn.XLOOKUP(expected_production[[#This Row],[Site Name]],Table1[[Site Name ]],Table1[Commisioned Date],"")</f>
        <v>2025/02/29</v>
      </c>
      <c r="E345" s="47" t="str">
        <f>IF(ISNUMBER(expected_production[[#This Row],[Commissioned Date]]),MAX(0,(expected_production[[#This Row],[Date]]-expected_production[[#This Row],[Commissioned Date]])/365.25),"")</f>
        <v/>
      </c>
      <c r="F345" s="49">
        <f>IF(expected_production[[#This Row],[Age (yrs)]]="",1,(1-DegradationRate)^expected_production[[#This Row],[Age (yrs)]])</f>
        <v>1</v>
      </c>
      <c r="G345" s="52">
        <f>IF(expected_production[[#This Row],[Base Expected (kWh)]]="","",expected_production[[#This Row],[Base Expected (kWh)]]*expected_production[[#This Row],[Degradation Factor]])</f>
        <v>16641.900000000001</v>
      </c>
    </row>
    <row r="346" spans="1:7" ht="15" hidden="1" customHeight="1" x14ac:dyDescent="0.3">
      <c r="A346" t="s">
        <v>77</v>
      </c>
      <c r="B346" s="2">
        <v>45901</v>
      </c>
      <c r="C346" s="52">
        <v>18626.400000000001</v>
      </c>
      <c r="D346" s="48" t="str">
        <f>_xlfn.XLOOKUP(expected_production[[#This Row],[Site Name]],Table1[[Site Name ]],Table1[Commisioned Date],"")</f>
        <v>2025/02/29</v>
      </c>
      <c r="E346" s="47" t="str">
        <f>IF(ISNUMBER(expected_production[[#This Row],[Commissioned Date]]),MAX(0,(expected_production[[#This Row],[Date]]-expected_production[[#This Row],[Commissioned Date]])/365.25),"")</f>
        <v/>
      </c>
      <c r="F346" s="49">
        <f>IF(expected_production[[#This Row],[Age (yrs)]]="",1,(1-DegradationRate)^expected_production[[#This Row],[Age (yrs)]])</f>
        <v>1</v>
      </c>
      <c r="G346" s="52">
        <f>IF(expected_production[[#This Row],[Base Expected (kWh)]]="","",expected_production[[#This Row],[Base Expected (kWh)]]*expected_production[[#This Row],[Degradation Factor]])</f>
        <v>18626.400000000001</v>
      </c>
    </row>
    <row r="347" spans="1:7" ht="15" hidden="1" customHeight="1" x14ac:dyDescent="0.3">
      <c r="A347" t="s">
        <v>77</v>
      </c>
      <c r="B347" s="2">
        <v>45931</v>
      </c>
      <c r="C347" s="52">
        <v>20503.8</v>
      </c>
      <c r="D347" s="48" t="str">
        <f>_xlfn.XLOOKUP(expected_production[[#This Row],[Site Name]],Table1[[Site Name ]],Table1[Commisioned Date],"")</f>
        <v>2025/02/29</v>
      </c>
      <c r="E347" s="47" t="str">
        <f>IF(ISNUMBER(expected_production[[#This Row],[Commissioned Date]]),MAX(0,(expected_production[[#This Row],[Date]]-expected_production[[#This Row],[Commissioned Date]])/365.25),"")</f>
        <v/>
      </c>
      <c r="F347" s="49">
        <f>IF(expected_production[[#This Row],[Age (yrs)]]="",1,(1-DegradationRate)^expected_production[[#This Row],[Age (yrs)]])</f>
        <v>1</v>
      </c>
      <c r="G347" s="52">
        <f>IF(expected_production[[#This Row],[Base Expected (kWh)]]="","",expected_production[[#This Row],[Base Expected (kWh)]]*expected_production[[#This Row],[Degradation Factor]])</f>
        <v>20503.8</v>
      </c>
    </row>
    <row r="348" spans="1:7" ht="15" hidden="1" customHeight="1" x14ac:dyDescent="0.3">
      <c r="A348" t="s">
        <v>77</v>
      </c>
      <c r="B348" s="2">
        <v>45962</v>
      </c>
      <c r="C348" s="52">
        <v>20601</v>
      </c>
      <c r="D348" s="48" t="str">
        <f>_xlfn.XLOOKUP(expected_production[[#This Row],[Site Name]],Table1[[Site Name ]],Table1[Commisioned Date],"")</f>
        <v>2025/02/29</v>
      </c>
      <c r="E348" s="47" t="str">
        <f>IF(ISNUMBER(expected_production[[#This Row],[Commissioned Date]]),MAX(0,(expected_production[[#This Row],[Date]]-expected_production[[#This Row],[Commissioned Date]])/365.25),"")</f>
        <v/>
      </c>
      <c r="F348" s="49">
        <f>IF(expected_production[[#This Row],[Age (yrs)]]="",1,(1-DegradationRate)^expected_production[[#This Row],[Age (yrs)]])</f>
        <v>1</v>
      </c>
      <c r="G348" s="52">
        <f>IF(expected_production[[#This Row],[Base Expected (kWh)]]="","",expected_production[[#This Row],[Base Expected (kWh)]]*expected_production[[#This Row],[Degradation Factor]])</f>
        <v>20601</v>
      </c>
    </row>
    <row r="349" spans="1:7" ht="15" hidden="1" customHeight="1" x14ac:dyDescent="0.3">
      <c r="A349" t="s">
        <v>77</v>
      </c>
      <c r="B349" s="2">
        <v>45992</v>
      </c>
      <c r="C349" s="52">
        <v>22024.799999999999</v>
      </c>
      <c r="D349" s="48" t="str">
        <f>_xlfn.XLOOKUP(expected_production[[#This Row],[Site Name]],Table1[[Site Name ]],Table1[Commisioned Date],"")</f>
        <v>2025/02/29</v>
      </c>
      <c r="E349" s="47" t="str">
        <f>IF(ISNUMBER(expected_production[[#This Row],[Commissioned Date]]),MAX(0,(expected_production[[#This Row],[Date]]-expected_production[[#This Row],[Commissioned Date]])/365.25),"")</f>
        <v/>
      </c>
      <c r="F349" s="49">
        <f>IF(expected_production[[#This Row],[Age (yrs)]]="",1,(1-DegradationRate)^expected_production[[#This Row],[Age (yrs)]])</f>
        <v>1</v>
      </c>
      <c r="G349" s="52">
        <f>IF(expected_production[[#This Row],[Base Expected (kWh)]]="","",expected_production[[#This Row],[Base Expected (kWh)]]*expected_production[[#This Row],[Degradation Factor]])</f>
        <v>22024.799999999999</v>
      </c>
    </row>
    <row r="350" spans="1:7" ht="15" hidden="1" customHeight="1" x14ac:dyDescent="0.3">
      <c r="A350" t="s">
        <v>77</v>
      </c>
      <c r="B350" s="2">
        <v>46023</v>
      </c>
      <c r="C350" s="52">
        <v>21105</v>
      </c>
      <c r="D350" s="48" t="str">
        <f>_xlfn.XLOOKUP(expected_production[[#This Row],[Site Name]],Table1[[Site Name ]],Table1[Commisioned Date],"")</f>
        <v>2025/02/29</v>
      </c>
      <c r="E350" s="47" t="str">
        <f>IF(ISNUMBER(expected_production[[#This Row],[Commissioned Date]]),MAX(0,(expected_production[[#This Row],[Date]]-expected_production[[#This Row],[Commissioned Date]])/365.25),"")</f>
        <v/>
      </c>
      <c r="F350" s="49">
        <f>IF(expected_production[[#This Row],[Age (yrs)]]="",1,(1-DegradationRate)^expected_production[[#This Row],[Age (yrs)]])</f>
        <v>1</v>
      </c>
      <c r="G350" s="52">
        <f>IF(expected_production[[#This Row],[Base Expected (kWh)]]="","",expected_production[[#This Row],[Base Expected (kWh)]]*expected_production[[#This Row],[Degradation Factor]])</f>
        <v>21105</v>
      </c>
    </row>
    <row r="351" spans="1:7" ht="15" hidden="1" customHeight="1" x14ac:dyDescent="0.3">
      <c r="A351" t="s">
        <v>77</v>
      </c>
      <c r="B351" s="2">
        <v>46054</v>
      </c>
      <c r="C351" s="52">
        <v>18220.5</v>
      </c>
      <c r="D351" s="48" t="str">
        <f>_xlfn.XLOOKUP(expected_production[[#This Row],[Site Name]],Table1[[Site Name ]],Table1[Commisioned Date],"")</f>
        <v>2025/02/29</v>
      </c>
      <c r="E351" s="47" t="str">
        <f>IF(ISNUMBER(expected_production[[#This Row],[Commissioned Date]]),MAX(0,(expected_production[[#This Row],[Date]]-expected_production[[#This Row],[Commissioned Date]])/365.25),"")</f>
        <v/>
      </c>
      <c r="F351" s="49">
        <f>IF(expected_production[[#This Row],[Age (yrs)]]="",1,(1-DegradationRate)^expected_production[[#This Row],[Age (yrs)]])</f>
        <v>1</v>
      </c>
      <c r="G351" s="52">
        <f>IF(expected_production[[#This Row],[Base Expected (kWh)]]="","",expected_production[[#This Row],[Base Expected (kWh)]]*expected_production[[#This Row],[Degradation Factor]])</f>
        <v>18220.5</v>
      </c>
    </row>
    <row r="352" spans="1:7" ht="15" hidden="1" customHeight="1" x14ac:dyDescent="0.3">
      <c r="A352" t="s">
        <v>77</v>
      </c>
      <c r="B352" s="2">
        <v>46082</v>
      </c>
      <c r="C352" s="52">
        <v>18368.099999999999</v>
      </c>
      <c r="D352" s="48" t="str">
        <f>_xlfn.XLOOKUP(expected_production[[#This Row],[Site Name]],Table1[[Site Name ]],Table1[Commisioned Date],"")</f>
        <v>2025/02/29</v>
      </c>
      <c r="E352" s="47" t="str">
        <f>IF(ISNUMBER(expected_production[[#This Row],[Commissioned Date]]),MAX(0,(expected_production[[#This Row],[Date]]-expected_production[[#This Row],[Commissioned Date]])/365.25),"")</f>
        <v/>
      </c>
      <c r="F352" s="49">
        <f>IF(expected_production[[#This Row],[Age (yrs)]]="",1,(1-DegradationRate)^expected_production[[#This Row],[Age (yrs)]])</f>
        <v>1</v>
      </c>
      <c r="G352" s="52">
        <f>IF(expected_production[[#This Row],[Base Expected (kWh)]]="","",expected_production[[#This Row],[Base Expected (kWh)]]*expected_production[[#This Row],[Degradation Factor]])</f>
        <v>18368.099999999999</v>
      </c>
    </row>
    <row r="353" spans="1:7" ht="15" hidden="1" customHeight="1" x14ac:dyDescent="0.3">
      <c r="A353" t="s">
        <v>77</v>
      </c>
      <c r="B353" s="2">
        <v>46113</v>
      </c>
      <c r="C353" s="52">
        <v>15103.8</v>
      </c>
      <c r="D353" s="48" t="str">
        <f>_xlfn.XLOOKUP(expected_production[[#This Row],[Site Name]],Table1[[Site Name ]],Table1[Commisioned Date],"")</f>
        <v>2025/02/29</v>
      </c>
      <c r="E353" s="47" t="str">
        <f>IF(ISNUMBER(expected_production[[#This Row],[Commissioned Date]]),MAX(0,(expected_production[[#This Row],[Date]]-expected_production[[#This Row],[Commissioned Date]])/365.25),"")</f>
        <v/>
      </c>
      <c r="F353" s="49">
        <f>IF(expected_production[[#This Row],[Age (yrs)]]="",1,(1-DegradationRate)^expected_production[[#This Row],[Age (yrs)]])</f>
        <v>1</v>
      </c>
      <c r="G353" s="52">
        <f>IF(expected_production[[#This Row],[Base Expected (kWh)]]="","",expected_production[[#This Row],[Base Expected (kWh)]]*expected_production[[#This Row],[Degradation Factor]])</f>
        <v>15103.8</v>
      </c>
    </row>
    <row r="354" spans="1:7" ht="15" hidden="1" customHeight="1" x14ac:dyDescent="0.3">
      <c r="A354" t="s">
        <v>77</v>
      </c>
      <c r="B354" s="2">
        <v>46143</v>
      </c>
      <c r="C354" s="52">
        <v>14130</v>
      </c>
      <c r="D354" s="48" t="str">
        <f>_xlfn.XLOOKUP(expected_production[[#This Row],[Site Name]],Table1[[Site Name ]],Table1[Commisioned Date],"")</f>
        <v>2025/02/29</v>
      </c>
      <c r="E354" s="47" t="str">
        <f>IF(ISNUMBER(expected_production[[#This Row],[Commissioned Date]]),MAX(0,(expected_production[[#This Row],[Date]]-expected_production[[#This Row],[Commissioned Date]])/365.25),"")</f>
        <v/>
      </c>
      <c r="F354" s="49">
        <f>IF(expected_production[[#This Row],[Age (yrs)]]="",1,(1-DegradationRate)^expected_production[[#This Row],[Age (yrs)]])</f>
        <v>1</v>
      </c>
      <c r="G354" s="52">
        <f>IF(expected_production[[#This Row],[Base Expected (kWh)]]="","",expected_production[[#This Row],[Base Expected (kWh)]]*expected_production[[#This Row],[Degradation Factor]])</f>
        <v>14130</v>
      </c>
    </row>
    <row r="355" spans="1:7" ht="15" hidden="1" customHeight="1" x14ac:dyDescent="0.3">
      <c r="A355" t="s">
        <v>77</v>
      </c>
      <c r="B355" s="2">
        <v>46174</v>
      </c>
      <c r="C355" s="52">
        <v>12619.8</v>
      </c>
      <c r="D355" s="48" t="str">
        <f>_xlfn.XLOOKUP(expected_production[[#This Row],[Site Name]],Table1[[Site Name ]],Table1[Commisioned Date],"")</f>
        <v>2025/02/29</v>
      </c>
      <c r="E355" s="47" t="str">
        <f>IF(ISNUMBER(expected_production[[#This Row],[Commissioned Date]]),MAX(0,(expected_production[[#This Row],[Date]]-expected_production[[#This Row],[Commissioned Date]])/365.25),"")</f>
        <v/>
      </c>
      <c r="F355" s="49">
        <f>IF(expected_production[[#This Row],[Age (yrs)]]="",1,(1-DegradationRate)^expected_production[[#This Row],[Age (yrs)]])</f>
        <v>1</v>
      </c>
      <c r="G355" s="52">
        <f>IF(expected_production[[#This Row],[Base Expected (kWh)]]="","",expected_production[[#This Row],[Base Expected (kWh)]]*expected_production[[#This Row],[Degradation Factor]])</f>
        <v>12619.8</v>
      </c>
    </row>
    <row r="356" spans="1:7" ht="15" hidden="1" customHeight="1" x14ac:dyDescent="0.3">
      <c r="A356" t="s">
        <v>77</v>
      </c>
      <c r="B356" s="2">
        <v>46204</v>
      </c>
      <c r="C356" s="52">
        <v>14002.2</v>
      </c>
      <c r="D356" s="48" t="str">
        <f>_xlfn.XLOOKUP(expected_production[[#This Row],[Site Name]],Table1[[Site Name ]],Table1[Commisioned Date],"")</f>
        <v>2025/02/29</v>
      </c>
      <c r="E356" s="47" t="str">
        <f>IF(ISNUMBER(expected_production[[#This Row],[Commissioned Date]]),MAX(0,(expected_production[[#This Row],[Date]]-expected_production[[#This Row],[Commissioned Date]])/365.25),"")</f>
        <v/>
      </c>
      <c r="F356" s="49">
        <f>IF(expected_production[[#This Row],[Age (yrs)]]="",1,(1-DegradationRate)^expected_production[[#This Row],[Age (yrs)]])</f>
        <v>1</v>
      </c>
      <c r="G356" s="52">
        <f>IF(expected_production[[#This Row],[Base Expected (kWh)]]="","",expected_production[[#This Row],[Base Expected (kWh)]]*expected_production[[#This Row],[Degradation Factor]])</f>
        <v>14002.2</v>
      </c>
    </row>
    <row r="357" spans="1:7" ht="15" hidden="1" customHeight="1" x14ac:dyDescent="0.3">
      <c r="A357" t="s">
        <v>77</v>
      </c>
      <c r="B357" s="2">
        <v>46235</v>
      </c>
      <c r="C357" s="52">
        <v>16641.900000000001</v>
      </c>
      <c r="D357" s="48" t="str">
        <f>_xlfn.XLOOKUP(expected_production[[#This Row],[Site Name]],Table1[[Site Name ]],Table1[Commisioned Date],"")</f>
        <v>2025/02/29</v>
      </c>
      <c r="E357" s="47" t="str">
        <f>IF(ISNUMBER(expected_production[[#This Row],[Commissioned Date]]),MAX(0,(expected_production[[#This Row],[Date]]-expected_production[[#This Row],[Commissioned Date]])/365.25),"")</f>
        <v/>
      </c>
      <c r="F357" s="49">
        <f>IF(expected_production[[#This Row],[Age (yrs)]]="",1,(1-DegradationRate)^expected_production[[#This Row],[Age (yrs)]])</f>
        <v>1</v>
      </c>
      <c r="G357" s="52">
        <f>IF(expected_production[[#This Row],[Base Expected (kWh)]]="","",expected_production[[#This Row],[Base Expected (kWh)]]*expected_production[[#This Row],[Degradation Factor]])</f>
        <v>16641.900000000001</v>
      </c>
    </row>
    <row r="358" spans="1:7" ht="15" hidden="1" customHeight="1" x14ac:dyDescent="0.3">
      <c r="A358" t="s">
        <v>77</v>
      </c>
      <c r="B358" s="2">
        <v>46266</v>
      </c>
      <c r="C358" s="52">
        <v>18626.400000000001</v>
      </c>
      <c r="D358" s="48" t="str">
        <f>_xlfn.XLOOKUP(expected_production[[#This Row],[Site Name]],Table1[[Site Name ]],Table1[Commisioned Date],"")</f>
        <v>2025/02/29</v>
      </c>
      <c r="E358" s="47" t="str">
        <f>IF(ISNUMBER(expected_production[[#This Row],[Commissioned Date]]),MAX(0,(expected_production[[#This Row],[Date]]-expected_production[[#This Row],[Commissioned Date]])/365.25),"")</f>
        <v/>
      </c>
      <c r="F358" s="49">
        <f>IF(expected_production[[#This Row],[Age (yrs)]]="",1,(1-DegradationRate)^expected_production[[#This Row],[Age (yrs)]])</f>
        <v>1</v>
      </c>
      <c r="G358" s="52">
        <f>IF(expected_production[[#This Row],[Base Expected (kWh)]]="","",expected_production[[#This Row],[Base Expected (kWh)]]*expected_production[[#This Row],[Degradation Factor]])</f>
        <v>18626.400000000001</v>
      </c>
    </row>
    <row r="359" spans="1:7" ht="15" hidden="1" customHeight="1" x14ac:dyDescent="0.3">
      <c r="A359" t="s">
        <v>77</v>
      </c>
      <c r="B359" s="2">
        <v>46296</v>
      </c>
      <c r="C359" s="52">
        <v>20503.8</v>
      </c>
      <c r="D359" s="48" t="str">
        <f>_xlfn.XLOOKUP(expected_production[[#This Row],[Site Name]],Table1[[Site Name ]],Table1[Commisioned Date],"")</f>
        <v>2025/02/29</v>
      </c>
      <c r="E359" s="47" t="str">
        <f>IF(ISNUMBER(expected_production[[#This Row],[Commissioned Date]]),MAX(0,(expected_production[[#This Row],[Date]]-expected_production[[#This Row],[Commissioned Date]])/365.25),"")</f>
        <v/>
      </c>
      <c r="F359" s="49">
        <f>IF(expected_production[[#This Row],[Age (yrs)]]="",1,(1-DegradationRate)^expected_production[[#This Row],[Age (yrs)]])</f>
        <v>1</v>
      </c>
      <c r="G359" s="52">
        <f>IF(expected_production[[#This Row],[Base Expected (kWh)]]="","",expected_production[[#This Row],[Base Expected (kWh)]]*expected_production[[#This Row],[Degradation Factor]])</f>
        <v>20503.8</v>
      </c>
    </row>
    <row r="360" spans="1:7" ht="15" hidden="1" customHeight="1" x14ac:dyDescent="0.3">
      <c r="A360" t="s">
        <v>77</v>
      </c>
      <c r="B360" s="2">
        <v>46327</v>
      </c>
      <c r="C360" s="52">
        <v>20601</v>
      </c>
      <c r="D360" s="48" t="str">
        <f>_xlfn.XLOOKUP(expected_production[[#This Row],[Site Name]],Table1[[Site Name ]],Table1[Commisioned Date],"")</f>
        <v>2025/02/29</v>
      </c>
      <c r="E360" s="47" t="str">
        <f>IF(ISNUMBER(expected_production[[#This Row],[Commissioned Date]]),MAX(0,(expected_production[[#This Row],[Date]]-expected_production[[#This Row],[Commissioned Date]])/365.25),"")</f>
        <v/>
      </c>
      <c r="F360" s="49">
        <f>IF(expected_production[[#This Row],[Age (yrs)]]="",1,(1-DegradationRate)^expected_production[[#This Row],[Age (yrs)]])</f>
        <v>1</v>
      </c>
      <c r="G360" s="52">
        <f>IF(expected_production[[#This Row],[Base Expected (kWh)]]="","",expected_production[[#This Row],[Base Expected (kWh)]]*expected_production[[#This Row],[Degradation Factor]])</f>
        <v>20601</v>
      </c>
    </row>
    <row r="361" spans="1:7" ht="15" hidden="1" customHeight="1" x14ac:dyDescent="0.3">
      <c r="A361" t="s">
        <v>77</v>
      </c>
      <c r="B361" s="2">
        <v>46357</v>
      </c>
      <c r="C361" s="52">
        <v>22024.799999999999</v>
      </c>
      <c r="D361" s="48" t="str">
        <f>_xlfn.XLOOKUP(expected_production[[#This Row],[Site Name]],Table1[[Site Name ]],Table1[Commisioned Date],"")</f>
        <v>2025/02/29</v>
      </c>
      <c r="E361" s="47" t="str">
        <f>IF(ISNUMBER(expected_production[[#This Row],[Commissioned Date]]),MAX(0,(expected_production[[#This Row],[Date]]-expected_production[[#This Row],[Commissioned Date]])/365.25),"")</f>
        <v/>
      </c>
      <c r="F361" s="49">
        <f>IF(expected_production[[#This Row],[Age (yrs)]]="",1,(1-DegradationRate)^expected_production[[#This Row],[Age (yrs)]])</f>
        <v>1</v>
      </c>
      <c r="G361" s="52">
        <f>IF(expected_production[[#This Row],[Base Expected (kWh)]]="","",expected_production[[#This Row],[Base Expected (kWh)]]*expected_production[[#This Row],[Degradation Factor]])</f>
        <v>22024.799999999999</v>
      </c>
    </row>
    <row r="362" spans="1:7" ht="15" hidden="1" customHeight="1" x14ac:dyDescent="0.3">
      <c r="A362" t="s">
        <v>80</v>
      </c>
      <c r="B362" s="2">
        <v>45292</v>
      </c>
      <c r="C362" s="52">
        <v>21105</v>
      </c>
      <c r="D362" s="48" t="str">
        <f>_xlfn.XLOOKUP(expected_production[[#This Row],[Site Name]],Table1[[Site Name ]],Table1[Commisioned Date],"")</f>
        <v>2025/02/29</v>
      </c>
      <c r="E362" s="47" t="str">
        <f>IF(ISNUMBER(expected_production[[#This Row],[Commissioned Date]]),MAX(0,(expected_production[[#This Row],[Date]]-expected_production[[#This Row],[Commissioned Date]])/365.25),"")</f>
        <v/>
      </c>
      <c r="F362" s="49">
        <f>IF(expected_production[[#This Row],[Age (yrs)]]="",1,(1-DegradationRate)^expected_production[[#This Row],[Age (yrs)]])</f>
        <v>1</v>
      </c>
      <c r="G362" s="52">
        <f>IF(expected_production[[#This Row],[Base Expected (kWh)]]="","",expected_production[[#This Row],[Base Expected (kWh)]]*expected_production[[#This Row],[Degradation Factor]])</f>
        <v>21105</v>
      </c>
    </row>
    <row r="363" spans="1:7" ht="15" hidden="1" customHeight="1" x14ac:dyDescent="0.3">
      <c r="A363" t="s">
        <v>80</v>
      </c>
      <c r="B363" s="2">
        <v>45323</v>
      </c>
      <c r="C363" s="52">
        <v>18220.5</v>
      </c>
      <c r="D363" s="48" t="str">
        <f>_xlfn.XLOOKUP(expected_production[[#This Row],[Site Name]],Table1[[Site Name ]],Table1[Commisioned Date],"")</f>
        <v>2025/02/29</v>
      </c>
      <c r="E363" s="47" t="str">
        <f>IF(ISNUMBER(expected_production[[#This Row],[Commissioned Date]]),MAX(0,(expected_production[[#This Row],[Date]]-expected_production[[#This Row],[Commissioned Date]])/365.25),"")</f>
        <v/>
      </c>
      <c r="F363" s="49">
        <f>IF(expected_production[[#This Row],[Age (yrs)]]="",1,(1-DegradationRate)^expected_production[[#This Row],[Age (yrs)]])</f>
        <v>1</v>
      </c>
      <c r="G363" s="52">
        <f>IF(expected_production[[#This Row],[Base Expected (kWh)]]="","",expected_production[[#This Row],[Base Expected (kWh)]]*expected_production[[#This Row],[Degradation Factor]])</f>
        <v>18220.5</v>
      </c>
    </row>
    <row r="364" spans="1:7" ht="15" hidden="1" customHeight="1" x14ac:dyDescent="0.3">
      <c r="A364" t="s">
        <v>80</v>
      </c>
      <c r="B364" s="2">
        <v>45352</v>
      </c>
      <c r="C364" s="52">
        <v>18368.099999999999</v>
      </c>
      <c r="D364" s="48" t="str">
        <f>_xlfn.XLOOKUP(expected_production[[#This Row],[Site Name]],Table1[[Site Name ]],Table1[Commisioned Date],"")</f>
        <v>2025/02/29</v>
      </c>
      <c r="E364" s="47" t="str">
        <f>IF(ISNUMBER(expected_production[[#This Row],[Commissioned Date]]),MAX(0,(expected_production[[#This Row],[Date]]-expected_production[[#This Row],[Commissioned Date]])/365.25),"")</f>
        <v/>
      </c>
      <c r="F364" s="49">
        <f>IF(expected_production[[#This Row],[Age (yrs)]]="",1,(1-DegradationRate)^expected_production[[#This Row],[Age (yrs)]])</f>
        <v>1</v>
      </c>
      <c r="G364" s="52">
        <f>IF(expected_production[[#This Row],[Base Expected (kWh)]]="","",expected_production[[#This Row],[Base Expected (kWh)]]*expected_production[[#This Row],[Degradation Factor]])</f>
        <v>18368.099999999999</v>
      </c>
    </row>
    <row r="365" spans="1:7" ht="15" hidden="1" customHeight="1" x14ac:dyDescent="0.3">
      <c r="A365" t="s">
        <v>80</v>
      </c>
      <c r="B365" s="2">
        <v>45383</v>
      </c>
      <c r="C365" s="52">
        <v>15103.8</v>
      </c>
      <c r="D365" s="48" t="str">
        <f>_xlfn.XLOOKUP(expected_production[[#This Row],[Site Name]],Table1[[Site Name ]],Table1[Commisioned Date],"")</f>
        <v>2025/02/29</v>
      </c>
      <c r="E365" s="47" t="str">
        <f>IF(ISNUMBER(expected_production[[#This Row],[Commissioned Date]]),MAX(0,(expected_production[[#This Row],[Date]]-expected_production[[#This Row],[Commissioned Date]])/365.25),"")</f>
        <v/>
      </c>
      <c r="F365" s="49">
        <f>IF(expected_production[[#This Row],[Age (yrs)]]="",1,(1-DegradationRate)^expected_production[[#This Row],[Age (yrs)]])</f>
        <v>1</v>
      </c>
      <c r="G365" s="52">
        <f>IF(expected_production[[#This Row],[Base Expected (kWh)]]="","",expected_production[[#This Row],[Base Expected (kWh)]]*expected_production[[#This Row],[Degradation Factor]])</f>
        <v>15103.8</v>
      </c>
    </row>
    <row r="366" spans="1:7" ht="15" hidden="1" customHeight="1" x14ac:dyDescent="0.3">
      <c r="A366" t="s">
        <v>80</v>
      </c>
      <c r="B366" s="2">
        <v>45413</v>
      </c>
      <c r="C366" s="52">
        <v>14130</v>
      </c>
      <c r="D366" s="48" t="str">
        <f>_xlfn.XLOOKUP(expected_production[[#This Row],[Site Name]],Table1[[Site Name ]],Table1[Commisioned Date],"")</f>
        <v>2025/02/29</v>
      </c>
      <c r="E366" s="47" t="str">
        <f>IF(ISNUMBER(expected_production[[#This Row],[Commissioned Date]]),MAX(0,(expected_production[[#This Row],[Date]]-expected_production[[#This Row],[Commissioned Date]])/365.25),"")</f>
        <v/>
      </c>
      <c r="F366" s="49">
        <f>IF(expected_production[[#This Row],[Age (yrs)]]="",1,(1-DegradationRate)^expected_production[[#This Row],[Age (yrs)]])</f>
        <v>1</v>
      </c>
      <c r="G366" s="52">
        <f>IF(expected_production[[#This Row],[Base Expected (kWh)]]="","",expected_production[[#This Row],[Base Expected (kWh)]]*expected_production[[#This Row],[Degradation Factor]])</f>
        <v>14130</v>
      </c>
    </row>
    <row r="367" spans="1:7" ht="15" hidden="1" customHeight="1" x14ac:dyDescent="0.3">
      <c r="A367" t="s">
        <v>80</v>
      </c>
      <c r="B367" s="2">
        <v>45444</v>
      </c>
      <c r="C367" s="52">
        <v>12619.8</v>
      </c>
      <c r="D367" s="48" t="str">
        <f>_xlfn.XLOOKUP(expected_production[[#This Row],[Site Name]],Table1[[Site Name ]],Table1[Commisioned Date],"")</f>
        <v>2025/02/29</v>
      </c>
      <c r="E367" s="47" t="str">
        <f>IF(ISNUMBER(expected_production[[#This Row],[Commissioned Date]]),MAX(0,(expected_production[[#This Row],[Date]]-expected_production[[#This Row],[Commissioned Date]])/365.25),"")</f>
        <v/>
      </c>
      <c r="F367" s="49">
        <f>IF(expected_production[[#This Row],[Age (yrs)]]="",1,(1-DegradationRate)^expected_production[[#This Row],[Age (yrs)]])</f>
        <v>1</v>
      </c>
      <c r="G367" s="52">
        <f>IF(expected_production[[#This Row],[Base Expected (kWh)]]="","",expected_production[[#This Row],[Base Expected (kWh)]]*expected_production[[#This Row],[Degradation Factor]])</f>
        <v>12619.8</v>
      </c>
    </row>
    <row r="368" spans="1:7" ht="15" hidden="1" customHeight="1" x14ac:dyDescent="0.3">
      <c r="A368" t="s">
        <v>80</v>
      </c>
      <c r="B368" s="2">
        <v>45474</v>
      </c>
      <c r="C368" s="52">
        <v>14002.2</v>
      </c>
      <c r="D368" s="48" t="str">
        <f>_xlfn.XLOOKUP(expected_production[[#This Row],[Site Name]],Table1[[Site Name ]],Table1[Commisioned Date],"")</f>
        <v>2025/02/29</v>
      </c>
      <c r="E368" s="47" t="str">
        <f>IF(ISNUMBER(expected_production[[#This Row],[Commissioned Date]]),MAX(0,(expected_production[[#This Row],[Date]]-expected_production[[#This Row],[Commissioned Date]])/365.25),"")</f>
        <v/>
      </c>
      <c r="F368" s="49">
        <f>IF(expected_production[[#This Row],[Age (yrs)]]="",1,(1-DegradationRate)^expected_production[[#This Row],[Age (yrs)]])</f>
        <v>1</v>
      </c>
      <c r="G368" s="52">
        <f>IF(expected_production[[#This Row],[Base Expected (kWh)]]="","",expected_production[[#This Row],[Base Expected (kWh)]]*expected_production[[#This Row],[Degradation Factor]])</f>
        <v>14002.2</v>
      </c>
    </row>
    <row r="369" spans="1:7" ht="15" hidden="1" customHeight="1" x14ac:dyDescent="0.3">
      <c r="A369" t="s">
        <v>80</v>
      </c>
      <c r="B369" s="2">
        <v>45505</v>
      </c>
      <c r="C369" s="52">
        <v>16641.900000000001</v>
      </c>
      <c r="D369" s="48" t="str">
        <f>_xlfn.XLOOKUP(expected_production[[#This Row],[Site Name]],Table1[[Site Name ]],Table1[Commisioned Date],"")</f>
        <v>2025/02/29</v>
      </c>
      <c r="E369" s="47" t="str">
        <f>IF(ISNUMBER(expected_production[[#This Row],[Commissioned Date]]),MAX(0,(expected_production[[#This Row],[Date]]-expected_production[[#This Row],[Commissioned Date]])/365.25),"")</f>
        <v/>
      </c>
      <c r="F369" s="49">
        <f>IF(expected_production[[#This Row],[Age (yrs)]]="",1,(1-DegradationRate)^expected_production[[#This Row],[Age (yrs)]])</f>
        <v>1</v>
      </c>
      <c r="G369" s="52">
        <f>IF(expected_production[[#This Row],[Base Expected (kWh)]]="","",expected_production[[#This Row],[Base Expected (kWh)]]*expected_production[[#This Row],[Degradation Factor]])</f>
        <v>16641.900000000001</v>
      </c>
    </row>
    <row r="370" spans="1:7" ht="15" hidden="1" customHeight="1" x14ac:dyDescent="0.3">
      <c r="A370" t="s">
        <v>80</v>
      </c>
      <c r="B370" s="2">
        <v>45536</v>
      </c>
      <c r="C370" s="52">
        <v>18626.400000000001</v>
      </c>
      <c r="D370" s="48" t="str">
        <f>_xlfn.XLOOKUP(expected_production[[#This Row],[Site Name]],Table1[[Site Name ]],Table1[Commisioned Date],"")</f>
        <v>2025/02/29</v>
      </c>
      <c r="E370" s="47" t="str">
        <f>IF(ISNUMBER(expected_production[[#This Row],[Commissioned Date]]),MAX(0,(expected_production[[#This Row],[Date]]-expected_production[[#This Row],[Commissioned Date]])/365.25),"")</f>
        <v/>
      </c>
      <c r="F370" s="49">
        <f>IF(expected_production[[#This Row],[Age (yrs)]]="",1,(1-DegradationRate)^expected_production[[#This Row],[Age (yrs)]])</f>
        <v>1</v>
      </c>
      <c r="G370" s="52">
        <f>IF(expected_production[[#This Row],[Base Expected (kWh)]]="","",expected_production[[#This Row],[Base Expected (kWh)]]*expected_production[[#This Row],[Degradation Factor]])</f>
        <v>18626.400000000001</v>
      </c>
    </row>
    <row r="371" spans="1:7" ht="15" hidden="1" customHeight="1" x14ac:dyDescent="0.3">
      <c r="A371" t="s">
        <v>80</v>
      </c>
      <c r="B371" s="2">
        <v>45566</v>
      </c>
      <c r="C371" s="52">
        <v>20503.8</v>
      </c>
      <c r="D371" s="48" t="str">
        <f>_xlfn.XLOOKUP(expected_production[[#This Row],[Site Name]],Table1[[Site Name ]],Table1[Commisioned Date],"")</f>
        <v>2025/02/29</v>
      </c>
      <c r="E371" s="47" t="str">
        <f>IF(ISNUMBER(expected_production[[#This Row],[Commissioned Date]]),MAX(0,(expected_production[[#This Row],[Date]]-expected_production[[#This Row],[Commissioned Date]])/365.25),"")</f>
        <v/>
      </c>
      <c r="F371" s="49">
        <f>IF(expected_production[[#This Row],[Age (yrs)]]="",1,(1-DegradationRate)^expected_production[[#This Row],[Age (yrs)]])</f>
        <v>1</v>
      </c>
      <c r="G371" s="52">
        <f>IF(expected_production[[#This Row],[Base Expected (kWh)]]="","",expected_production[[#This Row],[Base Expected (kWh)]]*expected_production[[#This Row],[Degradation Factor]])</f>
        <v>20503.8</v>
      </c>
    </row>
    <row r="372" spans="1:7" ht="15" hidden="1" customHeight="1" x14ac:dyDescent="0.3">
      <c r="A372" t="s">
        <v>80</v>
      </c>
      <c r="B372" s="2">
        <v>45597</v>
      </c>
      <c r="C372" s="52">
        <v>20601</v>
      </c>
      <c r="D372" s="48" t="str">
        <f>_xlfn.XLOOKUP(expected_production[[#This Row],[Site Name]],Table1[[Site Name ]],Table1[Commisioned Date],"")</f>
        <v>2025/02/29</v>
      </c>
      <c r="E372" s="47" t="str">
        <f>IF(ISNUMBER(expected_production[[#This Row],[Commissioned Date]]),MAX(0,(expected_production[[#This Row],[Date]]-expected_production[[#This Row],[Commissioned Date]])/365.25),"")</f>
        <v/>
      </c>
      <c r="F372" s="49">
        <f>IF(expected_production[[#This Row],[Age (yrs)]]="",1,(1-DegradationRate)^expected_production[[#This Row],[Age (yrs)]])</f>
        <v>1</v>
      </c>
      <c r="G372" s="52">
        <f>IF(expected_production[[#This Row],[Base Expected (kWh)]]="","",expected_production[[#This Row],[Base Expected (kWh)]]*expected_production[[#This Row],[Degradation Factor]])</f>
        <v>20601</v>
      </c>
    </row>
    <row r="373" spans="1:7" ht="15" hidden="1" customHeight="1" x14ac:dyDescent="0.3">
      <c r="A373" t="s">
        <v>80</v>
      </c>
      <c r="B373" s="2">
        <v>45627</v>
      </c>
      <c r="C373" s="52">
        <v>22024.799999999999</v>
      </c>
      <c r="D373" s="48" t="str">
        <f>_xlfn.XLOOKUP(expected_production[[#This Row],[Site Name]],Table1[[Site Name ]],Table1[Commisioned Date],"")</f>
        <v>2025/02/29</v>
      </c>
      <c r="E373" s="47" t="str">
        <f>IF(ISNUMBER(expected_production[[#This Row],[Commissioned Date]]),MAX(0,(expected_production[[#This Row],[Date]]-expected_production[[#This Row],[Commissioned Date]])/365.25),"")</f>
        <v/>
      </c>
      <c r="F373" s="49">
        <f>IF(expected_production[[#This Row],[Age (yrs)]]="",1,(1-DegradationRate)^expected_production[[#This Row],[Age (yrs)]])</f>
        <v>1</v>
      </c>
      <c r="G373" s="52">
        <f>IF(expected_production[[#This Row],[Base Expected (kWh)]]="","",expected_production[[#This Row],[Base Expected (kWh)]]*expected_production[[#This Row],[Degradation Factor]])</f>
        <v>22024.799999999999</v>
      </c>
    </row>
    <row r="374" spans="1:7" ht="15" hidden="1" customHeight="1" x14ac:dyDescent="0.3">
      <c r="A374" t="s">
        <v>80</v>
      </c>
      <c r="B374" s="2">
        <v>45658</v>
      </c>
      <c r="C374" s="52">
        <v>21105</v>
      </c>
      <c r="D374" s="48" t="str">
        <f>_xlfn.XLOOKUP(expected_production[[#This Row],[Site Name]],Table1[[Site Name ]],Table1[Commisioned Date],"")</f>
        <v>2025/02/29</v>
      </c>
      <c r="E374" s="47" t="str">
        <f>IF(ISNUMBER(expected_production[[#This Row],[Commissioned Date]]),MAX(0,(expected_production[[#This Row],[Date]]-expected_production[[#This Row],[Commissioned Date]])/365.25),"")</f>
        <v/>
      </c>
      <c r="F374" s="49">
        <f>IF(expected_production[[#This Row],[Age (yrs)]]="",1,(1-DegradationRate)^expected_production[[#This Row],[Age (yrs)]])</f>
        <v>1</v>
      </c>
      <c r="G374" s="52">
        <f>IF(expected_production[[#This Row],[Base Expected (kWh)]]="","",expected_production[[#This Row],[Base Expected (kWh)]]*expected_production[[#This Row],[Degradation Factor]])</f>
        <v>21105</v>
      </c>
    </row>
    <row r="375" spans="1:7" ht="15" hidden="1" customHeight="1" x14ac:dyDescent="0.3">
      <c r="A375" t="s">
        <v>80</v>
      </c>
      <c r="B375" s="2">
        <v>45689</v>
      </c>
      <c r="C375" s="52">
        <v>18220.5</v>
      </c>
      <c r="D375" s="48" t="str">
        <f>_xlfn.XLOOKUP(expected_production[[#This Row],[Site Name]],Table1[[Site Name ]],Table1[Commisioned Date],"")</f>
        <v>2025/02/29</v>
      </c>
      <c r="E375" s="47" t="str">
        <f>IF(ISNUMBER(expected_production[[#This Row],[Commissioned Date]]),MAX(0,(expected_production[[#This Row],[Date]]-expected_production[[#This Row],[Commissioned Date]])/365.25),"")</f>
        <v/>
      </c>
      <c r="F375" s="49">
        <f>IF(expected_production[[#This Row],[Age (yrs)]]="",1,(1-DegradationRate)^expected_production[[#This Row],[Age (yrs)]])</f>
        <v>1</v>
      </c>
      <c r="G375" s="52">
        <f>IF(expected_production[[#This Row],[Base Expected (kWh)]]="","",expected_production[[#This Row],[Base Expected (kWh)]]*expected_production[[#This Row],[Degradation Factor]])</f>
        <v>18220.5</v>
      </c>
    </row>
    <row r="376" spans="1:7" ht="15" hidden="1" customHeight="1" x14ac:dyDescent="0.3">
      <c r="A376" t="s">
        <v>80</v>
      </c>
      <c r="B376" s="2">
        <v>45717</v>
      </c>
      <c r="C376" s="52">
        <v>18368.099999999999</v>
      </c>
      <c r="D376" s="48" t="str">
        <f>_xlfn.XLOOKUP(expected_production[[#This Row],[Site Name]],Table1[[Site Name ]],Table1[Commisioned Date],"")</f>
        <v>2025/02/29</v>
      </c>
      <c r="E376" s="47" t="str">
        <f>IF(ISNUMBER(expected_production[[#This Row],[Commissioned Date]]),MAX(0,(expected_production[[#This Row],[Date]]-expected_production[[#This Row],[Commissioned Date]])/365.25),"")</f>
        <v/>
      </c>
      <c r="F376" s="49">
        <f>IF(expected_production[[#This Row],[Age (yrs)]]="",1,(1-DegradationRate)^expected_production[[#This Row],[Age (yrs)]])</f>
        <v>1</v>
      </c>
      <c r="G376" s="52">
        <f>IF(expected_production[[#This Row],[Base Expected (kWh)]]="","",expected_production[[#This Row],[Base Expected (kWh)]]*expected_production[[#This Row],[Degradation Factor]])</f>
        <v>18368.099999999999</v>
      </c>
    </row>
    <row r="377" spans="1:7" ht="15" hidden="1" customHeight="1" x14ac:dyDescent="0.3">
      <c r="A377" t="s">
        <v>80</v>
      </c>
      <c r="B377" s="2">
        <v>45748</v>
      </c>
      <c r="C377" s="52">
        <v>15103.8</v>
      </c>
      <c r="D377" s="48" t="str">
        <f>_xlfn.XLOOKUP(expected_production[[#This Row],[Site Name]],Table1[[Site Name ]],Table1[Commisioned Date],"")</f>
        <v>2025/02/29</v>
      </c>
      <c r="E377" s="47" t="str">
        <f>IF(ISNUMBER(expected_production[[#This Row],[Commissioned Date]]),MAX(0,(expected_production[[#This Row],[Date]]-expected_production[[#This Row],[Commissioned Date]])/365.25),"")</f>
        <v/>
      </c>
      <c r="F377" s="49">
        <f>IF(expected_production[[#This Row],[Age (yrs)]]="",1,(1-DegradationRate)^expected_production[[#This Row],[Age (yrs)]])</f>
        <v>1</v>
      </c>
      <c r="G377" s="52">
        <f>IF(expected_production[[#This Row],[Base Expected (kWh)]]="","",expected_production[[#This Row],[Base Expected (kWh)]]*expected_production[[#This Row],[Degradation Factor]])</f>
        <v>15103.8</v>
      </c>
    </row>
    <row r="378" spans="1:7" ht="15" hidden="1" customHeight="1" x14ac:dyDescent="0.3">
      <c r="A378" t="s">
        <v>80</v>
      </c>
      <c r="B378" s="2">
        <v>45778</v>
      </c>
      <c r="C378" s="52">
        <v>14130</v>
      </c>
      <c r="D378" s="48" t="str">
        <f>_xlfn.XLOOKUP(expected_production[[#This Row],[Site Name]],Table1[[Site Name ]],Table1[Commisioned Date],"")</f>
        <v>2025/02/29</v>
      </c>
      <c r="E378" s="47" t="str">
        <f>IF(ISNUMBER(expected_production[[#This Row],[Commissioned Date]]),MAX(0,(expected_production[[#This Row],[Date]]-expected_production[[#This Row],[Commissioned Date]])/365.25),"")</f>
        <v/>
      </c>
      <c r="F378" s="49">
        <f>IF(expected_production[[#This Row],[Age (yrs)]]="",1,(1-DegradationRate)^expected_production[[#This Row],[Age (yrs)]])</f>
        <v>1</v>
      </c>
      <c r="G378" s="52">
        <f>IF(expected_production[[#This Row],[Base Expected (kWh)]]="","",expected_production[[#This Row],[Base Expected (kWh)]]*expected_production[[#This Row],[Degradation Factor]])</f>
        <v>14130</v>
      </c>
    </row>
    <row r="379" spans="1:7" ht="15" hidden="1" customHeight="1" x14ac:dyDescent="0.3">
      <c r="A379" t="s">
        <v>80</v>
      </c>
      <c r="B379" s="2">
        <v>45809</v>
      </c>
      <c r="C379" s="52">
        <v>12619.8</v>
      </c>
      <c r="D379" s="48" t="str">
        <f>_xlfn.XLOOKUP(expected_production[[#This Row],[Site Name]],Table1[[Site Name ]],Table1[Commisioned Date],"")</f>
        <v>2025/02/29</v>
      </c>
      <c r="E379" s="47" t="str">
        <f>IF(ISNUMBER(expected_production[[#This Row],[Commissioned Date]]),MAX(0,(expected_production[[#This Row],[Date]]-expected_production[[#This Row],[Commissioned Date]])/365.25),"")</f>
        <v/>
      </c>
      <c r="F379" s="49">
        <f>IF(expected_production[[#This Row],[Age (yrs)]]="",1,(1-DegradationRate)^expected_production[[#This Row],[Age (yrs)]])</f>
        <v>1</v>
      </c>
      <c r="G379" s="52">
        <f>IF(expected_production[[#This Row],[Base Expected (kWh)]]="","",expected_production[[#This Row],[Base Expected (kWh)]]*expected_production[[#This Row],[Degradation Factor]])</f>
        <v>12619.8</v>
      </c>
    </row>
    <row r="380" spans="1:7" ht="15" hidden="1" customHeight="1" x14ac:dyDescent="0.3">
      <c r="A380" t="s">
        <v>80</v>
      </c>
      <c r="B380" s="2">
        <v>45839</v>
      </c>
      <c r="C380" s="52">
        <v>14002.2</v>
      </c>
      <c r="D380" s="48" t="str">
        <f>_xlfn.XLOOKUP(expected_production[[#This Row],[Site Name]],Table1[[Site Name ]],Table1[Commisioned Date],"")</f>
        <v>2025/02/29</v>
      </c>
      <c r="E380" s="47" t="str">
        <f>IF(ISNUMBER(expected_production[[#This Row],[Commissioned Date]]),MAX(0,(expected_production[[#This Row],[Date]]-expected_production[[#This Row],[Commissioned Date]])/365.25),"")</f>
        <v/>
      </c>
      <c r="F380" s="49">
        <f>IF(expected_production[[#This Row],[Age (yrs)]]="",1,(1-DegradationRate)^expected_production[[#This Row],[Age (yrs)]])</f>
        <v>1</v>
      </c>
      <c r="G380" s="52">
        <f>IF(expected_production[[#This Row],[Base Expected (kWh)]]="","",expected_production[[#This Row],[Base Expected (kWh)]]*expected_production[[#This Row],[Degradation Factor]])</f>
        <v>14002.2</v>
      </c>
    </row>
    <row r="381" spans="1:7" ht="15" hidden="1" customHeight="1" x14ac:dyDescent="0.3">
      <c r="A381" t="s">
        <v>80</v>
      </c>
      <c r="B381" s="2">
        <v>45870</v>
      </c>
      <c r="C381" s="52">
        <v>16641.900000000001</v>
      </c>
      <c r="D381" s="48" t="str">
        <f>_xlfn.XLOOKUP(expected_production[[#This Row],[Site Name]],Table1[[Site Name ]],Table1[Commisioned Date],"")</f>
        <v>2025/02/29</v>
      </c>
      <c r="E381" s="47" t="str">
        <f>IF(ISNUMBER(expected_production[[#This Row],[Commissioned Date]]),MAX(0,(expected_production[[#This Row],[Date]]-expected_production[[#This Row],[Commissioned Date]])/365.25),"")</f>
        <v/>
      </c>
      <c r="F381" s="49">
        <f>IF(expected_production[[#This Row],[Age (yrs)]]="",1,(1-DegradationRate)^expected_production[[#This Row],[Age (yrs)]])</f>
        <v>1</v>
      </c>
      <c r="G381" s="52">
        <f>IF(expected_production[[#This Row],[Base Expected (kWh)]]="","",expected_production[[#This Row],[Base Expected (kWh)]]*expected_production[[#This Row],[Degradation Factor]])</f>
        <v>16641.900000000001</v>
      </c>
    </row>
    <row r="382" spans="1:7" ht="15" hidden="1" customHeight="1" x14ac:dyDescent="0.3">
      <c r="A382" t="s">
        <v>80</v>
      </c>
      <c r="B382" s="2">
        <v>45901</v>
      </c>
      <c r="C382" s="52">
        <v>18626.400000000001</v>
      </c>
      <c r="D382" s="48" t="str">
        <f>_xlfn.XLOOKUP(expected_production[[#This Row],[Site Name]],Table1[[Site Name ]],Table1[Commisioned Date],"")</f>
        <v>2025/02/29</v>
      </c>
      <c r="E382" s="47" t="str">
        <f>IF(ISNUMBER(expected_production[[#This Row],[Commissioned Date]]),MAX(0,(expected_production[[#This Row],[Date]]-expected_production[[#This Row],[Commissioned Date]])/365.25),"")</f>
        <v/>
      </c>
      <c r="F382" s="49">
        <f>IF(expected_production[[#This Row],[Age (yrs)]]="",1,(1-DegradationRate)^expected_production[[#This Row],[Age (yrs)]])</f>
        <v>1</v>
      </c>
      <c r="G382" s="52">
        <f>IF(expected_production[[#This Row],[Base Expected (kWh)]]="","",expected_production[[#This Row],[Base Expected (kWh)]]*expected_production[[#This Row],[Degradation Factor]])</f>
        <v>18626.400000000001</v>
      </c>
    </row>
    <row r="383" spans="1:7" ht="15" hidden="1" customHeight="1" x14ac:dyDescent="0.3">
      <c r="A383" t="s">
        <v>80</v>
      </c>
      <c r="B383" s="2">
        <v>45931</v>
      </c>
      <c r="C383" s="52">
        <v>20503.8</v>
      </c>
      <c r="D383" s="48" t="str">
        <f>_xlfn.XLOOKUP(expected_production[[#This Row],[Site Name]],Table1[[Site Name ]],Table1[Commisioned Date],"")</f>
        <v>2025/02/29</v>
      </c>
      <c r="E383" s="47" t="str">
        <f>IF(ISNUMBER(expected_production[[#This Row],[Commissioned Date]]),MAX(0,(expected_production[[#This Row],[Date]]-expected_production[[#This Row],[Commissioned Date]])/365.25),"")</f>
        <v/>
      </c>
      <c r="F383" s="49">
        <f>IF(expected_production[[#This Row],[Age (yrs)]]="",1,(1-DegradationRate)^expected_production[[#This Row],[Age (yrs)]])</f>
        <v>1</v>
      </c>
      <c r="G383" s="52">
        <f>IF(expected_production[[#This Row],[Base Expected (kWh)]]="","",expected_production[[#This Row],[Base Expected (kWh)]]*expected_production[[#This Row],[Degradation Factor]])</f>
        <v>20503.8</v>
      </c>
    </row>
    <row r="384" spans="1:7" ht="15" hidden="1" customHeight="1" x14ac:dyDescent="0.3">
      <c r="A384" t="s">
        <v>80</v>
      </c>
      <c r="B384" s="2">
        <v>45962</v>
      </c>
      <c r="C384" s="52">
        <v>20601</v>
      </c>
      <c r="D384" s="48" t="str">
        <f>_xlfn.XLOOKUP(expected_production[[#This Row],[Site Name]],Table1[[Site Name ]],Table1[Commisioned Date],"")</f>
        <v>2025/02/29</v>
      </c>
      <c r="E384" s="47" t="str">
        <f>IF(ISNUMBER(expected_production[[#This Row],[Commissioned Date]]),MAX(0,(expected_production[[#This Row],[Date]]-expected_production[[#This Row],[Commissioned Date]])/365.25),"")</f>
        <v/>
      </c>
      <c r="F384" s="49">
        <f>IF(expected_production[[#This Row],[Age (yrs)]]="",1,(1-DegradationRate)^expected_production[[#This Row],[Age (yrs)]])</f>
        <v>1</v>
      </c>
      <c r="G384" s="52">
        <f>IF(expected_production[[#This Row],[Base Expected (kWh)]]="","",expected_production[[#This Row],[Base Expected (kWh)]]*expected_production[[#This Row],[Degradation Factor]])</f>
        <v>20601</v>
      </c>
    </row>
    <row r="385" spans="1:7" ht="15" hidden="1" customHeight="1" x14ac:dyDescent="0.3">
      <c r="A385" t="s">
        <v>80</v>
      </c>
      <c r="B385" s="2">
        <v>45992</v>
      </c>
      <c r="C385" s="52">
        <v>22024.799999999999</v>
      </c>
      <c r="D385" s="48" t="str">
        <f>_xlfn.XLOOKUP(expected_production[[#This Row],[Site Name]],Table1[[Site Name ]],Table1[Commisioned Date],"")</f>
        <v>2025/02/29</v>
      </c>
      <c r="E385" s="47" t="str">
        <f>IF(ISNUMBER(expected_production[[#This Row],[Commissioned Date]]),MAX(0,(expected_production[[#This Row],[Date]]-expected_production[[#This Row],[Commissioned Date]])/365.25),"")</f>
        <v/>
      </c>
      <c r="F385" s="49">
        <f>IF(expected_production[[#This Row],[Age (yrs)]]="",1,(1-DegradationRate)^expected_production[[#This Row],[Age (yrs)]])</f>
        <v>1</v>
      </c>
      <c r="G385" s="52">
        <f>IF(expected_production[[#This Row],[Base Expected (kWh)]]="","",expected_production[[#This Row],[Base Expected (kWh)]]*expected_production[[#This Row],[Degradation Factor]])</f>
        <v>22024.799999999999</v>
      </c>
    </row>
    <row r="386" spans="1:7" ht="15" hidden="1" customHeight="1" x14ac:dyDescent="0.3">
      <c r="A386" t="s">
        <v>80</v>
      </c>
      <c r="B386" s="2">
        <v>46023</v>
      </c>
      <c r="C386" s="52">
        <v>21105</v>
      </c>
      <c r="D386" s="48" t="str">
        <f>_xlfn.XLOOKUP(expected_production[[#This Row],[Site Name]],Table1[[Site Name ]],Table1[Commisioned Date],"")</f>
        <v>2025/02/29</v>
      </c>
      <c r="E386" s="47" t="str">
        <f>IF(ISNUMBER(expected_production[[#This Row],[Commissioned Date]]),MAX(0,(expected_production[[#This Row],[Date]]-expected_production[[#This Row],[Commissioned Date]])/365.25),"")</f>
        <v/>
      </c>
      <c r="F386" s="49">
        <f>IF(expected_production[[#This Row],[Age (yrs)]]="",1,(1-DegradationRate)^expected_production[[#This Row],[Age (yrs)]])</f>
        <v>1</v>
      </c>
      <c r="G386" s="52">
        <f>IF(expected_production[[#This Row],[Base Expected (kWh)]]="","",expected_production[[#This Row],[Base Expected (kWh)]]*expected_production[[#This Row],[Degradation Factor]])</f>
        <v>21105</v>
      </c>
    </row>
    <row r="387" spans="1:7" ht="15" hidden="1" customHeight="1" x14ac:dyDescent="0.3">
      <c r="A387" t="s">
        <v>80</v>
      </c>
      <c r="B387" s="2">
        <v>46054</v>
      </c>
      <c r="C387" s="52">
        <v>18220.5</v>
      </c>
      <c r="D387" s="48" t="str">
        <f>_xlfn.XLOOKUP(expected_production[[#This Row],[Site Name]],Table1[[Site Name ]],Table1[Commisioned Date],"")</f>
        <v>2025/02/29</v>
      </c>
      <c r="E387" s="47" t="str">
        <f>IF(ISNUMBER(expected_production[[#This Row],[Commissioned Date]]),MAX(0,(expected_production[[#This Row],[Date]]-expected_production[[#This Row],[Commissioned Date]])/365.25),"")</f>
        <v/>
      </c>
      <c r="F387" s="49">
        <f>IF(expected_production[[#This Row],[Age (yrs)]]="",1,(1-DegradationRate)^expected_production[[#This Row],[Age (yrs)]])</f>
        <v>1</v>
      </c>
      <c r="G387" s="52">
        <f>IF(expected_production[[#This Row],[Base Expected (kWh)]]="","",expected_production[[#This Row],[Base Expected (kWh)]]*expected_production[[#This Row],[Degradation Factor]])</f>
        <v>18220.5</v>
      </c>
    </row>
    <row r="388" spans="1:7" ht="15" hidden="1" customHeight="1" x14ac:dyDescent="0.3">
      <c r="A388" t="s">
        <v>80</v>
      </c>
      <c r="B388" s="2">
        <v>46082</v>
      </c>
      <c r="C388" s="52">
        <v>18368.099999999999</v>
      </c>
      <c r="D388" s="48" t="str">
        <f>_xlfn.XLOOKUP(expected_production[[#This Row],[Site Name]],Table1[[Site Name ]],Table1[Commisioned Date],"")</f>
        <v>2025/02/29</v>
      </c>
      <c r="E388" s="47" t="str">
        <f>IF(ISNUMBER(expected_production[[#This Row],[Commissioned Date]]),MAX(0,(expected_production[[#This Row],[Date]]-expected_production[[#This Row],[Commissioned Date]])/365.25),"")</f>
        <v/>
      </c>
      <c r="F388" s="49">
        <f>IF(expected_production[[#This Row],[Age (yrs)]]="",1,(1-DegradationRate)^expected_production[[#This Row],[Age (yrs)]])</f>
        <v>1</v>
      </c>
      <c r="G388" s="52">
        <f>IF(expected_production[[#This Row],[Base Expected (kWh)]]="","",expected_production[[#This Row],[Base Expected (kWh)]]*expected_production[[#This Row],[Degradation Factor]])</f>
        <v>18368.099999999999</v>
      </c>
    </row>
    <row r="389" spans="1:7" ht="15" hidden="1" customHeight="1" x14ac:dyDescent="0.3">
      <c r="A389" t="s">
        <v>80</v>
      </c>
      <c r="B389" s="2">
        <v>46113</v>
      </c>
      <c r="C389" s="52">
        <v>15103.8</v>
      </c>
      <c r="D389" s="48" t="str">
        <f>_xlfn.XLOOKUP(expected_production[[#This Row],[Site Name]],Table1[[Site Name ]],Table1[Commisioned Date],"")</f>
        <v>2025/02/29</v>
      </c>
      <c r="E389" s="47" t="str">
        <f>IF(ISNUMBER(expected_production[[#This Row],[Commissioned Date]]),MAX(0,(expected_production[[#This Row],[Date]]-expected_production[[#This Row],[Commissioned Date]])/365.25),"")</f>
        <v/>
      </c>
      <c r="F389" s="49">
        <f>IF(expected_production[[#This Row],[Age (yrs)]]="",1,(1-DegradationRate)^expected_production[[#This Row],[Age (yrs)]])</f>
        <v>1</v>
      </c>
      <c r="G389" s="52">
        <f>IF(expected_production[[#This Row],[Base Expected (kWh)]]="","",expected_production[[#This Row],[Base Expected (kWh)]]*expected_production[[#This Row],[Degradation Factor]])</f>
        <v>15103.8</v>
      </c>
    </row>
    <row r="390" spans="1:7" ht="15" hidden="1" customHeight="1" x14ac:dyDescent="0.3">
      <c r="A390" t="s">
        <v>80</v>
      </c>
      <c r="B390" s="2">
        <v>46143</v>
      </c>
      <c r="C390" s="52">
        <v>14130</v>
      </c>
      <c r="D390" s="48" t="str">
        <f>_xlfn.XLOOKUP(expected_production[[#This Row],[Site Name]],Table1[[Site Name ]],Table1[Commisioned Date],"")</f>
        <v>2025/02/29</v>
      </c>
      <c r="E390" s="47" t="str">
        <f>IF(ISNUMBER(expected_production[[#This Row],[Commissioned Date]]),MAX(0,(expected_production[[#This Row],[Date]]-expected_production[[#This Row],[Commissioned Date]])/365.25),"")</f>
        <v/>
      </c>
      <c r="F390" s="49">
        <f>IF(expected_production[[#This Row],[Age (yrs)]]="",1,(1-DegradationRate)^expected_production[[#This Row],[Age (yrs)]])</f>
        <v>1</v>
      </c>
      <c r="G390" s="52">
        <f>IF(expected_production[[#This Row],[Base Expected (kWh)]]="","",expected_production[[#This Row],[Base Expected (kWh)]]*expected_production[[#This Row],[Degradation Factor]])</f>
        <v>14130</v>
      </c>
    </row>
    <row r="391" spans="1:7" ht="15" hidden="1" customHeight="1" x14ac:dyDescent="0.3">
      <c r="A391" t="s">
        <v>80</v>
      </c>
      <c r="B391" s="2">
        <v>46174</v>
      </c>
      <c r="C391" s="52">
        <v>12619.8</v>
      </c>
      <c r="D391" s="48" t="str">
        <f>_xlfn.XLOOKUP(expected_production[[#This Row],[Site Name]],Table1[[Site Name ]],Table1[Commisioned Date],"")</f>
        <v>2025/02/29</v>
      </c>
      <c r="E391" s="47" t="str">
        <f>IF(ISNUMBER(expected_production[[#This Row],[Commissioned Date]]),MAX(0,(expected_production[[#This Row],[Date]]-expected_production[[#This Row],[Commissioned Date]])/365.25),"")</f>
        <v/>
      </c>
      <c r="F391" s="49">
        <f>IF(expected_production[[#This Row],[Age (yrs)]]="",1,(1-DegradationRate)^expected_production[[#This Row],[Age (yrs)]])</f>
        <v>1</v>
      </c>
      <c r="G391" s="52">
        <f>IF(expected_production[[#This Row],[Base Expected (kWh)]]="","",expected_production[[#This Row],[Base Expected (kWh)]]*expected_production[[#This Row],[Degradation Factor]])</f>
        <v>12619.8</v>
      </c>
    </row>
    <row r="392" spans="1:7" ht="15" hidden="1" customHeight="1" x14ac:dyDescent="0.3">
      <c r="A392" t="s">
        <v>80</v>
      </c>
      <c r="B392" s="2">
        <v>46204</v>
      </c>
      <c r="C392" s="52">
        <v>14002.2</v>
      </c>
      <c r="D392" s="48" t="str">
        <f>_xlfn.XLOOKUP(expected_production[[#This Row],[Site Name]],Table1[[Site Name ]],Table1[Commisioned Date],"")</f>
        <v>2025/02/29</v>
      </c>
      <c r="E392" s="47" t="str">
        <f>IF(ISNUMBER(expected_production[[#This Row],[Commissioned Date]]),MAX(0,(expected_production[[#This Row],[Date]]-expected_production[[#This Row],[Commissioned Date]])/365.25),"")</f>
        <v/>
      </c>
      <c r="F392" s="49">
        <f>IF(expected_production[[#This Row],[Age (yrs)]]="",1,(1-DegradationRate)^expected_production[[#This Row],[Age (yrs)]])</f>
        <v>1</v>
      </c>
      <c r="G392" s="52">
        <f>IF(expected_production[[#This Row],[Base Expected (kWh)]]="","",expected_production[[#This Row],[Base Expected (kWh)]]*expected_production[[#This Row],[Degradation Factor]])</f>
        <v>14002.2</v>
      </c>
    </row>
    <row r="393" spans="1:7" ht="15" hidden="1" customHeight="1" x14ac:dyDescent="0.3">
      <c r="A393" t="s">
        <v>80</v>
      </c>
      <c r="B393" s="2">
        <v>46235</v>
      </c>
      <c r="C393" s="52">
        <v>16641.900000000001</v>
      </c>
      <c r="D393" s="48" t="str">
        <f>_xlfn.XLOOKUP(expected_production[[#This Row],[Site Name]],Table1[[Site Name ]],Table1[Commisioned Date],"")</f>
        <v>2025/02/29</v>
      </c>
      <c r="E393" s="47" t="str">
        <f>IF(ISNUMBER(expected_production[[#This Row],[Commissioned Date]]),MAX(0,(expected_production[[#This Row],[Date]]-expected_production[[#This Row],[Commissioned Date]])/365.25),"")</f>
        <v/>
      </c>
      <c r="F393" s="49">
        <f>IF(expected_production[[#This Row],[Age (yrs)]]="",1,(1-DegradationRate)^expected_production[[#This Row],[Age (yrs)]])</f>
        <v>1</v>
      </c>
      <c r="G393" s="52">
        <f>IF(expected_production[[#This Row],[Base Expected (kWh)]]="","",expected_production[[#This Row],[Base Expected (kWh)]]*expected_production[[#This Row],[Degradation Factor]])</f>
        <v>16641.900000000001</v>
      </c>
    </row>
    <row r="394" spans="1:7" ht="15" hidden="1" customHeight="1" x14ac:dyDescent="0.3">
      <c r="A394" t="s">
        <v>80</v>
      </c>
      <c r="B394" s="2">
        <v>46266</v>
      </c>
      <c r="C394" s="52">
        <v>18626.400000000001</v>
      </c>
      <c r="D394" s="48" t="str">
        <f>_xlfn.XLOOKUP(expected_production[[#This Row],[Site Name]],Table1[[Site Name ]],Table1[Commisioned Date],"")</f>
        <v>2025/02/29</v>
      </c>
      <c r="E394" s="47" t="str">
        <f>IF(ISNUMBER(expected_production[[#This Row],[Commissioned Date]]),MAX(0,(expected_production[[#This Row],[Date]]-expected_production[[#This Row],[Commissioned Date]])/365.25),"")</f>
        <v/>
      </c>
      <c r="F394" s="49">
        <f>IF(expected_production[[#This Row],[Age (yrs)]]="",1,(1-DegradationRate)^expected_production[[#This Row],[Age (yrs)]])</f>
        <v>1</v>
      </c>
      <c r="G394" s="52">
        <f>IF(expected_production[[#This Row],[Base Expected (kWh)]]="","",expected_production[[#This Row],[Base Expected (kWh)]]*expected_production[[#This Row],[Degradation Factor]])</f>
        <v>18626.400000000001</v>
      </c>
    </row>
    <row r="395" spans="1:7" ht="15" hidden="1" customHeight="1" x14ac:dyDescent="0.3">
      <c r="A395" t="s">
        <v>80</v>
      </c>
      <c r="B395" s="2">
        <v>46296</v>
      </c>
      <c r="C395" s="52">
        <v>20503.8</v>
      </c>
      <c r="D395" s="48" t="str">
        <f>_xlfn.XLOOKUP(expected_production[[#This Row],[Site Name]],Table1[[Site Name ]],Table1[Commisioned Date],"")</f>
        <v>2025/02/29</v>
      </c>
      <c r="E395" s="47" t="str">
        <f>IF(ISNUMBER(expected_production[[#This Row],[Commissioned Date]]),MAX(0,(expected_production[[#This Row],[Date]]-expected_production[[#This Row],[Commissioned Date]])/365.25),"")</f>
        <v/>
      </c>
      <c r="F395" s="49">
        <f>IF(expected_production[[#This Row],[Age (yrs)]]="",1,(1-DegradationRate)^expected_production[[#This Row],[Age (yrs)]])</f>
        <v>1</v>
      </c>
      <c r="G395" s="52">
        <f>IF(expected_production[[#This Row],[Base Expected (kWh)]]="","",expected_production[[#This Row],[Base Expected (kWh)]]*expected_production[[#This Row],[Degradation Factor]])</f>
        <v>20503.8</v>
      </c>
    </row>
    <row r="396" spans="1:7" ht="15" hidden="1" customHeight="1" x14ac:dyDescent="0.3">
      <c r="A396" t="s">
        <v>80</v>
      </c>
      <c r="B396" s="2">
        <v>46327</v>
      </c>
      <c r="C396" s="52">
        <v>20601</v>
      </c>
      <c r="D396" s="48" t="str">
        <f>_xlfn.XLOOKUP(expected_production[[#This Row],[Site Name]],Table1[[Site Name ]],Table1[Commisioned Date],"")</f>
        <v>2025/02/29</v>
      </c>
      <c r="E396" s="47" t="str">
        <f>IF(ISNUMBER(expected_production[[#This Row],[Commissioned Date]]),MAX(0,(expected_production[[#This Row],[Date]]-expected_production[[#This Row],[Commissioned Date]])/365.25),"")</f>
        <v/>
      </c>
      <c r="F396" s="49">
        <f>IF(expected_production[[#This Row],[Age (yrs)]]="",1,(1-DegradationRate)^expected_production[[#This Row],[Age (yrs)]])</f>
        <v>1</v>
      </c>
      <c r="G396" s="52">
        <f>IF(expected_production[[#This Row],[Base Expected (kWh)]]="","",expected_production[[#This Row],[Base Expected (kWh)]]*expected_production[[#This Row],[Degradation Factor]])</f>
        <v>20601</v>
      </c>
    </row>
    <row r="397" spans="1:7" ht="15" hidden="1" customHeight="1" x14ac:dyDescent="0.3">
      <c r="A397" t="s">
        <v>80</v>
      </c>
      <c r="B397" s="2">
        <v>46357</v>
      </c>
      <c r="C397" s="52">
        <v>22024.799999999999</v>
      </c>
      <c r="D397" s="48" t="str">
        <f>_xlfn.XLOOKUP(expected_production[[#This Row],[Site Name]],Table1[[Site Name ]],Table1[Commisioned Date],"")</f>
        <v>2025/02/29</v>
      </c>
      <c r="E397" s="47" t="str">
        <f>IF(ISNUMBER(expected_production[[#This Row],[Commissioned Date]]),MAX(0,(expected_production[[#This Row],[Date]]-expected_production[[#This Row],[Commissioned Date]])/365.25),"")</f>
        <v/>
      </c>
      <c r="F397" s="49">
        <f>IF(expected_production[[#This Row],[Age (yrs)]]="",1,(1-DegradationRate)^expected_production[[#This Row],[Age (yrs)]])</f>
        <v>1</v>
      </c>
      <c r="G397" s="52">
        <f>IF(expected_production[[#This Row],[Base Expected (kWh)]]="","",expected_production[[#This Row],[Base Expected (kWh)]]*expected_production[[#This Row],[Degradation Factor]])</f>
        <v>22024.799999999999</v>
      </c>
    </row>
    <row r="398" spans="1:7" ht="15" hidden="1" customHeight="1" x14ac:dyDescent="0.3">
      <c r="A398" t="s">
        <v>81</v>
      </c>
      <c r="B398" s="2">
        <v>45292</v>
      </c>
      <c r="C398" s="52">
        <v>8664.2999999999993</v>
      </c>
      <c r="D398" s="48">
        <f>_xlfn.XLOOKUP(expected_production[[#This Row],[Site Name]],Table1[[Site Name ]],Table1[Commisioned Date],"")</f>
        <v>45471</v>
      </c>
      <c r="E398" s="47">
        <f>IF(ISNUMBER(expected_production[[#This Row],[Commissioned Date]]),MAX(0,(expected_production[[#This Row],[Date]]-expected_production[[#This Row],[Commissioned Date]])/365.25),"")</f>
        <v>0</v>
      </c>
      <c r="F398" s="49">
        <f>IF(expected_production[[#This Row],[Age (yrs)]]="",1,(1-DegradationRate)^expected_production[[#This Row],[Age (yrs)]])</f>
        <v>1</v>
      </c>
      <c r="G398" s="52">
        <f>IF(expected_production[[#This Row],[Base Expected (kWh)]]="","",expected_production[[#This Row],[Base Expected (kWh)]]*expected_production[[#This Row],[Degradation Factor]])</f>
        <v>8664.2999999999993</v>
      </c>
    </row>
    <row r="399" spans="1:7" ht="15" hidden="1" customHeight="1" x14ac:dyDescent="0.3">
      <c r="A399" t="s">
        <v>81</v>
      </c>
      <c r="B399" s="2">
        <v>45323</v>
      </c>
      <c r="C399" s="52">
        <v>8100</v>
      </c>
      <c r="D399" s="48">
        <f>_xlfn.XLOOKUP(expected_production[[#This Row],[Site Name]],Table1[[Site Name ]],Table1[Commisioned Date],"")</f>
        <v>45471</v>
      </c>
      <c r="E399" s="47">
        <f>IF(ISNUMBER(expected_production[[#This Row],[Commissioned Date]]),MAX(0,(expected_production[[#This Row],[Date]]-expected_production[[#This Row],[Commissioned Date]])/365.25),"")</f>
        <v>0</v>
      </c>
      <c r="F399" s="49">
        <f>IF(expected_production[[#This Row],[Age (yrs)]]="",1,(1-DegradationRate)^expected_production[[#This Row],[Age (yrs)]])</f>
        <v>1</v>
      </c>
      <c r="G399" s="52">
        <f>IF(expected_production[[#This Row],[Base Expected (kWh)]]="","",expected_production[[#This Row],[Base Expected (kWh)]]*expected_production[[#This Row],[Degradation Factor]])</f>
        <v>8100</v>
      </c>
    </row>
    <row r="400" spans="1:7" ht="15" hidden="1" customHeight="1" x14ac:dyDescent="0.3">
      <c r="A400" t="s">
        <v>81</v>
      </c>
      <c r="B400" s="2">
        <v>45352</v>
      </c>
      <c r="C400" s="52">
        <v>7805.7</v>
      </c>
      <c r="D400" s="48">
        <f>_xlfn.XLOOKUP(expected_production[[#This Row],[Site Name]],Table1[[Site Name ]],Table1[Commisioned Date],"")</f>
        <v>45471</v>
      </c>
      <c r="E400" s="47">
        <f>IF(ISNUMBER(expected_production[[#This Row],[Commissioned Date]]),MAX(0,(expected_production[[#This Row],[Date]]-expected_production[[#This Row],[Commissioned Date]])/365.25),"")</f>
        <v>0</v>
      </c>
      <c r="F400" s="49">
        <f>IF(expected_production[[#This Row],[Age (yrs)]]="",1,(1-DegradationRate)^expected_production[[#This Row],[Age (yrs)]])</f>
        <v>1</v>
      </c>
      <c r="G400" s="52">
        <f>IF(expected_production[[#This Row],[Base Expected (kWh)]]="","",expected_production[[#This Row],[Base Expected (kWh)]]*expected_production[[#This Row],[Degradation Factor]])</f>
        <v>7805.7</v>
      </c>
    </row>
    <row r="401" spans="1:7" ht="15" hidden="1" customHeight="1" x14ac:dyDescent="0.3">
      <c r="A401" t="s">
        <v>81</v>
      </c>
      <c r="B401" s="2">
        <v>45383</v>
      </c>
      <c r="C401" s="52">
        <v>6534</v>
      </c>
      <c r="D401" s="48">
        <f>_xlfn.XLOOKUP(expected_production[[#This Row],[Site Name]],Table1[[Site Name ]],Table1[Commisioned Date],"")</f>
        <v>45471</v>
      </c>
      <c r="E401" s="47">
        <f>IF(ISNUMBER(expected_production[[#This Row],[Commissioned Date]]),MAX(0,(expected_production[[#This Row],[Date]]-expected_production[[#This Row],[Commissioned Date]])/365.25),"")</f>
        <v>0</v>
      </c>
      <c r="F401" s="49">
        <f>IF(expected_production[[#This Row],[Age (yrs)]]="",1,(1-DegradationRate)^expected_production[[#This Row],[Age (yrs)]])</f>
        <v>1</v>
      </c>
      <c r="G401" s="52">
        <f>IF(expected_production[[#This Row],[Base Expected (kWh)]]="","",expected_production[[#This Row],[Base Expected (kWh)]]*expected_production[[#This Row],[Degradation Factor]])</f>
        <v>6534</v>
      </c>
    </row>
    <row r="402" spans="1:7" ht="15" hidden="1" customHeight="1" x14ac:dyDescent="0.3">
      <c r="A402" t="s">
        <v>81</v>
      </c>
      <c r="B402" s="2">
        <v>45413</v>
      </c>
      <c r="C402" s="52">
        <v>5592.6</v>
      </c>
      <c r="D402" s="48">
        <f>_xlfn.XLOOKUP(expected_production[[#This Row],[Site Name]],Table1[[Site Name ]],Table1[Commisioned Date],"")</f>
        <v>45471</v>
      </c>
      <c r="E402" s="47">
        <f>IF(ISNUMBER(expected_production[[#This Row],[Commissioned Date]]),MAX(0,(expected_production[[#This Row],[Date]]-expected_production[[#This Row],[Commissioned Date]])/365.25),"")</f>
        <v>0</v>
      </c>
      <c r="F402" s="49">
        <f>IF(expected_production[[#This Row],[Age (yrs)]]="",1,(1-DegradationRate)^expected_production[[#This Row],[Age (yrs)]])</f>
        <v>1</v>
      </c>
      <c r="G402" s="52">
        <f>IF(expected_production[[#This Row],[Base Expected (kWh)]]="","",expected_production[[#This Row],[Base Expected (kWh)]]*expected_production[[#This Row],[Degradation Factor]])</f>
        <v>5592.6</v>
      </c>
    </row>
    <row r="403" spans="1:7" ht="15" hidden="1" customHeight="1" x14ac:dyDescent="0.3">
      <c r="A403" t="s">
        <v>81</v>
      </c>
      <c r="B403" s="2">
        <v>45444</v>
      </c>
      <c r="C403" s="52">
        <v>5059.8</v>
      </c>
      <c r="D403" s="48">
        <f>_xlfn.XLOOKUP(expected_production[[#This Row],[Site Name]],Table1[[Site Name ]],Table1[Commisioned Date],"")</f>
        <v>45471</v>
      </c>
      <c r="E403" s="47">
        <f>IF(ISNUMBER(expected_production[[#This Row],[Commissioned Date]]),MAX(0,(expected_production[[#This Row],[Date]]-expected_production[[#This Row],[Commissioned Date]])/365.25),"")</f>
        <v>0</v>
      </c>
      <c r="F403" s="49">
        <f>IF(expected_production[[#This Row],[Age (yrs)]]="",1,(1-DegradationRate)^expected_production[[#This Row],[Age (yrs)]])</f>
        <v>1</v>
      </c>
      <c r="G403" s="52">
        <f>IF(expected_production[[#This Row],[Base Expected (kWh)]]="","",expected_production[[#This Row],[Base Expected (kWh)]]*expected_production[[#This Row],[Degradation Factor]])</f>
        <v>5059.8</v>
      </c>
    </row>
    <row r="404" spans="1:7" ht="15" hidden="1" customHeight="1" x14ac:dyDescent="0.3">
      <c r="A404" t="s">
        <v>81</v>
      </c>
      <c r="B404" s="2">
        <v>45474</v>
      </c>
      <c r="C404" s="52">
        <v>5372.1</v>
      </c>
      <c r="D404" s="48">
        <f>_xlfn.XLOOKUP(expected_production[[#This Row],[Site Name]],Table1[[Site Name ]],Table1[Commisioned Date],"")</f>
        <v>45471</v>
      </c>
      <c r="E404" s="47">
        <f>IF(ISNUMBER(expected_production[[#This Row],[Commissioned Date]]),MAX(0,(expected_production[[#This Row],[Date]]-expected_production[[#This Row],[Commissioned Date]])/365.25),"")</f>
        <v>8.2135523613963042E-3</v>
      </c>
      <c r="F404" s="49">
        <f>IF(expected_production[[#This Row],[Age (yrs)]]="",1,(1-DegradationRate)^expected_production[[#This Row],[Age (yrs)]])</f>
        <v>0.99994230462183897</v>
      </c>
      <c r="G404" s="52">
        <f>IF(expected_production[[#This Row],[Base Expected (kWh)]]="","",expected_production[[#This Row],[Base Expected (kWh)]]*expected_production[[#This Row],[Degradation Factor]])</f>
        <v>5371.7900546589817</v>
      </c>
    </row>
    <row r="405" spans="1:7" ht="15" hidden="1" customHeight="1" x14ac:dyDescent="0.3">
      <c r="A405" t="s">
        <v>81</v>
      </c>
      <c r="B405" s="2">
        <v>45505</v>
      </c>
      <c r="C405" s="52">
        <v>6485.4</v>
      </c>
      <c r="D405" s="48">
        <f>_xlfn.XLOOKUP(expected_production[[#This Row],[Site Name]],Table1[[Site Name ]],Table1[Commisioned Date],"")</f>
        <v>45471</v>
      </c>
      <c r="E405" s="47">
        <f>IF(ISNUMBER(expected_production[[#This Row],[Commissioned Date]]),MAX(0,(expected_production[[#This Row],[Date]]-expected_production[[#This Row],[Commissioned Date]])/365.25),"")</f>
        <v>9.3086926762491445E-2</v>
      </c>
      <c r="F405" s="49">
        <f>IF(expected_production[[#This Row],[Age (yrs)]]="",1,(1-DegradationRate)^expected_production[[#This Row],[Age (yrs)]])</f>
        <v>0.99934631392972084</v>
      </c>
      <c r="G405" s="52">
        <f>IF(expected_production[[#This Row],[Base Expected (kWh)]]="","",expected_production[[#This Row],[Base Expected (kWh)]]*expected_production[[#This Row],[Degradation Factor]])</f>
        <v>6481.1605843598109</v>
      </c>
    </row>
    <row r="406" spans="1:7" ht="15" hidden="1" customHeight="1" x14ac:dyDescent="0.3">
      <c r="A406" t="s">
        <v>81</v>
      </c>
      <c r="B406" s="2">
        <v>45536</v>
      </c>
      <c r="C406" s="52">
        <v>6914.7</v>
      </c>
      <c r="D406" s="48">
        <f>_xlfn.XLOOKUP(expected_production[[#This Row],[Site Name]],Table1[[Site Name ]],Table1[Commisioned Date],"")</f>
        <v>45471</v>
      </c>
      <c r="E406" s="47">
        <f>IF(ISNUMBER(expected_production[[#This Row],[Commissioned Date]]),MAX(0,(expected_production[[#This Row],[Date]]-expected_production[[#This Row],[Commissioned Date]])/365.25),"")</f>
        <v>0.17796030116358658</v>
      </c>
      <c r="F406" s="49">
        <f>IF(expected_production[[#This Row],[Age (yrs)]]="",1,(1-DegradationRate)^expected_production[[#This Row],[Age (yrs)]])</f>
        <v>0.99875067846300281</v>
      </c>
      <c r="G406" s="52">
        <f>IF(expected_production[[#This Row],[Base Expected (kWh)]]="","",expected_production[[#This Row],[Base Expected (kWh)]]*expected_production[[#This Row],[Degradation Factor]])</f>
        <v>6906.0613163681255</v>
      </c>
    </row>
    <row r="407" spans="1:7" ht="15" hidden="1" customHeight="1" x14ac:dyDescent="0.3">
      <c r="A407" t="s">
        <v>81</v>
      </c>
      <c r="B407" s="2">
        <v>45566</v>
      </c>
      <c r="C407" s="52">
        <v>8033.4</v>
      </c>
      <c r="D407" s="48">
        <f>_xlfn.XLOOKUP(expected_production[[#This Row],[Site Name]],Table1[[Site Name ]],Table1[Commisioned Date],"")</f>
        <v>45471</v>
      </c>
      <c r="E407" s="47">
        <f>IF(ISNUMBER(expected_production[[#This Row],[Commissioned Date]]),MAX(0,(expected_production[[#This Row],[Date]]-expected_production[[#This Row],[Commissioned Date]])/365.25),"")</f>
        <v>0.26009582477754961</v>
      </c>
      <c r="F407" s="49">
        <f>IF(expected_production[[#This Row],[Age (yrs)]]="",1,(1-DegradationRate)^expected_production[[#This Row],[Age (yrs)]])</f>
        <v>0.99817459506607087</v>
      </c>
      <c r="G407" s="52">
        <f>IF(expected_production[[#This Row],[Base Expected (kWh)]]="","",expected_production[[#This Row],[Base Expected (kWh)]]*expected_production[[#This Row],[Degradation Factor]])</f>
        <v>8018.735792003773</v>
      </c>
    </row>
    <row r="408" spans="1:7" ht="15" hidden="1" customHeight="1" x14ac:dyDescent="0.3">
      <c r="A408" t="s">
        <v>81</v>
      </c>
      <c r="B408" s="2">
        <v>45597</v>
      </c>
      <c r="C408" s="52">
        <v>8012.7</v>
      </c>
      <c r="D408" s="48">
        <f>_xlfn.XLOOKUP(expected_production[[#This Row],[Site Name]],Table1[[Site Name ]],Table1[Commisioned Date],"")</f>
        <v>45471</v>
      </c>
      <c r="E408" s="47">
        <f>IF(ISNUMBER(expected_production[[#This Row],[Commissioned Date]]),MAX(0,(expected_production[[#This Row],[Date]]-expected_production[[#This Row],[Commissioned Date]])/365.25),"")</f>
        <v>0.34496919917864477</v>
      </c>
      <c r="F408" s="49">
        <f>IF(expected_production[[#This Row],[Age (yrs)]]="",1,(1-DegradationRate)^expected_production[[#This Row],[Age (yrs)]])</f>
        <v>0.99757965797318227</v>
      </c>
      <c r="G408" s="52">
        <f>IF(expected_production[[#This Row],[Base Expected (kWh)]]="","",expected_production[[#This Row],[Base Expected (kWh)]]*expected_production[[#This Row],[Degradation Factor]])</f>
        <v>7993.306525441717</v>
      </c>
    </row>
    <row r="409" spans="1:7" ht="15" hidden="1" customHeight="1" x14ac:dyDescent="0.3">
      <c r="A409" t="s">
        <v>81</v>
      </c>
      <c r="B409" s="2">
        <v>45627</v>
      </c>
      <c r="C409" s="52">
        <v>8547.2999999999993</v>
      </c>
      <c r="D409" s="48">
        <f>_xlfn.XLOOKUP(expected_production[[#This Row],[Site Name]],Table1[[Site Name ]],Table1[Commisioned Date],"")</f>
        <v>45471</v>
      </c>
      <c r="E409" s="47">
        <f>IF(ISNUMBER(expected_production[[#This Row],[Commissioned Date]]),MAX(0,(expected_production[[#This Row],[Date]]-expected_production[[#This Row],[Commissioned Date]])/365.25),"")</f>
        <v>0.4271047227926078</v>
      </c>
      <c r="F409" s="49">
        <f>IF(expected_production[[#This Row],[Age (yrs)]]="",1,(1-DegradationRate)^expected_production[[#This Row],[Age (yrs)]])</f>
        <v>0.99700425002556547</v>
      </c>
      <c r="G409" s="52">
        <f>IF(expected_production[[#This Row],[Base Expected (kWh)]]="","",expected_production[[#This Row],[Base Expected (kWh)]]*expected_production[[#This Row],[Degradation Factor]])</f>
        <v>8521.6944262435154</v>
      </c>
    </row>
    <row r="410" spans="1:7" ht="15" hidden="1" customHeight="1" x14ac:dyDescent="0.3">
      <c r="A410" t="s">
        <v>81</v>
      </c>
      <c r="B410" s="2">
        <v>45658</v>
      </c>
      <c r="C410" s="52">
        <v>8664.2999999999993</v>
      </c>
      <c r="D410" s="48">
        <f>_xlfn.XLOOKUP(expected_production[[#This Row],[Site Name]],Table1[[Site Name ]],Table1[Commisioned Date],"")</f>
        <v>45471</v>
      </c>
      <c r="E410" s="47">
        <f>IF(ISNUMBER(expected_production[[#This Row],[Commissioned Date]]),MAX(0,(expected_production[[#This Row],[Date]]-expected_production[[#This Row],[Commissioned Date]])/365.25),"")</f>
        <v>0.51197809719370291</v>
      </c>
      <c r="F410" s="49">
        <f>IF(expected_production[[#This Row],[Age (yrs)]]="",1,(1-DegradationRate)^expected_production[[#This Row],[Age (yrs)]])</f>
        <v>0.99641001048767319</v>
      </c>
      <c r="G410" s="52">
        <f>IF(expected_production[[#This Row],[Base Expected (kWh)]]="","",expected_production[[#This Row],[Base Expected (kWh)]]*expected_production[[#This Row],[Degradation Factor]])</f>
        <v>8633.1952538683454</v>
      </c>
    </row>
    <row r="411" spans="1:7" ht="15" hidden="1" customHeight="1" x14ac:dyDescent="0.3">
      <c r="A411" t="s">
        <v>81</v>
      </c>
      <c r="B411" s="2">
        <v>45689</v>
      </c>
      <c r="C411" s="52">
        <v>8100</v>
      </c>
      <c r="D411" s="48">
        <f>_xlfn.XLOOKUP(expected_production[[#This Row],[Site Name]],Table1[[Site Name ]],Table1[Commisioned Date],"")</f>
        <v>45471</v>
      </c>
      <c r="E411" s="47">
        <f>IF(ISNUMBER(expected_production[[#This Row],[Commissioned Date]]),MAX(0,(expected_production[[#This Row],[Date]]-expected_production[[#This Row],[Commissioned Date]])/365.25),"")</f>
        <v>0.59685147159479812</v>
      </c>
      <c r="F411" s="49">
        <f>IF(expected_production[[#This Row],[Age (yrs)]]="",1,(1-DegradationRate)^expected_production[[#This Row],[Age (yrs)]])</f>
        <v>0.99581612513144901</v>
      </c>
      <c r="G411" s="52">
        <f>IF(expected_production[[#This Row],[Base Expected (kWh)]]="","",expected_production[[#This Row],[Base Expected (kWh)]]*expected_production[[#This Row],[Degradation Factor]])</f>
        <v>8066.1106135647369</v>
      </c>
    </row>
    <row r="412" spans="1:7" ht="15" hidden="1" customHeight="1" x14ac:dyDescent="0.3">
      <c r="A412" t="s">
        <v>81</v>
      </c>
      <c r="B412" s="2">
        <v>45717</v>
      </c>
      <c r="C412" s="52">
        <v>7805.7</v>
      </c>
      <c r="D412" s="48">
        <f>_xlfn.XLOOKUP(expected_production[[#This Row],[Site Name]],Table1[[Site Name ]],Table1[Commisioned Date],"")</f>
        <v>45471</v>
      </c>
      <c r="E412" s="47">
        <f>IF(ISNUMBER(expected_production[[#This Row],[Commissioned Date]]),MAX(0,(expected_production[[#This Row],[Date]]-expected_production[[#This Row],[Commissioned Date]])/365.25),"")</f>
        <v>0.67351129363449691</v>
      </c>
      <c r="F412" s="49">
        <f>IF(expected_production[[#This Row],[Age (yrs)]]="",1,(1-DegradationRate)^expected_production[[#This Row],[Age (yrs)]])</f>
        <v>0.99528001680273748</v>
      </c>
      <c r="G412" s="52">
        <f>IF(expected_production[[#This Row],[Base Expected (kWh)]]="","",expected_production[[#This Row],[Base Expected (kWh)]]*expected_production[[#This Row],[Degradation Factor]])</f>
        <v>7768.8572271571275</v>
      </c>
    </row>
    <row r="413" spans="1:7" ht="15" hidden="1" customHeight="1" x14ac:dyDescent="0.3">
      <c r="A413" t="s">
        <v>81</v>
      </c>
      <c r="B413" s="2">
        <v>45748</v>
      </c>
      <c r="C413" s="52">
        <v>6534</v>
      </c>
      <c r="D413" s="48">
        <f>_xlfn.XLOOKUP(expected_production[[#This Row],[Site Name]],Table1[[Site Name ]],Table1[Commisioned Date],"")</f>
        <v>45471</v>
      </c>
      <c r="E413" s="47">
        <f>IF(ISNUMBER(expected_production[[#This Row],[Commissioned Date]]),MAX(0,(expected_production[[#This Row],[Date]]-expected_production[[#This Row],[Commissioned Date]])/365.25),"")</f>
        <v>0.75838466803559201</v>
      </c>
      <c r="F413" s="49">
        <f>IF(expected_production[[#This Row],[Age (yrs)]]="",1,(1-DegradationRate)^expected_production[[#This Row],[Age (yrs)]])</f>
        <v>0.99468680495108974</v>
      </c>
      <c r="G413" s="52">
        <f>IF(expected_production[[#This Row],[Base Expected (kWh)]]="","",expected_production[[#This Row],[Base Expected (kWh)]]*expected_production[[#This Row],[Degradation Factor]])</f>
        <v>6499.2835835504202</v>
      </c>
    </row>
    <row r="414" spans="1:7" ht="15" hidden="1" customHeight="1" x14ac:dyDescent="0.3">
      <c r="A414" t="s">
        <v>81</v>
      </c>
      <c r="B414" s="2">
        <v>45778</v>
      </c>
      <c r="C414" s="52">
        <v>5592.6</v>
      </c>
      <c r="D414" s="48">
        <f>_xlfn.XLOOKUP(expected_production[[#This Row],[Site Name]],Table1[[Site Name ]],Table1[Commisioned Date],"")</f>
        <v>45471</v>
      </c>
      <c r="E414" s="47">
        <f>IF(ISNUMBER(expected_production[[#This Row],[Commissioned Date]]),MAX(0,(expected_production[[#This Row],[Date]]-expected_production[[#This Row],[Commissioned Date]])/365.25),"")</f>
        <v>0.84052019164955505</v>
      </c>
      <c r="F414" s="49">
        <f>IF(expected_production[[#This Row],[Age (yrs)]]="",1,(1-DegradationRate)^expected_production[[#This Row],[Age (yrs)]])</f>
        <v>0.99411306561269819</v>
      </c>
      <c r="G414" s="52">
        <f>IF(expected_production[[#This Row],[Base Expected (kWh)]]="","",expected_production[[#This Row],[Base Expected (kWh)]]*expected_production[[#This Row],[Degradation Factor]])</f>
        <v>5559.6767307455766</v>
      </c>
    </row>
    <row r="415" spans="1:7" ht="15" hidden="1" customHeight="1" x14ac:dyDescent="0.3">
      <c r="A415" t="s">
        <v>81</v>
      </c>
      <c r="B415" s="2">
        <v>45809</v>
      </c>
      <c r="C415" s="52">
        <v>5059.8</v>
      </c>
      <c r="D415" s="48">
        <f>_xlfn.XLOOKUP(expected_production[[#This Row],[Site Name]],Table1[[Site Name ]],Table1[Commisioned Date],"")</f>
        <v>45471</v>
      </c>
      <c r="E415" s="47">
        <f>IF(ISNUMBER(expected_production[[#This Row],[Commissioned Date]]),MAX(0,(expected_production[[#This Row],[Date]]-expected_production[[#This Row],[Commissioned Date]])/365.25),"")</f>
        <v>0.92539356605065026</v>
      </c>
      <c r="F415" s="49">
        <f>IF(expected_production[[#This Row],[Age (yrs)]]="",1,(1-DegradationRate)^expected_production[[#This Row],[Age (yrs)]])</f>
        <v>0.99352054929322697</v>
      </c>
      <c r="G415" s="52">
        <f>IF(expected_production[[#This Row],[Base Expected (kWh)]]="","",expected_production[[#This Row],[Base Expected (kWh)]]*expected_production[[#This Row],[Degradation Factor]])</f>
        <v>5027.01527531387</v>
      </c>
    </row>
    <row r="416" spans="1:7" ht="15" hidden="1" customHeight="1" x14ac:dyDescent="0.3">
      <c r="A416" t="s">
        <v>81</v>
      </c>
      <c r="B416" s="2">
        <v>45839</v>
      </c>
      <c r="C416" s="52">
        <v>5372.1</v>
      </c>
      <c r="D416" s="48">
        <f>_xlfn.XLOOKUP(expected_production[[#This Row],[Site Name]],Table1[[Site Name ]],Table1[Commisioned Date],"")</f>
        <v>45471</v>
      </c>
      <c r="E416" s="47">
        <f>IF(ISNUMBER(expected_production[[#This Row],[Commissioned Date]]),MAX(0,(expected_production[[#This Row],[Date]]-expected_production[[#This Row],[Commissioned Date]])/365.25),"")</f>
        <v>1.0075290896646132</v>
      </c>
      <c r="F416" s="49">
        <f>IF(expected_production[[#This Row],[Age (yrs)]]="",1,(1-DegradationRate)^expected_production[[#This Row],[Age (yrs)]])</f>
        <v>0.99294748265577626</v>
      </c>
      <c r="G416" s="52">
        <f>IF(expected_production[[#This Row],[Base Expected (kWh)]]="","",expected_production[[#This Row],[Base Expected (kWh)]]*expected_production[[#This Row],[Degradation Factor]])</f>
        <v>5334.2131715750957</v>
      </c>
    </row>
    <row r="417" spans="1:7" ht="15" hidden="1" customHeight="1" x14ac:dyDescent="0.3">
      <c r="A417" t="s">
        <v>81</v>
      </c>
      <c r="B417" s="2">
        <v>45870</v>
      </c>
      <c r="C417" s="52">
        <v>6485.4</v>
      </c>
      <c r="D417" s="48">
        <f>_xlfn.XLOOKUP(expected_production[[#This Row],[Site Name]],Table1[[Site Name ]],Table1[Commisioned Date],"")</f>
        <v>45471</v>
      </c>
      <c r="E417" s="47">
        <f>IF(ISNUMBER(expected_production[[#This Row],[Commissioned Date]]),MAX(0,(expected_production[[#This Row],[Date]]-expected_production[[#This Row],[Commissioned Date]])/365.25),"")</f>
        <v>1.0924024640657084</v>
      </c>
      <c r="F417" s="49">
        <f>IF(expected_production[[#This Row],[Age (yrs)]]="",1,(1-DegradationRate)^expected_production[[#This Row],[Age (yrs)]])</f>
        <v>0.99235566105298012</v>
      </c>
      <c r="G417" s="52">
        <f>IF(expected_production[[#This Row],[Base Expected (kWh)]]="","",expected_production[[#This Row],[Base Expected (kWh)]]*expected_production[[#This Row],[Degradation Factor]])</f>
        <v>6435.8234041929973</v>
      </c>
    </row>
    <row r="418" spans="1:7" ht="15" hidden="1" customHeight="1" x14ac:dyDescent="0.3">
      <c r="A418" t="s">
        <v>81</v>
      </c>
      <c r="B418" s="2">
        <v>45901</v>
      </c>
      <c r="C418" s="52">
        <v>6914.7</v>
      </c>
      <c r="D418" s="48">
        <f>_xlfn.XLOOKUP(expected_production[[#This Row],[Site Name]],Table1[[Site Name ]],Table1[Commisioned Date],"")</f>
        <v>45471</v>
      </c>
      <c r="E418" s="47">
        <f>IF(ISNUMBER(expected_production[[#This Row],[Commissioned Date]]),MAX(0,(expected_production[[#This Row],[Date]]-expected_production[[#This Row],[Commissioned Date]])/365.25),"")</f>
        <v>1.1772758384668036</v>
      </c>
      <c r="F418" s="49">
        <f>IF(expected_production[[#This Row],[Age (yrs)]]="",1,(1-DegradationRate)^expected_production[[#This Row],[Age (yrs)]])</f>
        <v>0.99176419219070222</v>
      </c>
      <c r="G418" s="52">
        <f>IF(expected_production[[#This Row],[Base Expected (kWh)]]="","",expected_production[[#This Row],[Base Expected (kWh)]]*expected_production[[#This Row],[Degradation Factor]])</f>
        <v>6857.7518597410481</v>
      </c>
    </row>
    <row r="419" spans="1:7" ht="15" hidden="1" customHeight="1" x14ac:dyDescent="0.3">
      <c r="A419" t="s">
        <v>81</v>
      </c>
      <c r="B419" s="2">
        <v>45931</v>
      </c>
      <c r="C419" s="52">
        <v>8033.4</v>
      </c>
      <c r="D419" s="48">
        <f>_xlfn.XLOOKUP(expected_production[[#This Row],[Site Name]],Table1[[Site Name ]],Table1[Commisioned Date],"")</f>
        <v>45471</v>
      </c>
      <c r="E419" s="47">
        <f>IF(ISNUMBER(expected_production[[#This Row],[Commissioned Date]]),MAX(0,(expected_production[[#This Row],[Date]]-expected_production[[#This Row],[Commissioned Date]])/365.25),"")</f>
        <v>1.2594113620807665</v>
      </c>
      <c r="F419" s="49">
        <f>IF(expected_production[[#This Row],[Age (yrs)]]="",1,(1-DegradationRate)^expected_production[[#This Row],[Age (yrs)]])</f>
        <v>0.99119213862707223</v>
      </c>
      <c r="G419" s="52">
        <f>IF(expected_production[[#This Row],[Base Expected (kWh)]]="","",expected_production[[#This Row],[Base Expected (kWh)]]*expected_production[[#This Row],[Degradation Factor]])</f>
        <v>7962.6429264467215</v>
      </c>
    </row>
    <row r="420" spans="1:7" ht="15" hidden="1" customHeight="1" x14ac:dyDescent="0.3">
      <c r="A420" t="s">
        <v>81</v>
      </c>
      <c r="B420" s="2">
        <v>45962</v>
      </c>
      <c r="C420" s="52">
        <v>8012.7</v>
      </c>
      <c r="D420" s="48">
        <f>_xlfn.XLOOKUP(expected_production[[#This Row],[Site Name]],Table1[[Site Name ]],Table1[Commisioned Date],"")</f>
        <v>45471</v>
      </c>
      <c r="E420" s="47">
        <f>IF(ISNUMBER(expected_production[[#This Row],[Commissioned Date]]),MAX(0,(expected_production[[#This Row],[Date]]-expected_production[[#This Row],[Commissioned Date]])/365.25),"")</f>
        <v>1.3442847364818618</v>
      </c>
      <c r="F420" s="49">
        <f>IF(expected_production[[#This Row],[Age (yrs)]]="",1,(1-DegradationRate)^expected_production[[#This Row],[Age (yrs)]])</f>
        <v>0.99060136325334136</v>
      </c>
      <c r="G420" s="52">
        <f>IF(expected_production[[#This Row],[Base Expected (kWh)]]="","",expected_production[[#This Row],[Base Expected (kWh)]]*expected_production[[#This Row],[Degradation Factor]])</f>
        <v>7937.391543340048</v>
      </c>
    </row>
    <row r="421" spans="1:7" ht="15" hidden="1" customHeight="1" x14ac:dyDescent="0.3">
      <c r="A421" t="s">
        <v>81</v>
      </c>
      <c r="B421" s="2">
        <v>45992</v>
      </c>
      <c r="C421" s="52">
        <v>8547.2999999999993</v>
      </c>
      <c r="D421" s="48">
        <f>_xlfn.XLOOKUP(expected_production[[#This Row],[Site Name]],Table1[[Site Name ]],Table1[Commisioned Date],"")</f>
        <v>45471</v>
      </c>
      <c r="E421" s="47">
        <f>IF(ISNUMBER(expected_production[[#This Row],[Commissioned Date]]),MAX(0,(expected_production[[#This Row],[Date]]-expected_production[[#This Row],[Commissioned Date]])/365.25),"")</f>
        <v>1.4264202600958247</v>
      </c>
      <c r="F421" s="49">
        <f>IF(expected_production[[#This Row],[Age (yrs)]]="",1,(1-DegradationRate)^expected_production[[#This Row],[Age (yrs)]])</f>
        <v>0.99002998041410606</v>
      </c>
      <c r="G421" s="52">
        <f>IF(expected_production[[#This Row],[Base Expected (kWh)]]="","",expected_production[[#This Row],[Base Expected (kWh)]]*expected_production[[#This Row],[Degradation Factor]])</f>
        <v>8462.0832515934871</v>
      </c>
    </row>
    <row r="422" spans="1:7" ht="15" hidden="1" customHeight="1" x14ac:dyDescent="0.3">
      <c r="A422" t="s">
        <v>81</v>
      </c>
      <c r="B422" s="2">
        <v>46023</v>
      </c>
      <c r="C422" s="52">
        <v>8664.2999999999993</v>
      </c>
      <c r="D422" s="48">
        <f>_xlfn.XLOOKUP(expected_production[[#This Row],[Site Name]],Table1[[Site Name ]],Table1[Commisioned Date],"")</f>
        <v>45471</v>
      </c>
      <c r="E422" s="47">
        <f>IF(ISNUMBER(expected_production[[#This Row],[Commissioned Date]]),MAX(0,(expected_production[[#This Row],[Date]]-expected_production[[#This Row],[Commissioned Date]])/365.25),"")</f>
        <v>1.5112936344969199</v>
      </c>
      <c r="F422" s="49">
        <f>IF(expected_production[[#This Row],[Age (yrs)]]="",1,(1-DegradationRate)^expected_production[[#This Row],[Age (yrs)]])</f>
        <v>0.98943989771581708</v>
      </c>
      <c r="G422" s="52">
        <f>IF(expected_production[[#This Row],[Base Expected (kWh)]]="","",expected_production[[#This Row],[Base Expected (kWh)]]*expected_production[[#This Row],[Degradation Factor]])</f>
        <v>8572.8041057791525</v>
      </c>
    </row>
    <row r="423" spans="1:7" ht="15" hidden="1" customHeight="1" x14ac:dyDescent="0.3">
      <c r="A423" t="s">
        <v>81</v>
      </c>
      <c r="B423" s="2">
        <v>46054</v>
      </c>
      <c r="C423" s="52">
        <v>8100</v>
      </c>
      <c r="D423" s="48">
        <f>_xlfn.XLOOKUP(expected_production[[#This Row],[Site Name]],Table1[[Site Name ]],Table1[Commisioned Date],"")</f>
        <v>45471</v>
      </c>
      <c r="E423" s="47">
        <f>IF(ISNUMBER(expected_production[[#This Row],[Commissioned Date]]),MAX(0,(expected_production[[#This Row],[Date]]-expected_production[[#This Row],[Commissioned Date]])/365.25),"")</f>
        <v>1.5961670088980151</v>
      </c>
      <c r="F423" s="49">
        <f>IF(expected_production[[#This Row],[Age (yrs)]]="",1,(1-DegradationRate)^expected_production[[#This Row],[Age (yrs)]])</f>
        <v>0.98885016672161541</v>
      </c>
      <c r="G423" s="52">
        <f>IF(expected_production[[#This Row],[Base Expected (kWh)]]="","",expected_production[[#This Row],[Base Expected (kWh)]]*expected_production[[#This Row],[Degradation Factor]])</f>
        <v>8009.6863504450848</v>
      </c>
    </row>
    <row r="424" spans="1:7" ht="15" hidden="1" customHeight="1" x14ac:dyDescent="0.3">
      <c r="A424" t="s">
        <v>81</v>
      </c>
      <c r="B424" s="2">
        <v>46082</v>
      </c>
      <c r="C424" s="52">
        <v>7805.7</v>
      </c>
      <c r="D424" s="48">
        <f>_xlfn.XLOOKUP(expected_production[[#This Row],[Site Name]],Table1[[Site Name ]],Table1[Commisioned Date],"")</f>
        <v>45471</v>
      </c>
      <c r="E424" s="47">
        <f>IF(ISNUMBER(expected_production[[#This Row],[Commissioned Date]]),MAX(0,(expected_production[[#This Row],[Date]]-expected_production[[#This Row],[Commissioned Date]])/365.25),"")</f>
        <v>1.6728268309377139</v>
      </c>
      <c r="F424" s="49">
        <f>IF(expected_production[[#This Row],[Age (yrs)]]="",1,(1-DegradationRate)^expected_production[[#This Row],[Age (yrs)]])</f>
        <v>0.9883178085915868</v>
      </c>
      <c r="G424" s="52">
        <f>IF(expected_production[[#This Row],[Base Expected (kWh)]]="","",expected_production[[#This Row],[Base Expected (kWh)]]*expected_production[[#This Row],[Degradation Factor]])</f>
        <v>7714.5123185233488</v>
      </c>
    </row>
    <row r="425" spans="1:7" ht="15" hidden="1" customHeight="1" x14ac:dyDescent="0.3">
      <c r="A425" t="s">
        <v>81</v>
      </c>
      <c r="B425" s="2">
        <v>46113</v>
      </c>
      <c r="C425" s="52">
        <v>6534</v>
      </c>
      <c r="D425" s="48">
        <f>_xlfn.XLOOKUP(expected_production[[#This Row],[Site Name]],Table1[[Site Name ]],Table1[Commisioned Date],"")</f>
        <v>45471</v>
      </c>
      <c r="E425" s="47">
        <f>IF(ISNUMBER(expected_production[[#This Row],[Commissioned Date]]),MAX(0,(expected_production[[#This Row],[Date]]-expected_production[[#This Row],[Commissioned Date]])/365.25),"")</f>
        <v>1.7577002053388091</v>
      </c>
      <c r="F425" s="49">
        <f>IF(expected_production[[#This Row],[Age (yrs)]]="",1,(1-DegradationRate)^expected_production[[#This Row],[Age (yrs)]])</f>
        <v>0.98772874639064523</v>
      </c>
      <c r="G425" s="52">
        <f>IF(expected_production[[#This Row],[Base Expected (kWh)]]="","",expected_production[[#This Row],[Base Expected (kWh)]]*expected_production[[#This Row],[Degradation Factor]])</f>
        <v>6453.8196289164762</v>
      </c>
    </row>
    <row r="426" spans="1:7" ht="15" hidden="1" customHeight="1" x14ac:dyDescent="0.3">
      <c r="A426" t="s">
        <v>81</v>
      </c>
      <c r="B426" s="2">
        <v>46143</v>
      </c>
      <c r="C426" s="52">
        <v>5592.6</v>
      </c>
      <c r="D426" s="48">
        <f>_xlfn.XLOOKUP(expected_production[[#This Row],[Site Name]],Table1[[Site Name ]],Table1[Commisioned Date],"")</f>
        <v>45471</v>
      </c>
      <c r="E426" s="47">
        <f>IF(ISNUMBER(expected_production[[#This Row],[Commissioned Date]]),MAX(0,(expected_production[[#This Row],[Date]]-expected_production[[#This Row],[Commissioned Date]])/365.25),"")</f>
        <v>1.839835728952772</v>
      </c>
      <c r="F426" s="49">
        <f>IF(expected_production[[#This Row],[Age (yrs)]]="",1,(1-DegradationRate)^expected_production[[#This Row],[Age (yrs)]])</f>
        <v>0.98715902048833737</v>
      </c>
      <c r="G426" s="52">
        <f>IF(expected_production[[#This Row],[Base Expected (kWh)]]="","",expected_production[[#This Row],[Base Expected (kWh)]]*expected_production[[#This Row],[Degradation Factor]])</f>
        <v>5520.7855379830762</v>
      </c>
    </row>
    <row r="427" spans="1:7" ht="15" hidden="1" customHeight="1" x14ac:dyDescent="0.3">
      <c r="A427" t="s">
        <v>81</v>
      </c>
      <c r="B427" s="2">
        <v>46174</v>
      </c>
      <c r="C427" s="52">
        <v>5059.8</v>
      </c>
      <c r="D427" s="48">
        <f>_xlfn.XLOOKUP(expected_production[[#This Row],[Site Name]],Table1[[Site Name ]],Table1[Commisioned Date],"")</f>
        <v>45471</v>
      </c>
      <c r="E427" s="47">
        <f>IF(ISNUMBER(expected_production[[#This Row],[Commissioned Date]]),MAX(0,(expected_production[[#This Row],[Date]]-expected_production[[#This Row],[Commissioned Date]])/365.25),"")</f>
        <v>1.9247091033538672</v>
      </c>
      <c r="F427" s="49">
        <f>IF(expected_production[[#This Row],[Age (yrs)]]="",1,(1-DegradationRate)^expected_production[[#This Row],[Age (yrs)]])</f>
        <v>0.98657064895416779</v>
      </c>
      <c r="G427" s="52">
        <f>IF(expected_production[[#This Row],[Base Expected (kWh)]]="","",expected_production[[#This Row],[Base Expected (kWh)]]*expected_production[[#This Row],[Degradation Factor]])</f>
        <v>4991.8501695782979</v>
      </c>
    </row>
    <row r="428" spans="1:7" ht="15" hidden="1" customHeight="1" x14ac:dyDescent="0.3">
      <c r="A428" t="s">
        <v>81</v>
      </c>
      <c r="B428" s="2">
        <v>46204</v>
      </c>
      <c r="C428" s="52">
        <v>5372.1</v>
      </c>
      <c r="D428" s="48">
        <f>_xlfn.XLOOKUP(expected_production[[#This Row],[Site Name]],Table1[[Site Name ]],Table1[Commisioned Date],"")</f>
        <v>45471</v>
      </c>
      <c r="E428" s="47">
        <f>IF(ISNUMBER(expected_production[[#This Row],[Commissioned Date]]),MAX(0,(expected_production[[#This Row],[Date]]-expected_production[[#This Row],[Commissioned Date]])/365.25),"")</f>
        <v>2.0068446269678302</v>
      </c>
      <c r="F428" s="49">
        <f>IF(expected_production[[#This Row],[Age (yrs)]]="",1,(1-DegradationRate)^expected_production[[#This Row],[Age (yrs)]])</f>
        <v>0.98600159104710594</v>
      </c>
      <c r="G428" s="52">
        <f>IF(expected_production[[#This Row],[Base Expected (kWh)]]="","",expected_production[[#This Row],[Base Expected (kWh)]]*expected_production[[#This Row],[Degradation Factor]])</f>
        <v>5296.8991472641583</v>
      </c>
    </row>
    <row r="429" spans="1:7" ht="15" hidden="1" customHeight="1" x14ac:dyDescent="0.3">
      <c r="A429" t="s">
        <v>81</v>
      </c>
      <c r="B429" s="2">
        <v>46235</v>
      </c>
      <c r="C429" s="52">
        <v>6485.4</v>
      </c>
      <c r="D429" s="48">
        <f>_xlfn.XLOOKUP(expected_production[[#This Row],[Site Name]],Table1[[Site Name ]],Table1[Commisioned Date],"")</f>
        <v>45471</v>
      </c>
      <c r="E429" s="47">
        <f>IF(ISNUMBER(expected_production[[#This Row],[Commissioned Date]]),MAX(0,(expected_production[[#This Row],[Date]]-expected_production[[#This Row],[Commissioned Date]])/365.25),"")</f>
        <v>2.0917180013689256</v>
      </c>
      <c r="F429" s="49">
        <f>IF(expected_production[[#This Row],[Age (yrs)]]="",1,(1-DegradationRate)^expected_production[[#This Row],[Age (yrs)]])</f>
        <v>0.98541390936991158</v>
      </c>
      <c r="G429" s="52">
        <f>IF(expected_production[[#This Row],[Base Expected (kWh)]]="","",expected_production[[#This Row],[Base Expected (kWh)]]*expected_production[[#This Row],[Degradation Factor]])</f>
        <v>6390.8033678276242</v>
      </c>
    </row>
    <row r="430" spans="1:7" ht="15" hidden="1" customHeight="1" x14ac:dyDescent="0.3">
      <c r="A430" t="s">
        <v>81</v>
      </c>
      <c r="B430" s="2">
        <v>46266</v>
      </c>
      <c r="C430" s="52">
        <v>6914.7</v>
      </c>
      <c r="D430" s="48">
        <f>_xlfn.XLOOKUP(expected_production[[#This Row],[Site Name]],Table1[[Site Name ]],Table1[Commisioned Date],"")</f>
        <v>45471</v>
      </c>
      <c r="E430" s="47">
        <f>IF(ISNUMBER(expected_production[[#This Row],[Commissioned Date]]),MAX(0,(expected_production[[#This Row],[Date]]-expected_production[[#This Row],[Commissioned Date]])/365.25),"")</f>
        <v>2.1765913757700206</v>
      </c>
      <c r="F430" s="49">
        <f>IF(expected_production[[#This Row],[Age (yrs)]]="",1,(1-DegradationRate)^expected_production[[#This Row],[Age (yrs)]])</f>
        <v>0.98482657796573603</v>
      </c>
      <c r="G430" s="52">
        <f>IF(expected_production[[#This Row],[Base Expected (kWh)]]="","",expected_production[[#This Row],[Base Expected (kWh)]]*expected_production[[#This Row],[Degradation Factor]])</f>
        <v>6809.7803386596752</v>
      </c>
    </row>
    <row r="431" spans="1:7" ht="15" hidden="1" customHeight="1" x14ac:dyDescent="0.3">
      <c r="A431" t="s">
        <v>81</v>
      </c>
      <c r="B431" s="2">
        <v>46296</v>
      </c>
      <c r="C431" s="52">
        <v>8033.4</v>
      </c>
      <c r="D431" s="48">
        <f>_xlfn.XLOOKUP(expected_production[[#This Row],[Site Name]],Table1[[Site Name ]],Table1[Commisioned Date],"")</f>
        <v>45471</v>
      </c>
      <c r="E431" s="47">
        <f>IF(ISNUMBER(expected_production[[#This Row],[Commissioned Date]]),MAX(0,(expected_production[[#This Row],[Date]]-expected_production[[#This Row],[Commissioned Date]])/365.25),"")</f>
        <v>2.2587268993839835</v>
      </c>
      <c r="F431" s="49">
        <f>IF(expected_production[[#This Row],[Age (yrs)]]="",1,(1-DegradationRate)^expected_production[[#This Row],[Age (yrs)]])</f>
        <v>0.9842585260458151</v>
      </c>
      <c r="G431" s="52">
        <f>IF(expected_production[[#This Row],[Base Expected (kWh)]]="","",expected_production[[#This Row],[Base Expected (kWh)]]*expected_production[[#This Row],[Degradation Factor]])</f>
        <v>7906.9424431364505</v>
      </c>
    </row>
    <row r="432" spans="1:7" ht="15" hidden="1" customHeight="1" x14ac:dyDescent="0.3">
      <c r="A432" t="s">
        <v>81</v>
      </c>
      <c r="B432" s="2">
        <v>46327</v>
      </c>
      <c r="C432" s="52">
        <v>8012.7</v>
      </c>
      <c r="D432" s="48">
        <f>_xlfn.XLOOKUP(expected_production[[#This Row],[Site Name]],Table1[[Site Name ]],Table1[Commisioned Date],"")</f>
        <v>45471</v>
      </c>
      <c r="E432" s="47">
        <f>IF(ISNUMBER(expected_production[[#This Row],[Commissioned Date]]),MAX(0,(expected_production[[#This Row],[Date]]-expected_production[[#This Row],[Commissioned Date]])/365.25),"")</f>
        <v>2.3436002737850785</v>
      </c>
      <c r="F432" s="49">
        <f>IF(expected_production[[#This Row],[Age (yrs)]]="",1,(1-DegradationRate)^expected_production[[#This Row],[Age (yrs)]])</f>
        <v>0.98367188327907762</v>
      </c>
      <c r="G432" s="52">
        <f>IF(expected_production[[#This Row],[Base Expected (kWh)]]="","",expected_production[[#This Row],[Base Expected (kWh)]]*expected_production[[#This Row],[Degradation Factor]])</f>
        <v>7881.8676991502653</v>
      </c>
    </row>
    <row r="433" spans="1:7" ht="15" hidden="1" customHeight="1" x14ac:dyDescent="0.3">
      <c r="A433" t="s">
        <v>81</v>
      </c>
      <c r="B433" s="2">
        <v>46357</v>
      </c>
      <c r="C433" s="52">
        <v>8547.2999999999993</v>
      </c>
      <c r="D433" s="48">
        <f>_xlfn.XLOOKUP(expected_production[[#This Row],[Site Name]],Table1[[Site Name ]],Table1[Commisioned Date],"")</f>
        <v>45471</v>
      </c>
      <c r="E433" s="47">
        <f>IF(ISNUMBER(expected_production[[#This Row],[Commissioned Date]]),MAX(0,(expected_production[[#This Row],[Date]]-expected_production[[#This Row],[Commissioned Date]])/365.25),"")</f>
        <v>2.4257357973990419</v>
      </c>
      <c r="F433" s="49">
        <f>IF(expected_production[[#This Row],[Age (yrs)]]="",1,(1-DegradationRate)^expected_production[[#This Row],[Age (yrs)]])</f>
        <v>0.98310449739168293</v>
      </c>
      <c r="G433" s="52">
        <f>IF(expected_production[[#This Row],[Base Expected (kWh)]]="","",expected_production[[#This Row],[Base Expected (kWh)]]*expected_production[[#This Row],[Degradation Factor]])</f>
        <v>8402.8890705559315</v>
      </c>
    </row>
    <row r="434" spans="1:7" ht="15" hidden="1" customHeight="1" x14ac:dyDescent="0.3">
      <c r="A434" t="s">
        <v>85</v>
      </c>
      <c r="B434" s="2">
        <v>45292</v>
      </c>
      <c r="C434" s="52">
        <v>5767.2</v>
      </c>
      <c r="D434" s="48">
        <f>_xlfn.XLOOKUP(expected_production[[#This Row],[Site Name]],Table1[[Site Name ]],Table1[Commisioned Date],"")</f>
        <v>44665</v>
      </c>
      <c r="E434" s="47">
        <f>IF(ISNUMBER(expected_production[[#This Row],[Commissioned Date]]),MAX(0,(expected_production[[#This Row],[Date]]-expected_production[[#This Row],[Commissioned Date]])/365.25),"")</f>
        <v>1.7166324435318274</v>
      </c>
      <c r="F434" s="49">
        <f>IF(expected_production[[#This Row],[Age (yrs)]]="",1,(1-DegradationRate)^expected_production[[#This Row],[Age (yrs)]])</f>
        <v>0.98801373263363279</v>
      </c>
      <c r="G434" s="52">
        <f>IF(expected_production[[#This Row],[Base Expected (kWh)]]="","",expected_production[[#This Row],[Base Expected (kWh)]]*expected_production[[#This Row],[Degradation Factor]])</f>
        <v>5698.072798844687</v>
      </c>
    </row>
    <row r="435" spans="1:7" ht="15" hidden="1" customHeight="1" x14ac:dyDescent="0.3">
      <c r="A435" t="s">
        <v>85</v>
      </c>
      <c r="B435" s="2">
        <v>45323</v>
      </c>
      <c r="C435" s="52">
        <v>4828.5</v>
      </c>
      <c r="D435" s="48">
        <f>_xlfn.XLOOKUP(expected_production[[#This Row],[Site Name]],Table1[[Site Name ]],Table1[Commisioned Date],"")</f>
        <v>44665</v>
      </c>
      <c r="E435" s="47">
        <f>IF(ISNUMBER(expected_production[[#This Row],[Commissioned Date]]),MAX(0,(expected_production[[#This Row],[Date]]-expected_production[[#This Row],[Commissioned Date]])/365.25),"")</f>
        <v>1.8015058179329226</v>
      </c>
      <c r="F435" s="49">
        <f>IF(expected_production[[#This Row],[Age (yrs)]]="",1,(1-DegradationRate)^expected_production[[#This Row],[Age (yrs)]])</f>
        <v>0.98742485166958849</v>
      </c>
      <c r="G435" s="52">
        <f>IF(expected_production[[#This Row],[Base Expected (kWh)]]="","",expected_production[[#This Row],[Base Expected (kWh)]]*expected_production[[#This Row],[Degradation Factor]])</f>
        <v>4767.7808962866084</v>
      </c>
    </row>
    <row r="436" spans="1:7" ht="15" hidden="1" customHeight="1" x14ac:dyDescent="0.3">
      <c r="A436" t="s">
        <v>85</v>
      </c>
      <c r="B436" s="2">
        <v>45352</v>
      </c>
      <c r="C436" s="52">
        <v>4913.1000000000004</v>
      </c>
      <c r="D436" s="48">
        <f>_xlfn.XLOOKUP(expected_production[[#This Row],[Site Name]],Table1[[Site Name ]],Table1[Commisioned Date],"")</f>
        <v>44665</v>
      </c>
      <c r="E436" s="47">
        <f>IF(ISNUMBER(expected_production[[#This Row],[Commissioned Date]]),MAX(0,(expected_production[[#This Row],[Date]]-expected_production[[#This Row],[Commissioned Date]])/365.25),"")</f>
        <v>1.8809034907597535</v>
      </c>
      <c r="F436" s="49">
        <f>IF(expected_production[[#This Row],[Age (yrs)]]="",1,(1-DegradationRate)^expected_production[[#This Row],[Age (yrs)]])</f>
        <v>0.98687428078160233</v>
      </c>
      <c r="G436" s="52">
        <f>IF(expected_production[[#This Row],[Base Expected (kWh)]]="","",expected_production[[#This Row],[Base Expected (kWh)]]*expected_production[[#This Row],[Degradation Factor]])</f>
        <v>4848.6120289080909</v>
      </c>
    </row>
    <row r="437" spans="1:7" ht="15" hidden="1" customHeight="1" x14ac:dyDescent="0.3">
      <c r="A437" t="s">
        <v>85</v>
      </c>
      <c r="B437" s="2">
        <v>45383</v>
      </c>
      <c r="C437" s="52">
        <v>4149.8999999999996</v>
      </c>
      <c r="D437" s="48">
        <f>_xlfn.XLOOKUP(expected_production[[#This Row],[Site Name]],Table1[[Site Name ]],Table1[Commisioned Date],"")</f>
        <v>44665</v>
      </c>
      <c r="E437" s="47">
        <f>IF(ISNUMBER(expected_production[[#This Row],[Commissioned Date]]),MAX(0,(expected_production[[#This Row],[Date]]-expected_production[[#This Row],[Commissioned Date]])/365.25),"")</f>
        <v>1.9657768651608487</v>
      </c>
      <c r="F437" s="49">
        <f>IF(expected_production[[#This Row],[Age (yrs)]]="",1,(1-DegradationRate)^expected_production[[#This Row],[Age (yrs)]])</f>
        <v>0.98628607895943921</v>
      </c>
      <c r="G437" s="52">
        <f>IF(expected_production[[#This Row],[Base Expected (kWh)]]="","",expected_production[[#This Row],[Base Expected (kWh)]]*expected_production[[#This Row],[Degradation Factor]])</f>
        <v>4092.9885990737762</v>
      </c>
    </row>
    <row r="438" spans="1:7" ht="15" hidden="1" customHeight="1" x14ac:dyDescent="0.3">
      <c r="A438" t="s">
        <v>85</v>
      </c>
      <c r="B438" s="2">
        <v>45413</v>
      </c>
      <c r="C438" s="52">
        <v>3937.5</v>
      </c>
      <c r="D438" s="48">
        <f>_xlfn.XLOOKUP(expected_production[[#This Row],[Site Name]],Table1[[Site Name ]],Table1[Commisioned Date],"")</f>
        <v>44665</v>
      </c>
      <c r="E438" s="47">
        <f>IF(ISNUMBER(expected_production[[#This Row],[Commissioned Date]]),MAX(0,(expected_production[[#This Row],[Date]]-expected_production[[#This Row],[Commissioned Date]])/365.25),"")</f>
        <v>2.0479123887748116</v>
      </c>
      <c r="F438" s="49">
        <f>IF(expected_production[[#This Row],[Age (yrs)]]="",1,(1-DegradationRate)^expected_production[[#This Row],[Age (yrs)]])</f>
        <v>0.98571718519349161</v>
      </c>
      <c r="G438" s="52">
        <f>IF(expected_production[[#This Row],[Base Expected (kWh)]]="","",expected_production[[#This Row],[Base Expected (kWh)]]*expected_production[[#This Row],[Degradation Factor]])</f>
        <v>3881.2614166993731</v>
      </c>
    </row>
    <row r="439" spans="1:7" ht="15" hidden="1" customHeight="1" x14ac:dyDescent="0.3">
      <c r="A439" t="s">
        <v>85</v>
      </c>
      <c r="B439" s="2">
        <v>45444</v>
      </c>
      <c r="C439" s="52">
        <v>3463.2</v>
      </c>
      <c r="D439" s="48">
        <f>_xlfn.XLOOKUP(expected_production[[#This Row],[Site Name]],Table1[[Site Name ]],Table1[Commisioned Date],"")</f>
        <v>44665</v>
      </c>
      <c r="E439" s="47">
        <f>IF(ISNUMBER(expected_production[[#This Row],[Commissioned Date]]),MAX(0,(expected_production[[#This Row],[Date]]-expected_production[[#This Row],[Commissioned Date]])/365.25),"")</f>
        <v>2.1327857631759071</v>
      </c>
      <c r="F439" s="49">
        <f>IF(expected_production[[#This Row],[Age (yrs)]]="",1,(1-DegradationRate)^expected_production[[#This Row],[Age (yrs)]])</f>
        <v>0.98512967302931898</v>
      </c>
      <c r="G439" s="52">
        <f>IF(expected_production[[#This Row],[Base Expected (kWh)]]="","",expected_production[[#This Row],[Base Expected (kWh)]]*expected_production[[#This Row],[Degradation Factor]])</f>
        <v>3411.7010836351374</v>
      </c>
    </row>
    <row r="440" spans="1:7" ht="15" hidden="1" customHeight="1" x14ac:dyDescent="0.3">
      <c r="A440" t="s">
        <v>85</v>
      </c>
      <c r="B440" s="2">
        <v>45474</v>
      </c>
      <c r="C440" s="52">
        <v>3874.5</v>
      </c>
      <c r="D440" s="48">
        <f>_xlfn.XLOOKUP(expected_production[[#This Row],[Site Name]],Table1[[Site Name ]],Table1[Commisioned Date],"")</f>
        <v>44665</v>
      </c>
      <c r="E440" s="47">
        <f>IF(ISNUMBER(expected_production[[#This Row],[Commissioned Date]]),MAX(0,(expected_production[[#This Row],[Date]]-expected_production[[#This Row],[Commissioned Date]])/365.25),"")</f>
        <v>2.21492128678987</v>
      </c>
      <c r="F440" s="49">
        <f>IF(expected_production[[#This Row],[Age (yrs)]]="",1,(1-DegradationRate)^expected_production[[#This Row],[Age (yrs)]])</f>
        <v>0.98456144628294973</v>
      </c>
      <c r="G440" s="52">
        <f>IF(expected_production[[#This Row],[Base Expected (kWh)]]="","",expected_production[[#This Row],[Base Expected (kWh)]]*expected_production[[#This Row],[Degradation Factor]])</f>
        <v>3814.6833236232887</v>
      </c>
    </row>
    <row r="441" spans="1:7" ht="15" hidden="1" customHeight="1" x14ac:dyDescent="0.3">
      <c r="A441" t="s">
        <v>85</v>
      </c>
      <c r="B441" s="2">
        <v>45505</v>
      </c>
      <c r="C441" s="52">
        <v>4560.3</v>
      </c>
      <c r="D441" s="48">
        <f>_xlfn.XLOOKUP(expected_production[[#This Row],[Site Name]],Table1[[Site Name ]],Table1[Commisioned Date],"")</f>
        <v>44665</v>
      </c>
      <c r="E441" s="47">
        <f>IF(ISNUMBER(expected_production[[#This Row],[Commissioned Date]]),MAX(0,(expected_production[[#This Row],[Date]]-expected_production[[#This Row],[Commissioned Date]])/365.25),"")</f>
        <v>2.299794661190965</v>
      </c>
      <c r="F441" s="49">
        <f>IF(expected_production[[#This Row],[Age (yrs)]]="",1,(1-DegradationRate)^expected_production[[#This Row],[Age (yrs)]])</f>
        <v>0.98397462296815374</v>
      </c>
      <c r="G441" s="52">
        <f>IF(expected_production[[#This Row],[Base Expected (kWh)]]="","",expected_production[[#This Row],[Base Expected (kWh)]]*expected_production[[#This Row],[Degradation Factor]])</f>
        <v>4487.2194731216714</v>
      </c>
    </row>
    <row r="442" spans="1:7" ht="15" hidden="1" customHeight="1" x14ac:dyDescent="0.3">
      <c r="A442" t="s">
        <v>85</v>
      </c>
      <c r="B442" s="2">
        <v>45536</v>
      </c>
      <c r="C442" s="52">
        <v>5033.7</v>
      </c>
      <c r="D442" s="48">
        <f>_xlfn.XLOOKUP(expected_production[[#This Row],[Site Name]],Table1[[Site Name ]],Table1[Commisioned Date],"")</f>
        <v>44665</v>
      </c>
      <c r="E442" s="47">
        <f>IF(ISNUMBER(expected_production[[#This Row],[Commissioned Date]]),MAX(0,(expected_production[[#This Row],[Date]]-expected_production[[#This Row],[Commissioned Date]])/365.25),"")</f>
        <v>2.3846680355920604</v>
      </c>
      <c r="F442" s="49">
        <f>IF(expected_production[[#This Row],[Age (yrs)]]="",1,(1-DegradationRate)^expected_production[[#This Row],[Age (yrs)]])</f>
        <v>0.98338814941477093</v>
      </c>
      <c r="G442" s="52">
        <f>IF(expected_production[[#This Row],[Base Expected (kWh)]]="","",expected_production[[#This Row],[Base Expected (kWh)]]*expected_production[[#This Row],[Degradation Factor]])</f>
        <v>4950.0809277091321</v>
      </c>
    </row>
    <row r="443" spans="1:7" ht="15" hidden="1" customHeight="1" x14ac:dyDescent="0.3">
      <c r="A443" t="s">
        <v>85</v>
      </c>
      <c r="B443" s="2">
        <v>45566</v>
      </c>
      <c r="C443" s="52">
        <v>5613.3</v>
      </c>
      <c r="D443" s="48">
        <f>_xlfn.XLOOKUP(expected_production[[#This Row],[Site Name]],Table1[[Site Name ]],Table1[Commisioned Date],"")</f>
        <v>44665</v>
      </c>
      <c r="E443" s="47">
        <f>IF(ISNUMBER(expected_production[[#This Row],[Commissioned Date]]),MAX(0,(expected_production[[#This Row],[Date]]-expected_production[[#This Row],[Commissioned Date]])/365.25),"")</f>
        <v>2.4668035592060233</v>
      </c>
      <c r="F443" s="49">
        <f>IF(expected_production[[#This Row],[Age (yrs)]]="",1,(1-DegradationRate)^expected_production[[#This Row],[Age (yrs)]])</f>
        <v>0.98282092718620717</v>
      </c>
      <c r="G443" s="52">
        <f>IF(expected_production[[#This Row],[Base Expected (kWh)]]="","",expected_production[[#This Row],[Base Expected (kWh)]]*expected_production[[#This Row],[Degradation Factor]])</f>
        <v>5516.8687105743365</v>
      </c>
    </row>
    <row r="444" spans="1:7" ht="15" hidden="1" customHeight="1" x14ac:dyDescent="0.3">
      <c r="A444" t="s">
        <v>85</v>
      </c>
      <c r="B444" s="2">
        <v>45597</v>
      </c>
      <c r="C444" s="52">
        <v>5712.3</v>
      </c>
      <c r="D444" s="48">
        <f>_xlfn.XLOOKUP(expected_production[[#This Row],[Site Name]],Table1[[Site Name ]],Table1[Commisioned Date],"")</f>
        <v>44665</v>
      </c>
      <c r="E444" s="47">
        <f>IF(ISNUMBER(expected_production[[#This Row],[Commissioned Date]]),MAX(0,(expected_production[[#This Row],[Date]]-expected_production[[#This Row],[Commissioned Date]])/365.25),"")</f>
        <v>2.5516769336071183</v>
      </c>
      <c r="F444" s="49">
        <f>IF(expected_production[[#This Row],[Age (yrs)]]="",1,(1-DegradationRate)^expected_production[[#This Row],[Age (yrs)]])</f>
        <v>0.982235141264445</v>
      </c>
      <c r="G444" s="52">
        <f>IF(expected_production[[#This Row],[Base Expected (kWh)]]="","",expected_production[[#This Row],[Base Expected (kWh)]]*expected_production[[#This Row],[Degradation Factor]])</f>
        <v>5610.8217974448889</v>
      </c>
    </row>
    <row r="445" spans="1:7" ht="15" hidden="1" customHeight="1" x14ac:dyDescent="0.3">
      <c r="A445" t="s">
        <v>85</v>
      </c>
      <c r="B445" s="2">
        <v>45627</v>
      </c>
      <c r="C445" s="52">
        <v>6027.3</v>
      </c>
      <c r="D445" s="48">
        <f>_xlfn.XLOOKUP(expected_production[[#This Row],[Site Name]],Table1[[Site Name ]],Table1[Commisioned Date],"")</f>
        <v>44665</v>
      </c>
      <c r="E445" s="47">
        <f>IF(ISNUMBER(expected_production[[#This Row],[Commissioned Date]]),MAX(0,(expected_production[[#This Row],[Date]]-expected_production[[#This Row],[Commissioned Date]])/365.25),"")</f>
        <v>2.6338124572210813</v>
      </c>
      <c r="F445" s="49">
        <f>IF(expected_production[[#This Row],[Age (yrs)]]="",1,(1-DegradationRate)^expected_production[[#This Row],[Age (yrs)]])</f>
        <v>0.98166858409560664</v>
      </c>
      <c r="G445" s="52">
        <f>IF(expected_production[[#This Row],[Base Expected (kWh)]]="","",expected_production[[#This Row],[Base Expected (kWh)]]*expected_production[[#This Row],[Degradation Factor]])</f>
        <v>5916.8110569194505</v>
      </c>
    </row>
    <row r="446" spans="1:7" ht="15" hidden="1" customHeight="1" x14ac:dyDescent="0.3">
      <c r="A446" t="s">
        <v>85</v>
      </c>
      <c r="B446" s="2">
        <v>45658</v>
      </c>
      <c r="C446" s="52">
        <v>5767.2</v>
      </c>
      <c r="D446" s="48">
        <f>_xlfn.XLOOKUP(expected_production[[#This Row],[Site Name]],Table1[[Site Name ]],Table1[Commisioned Date],"")</f>
        <v>44665</v>
      </c>
      <c r="E446" s="47">
        <f>IF(ISNUMBER(expected_production[[#This Row],[Commissioned Date]]),MAX(0,(expected_production[[#This Row],[Date]]-expected_production[[#This Row],[Commissioned Date]])/365.25),"")</f>
        <v>2.7186858316221767</v>
      </c>
      <c r="F446" s="49">
        <f>IF(expected_production[[#This Row],[Age (yrs)]]="",1,(1-DegradationRate)^expected_production[[#This Row],[Age (yrs)]])</f>
        <v>0.98108348499922726</v>
      </c>
      <c r="G446" s="52">
        <f>IF(expected_production[[#This Row],[Base Expected (kWh)]]="","",expected_production[[#This Row],[Base Expected (kWh)]]*expected_production[[#This Row],[Degradation Factor]])</f>
        <v>5658.1046746875436</v>
      </c>
    </row>
    <row r="447" spans="1:7" ht="15" hidden="1" customHeight="1" x14ac:dyDescent="0.3">
      <c r="A447" t="s">
        <v>85</v>
      </c>
      <c r="B447" s="2">
        <v>45689</v>
      </c>
      <c r="C447" s="52">
        <v>4828.5</v>
      </c>
      <c r="D447" s="48">
        <f>_xlfn.XLOOKUP(expected_production[[#This Row],[Site Name]],Table1[[Site Name ]],Table1[Commisioned Date],"")</f>
        <v>44665</v>
      </c>
      <c r="E447" s="47">
        <f>IF(ISNUMBER(expected_production[[#This Row],[Commissioned Date]]),MAX(0,(expected_production[[#This Row],[Date]]-expected_production[[#This Row],[Commissioned Date]])/365.25),"")</f>
        <v>2.8035592060232717</v>
      </c>
      <c r="F447" s="49">
        <f>IF(expected_production[[#This Row],[Age (yrs)]]="",1,(1-DegradationRate)^expected_production[[#This Row],[Age (yrs)]])</f>
        <v>0.98049873463658366</v>
      </c>
      <c r="G447" s="52">
        <f>IF(expected_production[[#This Row],[Base Expected (kWh)]]="","",expected_production[[#This Row],[Base Expected (kWh)]]*expected_production[[#This Row],[Degradation Factor]])</f>
        <v>4734.3381401927445</v>
      </c>
    </row>
    <row r="448" spans="1:7" ht="15" hidden="1" customHeight="1" x14ac:dyDescent="0.3">
      <c r="A448" t="s">
        <v>85</v>
      </c>
      <c r="B448" s="2">
        <v>45717</v>
      </c>
      <c r="C448" s="52">
        <v>4913.1000000000004</v>
      </c>
      <c r="D448" s="48">
        <f>_xlfn.XLOOKUP(expected_production[[#This Row],[Site Name]],Table1[[Site Name ]],Table1[Commisioned Date],"")</f>
        <v>44665</v>
      </c>
      <c r="E448" s="47">
        <f>IF(ISNUMBER(expected_production[[#This Row],[Commissioned Date]]),MAX(0,(expected_production[[#This Row],[Date]]-expected_production[[#This Row],[Commissioned Date]])/365.25),"")</f>
        <v>2.8802190280629705</v>
      </c>
      <c r="F448" s="49">
        <f>IF(expected_production[[#This Row],[Age (yrs)]]="",1,(1-DegradationRate)^expected_production[[#This Row],[Age (yrs)]])</f>
        <v>0.97997087258990268</v>
      </c>
      <c r="G448" s="52">
        <f>IF(expected_production[[#This Row],[Base Expected (kWh)]]="","",expected_production[[#This Row],[Base Expected (kWh)]]*expected_production[[#This Row],[Degradation Factor]])</f>
        <v>4814.6948941214514</v>
      </c>
    </row>
    <row r="449" spans="1:7" ht="15" hidden="1" customHeight="1" x14ac:dyDescent="0.3">
      <c r="A449" t="s">
        <v>85</v>
      </c>
      <c r="B449" s="2">
        <v>45748</v>
      </c>
      <c r="C449" s="52">
        <v>4149.8999999999996</v>
      </c>
      <c r="D449" s="48">
        <f>_xlfn.XLOOKUP(expected_production[[#This Row],[Site Name]],Table1[[Site Name ]],Table1[Commisioned Date],"")</f>
        <v>44665</v>
      </c>
      <c r="E449" s="47">
        <f>IF(ISNUMBER(expected_production[[#This Row],[Commissioned Date]]),MAX(0,(expected_production[[#This Row],[Date]]-expected_production[[#This Row],[Commissioned Date]])/365.25),"")</f>
        <v>2.9650924024640659</v>
      </c>
      <c r="F449" s="49">
        <f>IF(expected_production[[#This Row],[Age (yrs)]]="",1,(1-DegradationRate)^expected_production[[#This Row],[Age (yrs)]])</f>
        <v>0.97938678537215929</v>
      </c>
      <c r="G449" s="52">
        <f>IF(expected_production[[#This Row],[Base Expected (kWh)]]="","",expected_production[[#This Row],[Base Expected (kWh)]]*expected_production[[#This Row],[Degradation Factor]])</f>
        <v>4064.3572206159233</v>
      </c>
    </row>
    <row r="450" spans="1:7" ht="15" hidden="1" customHeight="1" x14ac:dyDescent="0.3">
      <c r="A450" t="s">
        <v>85</v>
      </c>
      <c r="B450" s="2">
        <v>45778</v>
      </c>
      <c r="C450" s="52">
        <v>3937.5</v>
      </c>
      <c r="D450" s="48">
        <f>_xlfn.XLOOKUP(expected_production[[#This Row],[Site Name]],Table1[[Site Name ]],Table1[Commisioned Date],"")</f>
        <v>44665</v>
      </c>
      <c r="E450" s="47">
        <f>IF(ISNUMBER(expected_production[[#This Row],[Commissioned Date]]),MAX(0,(expected_production[[#This Row],[Date]]-expected_production[[#This Row],[Commissioned Date]])/365.25),"")</f>
        <v>3.0472279260780288</v>
      </c>
      <c r="F450" s="49">
        <f>IF(expected_production[[#This Row],[Age (yrs)]]="",1,(1-DegradationRate)^expected_production[[#This Row],[Age (yrs)]])</f>
        <v>0.97882187114642316</v>
      </c>
      <c r="G450" s="52">
        <f>IF(expected_production[[#This Row],[Base Expected (kWh)]]="","",expected_production[[#This Row],[Base Expected (kWh)]]*expected_production[[#This Row],[Degradation Factor]])</f>
        <v>3854.1111176390414</v>
      </c>
    </row>
    <row r="451" spans="1:7" ht="15" hidden="1" customHeight="1" x14ac:dyDescent="0.3">
      <c r="A451" t="s">
        <v>85</v>
      </c>
      <c r="B451" s="2">
        <v>45809</v>
      </c>
      <c r="C451" s="52">
        <v>3463.2</v>
      </c>
      <c r="D451" s="48">
        <f>_xlfn.XLOOKUP(expected_production[[#This Row],[Site Name]],Table1[[Site Name ]],Table1[Commisioned Date],"")</f>
        <v>44665</v>
      </c>
      <c r="E451" s="47">
        <f>IF(ISNUMBER(expected_production[[#This Row],[Commissioned Date]]),MAX(0,(expected_production[[#This Row],[Date]]-expected_production[[#This Row],[Commissioned Date]])/365.25),"")</f>
        <v>3.1321013004791238</v>
      </c>
      <c r="F451" s="49">
        <f>IF(expected_production[[#This Row],[Age (yrs)]]="",1,(1-DegradationRate)^expected_production[[#This Row],[Age (yrs)]])</f>
        <v>0.97823846876235721</v>
      </c>
      <c r="G451" s="52">
        <f>IF(expected_production[[#This Row],[Base Expected (kWh)]]="","",expected_production[[#This Row],[Base Expected (kWh)]]*expected_production[[#This Row],[Degradation Factor]])</f>
        <v>3387.8354650177953</v>
      </c>
    </row>
    <row r="452" spans="1:7" ht="15" hidden="1" customHeight="1" x14ac:dyDescent="0.3">
      <c r="A452" t="s">
        <v>85</v>
      </c>
      <c r="B452" s="2">
        <v>45839</v>
      </c>
      <c r="C452" s="52">
        <v>3874.5</v>
      </c>
      <c r="D452" s="48">
        <f>_xlfn.XLOOKUP(expected_production[[#This Row],[Site Name]],Table1[[Site Name ]],Table1[Commisioned Date],"")</f>
        <v>44665</v>
      </c>
      <c r="E452" s="47">
        <f>IF(ISNUMBER(expected_production[[#This Row],[Commissioned Date]]),MAX(0,(expected_production[[#This Row],[Date]]-expected_production[[#This Row],[Commissioned Date]])/365.25),"")</f>
        <v>3.2142368240930868</v>
      </c>
      <c r="F452" s="49">
        <f>IF(expected_production[[#This Row],[Age (yrs)]]="",1,(1-DegradationRate)^expected_production[[#This Row],[Age (yrs)]])</f>
        <v>0.97767421689024703</v>
      </c>
      <c r="G452" s="52">
        <f>IF(expected_production[[#This Row],[Base Expected (kWh)]]="","",expected_production[[#This Row],[Base Expected (kWh)]]*expected_production[[#This Row],[Degradation Factor]])</f>
        <v>3787.9987533412623</v>
      </c>
    </row>
    <row r="453" spans="1:7" ht="15" hidden="1" customHeight="1" x14ac:dyDescent="0.3">
      <c r="A453" t="s">
        <v>85</v>
      </c>
      <c r="B453" s="2">
        <v>45870</v>
      </c>
      <c r="C453" s="52">
        <v>4560.3</v>
      </c>
      <c r="D453" s="48">
        <f>_xlfn.XLOOKUP(expected_production[[#This Row],[Site Name]],Table1[[Site Name ]],Table1[Commisioned Date],"")</f>
        <v>44665</v>
      </c>
      <c r="E453" s="47">
        <f>IF(ISNUMBER(expected_production[[#This Row],[Commissioned Date]]),MAX(0,(expected_production[[#This Row],[Date]]-expected_production[[#This Row],[Commissioned Date]])/365.25),"")</f>
        <v>3.2991101984941822</v>
      </c>
      <c r="F453" s="49">
        <f>IF(expected_production[[#This Row],[Age (yrs)]]="",1,(1-DegradationRate)^expected_production[[#This Row],[Age (yrs)]])</f>
        <v>0.97709149853690092</v>
      </c>
      <c r="G453" s="52">
        <f>IF(expected_production[[#This Row],[Base Expected (kWh)]]="","",expected_production[[#This Row],[Base Expected (kWh)]]*expected_production[[#This Row],[Degradation Factor]])</f>
        <v>4455.8303607778298</v>
      </c>
    </row>
    <row r="454" spans="1:7" ht="15" hidden="1" customHeight="1" x14ac:dyDescent="0.3">
      <c r="A454" t="s">
        <v>85</v>
      </c>
      <c r="B454" s="2">
        <v>45901</v>
      </c>
      <c r="C454" s="52">
        <v>5033.7</v>
      </c>
      <c r="D454" s="48">
        <f>_xlfn.XLOOKUP(expected_production[[#This Row],[Site Name]],Table1[[Site Name ]],Table1[Commisioned Date],"")</f>
        <v>44665</v>
      </c>
      <c r="E454" s="47">
        <f>IF(ISNUMBER(expected_production[[#This Row],[Commissioned Date]]),MAX(0,(expected_production[[#This Row],[Date]]-expected_production[[#This Row],[Commissioned Date]])/365.25),"")</f>
        <v>3.3839835728952772</v>
      </c>
      <c r="F454" s="49">
        <f>IF(expected_production[[#This Row],[Age (yrs)]]="",1,(1-DegradationRate)^expected_production[[#This Row],[Age (yrs)]])</f>
        <v>0.97650912749830787</v>
      </c>
      <c r="G454" s="52">
        <f>IF(expected_production[[#This Row],[Base Expected (kWh)]]="","",expected_production[[#This Row],[Base Expected (kWh)]]*expected_production[[#This Row],[Degradation Factor]])</f>
        <v>4915.4539950882317</v>
      </c>
    </row>
    <row r="455" spans="1:7" ht="15" hidden="1" customHeight="1" x14ac:dyDescent="0.3">
      <c r="A455" t="s">
        <v>85</v>
      </c>
      <c r="B455" s="2">
        <v>45931</v>
      </c>
      <c r="C455" s="52">
        <v>5613.3</v>
      </c>
      <c r="D455" s="48">
        <f>_xlfn.XLOOKUP(expected_production[[#This Row],[Site Name]],Table1[[Site Name ]],Table1[Commisioned Date],"")</f>
        <v>44665</v>
      </c>
      <c r="E455" s="47">
        <f>IF(ISNUMBER(expected_production[[#This Row],[Commissioned Date]]),MAX(0,(expected_production[[#This Row],[Date]]-expected_production[[#This Row],[Commissioned Date]])/365.25),"")</f>
        <v>3.4661190965092401</v>
      </c>
      <c r="F455" s="49">
        <f>IF(expected_production[[#This Row],[Age (yrs)]]="",1,(1-DegradationRate)^expected_production[[#This Row],[Age (yrs)]])</f>
        <v>0.97594587311717451</v>
      </c>
      <c r="G455" s="52">
        <f>IF(expected_production[[#This Row],[Base Expected (kWh)]]="","",expected_production[[#This Row],[Base Expected (kWh)]]*expected_production[[#This Row],[Degradation Factor]])</f>
        <v>5478.2769695686356</v>
      </c>
    </row>
    <row r="456" spans="1:7" ht="15" hidden="1" customHeight="1" x14ac:dyDescent="0.3">
      <c r="A456" t="s">
        <v>85</v>
      </c>
      <c r="B456" s="2">
        <v>45962</v>
      </c>
      <c r="C456" s="52">
        <v>5712.3</v>
      </c>
      <c r="D456" s="48">
        <f>_xlfn.XLOOKUP(expected_production[[#This Row],[Site Name]],Table1[[Site Name ]],Table1[Commisioned Date],"")</f>
        <v>44665</v>
      </c>
      <c r="E456" s="47">
        <f>IF(ISNUMBER(expected_production[[#This Row],[Commissioned Date]]),MAX(0,(expected_production[[#This Row],[Date]]-expected_production[[#This Row],[Commissioned Date]])/365.25),"")</f>
        <v>3.5509924709103355</v>
      </c>
      <c r="F456" s="49">
        <f>IF(expected_production[[#This Row],[Age (yrs)]]="",1,(1-DegradationRate)^expected_production[[#This Row],[Age (yrs)]])</f>
        <v>0.97536418490006405</v>
      </c>
      <c r="G456" s="52">
        <f>IF(expected_production[[#This Row],[Base Expected (kWh)]]="","",expected_production[[#This Row],[Base Expected (kWh)]]*expected_production[[#This Row],[Degradation Factor]])</f>
        <v>5571.5728334046362</v>
      </c>
    </row>
    <row r="457" spans="1:7" ht="15" hidden="1" customHeight="1" x14ac:dyDescent="0.3">
      <c r="A457" t="s">
        <v>85</v>
      </c>
      <c r="B457" s="2">
        <v>45992</v>
      </c>
      <c r="C457" s="52">
        <v>6027.3</v>
      </c>
      <c r="D457" s="48">
        <f>_xlfn.XLOOKUP(expected_production[[#This Row],[Site Name]],Table1[[Site Name ]],Table1[Commisioned Date],"")</f>
        <v>44665</v>
      </c>
      <c r="E457" s="47">
        <f>IF(ISNUMBER(expected_production[[#This Row],[Commissioned Date]]),MAX(0,(expected_production[[#This Row],[Date]]-expected_production[[#This Row],[Commissioned Date]])/365.25),"")</f>
        <v>3.6331279945242985</v>
      </c>
      <c r="F457" s="49">
        <f>IF(expected_production[[#This Row],[Age (yrs)]]="",1,(1-DegradationRate)^expected_production[[#This Row],[Age (yrs)]])</f>
        <v>0.97480159092641328</v>
      </c>
      <c r="G457" s="52">
        <f>IF(expected_production[[#This Row],[Base Expected (kWh)]]="","",expected_production[[#This Row],[Base Expected (kWh)]]*expected_production[[#This Row],[Degradation Factor]])</f>
        <v>5875.4216289907708</v>
      </c>
    </row>
    <row r="458" spans="1:7" ht="15" hidden="1" customHeight="1" x14ac:dyDescent="0.3">
      <c r="A458" t="s">
        <v>85</v>
      </c>
      <c r="B458" s="2">
        <v>46023</v>
      </c>
      <c r="C458" s="52">
        <v>5767.2</v>
      </c>
      <c r="D458" s="48">
        <f>_xlfn.XLOOKUP(expected_production[[#This Row],[Site Name]],Table1[[Site Name ]],Table1[Commisioned Date],"")</f>
        <v>44665</v>
      </c>
      <c r="E458" s="47">
        <f>IF(ISNUMBER(expected_production[[#This Row],[Commissioned Date]]),MAX(0,(expected_production[[#This Row],[Date]]-expected_production[[#This Row],[Commissioned Date]])/365.25),"")</f>
        <v>3.7180013689253935</v>
      </c>
      <c r="F458" s="49">
        <f>IF(expected_production[[#This Row],[Age (yrs)]]="",1,(1-DegradationRate)^expected_production[[#This Row],[Age (yrs)]])</f>
        <v>0.97422058473018702</v>
      </c>
      <c r="G458" s="52">
        <f>IF(expected_production[[#This Row],[Base Expected (kWh)]]="","",expected_production[[#This Row],[Base Expected (kWh)]]*expected_production[[#This Row],[Degradation Factor]])</f>
        <v>5618.5249562559347</v>
      </c>
    </row>
    <row r="459" spans="1:7" ht="15" hidden="1" customHeight="1" x14ac:dyDescent="0.3">
      <c r="A459" t="s">
        <v>85</v>
      </c>
      <c r="B459" s="2">
        <v>46054</v>
      </c>
      <c r="C459" s="52">
        <v>4828.5</v>
      </c>
      <c r="D459" s="48">
        <f>_xlfn.XLOOKUP(expected_production[[#This Row],[Site Name]],Table1[[Site Name ]],Table1[Commisioned Date],"")</f>
        <v>44665</v>
      </c>
      <c r="E459" s="47">
        <f>IF(ISNUMBER(expected_production[[#This Row],[Commissioned Date]]),MAX(0,(expected_production[[#This Row],[Date]]-expected_production[[#This Row],[Commissioned Date]])/365.25),"")</f>
        <v>3.8028747433264889</v>
      </c>
      <c r="F459" s="49">
        <f>IF(expected_production[[#This Row],[Age (yrs)]]="",1,(1-DegradationRate)^expected_production[[#This Row],[Age (yrs)]])</f>
        <v>0.97363992482822537</v>
      </c>
      <c r="G459" s="52">
        <f>IF(expected_production[[#This Row],[Base Expected (kWh)]]="","",expected_production[[#This Row],[Base Expected (kWh)]]*expected_production[[#This Row],[Degradation Factor]])</f>
        <v>4701.2203770330862</v>
      </c>
    </row>
    <row r="460" spans="1:7" ht="15" hidden="1" customHeight="1" x14ac:dyDescent="0.3">
      <c r="A460" t="s">
        <v>85</v>
      </c>
      <c r="B460" s="2">
        <v>46082</v>
      </c>
      <c r="C460" s="52">
        <v>4913.1000000000004</v>
      </c>
      <c r="D460" s="48">
        <f>_xlfn.XLOOKUP(expected_production[[#This Row],[Site Name]],Table1[[Site Name ]],Table1[Commisioned Date],"")</f>
        <v>44665</v>
      </c>
      <c r="E460" s="47">
        <f>IF(ISNUMBER(expected_production[[#This Row],[Commissioned Date]]),MAX(0,(expected_production[[#This Row],[Date]]-expected_production[[#This Row],[Commissioned Date]])/365.25),"")</f>
        <v>3.8795345653661877</v>
      </c>
      <c r="F460" s="49">
        <f>IF(expected_production[[#This Row],[Age (yrs)]]="",1,(1-DegradationRate)^expected_production[[#This Row],[Age (yrs)]])</f>
        <v>0.97311575529562455</v>
      </c>
      <c r="G460" s="52">
        <f>IF(expected_production[[#This Row],[Base Expected (kWh)]]="","",expected_production[[#This Row],[Base Expected (kWh)]]*expected_production[[#This Row],[Degradation Factor]])</f>
        <v>4781.0150173429338</v>
      </c>
    </row>
    <row r="461" spans="1:7" ht="15" hidden="1" customHeight="1" x14ac:dyDescent="0.3">
      <c r="A461" t="s">
        <v>85</v>
      </c>
      <c r="B461" s="2">
        <v>46113</v>
      </c>
      <c r="C461" s="52">
        <v>4149.8999999999996</v>
      </c>
      <c r="D461" s="48">
        <f>_xlfn.XLOOKUP(expected_production[[#This Row],[Site Name]],Table1[[Site Name ]],Table1[Commisioned Date],"")</f>
        <v>44665</v>
      </c>
      <c r="E461" s="47">
        <f>IF(ISNUMBER(expected_production[[#This Row],[Commissioned Date]]),MAX(0,(expected_production[[#This Row],[Date]]-expected_production[[#This Row],[Commissioned Date]])/365.25),"")</f>
        <v>3.9644079397672827</v>
      </c>
      <c r="F461" s="49">
        <f>IF(expected_production[[#This Row],[Age (yrs)]]="",1,(1-DegradationRate)^expected_production[[#This Row],[Age (yrs)]])</f>
        <v>0.97253575389971503</v>
      </c>
      <c r="G461" s="52">
        <f>IF(expected_production[[#This Row],[Base Expected (kWh)]]="","",expected_production[[#This Row],[Base Expected (kWh)]]*expected_production[[#This Row],[Degradation Factor]])</f>
        <v>4035.9261251084272</v>
      </c>
    </row>
    <row r="462" spans="1:7" ht="15" hidden="1" customHeight="1" x14ac:dyDescent="0.3">
      <c r="A462" t="s">
        <v>85</v>
      </c>
      <c r="B462" s="2">
        <v>46143</v>
      </c>
      <c r="C462" s="52">
        <v>3937.5</v>
      </c>
      <c r="D462" s="48">
        <f>_xlfn.XLOOKUP(expected_production[[#This Row],[Site Name]],Table1[[Site Name ]],Table1[Commisioned Date],"")</f>
        <v>44665</v>
      </c>
      <c r="E462" s="47">
        <f>IF(ISNUMBER(expected_production[[#This Row],[Commissioned Date]]),MAX(0,(expected_production[[#This Row],[Date]]-expected_production[[#This Row],[Commissioned Date]])/365.25),"")</f>
        <v>4.046543463381246</v>
      </c>
      <c r="F462" s="49">
        <f>IF(expected_production[[#This Row],[Age (yrs)]]="",1,(1-DegradationRate)^expected_production[[#This Row],[Age (yrs)]])</f>
        <v>0.97197479137640896</v>
      </c>
      <c r="G462" s="52">
        <f>IF(expected_production[[#This Row],[Base Expected (kWh)]]="","",expected_production[[#This Row],[Base Expected (kWh)]]*expected_production[[#This Row],[Degradation Factor]])</f>
        <v>3827.1507410446102</v>
      </c>
    </row>
    <row r="463" spans="1:7" ht="15" hidden="1" customHeight="1" x14ac:dyDescent="0.3">
      <c r="A463" t="s">
        <v>85</v>
      </c>
      <c r="B463" s="2">
        <v>46174</v>
      </c>
      <c r="C463" s="52">
        <v>3463.2</v>
      </c>
      <c r="D463" s="48">
        <f>_xlfn.XLOOKUP(expected_production[[#This Row],[Site Name]],Table1[[Site Name ]],Table1[Commisioned Date],"")</f>
        <v>44665</v>
      </c>
      <c r="E463" s="47">
        <f>IF(ISNUMBER(expected_production[[#This Row],[Commissioned Date]]),MAX(0,(expected_production[[#This Row],[Date]]-expected_production[[#This Row],[Commissioned Date]])/365.25),"")</f>
        <v>4.131416837782341</v>
      </c>
      <c r="F463" s="49">
        <f>IF(expected_production[[#This Row],[Age (yrs)]]="",1,(1-DegradationRate)^expected_production[[#This Row],[Age (yrs)]])</f>
        <v>0.97139547002361071</v>
      </c>
      <c r="G463" s="52">
        <f>IF(expected_production[[#This Row],[Base Expected (kWh)]]="","",expected_production[[#This Row],[Base Expected (kWh)]]*expected_production[[#This Row],[Degradation Factor]])</f>
        <v>3364.1367917857683</v>
      </c>
    </row>
    <row r="464" spans="1:7" ht="15" hidden="1" customHeight="1" x14ac:dyDescent="0.3">
      <c r="A464" t="s">
        <v>85</v>
      </c>
      <c r="B464" s="2">
        <v>46204</v>
      </c>
      <c r="C464" s="52">
        <v>3874.5</v>
      </c>
      <c r="D464" s="48">
        <f>_xlfn.XLOOKUP(expected_production[[#This Row],[Site Name]],Table1[[Site Name ]],Table1[Commisioned Date],"")</f>
        <v>44665</v>
      </c>
      <c r="E464" s="47">
        <f>IF(ISNUMBER(expected_production[[#This Row],[Commissioned Date]]),MAX(0,(expected_production[[#This Row],[Date]]-expected_production[[#This Row],[Commissioned Date]])/365.25),"")</f>
        <v>4.213552361396304</v>
      </c>
      <c r="F464" s="49">
        <f>IF(expected_production[[#This Row],[Age (yrs)]]="",1,(1-DegradationRate)^expected_production[[#This Row],[Age (yrs)]])</f>
        <v>0.97083516522061764</v>
      </c>
      <c r="G464" s="52">
        <f>IF(expected_production[[#This Row],[Base Expected (kWh)]]="","",expected_production[[#This Row],[Base Expected (kWh)]]*expected_production[[#This Row],[Degradation Factor]])</f>
        <v>3761.5008476472831</v>
      </c>
    </row>
    <row r="465" spans="1:7" ht="15" hidden="1" customHeight="1" x14ac:dyDescent="0.3">
      <c r="A465" t="s">
        <v>85</v>
      </c>
      <c r="B465" s="2">
        <v>46235</v>
      </c>
      <c r="C465" s="52">
        <v>4560.3</v>
      </c>
      <c r="D465" s="48">
        <f>_xlfn.XLOOKUP(expected_production[[#This Row],[Site Name]],Table1[[Site Name ]],Table1[Commisioned Date],"")</f>
        <v>44665</v>
      </c>
      <c r="E465" s="47">
        <f>IF(ISNUMBER(expected_production[[#This Row],[Commissioned Date]]),MAX(0,(expected_production[[#This Row],[Date]]-expected_production[[#This Row],[Commissioned Date]])/365.25),"")</f>
        <v>4.2984257357973989</v>
      </c>
      <c r="F465" s="49">
        <f>IF(expected_production[[#This Row],[Age (yrs)]]="",1,(1-DegradationRate)^expected_production[[#This Row],[Age (yrs)]])</f>
        <v>0.97025652311359001</v>
      </c>
      <c r="G465" s="52">
        <f>IF(expected_production[[#This Row],[Base Expected (kWh)]]="","",expected_production[[#This Row],[Base Expected (kWh)]]*expected_production[[#This Row],[Degradation Factor]])</f>
        <v>4424.6608223549047</v>
      </c>
    </row>
    <row r="466" spans="1:7" ht="15" hidden="1" customHeight="1" x14ac:dyDescent="0.3">
      <c r="A466" t="s">
        <v>85</v>
      </c>
      <c r="B466" s="2">
        <v>46266</v>
      </c>
      <c r="C466" s="52">
        <v>5033.7</v>
      </c>
      <c r="D466" s="48">
        <f>_xlfn.XLOOKUP(expected_production[[#This Row],[Site Name]],Table1[[Site Name ]],Table1[Commisioned Date],"")</f>
        <v>44665</v>
      </c>
      <c r="E466" s="47">
        <f>IF(ISNUMBER(expected_production[[#This Row],[Commissioned Date]]),MAX(0,(expected_production[[#This Row],[Date]]-expected_production[[#This Row],[Commissioned Date]])/365.25),"")</f>
        <v>4.3832991101984939</v>
      </c>
      <c r="F466" s="49">
        <f>IF(expected_production[[#This Row],[Age (yrs)]]="",1,(1-DegradationRate)^expected_production[[#This Row],[Age (yrs)]])</f>
        <v>0.96967822589177055</v>
      </c>
      <c r="G466" s="52">
        <f>IF(expected_production[[#This Row],[Base Expected (kWh)]]="","",expected_production[[#This Row],[Base Expected (kWh)]]*expected_production[[#This Row],[Degradation Factor]])</f>
        <v>4881.0692856714049</v>
      </c>
    </row>
    <row r="467" spans="1:7" ht="15" hidden="1" customHeight="1" x14ac:dyDescent="0.3">
      <c r="A467" t="s">
        <v>85</v>
      </c>
      <c r="B467" s="2">
        <v>46296</v>
      </c>
      <c r="C467" s="52">
        <v>5613.3</v>
      </c>
      <c r="D467" s="48">
        <f>_xlfn.XLOOKUP(expected_production[[#This Row],[Site Name]],Table1[[Site Name ]],Table1[Commisioned Date],"")</f>
        <v>44665</v>
      </c>
      <c r="E467" s="47">
        <f>IF(ISNUMBER(expected_production[[#This Row],[Commissioned Date]]),MAX(0,(expected_production[[#This Row],[Date]]-expected_production[[#This Row],[Commissioned Date]])/365.25),"")</f>
        <v>4.4654346338124569</v>
      </c>
      <c r="F467" s="49">
        <f>IF(expected_production[[#This Row],[Age (yrs)]]="",1,(1-DegradationRate)^expected_production[[#This Row],[Age (yrs)]])</f>
        <v>0.96911891160207997</v>
      </c>
      <c r="G467" s="52">
        <f>IF(expected_production[[#This Row],[Base Expected (kWh)]]="","",expected_production[[#This Row],[Base Expected (kWh)]]*expected_production[[#This Row],[Degradation Factor]])</f>
        <v>5439.9551864959558</v>
      </c>
    </row>
    <row r="468" spans="1:7" ht="15" hidden="1" customHeight="1" x14ac:dyDescent="0.3">
      <c r="A468" t="s">
        <v>85</v>
      </c>
      <c r="B468" s="2">
        <v>46327</v>
      </c>
      <c r="C468" s="52">
        <v>5712.3</v>
      </c>
      <c r="D468" s="48">
        <f>_xlfn.XLOOKUP(expected_production[[#This Row],[Site Name]],Table1[[Site Name ]],Table1[Commisioned Date],"")</f>
        <v>44665</v>
      </c>
      <c r="E468" s="47">
        <f>IF(ISNUMBER(expected_production[[#This Row],[Commissioned Date]]),MAX(0,(expected_production[[#This Row],[Date]]-expected_production[[#This Row],[Commissioned Date]])/365.25),"")</f>
        <v>4.5503080082135527</v>
      </c>
      <c r="F468" s="49">
        <f>IF(expected_production[[#This Row],[Age (yrs)]]="",1,(1-DegradationRate)^expected_production[[#This Row],[Age (yrs)]])</f>
        <v>0.96854129242525266</v>
      </c>
      <c r="G468" s="52">
        <f>IF(expected_production[[#This Row],[Base Expected (kWh)]]="","",expected_production[[#This Row],[Base Expected (kWh)]]*expected_production[[#This Row],[Degradation Factor]])</f>
        <v>5532.5984247207707</v>
      </c>
    </row>
    <row r="469" spans="1:7" ht="15" hidden="1" customHeight="1" x14ac:dyDescent="0.3">
      <c r="A469" t="s">
        <v>85</v>
      </c>
      <c r="B469" s="2">
        <v>46357</v>
      </c>
      <c r="C469" s="52">
        <v>6027.3</v>
      </c>
      <c r="D469" s="48">
        <f>_xlfn.XLOOKUP(expected_production[[#This Row],[Site Name]],Table1[[Site Name ]],Table1[Commisioned Date],"")</f>
        <v>44665</v>
      </c>
      <c r="E469" s="47">
        <f>IF(ISNUMBER(expected_production[[#This Row],[Commissioned Date]]),MAX(0,(expected_production[[#This Row],[Date]]-expected_production[[#This Row],[Commissioned Date]])/365.25),"")</f>
        <v>4.6324435318275157</v>
      </c>
      <c r="F469" s="49">
        <f>IF(expected_production[[#This Row],[Age (yrs)]]="",1,(1-DegradationRate)^expected_production[[#This Row],[Age (yrs)]])</f>
        <v>0.96798263392334538</v>
      </c>
      <c r="G469" s="52">
        <f>IF(expected_production[[#This Row],[Base Expected (kWh)]]="","",expected_production[[#This Row],[Base Expected (kWh)]]*expected_production[[#This Row],[Degradation Factor]])</f>
        <v>5834.3217294461801</v>
      </c>
    </row>
    <row r="470" spans="1:7" ht="15" hidden="1" customHeight="1" x14ac:dyDescent="0.3">
      <c r="A470" t="s">
        <v>90</v>
      </c>
      <c r="B470" s="2">
        <v>45292</v>
      </c>
      <c r="C470" s="52">
        <v>4897.0200000000004</v>
      </c>
      <c r="D470" s="48">
        <f>_xlfn.XLOOKUP(expected_production[[#This Row],[Site Name]],Table1[[Site Name ]],Table1[Commisioned Date],"")</f>
        <v>44643</v>
      </c>
      <c r="E470" s="47">
        <f>IF(ISNUMBER(expected_production[[#This Row],[Commissioned Date]]),MAX(0,(expected_production[[#This Row],[Date]]-expected_production[[#This Row],[Commissioned Date]])/365.25),"")</f>
        <v>1.7768651608487338</v>
      </c>
      <c r="F470" s="49">
        <f>IF(expected_production[[#This Row],[Age (yrs)]]="",1,(1-DegradationRate)^expected_production[[#This Row],[Age (yrs)]])</f>
        <v>0.9875957809435354</v>
      </c>
      <c r="G470" s="52">
        <f>IF(expected_production[[#This Row],[Base Expected (kWh)]]="","",expected_production[[#This Row],[Base Expected (kWh)]]*expected_production[[#This Row],[Degradation Factor]])</f>
        <v>4836.2762911961117</v>
      </c>
    </row>
    <row r="471" spans="1:7" ht="15" hidden="1" customHeight="1" x14ac:dyDescent="0.3">
      <c r="A471" t="s">
        <v>90</v>
      </c>
      <c r="B471" s="2">
        <v>45323</v>
      </c>
      <c r="C471" s="52">
        <v>4496.2449999999999</v>
      </c>
      <c r="D471" s="48">
        <f>_xlfn.XLOOKUP(expected_production[[#This Row],[Site Name]],Table1[[Site Name ]],Table1[Commisioned Date],"")</f>
        <v>44643</v>
      </c>
      <c r="E471" s="47">
        <f>IF(ISNUMBER(expected_production[[#This Row],[Commissioned Date]]),MAX(0,(expected_production[[#This Row],[Date]]-expected_production[[#This Row],[Commissioned Date]])/365.25),"")</f>
        <v>1.8617385352498288</v>
      </c>
      <c r="F471" s="49">
        <f>IF(expected_production[[#This Row],[Age (yrs)]]="",1,(1-DegradationRate)^expected_production[[#This Row],[Age (yrs)]])</f>
        <v>0.98700714908918052</v>
      </c>
      <c r="G471" s="52">
        <f>IF(expected_production[[#This Row],[Base Expected (kWh)]]="","",expected_production[[#This Row],[Base Expected (kWh)]]*expected_production[[#This Row],[Degradation Factor]])</f>
        <v>4437.8259590564821</v>
      </c>
    </row>
    <row r="472" spans="1:7" ht="15" hidden="1" customHeight="1" x14ac:dyDescent="0.3">
      <c r="A472" t="s">
        <v>90</v>
      </c>
      <c r="B472" s="2">
        <v>45352</v>
      </c>
      <c r="C472" s="52">
        <v>4548.6049999999996</v>
      </c>
      <c r="D472" s="48">
        <f>_xlfn.XLOOKUP(expected_production[[#This Row],[Site Name]],Table1[[Site Name ]],Table1[Commisioned Date],"")</f>
        <v>44643</v>
      </c>
      <c r="E472" s="47">
        <f>IF(ISNUMBER(expected_production[[#This Row],[Commissioned Date]]),MAX(0,(expected_production[[#This Row],[Date]]-expected_production[[#This Row],[Commissioned Date]])/365.25),"")</f>
        <v>1.9411362080766599</v>
      </c>
      <c r="F472" s="49">
        <f>IF(expected_production[[#This Row],[Age (yrs)]]="",1,(1-DegradationRate)^expected_production[[#This Row],[Age (yrs)]])</f>
        <v>0.98645681110487338</v>
      </c>
      <c r="G472" s="52">
        <f>IF(expected_production[[#This Row],[Base Expected (kWh)]]="","",expected_production[[#This Row],[Base Expected (kWh)]]*expected_production[[#This Row],[Degradation Factor]])</f>
        <v>4487.0023832756824</v>
      </c>
    </row>
    <row r="473" spans="1:7" ht="15" hidden="1" customHeight="1" x14ac:dyDescent="0.3">
      <c r="A473" t="s">
        <v>90</v>
      </c>
      <c r="B473" s="2">
        <v>45383</v>
      </c>
      <c r="C473" s="52">
        <v>3805.1950000000002</v>
      </c>
      <c r="D473" s="48">
        <f>_xlfn.XLOOKUP(expected_production[[#This Row],[Site Name]],Table1[[Site Name ]],Table1[Commisioned Date],"")</f>
        <v>44643</v>
      </c>
      <c r="E473" s="47">
        <f>IF(ISNUMBER(expected_production[[#This Row],[Commissioned Date]]),MAX(0,(expected_production[[#This Row],[Date]]-expected_production[[#This Row],[Commissioned Date]])/365.25),"")</f>
        <v>2.0260095824777551</v>
      </c>
      <c r="F473" s="49">
        <f>IF(expected_production[[#This Row],[Age (yrs)]]="",1,(1-DegradationRate)^expected_production[[#This Row],[Age (yrs)]])</f>
        <v>0.98586885810510771</v>
      </c>
      <c r="G473" s="52">
        <f>IF(expected_production[[#This Row],[Base Expected (kWh)]]="","",expected_production[[#This Row],[Base Expected (kWh)]]*expected_production[[#This Row],[Degradation Factor]])</f>
        <v>3751.4232495172655</v>
      </c>
    </row>
    <row r="474" spans="1:7" ht="15" hidden="1" customHeight="1" x14ac:dyDescent="0.3">
      <c r="A474" t="s">
        <v>90</v>
      </c>
      <c r="B474" s="2">
        <v>45413</v>
      </c>
      <c r="C474" s="52">
        <v>3522.57</v>
      </c>
      <c r="D474" s="48">
        <f>_xlfn.XLOOKUP(expected_production[[#This Row],[Site Name]],Table1[[Site Name ]],Table1[Commisioned Date],"")</f>
        <v>44643</v>
      </c>
      <c r="E474" s="47">
        <f>IF(ISNUMBER(expected_production[[#This Row],[Commissioned Date]]),MAX(0,(expected_production[[#This Row],[Date]]-expected_production[[#This Row],[Commissioned Date]])/365.25),"")</f>
        <v>2.108145106091718</v>
      </c>
      <c r="F474" s="49">
        <f>IF(expected_production[[#This Row],[Age (yrs)]]="",1,(1-DegradationRate)^expected_production[[#This Row],[Age (yrs)]])</f>
        <v>0.9853002049938222</v>
      </c>
      <c r="G474" s="52">
        <f>IF(expected_production[[#This Row],[Base Expected (kWh)]]="","",expected_production[[#This Row],[Base Expected (kWh)]]*expected_production[[#This Row],[Degradation Factor]])</f>
        <v>3470.7889431050885</v>
      </c>
    </row>
    <row r="475" spans="1:7" ht="15" hidden="1" customHeight="1" x14ac:dyDescent="0.3">
      <c r="A475" t="s">
        <v>90</v>
      </c>
      <c r="B475" s="2">
        <v>45444</v>
      </c>
      <c r="C475" s="52">
        <v>3187.9250000000002</v>
      </c>
      <c r="D475" s="48">
        <f>_xlfn.XLOOKUP(expected_production[[#This Row],[Site Name]],Table1[[Site Name ]],Table1[Commisioned Date],"")</f>
        <v>44643</v>
      </c>
      <c r="E475" s="47">
        <f>IF(ISNUMBER(expected_production[[#This Row],[Commissioned Date]]),MAX(0,(expected_production[[#This Row],[Date]]-expected_production[[#This Row],[Commissioned Date]])/365.25),"")</f>
        <v>2.193018480492813</v>
      </c>
      <c r="F475" s="49">
        <f>IF(expected_production[[#This Row],[Age (yrs)]]="",1,(1-DegradationRate)^expected_production[[#This Row],[Age (yrs)]])</f>
        <v>0.9847129413603064</v>
      </c>
      <c r="G475" s="52">
        <f>IF(expected_production[[#This Row],[Base Expected (kWh)]]="","",expected_production[[#This Row],[Base Expected (kWh)]]*expected_production[[#This Row],[Degradation Factor]])</f>
        <v>3139.1910035860551</v>
      </c>
    </row>
    <row r="476" spans="1:7" ht="15" hidden="1" customHeight="1" x14ac:dyDescent="0.3">
      <c r="A476" t="s">
        <v>90</v>
      </c>
      <c r="B476" s="2">
        <v>45474</v>
      </c>
      <c r="C476" s="52">
        <v>3416.15</v>
      </c>
      <c r="D476" s="48">
        <f>_xlfn.XLOOKUP(expected_production[[#This Row],[Site Name]],Table1[[Site Name ]],Table1[Commisioned Date],"")</f>
        <v>44643</v>
      </c>
      <c r="E476" s="47">
        <f>IF(ISNUMBER(expected_production[[#This Row],[Commissioned Date]]),MAX(0,(expected_production[[#This Row],[Date]]-expected_production[[#This Row],[Commissioned Date]])/365.25),"")</f>
        <v>2.2751540041067764</v>
      </c>
      <c r="F476" s="49">
        <f>IF(expected_production[[#This Row],[Age (yrs)]]="",1,(1-DegradationRate)^expected_production[[#This Row],[Age (yrs)]])</f>
        <v>0.98414495498643528</v>
      </c>
      <c r="G476" s="52">
        <f>IF(expected_production[[#This Row],[Base Expected (kWh)]]="","",expected_production[[#This Row],[Base Expected (kWh)]]*expected_production[[#This Row],[Degradation Factor]])</f>
        <v>3361.9867879769108</v>
      </c>
    </row>
    <row r="477" spans="1:7" ht="15" hidden="1" customHeight="1" x14ac:dyDescent="0.3">
      <c r="A477" t="s">
        <v>90</v>
      </c>
      <c r="B477" s="2">
        <v>45505</v>
      </c>
      <c r="C477" s="52">
        <v>3857.0450000000001</v>
      </c>
      <c r="D477" s="48">
        <f>_xlfn.XLOOKUP(expected_production[[#This Row],[Site Name]],Table1[[Site Name ]],Table1[Commisioned Date],"")</f>
        <v>44643</v>
      </c>
      <c r="E477" s="47">
        <f>IF(ISNUMBER(expected_production[[#This Row],[Commissioned Date]]),MAX(0,(expected_production[[#This Row],[Date]]-expected_production[[#This Row],[Commissioned Date]])/365.25),"")</f>
        <v>2.3600273785078714</v>
      </c>
      <c r="F477" s="49">
        <f>IF(expected_production[[#This Row],[Age (yrs)]]="",1,(1-DegradationRate)^expected_production[[#This Row],[Age (yrs)]])</f>
        <v>0.98355837991089756</v>
      </c>
      <c r="G477" s="52">
        <f>IF(expected_production[[#This Row],[Base Expected (kWh)]]="","",expected_production[[#This Row],[Base Expected (kWh)]]*expected_production[[#This Row],[Degradation Factor]])</f>
        <v>3793.628931443428</v>
      </c>
    </row>
    <row r="478" spans="1:7" ht="15" hidden="1" customHeight="1" x14ac:dyDescent="0.3">
      <c r="A478" t="s">
        <v>90</v>
      </c>
      <c r="B478" s="2">
        <v>45536</v>
      </c>
      <c r="C478" s="52">
        <v>3805.7049999999999</v>
      </c>
      <c r="D478" s="48">
        <f>_xlfn.XLOOKUP(expected_production[[#This Row],[Site Name]],Table1[[Site Name ]],Table1[Commisioned Date],"")</f>
        <v>44643</v>
      </c>
      <c r="E478" s="47">
        <f>IF(ISNUMBER(expected_production[[#This Row],[Commissioned Date]]),MAX(0,(expected_production[[#This Row],[Date]]-expected_production[[#This Row],[Commissioned Date]])/365.25),"")</f>
        <v>2.4449007529089664</v>
      </c>
      <c r="F478" s="49">
        <f>IF(expected_production[[#This Row],[Age (yrs)]]="",1,(1-DegradationRate)^expected_production[[#This Row],[Age (yrs)]])</f>
        <v>0.98297215444881625</v>
      </c>
      <c r="G478" s="52">
        <f>IF(expected_production[[#This Row],[Base Expected (kWh)]]="","",expected_production[[#This Row],[Base Expected (kWh)]]*expected_production[[#This Row],[Degradation Factor]])</f>
        <v>3740.9020430466321</v>
      </c>
    </row>
    <row r="479" spans="1:7" ht="15" hidden="1" customHeight="1" x14ac:dyDescent="0.3">
      <c r="A479" t="s">
        <v>90</v>
      </c>
      <c r="B479" s="2">
        <v>45566</v>
      </c>
      <c r="C479" s="52">
        <v>4238.6949999999997</v>
      </c>
      <c r="D479" s="48">
        <f>_xlfn.XLOOKUP(expected_production[[#This Row],[Site Name]],Table1[[Site Name ]],Table1[Commisioned Date],"")</f>
        <v>44643</v>
      </c>
      <c r="E479" s="47">
        <f>IF(ISNUMBER(expected_production[[#This Row],[Commissioned Date]]),MAX(0,(expected_production[[#This Row],[Date]]-expected_production[[#This Row],[Commissioned Date]])/365.25),"")</f>
        <v>2.5270362765229293</v>
      </c>
      <c r="F479" s="49">
        <f>IF(expected_production[[#This Row],[Age (yrs)]]="",1,(1-DegradationRate)^expected_production[[#This Row],[Age (yrs)]])</f>
        <v>0.9824051721678172</v>
      </c>
      <c r="G479" s="52">
        <f>IF(expected_production[[#This Row],[Base Expected (kWh)]]="","",expected_production[[#This Row],[Base Expected (kWh)]]*expected_production[[#This Row],[Degradation Factor]])</f>
        <v>4164.1158912418659</v>
      </c>
    </row>
    <row r="480" spans="1:7" ht="15" hidden="1" customHeight="1" x14ac:dyDescent="0.3">
      <c r="A480" t="s">
        <v>90</v>
      </c>
      <c r="B480" s="2">
        <v>45597</v>
      </c>
      <c r="C480" s="52">
        <v>4335.34</v>
      </c>
      <c r="D480" s="48">
        <f>_xlfn.XLOOKUP(expected_production[[#This Row],[Site Name]],Table1[[Site Name ]],Table1[Commisioned Date],"")</f>
        <v>44643</v>
      </c>
      <c r="E480" s="47">
        <f>IF(ISNUMBER(expected_production[[#This Row],[Commissioned Date]]),MAX(0,(expected_production[[#This Row],[Date]]-expected_production[[#This Row],[Commissioned Date]])/365.25),"")</f>
        <v>2.6119096509240247</v>
      </c>
      <c r="F480" s="49">
        <f>IF(expected_production[[#This Row],[Age (yrs)]]="",1,(1-DegradationRate)^expected_production[[#This Row],[Age (yrs)]])</f>
        <v>0.98181963404647321</v>
      </c>
      <c r="G480" s="52">
        <f>IF(expected_production[[#This Row],[Base Expected (kWh)]]="","",expected_production[[#This Row],[Base Expected (kWh)]]*expected_production[[#This Row],[Degradation Factor]])</f>
        <v>4256.5219322670373</v>
      </c>
    </row>
    <row r="481" spans="1:7" ht="15" hidden="1" customHeight="1" x14ac:dyDescent="0.3">
      <c r="A481" t="s">
        <v>90</v>
      </c>
      <c r="B481" s="2">
        <v>45627</v>
      </c>
      <c r="C481" s="52">
        <v>5058.01</v>
      </c>
      <c r="D481" s="48">
        <f>_xlfn.XLOOKUP(expected_production[[#This Row],[Site Name]],Table1[[Site Name ]],Table1[Commisioned Date],"")</f>
        <v>44643</v>
      </c>
      <c r="E481" s="47">
        <f>IF(ISNUMBER(expected_production[[#This Row],[Commissioned Date]]),MAX(0,(expected_production[[#This Row],[Date]]-expected_production[[#This Row],[Commissioned Date]])/365.25),"")</f>
        <v>2.6940451745379876</v>
      </c>
      <c r="F481" s="49">
        <f>IF(expected_production[[#This Row],[Age (yrs)]]="",1,(1-DegradationRate)^expected_production[[#This Row],[Age (yrs)]])</f>
        <v>0.9812533165438645</v>
      </c>
      <c r="G481" s="52">
        <f>IF(expected_production[[#This Row],[Base Expected (kWh)]]="","",expected_production[[#This Row],[Base Expected (kWh)]]*expected_production[[#This Row],[Degradation Factor]])</f>
        <v>4963.1890876120324</v>
      </c>
    </row>
    <row r="482" spans="1:7" ht="15" hidden="1" customHeight="1" x14ac:dyDescent="0.3">
      <c r="A482" t="s">
        <v>90</v>
      </c>
      <c r="B482" s="2">
        <v>45658</v>
      </c>
      <c r="C482" s="52">
        <v>4897.0200000000004</v>
      </c>
      <c r="D482" s="48">
        <f>_xlfn.XLOOKUP(expected_production[[#This Row],[Site Name]],Table1[[Site Name ]],Table1[Commisioned Date],"")</f>
        <v>44643</v>
      </c>
      <c r="E482" s="47">
        <f>IF(ISNUMBER(expected_production[[#This Row],[Commissioned Date]]),MAX(0,(expected_production[[#This Row],[Date]]-expected_production[[#This Row],[Commissioned Date]])/365.25),"")</f>
        <v>2.7789185489390826</v>
      </c>
      <c r="F482" s="49">
        <f>IF(expected_production[[#This Row],[Age (yrs)]]="",1,(1-DegradationRate)^expected_production[[#This Row],[Age (yrs)]])</f>
        <v>0.98066846495736093</v>
      </c>
      <c r="G482" s="52">
        <f>IF(expected_production[[#This Row],[Base Expected (kWh)]]="","",expected_production[[#This Row],[Base Expected (kWh)]]*expected_production[[#This Row],[Degradation Factor]])</f>
        <v>4802.3530862654961</v>
      </c>
    </row>
    <row r="483" spans="1:7" ht="15" hidden="1" customHeight="1" x14ac:dyDescent="0.3">
      <c r="A483" t="s">
        <v>90</v>
      </c>
      <c r="B483" s="2">
        <v>45689</v>
      </c>
      <c r="C483" s="52">
        <v>4496.2449999999999</v>
      </c>
      <c r="D483" s="48">
        <f>_xlfn.XLOOKUP(expected_production[[#This Row],[Site Name]],Table1[[Site Name ]],Table1[Commisioned Date],"")</f>
        <v>44643</v>
      </c>
      <c r="E483" s="47">
        <f>IF(ISNUMBER(expected_production[[#This Row],[Commissioned Date]]),MAX(0,(expected_production[[#This Row],[Date]]-expected_production[[#This Row],[Commissioned Date]])/365.25),"")</f>
        <v>2.8637919233401781</v>
      </c>
      <c r="F483" s="49">
        <f>IF(expected_production[[#This Row],[Age (yrs)]]="",1,(1-DegradationRate)^expected_production[[#This Row],[Age (yrs)]])</f>
        <v>0.98008396195707104</v>
      </c>
      <c r="G483" s="52">
        <f>IF(expected_production[[#This Row],[Base Expected (kWh)]]="","",expected_production[[#This Row],[Base Expected (kWh)]]*expected_production[[#This Row],[Degradation Factor]])</f>
        <v>4406.6976135296709</v>
      </c>
    </row>
    <row r="484" spans="1:7" ht="15" hidden="1" customHeight="1" x14ac:dyDescent="0.3">
      <c r="A484" t="s">
        <v>90</v>
      </c>
      <c r="B484" s="2">
        <v>45717</v>
      </c>
      <c r="C484" s="52">
        <v>4548.6049999999996</v>
      </c>
      <c r="D484" s="48">
        <f>_xlfn.XLOOKUP(expected_production[[#This Row],[Site Name]],Table1[[Site Name ]],Table1[Commisioned Date],"")</f>
        <v>44643</v>
      </c>
      <c r="E484" s="47">
        <f>IF(ISNUMBER(expected_production[[#This Row],[Commissioned Date]]),MAX(0,(expected_production[[#This Row],[Date]]-expected_production[[#This Row],[Commissioned Date]])/365.25),"")</f>
        <v>2.9404517453798769</v>
      </c>
      <c r="F484" s="49">
        <f>IF(expected_production[[#This Row],[Age (yrs)]]="",1,(1-DegradationRate)^expected_production[[#This Row],[Age (yrs)]])</f>
        <v>0.97955632320772612</v>
      </c>
      <c r="G484" s="52">
        <f>IF(expected_production[[#This Row],[Base Expected (kWh)]]="","",expected_production[[#This Row],[Base Expected (kWh)]]*expected_production[[#This Row],[Degradation Factor]])</f>
        <v>4455.6147895242784</v>
      </c>
    </row>
    <row r="485" spans="1:7" ht="15" hidden="1" customHeight="1" x14ac:dyDescent="0.3">
      <c r="A485" t="s">
        <v>90</v>
      </c>
      <c r="B485" s="2">
        <v>45748</v>
      </c>
      <c r="C485" s="52">
        <v>3805.1950000000002</v>
      </c>
      <c r="D485" s="48">
        <f>_xlfn.XLOOKUP(expected_production[[#This Row],[Site Name]],Table1[[Site Name ]],Table1[Commisioned Date],"")</f>
        <v>44643</v>
      </c>
      <c r="E485" s="47">
        <f>IF(ISNUMBER(expected_production[[#This Row],[Commissioned Date]]),MAX(0,(expected_production[[#This Row],[Date]]-expected_production[[#This Row],[Commissioned Date]])/365.25),"")</f>
        <v>3.0253251197809718</v>
      </c>
      <c r="F485" s="49">
        <f>IF(expected_production[[#This Row],[Age (yrs)]]="",1,(1-DegradationRate)^expected_production[[#This Row],[Age (yrs)]])</f>
        <v>0.97897248307181151</v>
      </c>
      <c r="G485" s="52">
        <f>IF(expected_production[[#This Row],[Base Expected (kWh)]]="","",expected_production[[#This Row],[Base Expected (kWh)]]*expected_production[[#This Row],[Degradation Factor]])</f>
        <v>3725.181197722442</v>
      </c>
    </row>
    <row r="486" spans="1:7" ht="15" hidden="1" customHeight="1" x14ac:dyDescent="0.3">
      <c r="A486" t="s">
        <v>90</v>
      </c>
      <c r="B486" s="2">
        <v>45778</v>
      </c>
      <c r="C486" s="52">
        <v>3522.57</v>
      </c>
      <c r="D486" s="48">
        <f>_xlfn.XLOOKUP(expected_production[[#This Row],[Site Name]],Table1[[Site Name ]],Table1[Commisioned Date],"")</f>
        <v>44643</v>
      </c>
      <c r="E486" s="47">
        <f>IF(ISNUMBER(expected_production[[#This Row],[Commissioned Date]]),MAX(0,(expected_production[[#This Row],[Date]]-expected_production[[#This Row],[Commissioned Date]])/365.25),"")</f>
        <v>3.1074606433949348</v>
      </c>
      <c r="F486" s="49">
        <f>IF(expected_production[[#This Row],[Age (yrs)]]="",1,(1-DegradationRate)^expected_production[[#This Row],[Age (yrs)]])</f>
        <v>0.97840780781730374</v>
      </c>
      <c r="G486" s="52">
        <f>IF(expected_production[[#This Row],[Base Expected (kWh)]]="","",expected_production[[#This Row],[Base Expected (kWh)]]*expected_production[[#This Row],[Degradation Factor]])</f>
        <v>3446.5099915829996</v>
      </c>
    </row>
    <row r="487" spans="1:7" ht="15" hidden="1" customHeight="1" x14ac:dyDescent="0.3">
      <c r="A487" t="s">
        <v>90</v>
      </c>
      <c r="B487" s="2">
        <v>45809</v>
      </c>
      <c r="C487" s="52">
        <v>3187.9250000000002</v>
      </c>
      <c r="D487" s="48">
        <f>_xlfn.XLOOKUP(expected_production[[#This Row],[Site Name]],Table1[[Site Name ]],Table1[Commisioned Date],"")</f>
        <v>44643</v>
      </c>
      <c r="E487" s="47">
        <f>IF(ISNUMBER(expected_production[[#This Row],[Commissioned Date]]),MAX(0,(expected_production[[#This Row],[Date]]-expected_production[[#This Row],[Commissioned Date]])/365.25),"")</f>
        <v>3.1923340177960302</v>
      </c>
      <c r="F487" s="49">
        <f>IF(expected_production[[#This Row],[Age (yrs)]]="",1,(1-DegradationRate)^expected_production[[#This Row],[Age (yrs)]])</f>
        <v>0.97782465222536663</v>
      </c>
      <c r="G487" s="52">
        <f>IF(expected_production[[#This Row],[Base Expected (kWh)]]="","",expected_production[[#This Row],[Base Expected (kWh)]]*expected_production[[#This Row],[Degradation Factor]])</f>
        <v>3117.2316544455521</v>
      </c>
    </row>
    <row r="488" spans="1:7" ht="15" hidden="1" customHeight="1" x14ac:dyDescent="0.3">
      <c r="A488" t="s">
        <v>90</v>
      </c>
      <c r="B488" s="2">
        <v>45839</v>
      </c>
      <c r="C488" s="52">
        <v>3416.15</v>
      </c>
      <c r="D488" s="48">
        <f>_xlfn.XLOOKUP(expected_production[[#This Row],[Site Name]],Table1[[Site Name ]],Table1[Commisioned Date],"")</f>
        <v>44643</v>
      </c>
      <c r="E488" s="47">
        <f>IF(ISNUMBER(expected_production[[#This Row],[Commissioned Date]]),MAX(0,(expected_production[[#This Row],[Date]]-expected_production[[#This Row],[Commissioned Date]])/365.25),"")</f>
        <v>3.2744695414099931</v>
      </c>
      <c r="F488" s="49">
        <f>IF(expected_production[[#This Row],[Age (yrs)]]="",1,(1-DegradationRate)^expected_production[[#This Row],[Age (yrs)]])</f>
        <v>0.97726063904429472</v>
      </c>
      <c r="G488" s="52">
        <f>IF(expected_production[[#This Row],[Base Expected (kWh)]]="","",expected_production[[#This Row],[Base Expected (kWh)]]*expected_production[[#This Row],[Degradation Factor]])</f>
        <v>3338.4689320711673</v>
      </c>
    </row>
    <row r="489" spans="1:7" ht="15" hidden="1" customHeight="1" x14ac:dyDescent="0.3">
      <c r="A489" t="s">
        <v>90</v>
      </c>
      <c r="B489" s="2">
        <v>45870</v>
      </c>
      <c r="C489" s="52">
        <v>3857.0450000000001</v>
      </c>
      <c r="D489" s="48">
        <f>_xlfn.XLOOKUP(expected_production[[#This Row],[Site Name]],Table1[[Site Name ]],Table1[Commisioned Date],"")</f>
        <v>44643</v>
      </c>
      <c r="E489" s="47">
        <f>IF(ISNUMBER(expected_production[[#This Row],[Commissioned Date]]),MAX(0,(expected_production[[#This Row],[Date]]-expected_production[[#This Row],[Commissioned Date]])/365.25),"")</f>
        <v>3.3593429158110881</v>
      </c>
      <c r="F489" s="49">
        <f>IF(expected_production[[#This Row],[Age (yrs)]]="",1,(1-DegradationRate)^expected_production[[#This Row],[Age (yrs)]])</f>
        <v>0.97667816719371725</v>
      </c>
      <c r="G489" s="52">
        <f>IF(expected_production[[#This Row],[Base Expected (kWh)]]="","",expected_production[[#This Row],[Base Expected (kWh)]]*expected_production[[#This Row],[Degradation Factor]])</f>
        <v>3767.0916413836912</v>
      </c>
    </row>
    <row r="490" spans="1:7" ht="15" hidden="1" customHeight="1" x14ac:dyDescent="0.3">
      <c r="A490" t="s">
        <v>90</v>
      </c>
      <c r="B490" s="2">
        <v>45901</v>
      </c>
      <c r="C490" s="52">
        <v>3805.7049999999999</v>
      </c>
      <c r="D490" s="48">
        <f>_xlfn.XLOOKUP(expected_production[[#This Row],[Site Name]],Table1[[Site Name ]],Table1[Commisioned Date],"")</f>
        <v>44643</v>
      </c>
      <c r="E490" s="47">
        <f>IF(ISNUMBER(expected_production[[#This Row],[Commissioned Date]]),MAX(0,(expected_production[[#This Row],[Date]]-expected_production[[#This Row],[Commissioned Date]])/365.25),"")</f>
        <v>3.4442162902121836</v>
      </c>
      <c r="F490" s="49">
        <f>IF(expected_production[[#This Row],[Age (yrs)]]="",1,(1-DegradationRate)^expected_production[[#This Row],[Age (yrs)]])</f>
        <v>0.97609604251097115</v>
      </c>
      <c r="G490" s="52">
        <f>IF(expected_production[[#This Row],[Base Expected (kWh)]]="","",expected_production[[#This Row],[Base Expected (kWh)]]*expected_production[[#This Row],[Degradation Factor]])</f>
        <v>3714.7335894642156</v>
      </c>
    </row>
    <row r="491" spans="1:7" ht="15" hidden="1" customHeight="1" x14ac:dyDescent="0.3">
      <c r="A491" t="s">
        <v>90</v>
      </c>
      <c r="B491" s="2">
        <v>45931</v>
      </c>
      <c r="C491" s="52">
        <v>4238.6949999999997</v>
      </c>
      <c r="D491" s="48">
        <f>_xlfn.XLOOKUP(expected_production[[#This Row],[Site Name]],Table1[[Site Name ]],Table1[Commisioned Date],"")</f>
        <v>44643</v>
      </c>
      <c r="E491" s="47">
        <f>IF(ISNUMBER(expected_production[[#This Row],[Commissioned Date]]),MAX(0,(expected_production[[#This Row],[Date]]-expected_production[[#This Row],[Commissioned Date]])/365.25),"")</f>
        <v>3.5263518138261465</v>
      </c>
      <c r="F491" s="49">
        <f>IF(expected_production[[#This Row],[Age (yrs)]]="",1,(1-DegradationRate)^expected_production[[#This Row],[Age (yrs)]])</f>
        <v>0.97553302639891526</v>
      </c>
      <c r="G491" s="52">
        <f>IF(expected_production[[#This Row],[Base Expected (kWh)]]="","",expected_production[[#This Row],[Base Expected (kWh)]]*expected_production[[#This Row],[Degradation Factor]])</f>
        <v>4134.9869613319497</v>
      </c>
    </row>
    <row r="492" spans="1:7" ht="15" hidden="1" customHeight="1" x14ac:dyDescent="0.3">
      <c r="A492" t="s">
        <v>90</v>
      </c>
      <c r="B492" s="2">
        <v>45962</v>
      </c>
      <c r="C492" s="52">
        <v>4335.34</v>
      </c>
      <c r="D492" s="48">
        <f>_xlfn.XLOOKUP(expected_production[[#This Row],[Site Name]],Table1[[Site Name ]],Table1[Commisioned Date],"")</f>
        <v>44643</v>
      </c>
      <c r="E492" s="47">
        <f>IF(ISNUMBER(expected_production[[#This Row],[Commissioned Date]]),MAX(0,(expected_production[[#This Row],[Date]]-expected_production[[#This Row],[Commissioned Date]])/365.25),"")</f>
        <v>3.6112251882272415</v>
      </c>
      <c r="F492" s="49">
        <f>IF(expected_production[[#This Row],[Age (yrs)]]="",1,(1-DegradationRate)^expected_production[[#This Row],[Age (yrs)]])</f>
        <v>0.97495158424880302</v>
      </c>
      <c r="G492" s="52">
        <f>IF(expected_production[[#This Row],[Base Expected (kWh)]]="","",expected_production[[#This Row],[Base Expected (kWh)]]*expected_production[[#This Row],[Degradation Factor]])</f>
        <v>4226.7466012572058</v>
      </c>
    </row>
    <row r="493" spans="1:7" ht="15" hidden="1" customHeight="1" x14ac:dyDescent="0.3">
      <c r="A493" t="s">
        <v>90</v>
      </c>
      <c r="B493" s="2">
        <v>45992</v>
      </c>
      <c r="C493" s="52">
        <v>5058.01</v>
      </c>
      <c r="D493" s="48">
        <f>_xlfn.XLOOKUP(expected_production[[#This Row],[Site Name]],Table1[[Site Name ]],Table1[Commisioned Date],"")</f>
        <v>44643</v>
      </c>
      <c r="E493" s="47">
        <f>IF(ISNUMBER(expected_production[[#This Row],[Commissioned Date]]),MAX(0,(expected_production[[#This Row],[Date]]-expected_production[[#This Row],[Commissioned Date]])/365.25),"")</f>
        <v>3.6933607118412048</v>
      </c>
      <c r="F493" s="49">
        <f>IF(expected_production[[#This Row],[Age (yrs)]]="",1,(1-DegradationRate)^expected_production[[#This Row],[Age (yrs)]])</f>
        <v>0.97438922826486263</v>
      </c>
      <c r="G493" s="52">
        <f>IF(expected_production[[#This Row],[Base Expected (kWh)]]="","",expected_production[[#This Row],[Base Expected (kWh)]]*expected_production[[#This Row],[Degradation Factor]])</f>
        <v>4928.4704604559583</v>
      </c>
    </row>
    <row r="494" spans="1:7" ht="15" hidden="1" customHeight="1" x14ac:dyDescent="0.3">
      <c r="A494" t="s">
        <v>90</v>
      </c>
      <c r="B494" s="2">
        <v>46023</v>
      </c>
      <c r="C494" s="52">
        <v>4897.0200000000004</v>
      </c>
      <c r="D494" s="48">
        <f>_xlfn.XLOOKUP(expected_production[[#This Row],[Site Name]],Table1[[Site Name ]],Table1[Commisioned Date],"")</f>
        <v>44643</v>
      </c>
      <c r="E494" s="47">
        <f>IF(ISNUMBER(expected_production[[#This Row],[Commissioned Date]]),MAX(0,(expected_production[[#This Row],[Date]]-expected_production[[#This Row],[Commissioned Date]])/365.25),"")</f>
        <v>3.7782340862422998</v>
      </c>
      <c r="F494" s="49">
        <f>IF(expected_production[[#This Row],[Age (yrs)]]="",1,(1-DegradationRate)^expected_production[[#This Row],[Age (yrs)]])</f>
        <v>0.97380846784712471</v>
      </c>
      <c r="G494" s="52">
        <f>IF(expected_production[[#This Row],[Base Expected (kWh)]]="","",expected_production[[#This Row],[Base Expected (kWh)]]*expected_production[[#This Row],[Degradation Factor]])</f>
        <v>4768.7595432167273</v>
      </c>
    </row>
    <row r="495" spans="1:7" ht="15" hidden="1" customHeight="1" x14ac:dyDescent="0.3">
      <c r="A495" t="s">
        <v>90</v>
      </c>
      <c r="B495" s="2">
        <v>46054</v>
      </c>
      <c r="C495" s="52">
        <v>4496.2449999999999</v>
      </c>
      <c r="D495" s="48">
        <f>_xlfn.XLOOKUP(expected_production[[#This Row],[Site Name]],Table1[[Site Name ]],Table1[Commisioned Date],"")</f>
        <v>44643</v>
      </c>
      <c r="E495" s="47">
        <f>IF(ISNUMBER(expected_production[[#This Row],[Commissioned Date]]),MAX(0,(expected_production[[#This Row],[Date]]-expected_production[[#This Row],[Commissioned Date]])/365.25),"")</f>
        <v>3.8631074606433948</v>
      </c>
      <c r="F495" s="49">
        <f>IF(expected_production[[#This Row],[Age (yrs)]]="",1,(1-DegradationRate)^expected_production[[#This Row],[Age (yrs)]])</f>
        <v>0.97322805357716136</v>
      </c>
      <c r="G495" s="52">
        <f>IF(expected_production[[#This Row],[Base Expected (kWh)]]="","",expected_production[[#This Row],[Base Expected (kWh)]]*expected_production[[#This Row],[Degradation Factor]])</f>
        <v>4375.8717697560442</v>
      </c>
    </row>
    <row r="496" spans="1:7" ht="15" hidden="1" customHeight="1" x14ac:dyDescent="0.3">
      <c r="A496" t="s">
        <v>90</v>
      </c>
      <c r="B496" s="2">
        <v>46082</v>
      </c>
      <c r="C496" s="52">
        <v>4548.6049999999996</v>
      </c>
      <c r="D496" s="48">
        <f>_xlfn.XLOOKUP(expected_production[[#This Row],[Site Name]],Table1[[Site Name ]],Table1[Commisioned Date],"")</f>
        <v>44643</v>
      </c>
      <c r="E496" s="47">
        <f>IF(ISNUMBER(expected_production[[#This Row],[Commissioned Date]]),MAX(0,(expected_production[[#This Row],[Date]]-expected_production[[#This Row],[Commissioned Date]])/365.25),"")</f>
        <v>3.9397672826830936</v>
      </c>
      <c r="F496" s="49">
        <f>IF(expected_production[[#This Row],[Age (yrs)]]="",1,(1-DegradationRate)^expected_production[[#This Row],[Age (yrs)]])</f>
        <v>0.97270410577988131</v>
      </c>
      <c r="G496" s="52">
        <f>IF(expected_production[[#This Row],[Base Expected (kWh)]]="","",expected_production[[#This Row],[Base Expected (kWh)]]*expected_production[[#This Row],[Degradation Factor]])</f>
        <v>4424.4467590708964</v>
      </c>
    </row>
    <row r="497" spans="1:7" ht="15" hidden="1" customHeight="1" x14ac:dyDescent="0.3">
      <c r="A497" t="s">
        <v>90</v>
      </c>
      <c r="B497" s="2">
        <v>46113</v>
      </c>
      <c r="C497" s="52">
        <v>3805.1950000000002</v>
      </c>
      <c r="D497" s="48">
        <f>_xlfn.XLOOKUP(expected_production[[#This Row],[Site Name]],Table1[[Site Name ]],Table1[Commisioned Date],"")</f>
        <v>44643</v>
      </c>
      <c r="E497" s="47">
        <f>IF(ISNUMBER(expected_production[[#This Row],[Commissioned Date]]),MAX(0,(expected_production[[#This Row],[Date]]-expected_production[[#This Row],[Commissioned Date]])/365.25),"")</f>
        <v>4.0246406570841886</v>
      </c>
      <c r="F497" s="49">
        <f>IF(expected_production[[#This Row],[Age (yrs)]]="",1,(1-DegradationRate)^expected_production[[#This Row],[Age (yrs)]])</f>
        <v>0.97212434973740736</v>
      </c>
      <c r="G497" s="52">
        <f>IF(expected_production[[#This Row],[Base Expected (kWh)]]="","",expected_production[[#This Row],[Base Expected (kWh)]]*expected_production[[#This Row],[Degradation Factor]])</f>
        <v>3699.1227149990341</v>
      </c>
    </row>
    <row r="498" spans="1:7" ht="15" hidden="1" customHeight="1" x14ac:dyDescent="0.3">
      <c r="A498" t="s">
        <v>90</v>
      </c>
      <c r="B498" s="2">
        <v>46143</v>
      </c>
      <c r="C498" s="52">
        <v>3522.57</v>
      </c>
      <c r="D498" s="48">
        <f>_xlfn.XLOOKUP(expected_production[[#This Row],[Site Name]],Table1[[Site Name ]],Table1[Commisioned Date],"")</f>
        <v>44643</v>
      </c>
      <c r="E498" s="47">
        <f>IF(ISNUMBER(expected_production[[#This Row],[Commissioned Date]]),MAX(0,(expected_production[[#This Row],[Date]]-expected_production[[#This Row],[Commissioned Date]])/365.25),"")</f>
        <v>4.1067761806981515</v>
      </c>
      <c r="F498" s="49">
        <f>IF(expected_production[[#This Row],[Age (yrs)]]="",1,(1-DegradationRate)^expected_production[[#This Row],[Age (yrs)]])</f>
        <v>0.97156362451367217</v>
      </c>
      <c r="G498" s="52">
        <f>IF(expected_production[[#This Row],[Base Expected (kWh)]]="","",expected_production[[#This Row],[Base Expected (kWh)]]*expected_production[[#This Row],[Degradation Factor]])</f>
        <v>3422.4008768031263</v>
      </c>
    </row>
    <row r="499" spans="1:7" ht="15" hidden="1" customHeight="1" x14ac:dyDescent="0.3">
      <c r="A499" t="s">
        <v>90</v>
      </c>
      <c r="B499" s="2">
        <v>46174</v>
      </c>
      <c r="C499" s="52">
        <v>3187.9250000000002</v>
      </c>
      <c r="D499" s="48">
        <f>_xlfn.XLOOKUP(expected_production[[#This Row],[Site Name]],Table1[[Site Name ]],Table1[Commisioned Date],"")</f>
        <v>44643</v>
      </c>
      <c r="E499" s="47">
        <f>IF(ISNUMBER(expected_production[[#This Row],[Commissioned Date]]),MAX(0,(expected_production[[#This Row],[Date]]-expected_production[[#This Row],[Commissioned Date]])/365.25),"")</f>
        <v>4.1916495550992474</v>
      </c>
      <c r="F499" s="49">
        <f>IF(expected_production[[#This Row],[Age (yrs)]]="",1,(1-DegradationRate)^expected_production[[#This Row],[Age (yrs)]])</f>
        <v>0.97098454822663616</v>
      </c>
      <c r="G499" s="52">
        <f>IF(expected_production[[#This Row],[Base Expected (kWh)]]="","",expected_production[[#This Row],[Base Expected (kWh)]]*expected_production[[#This Row],[Degradation Factor]])</f>
        <v>3095.4259159053991</v>
      </c>
    </row>
    <row r="500" spans="1:7" ht="15" hidden="1" customHeight="1" x14ac:dyDescent="0.3">
      <c r="A500" t="s">
        <v>90</v>
      </c>
      <c r="B500" s="2">
        <v>46204</v>
      </c>
      <c r="C500" s="52">
        <v>3416.15</v>
      </c>
      <c r="D500" s="48">
        <f>_xlfn.XLOOKUP(expected_production[[#This Row],[Site Name]],Table1[[Site Name ]],Table1[Commisioned Date],"")</f>
        <v>44643</v>
      </c>
      <c r="E500" s="47">
        <f>IF(ISNUMBER(expected_production[[#This Row],[Commissioned Date]]),MAX(0,(expected_production[[#This Row],[Date]]-expected_production[[#This Row],[Commissioned Date]])/365.25),"")</f>
        <v>4.2737850787132103</v>
      </c>
      <c r="F500" s="49">
        <f>IF(expected_production[[#This Row],[Age (yrs)]]="",1,(1-DegradationRate)^expected_production[[#This Row],[Age (yrs)]])</f>
        <v>0.97042448044498364</v>
      </c>
      <c r="G500" s="52">
        <f>IF(expected_production[[#This Row],[Base Expected (kWh)]]="","",expected_production[[#This Row],[Base Expected (kWh)]]*expected_production[[#This Row],[Degradation Factor]])</f>
        <v>3315.115588872131</v>
      </c>
    </row>
    <row r="501" spans="1:7" ht="15" hidden="1" customHeight="1" x14ac:dyDescent="0.3">
      <c r="A501" t="s">
        <v>90</v>
      </c>
      <c r="B501" s="2">
        <v>46235</v>
      </c>
      <c r="C501" s="52">
        <v>3857.0450000000001</v>
      </c>
      <c r="D501" s="48">
        <f>_xlfn.XLOOKUP(expected_production[[#This Row],[Site Name]],Table1[[Site Name ]],Table1[Commisioned Date],"")</f>
        <v>44643</v>
      </c>
      <c r="E501" s="47">
        <f>IF(ISNUMBER(expected_production[[#This Row],[Commissioned Date]]),MAX(0,(expected_production[[#This Row],[Date]]-expected_production[[#This Row],[Commissioned Date]])/365.25),"")</f>
        <v>4.3586584531143053</v>
      </c>
      <c r="F501" s="49">
        <f>IF(expected_production[[#This Row],[Age (yrs)]]="",1,(1-DegradationRate)^expected_production[[#This Row],[Age (yrs)]])</f>
        <v>0.96984608311638232</v>
      </c>
      <c r="G501" s="52">
        <f>IF(expected_production[[#This Row],[Base Expected (kWh)]]="","",expected_production[[#This Row],[Base Expected (kWh)]]*expected_production[[#This Row],[Degradation Factor]])</f>
        <v>3740.7399856536267</v>
      </c>
    </row>
    <row r="502" spans="1:7" ht="15" hidden="1" customHeight="1" x14ac:dyDescent="0.3">
      <c r="A502" t="s">
        <v>90</v>
      </c>
      <c r="B502" s="2">
        <v>46266</v>
      </c>
      <c r="C502" s="52">
        <v>3805.7049999999999</v>
      </c>
      <c r="D502" s="48">
        <f>_xlfn.XLOOKUP(expected_production[[#This Row],[Site Name]],Table1[[Site Name ]],Table1[Commisioned Date],"")</f>
        <v>44643</v>
      </c>
      <c r="E502" s="47">
        <f>IF(ISNUMBER(expected_production[[#This Row],[Commissioned Date]]),MAX(0,(expected_production[[#This Row],[Date]]-expected_production[[#This Row],[Commissioned Date]])/365.25),"")</f>
        <v>4.4435318275154003</v>
      </c>
      <c r="F502" s="49">
        <f>IF(expected_production[[#This Row],[Age (yrs)]]="",1,(1-DegradationRate)^expected_production[[#This Row],[Age (yrs)]])</f>
        <v>0.96926803052709498</v>
      </c>
      <c r="G502" s="52">
        <f>IF(expected_production[[#This Row],[Base Expected (kWh)]]="","",expected_production[[#This Row],[Base Expected (kWh)]]*expected_production[[#This Row],[Degradation Factor]])</f>
        <v>3688.7481901171182</v>
      </c>
    </row>
    <row r="503" spans="1:7" ht="15" hidden="1" customHeight="1" x14ac:dyDescent="0.3">
      <c r="A503" t="s">
        <v>90</v>
      </c>
      <c r="B503" s="2">
        <v>46296</v>
      </c>
      <c r="C503" s="52">
        <v>4238.6949999999997</v>
      </c>
      <c r="D503" s="48">
        <f>_xlfn.XLOOKUP(expected_production[[#This Row],[Site Name]],Table1[[Site Name ]],Table1[Commisioned Date],"")</f>
        <v>44643</v>
      </c>
      <c r="E503" s="47">
        <f>IF(ISNUMBER(expected_production[[#This Row],[Commissioned Date]]),MAX(0,(expected_production[[#This Row],[Date]]-expected_production[[#This Row],[Commissioned Date]])/365.25),"")</f>
        <v>4.5256673511293632</v>
      </c>
      <c r="F503" s="49">
        <f>IF(expected_production[[#This Row],[Age (yrs)]]="",1,(1-DegradationRate)^expected_production[[#This Row],[Age (yrs)]])</f>
        <v>0.9687089528397359</v>
      </c>
      <c r="G503" s="52">
        <f>IF(expected_production[[#This Row],[Base Expected (kWh)]]="","",expected_production[[#This Row],[Base Expected (kWh)]]*expected_production[[#This Row],[Degradation Factor]])</f>
        <v>4106.0617948570243</v>
      </c>
    </row>
    <row r="504" spans="1:7" ht="15" hidden="1" customHeight="1" x14ac:dyDescent="0.3">
      <c r="A504" t="s">
        <v>90</v>
      </c>
      <c r="B504" s="2">
        <v>46327</v>
      </c>
      <c r="C504" s="52">
        <v>4335.34</v>
      </c>
      <c r="D504" s="48">
        <f>_xlfn.XLOOKUP(expected_production[[#This Row],[Site Name]],Table1[[Site Name ]],Table1[Commisioned Date],"")</f>
        <v>44643</v>
      </c>
      <c r="E504" s="47">
        <f>IF(ISNUMBER(expected_production[[#This Row],[Commissioned Date]]),MAX(0,(expected_production[[#This Row],[Date]]-expected_production[[#This Row],[Commissioned Date]])/365.25),"")</f>
        <v>4.6105407255304582</v>
      </c>
      <c r="F504" s="49">
        <f>IF(expected_production[[#This Row],[Age (yrs)]]="",1,(1-DegradationRate)^expected_production[[#This Row],[Age (yrs)]])</f>
        <v>0.96813157800861271</v>
      </c>
      <c r="G504" s="52">
        <f>IF(expected_production[[#This Row],[Base Expected (kWh)]]="","",expected_production[[#This Row],[Base Expected (kWh)]]*expected_production[[#This Row],[Degradation Factor]])</f>
        <v>4197.179555403859</v>
      </c>
    </row>
    <row r="505" spans="1:7" ht="15" hidden="1" customHeight="1" x14ac:dyDescent="0.3">
      <c r="A505" t="s">
        <v>90</v>
      </c>
      <c r="B505" s="2">
        <v>46357</v>
      </c>
      <c r="C505" s="52">
        <v>5058.01</v>
      </c>
      <c r="D505" s="48">
        <f>_xlfn.XLOOKUP(expected_production[[#This Row],[Site Name]],Table1[[Site Name ]],Table1[Commisioned Date],"")</f>
        <v>44643</v>
      </c>
      <c r="E505" s="47">
        <f>IF(ISNUMBER(expected_production[[#This Row],[Commissioned Date]]),MAX(0,(expected_production[[#This Row],[Date]]-expected_production[[#This Row],[Commissioned Date]])/365.25),"")</f>
        <v>4.6926762491444221</v>
      </c>
      <c r="F505" s="49">
        <f>IF(expected_production[[#This Row],[Age (yrs)]]="",1,(1-DegradationRate)^expected_production[[#This Row],[Age (yrs)]])</f>
        <v>0.96757315583162407</v>
      </c>
      <c r="G505" s="52">
        <f>IF(expected_production[[#This Row],[Base Expected (kWh)]]="","",expected_production[[#This Row],[Base Expected (kWh)]]*expected_production[[#This Row],[Degradation Factor]])</f>
        <v>4893.994697927913</v>
      </c>
    </row>
    <row r="506" spans="1:7" ht="15" hidden="1" customHeight="1" x14ac:dyDescent="0.3">
      <c r="A506" t="s">
        <v>93</v>
      </c>
      <c r="B506" s="2">
        <v>45292</v>
      </c>
      <c r="C506" s="52">
        <v>11798.1</v>
      </c>
      <c r="D506" s="48">
        <f>_xlfn.XLOOKUP(expected_production[[#This Row],[Site Name]],Table1[[Site Name ]],Table1[Commisioned Date],"")</f>
        <v>45509</v>
      </c>
      <c r="E506" s="47">
        <f>IF(ISNUMBER(expected_production[[#This Row],[Commissioned Date]]),MAX(0,(expected_production[[#This Row],[Date]]-expected_production[[#This Row],[Commissioned Date]])/365.25),"")</f>
        <v>0</v>
      </c>
      <c r="F506" s="49">
        <f>IF(expected_production[[#This Row],[Age (yrs)]]="",1,(1-DegradationRate)^expected_production[[#This Row],[Age (yrs)]])</f>
        <v>1</v>
      </c>
      <c r="G506" s="52">
        <f>IF(expected_production[[#This Row],[Base Expected (kWh)]]="","",expected_production[[#This Row],[Base Expected (kWh)]]*expected_production[[#This Row],[Degradation Factor]])</f>
        <v>11798.1</v>
      </c>
    </row>
    <row r="507" spans="1:7" ht="15" hidden="1" customHeight="1" x14ac:dyDescent="0.3">
      <c r="A507" t="s">
        <v>93</v>
      </c>
      <c r="B507" s="2">
        <v>45323</v>
      </c>
      <c r="C507" s="52">
        <v>10269.9</v>
      </c>
      <c r="D507" s="48">
        <f>_xlfn.XLOOKUP(expected_production[[#This Row],[Site Name]],Table1[[Site Name ]],Table1[Commisioned Date],"")</f>
        <v>45509</v>
      </c>
      <c r="E507" s="47">
        <f>IF(ISNUMBER(expected_production[[#This Row],[Commissioned Date]]),MAX(0,(expected_production[[#This Row],[Date]]-expected_production[[#This Row],[Commissioned Date]])/365.25),"")</f>
        <v>0</v>
      </c>
      <c r="F507" s="49">
        <f>IF(expected_production[[#This Row],[Age (yrs)]]="",1,(1-DegradationRate)^expected_production[[#This Row],[Age (yrs)]])</f>
        <v>1</v>
      </c>
      <c r="G507" s="52">
        <f>IF(expected_production[[#This Row],[Base Expected (kWh)]]="","",expected_production[[#This Row],[Base Expected (kWh)]]*expected_production[[#This Row],[Degradation Factor]])</f>
        <v>10269.9</v>
      </c>
    </row>
    <row r="508" spans="1:7" ht="15" hidden="1" customHeight="1" x14ac:dyDescent="0.3">
      <c r="A508" t="s">
        <v>93</v>
      </c>
      <c r="B508" s="2">
        <v>45352</v>
      </c>
      <c r="C508" s="52">
        <v>10571.4</v>
      </c>
      <c r="D508" s="48">
        <f>_xlfn.XLOOKUP(expected_production[[#This Row],[Site Name]],Table1[[Site Name ]],Table1[Commisioned Date],"")</f>
        <v>45509</v>
      </c>
      <c r="E508" s="47">
        <f>IF(ISNUMBER(expected_production[[#This Row],[Commissioned Date]]),MAX(0,(expected_production[[#This Row],[Date]]-expected_production[[#This Row],[Commissioned Date]])/365.25),"")</f>
        <v>0</v>
      </c>
      <c r="F508" s="49">
        <f>IF(expected_production[[#This Row],[Age (yrs)]]="",1,(1-DegradationRate)^expected_production[[#This Row],[Age (yrs)]])</f>
        <v>1</v>
      </c>
      <c r="G508" s="52">
        <f>IF(expected_production[[#This Row],[Base Expected (kWh)]]="","",expected_production[[#This Row],[Base Expected (kWh)]]*expected_production[[#This Row],[Degradation Factor]])</f>
        <v>10571.4</v>
      </c>
    </row>
    <row r="509" spans="1:7" ht="15" hidden="1" customHeight="1" x14ac:dyDescent="0.3">
      <c r="A509" t="s">
        <v>93</v>
      </c>
      <c r="B509" s="2">
        <v>45383</v>
      </c>
      <c r="C509" s="52">
        <v>8335.7999999999993</v>
      </c>
      <c r="D509" s="48">
        <f>_xlfn.XLOOKUP(expected_production[[#This Row],[Site Name]],Table1[[Site Name ]],Table1[Commisioned Date],"")</f>
        <v>45509</v>
      </c>
      <c r="E509" s="47">
        <f>IF(ISNUMBER(expected_production[[#This Row],[Commissioned Date]]),MAX(0,(expected_production[[#This Row],[Date]]-expected_production[[#This Row],[Commissioned Date]])/365.25),"")</f>
        <v>0</v>
      </c>
      <c r="F509" s="49">
        <f>IF(expected_production[[#This Row],[Age (yrs)]]="",1,(1-DegradationRate)^expected_production[[#This Row],[Age (yrs)]])</f>
        <v>1</v>
      </c>
      <c r="G509" s="52">
        <f>IF(expected_production[[#This Row],[Base Expected (kWh)]]="","",expected_production[[#This Row],[Base Expected (kWh)]]*expected_production[[#This Row],[Degradation Factor]])</f>
        <v>8335.7999999999993</v>
      </c>
    </row>
    <row r="510" spans="1:7" ht="15" hidden="1" customHeight="1" x14ac:dyDescent="0.3">
      <c r="A510" t="s">
        <v>93</v>
      </c>
      <c r="B510" s="2">
        <v>45413</v>
      </c>
      <c r="C510" s="52">
        <v>6723.9</v>
      </c>
      <c r="D510" s="48">
        <f>_xlfn.XLOOKUP(expected_production[[#This Row],[Site Name]],Table1[[Site Name ]],Table1[Commisioned Date],"")</f>
        <v>45509</v>
      </c>
      <c r="E510" s="47">
        <f>IF(ISNUMBER(expected_production[[#This Row],[Commissioned Date]]),MAX(0,(expected_production[[#This Row],[Date]]-expected_production[[#This Row],[Commissioned Date]])/365.25),"")</f>
        <v>0</v>
      </c>
      <c r="F510" s="49">
        <f>IF(expected_production[[#This Row],[Age (yrs)]]="",1,(1-DegradationRate)^expected_production[[#This Row],[Age (yrs)]])</f>
        <v>1</v>
      </c>
      <c r="G510" s="52">
        <f>IF(expected_production[[#This Row],[Base Expected (kWh)]]="","",expected_production[[#This Row],[Base Expected (kWh)]]*expected_production[[#This Row],[Degradation Factor]])</f>
        <v>6723.9</v>
      </c>
    </row>
    <row r="511" spans="1:7" ht="15" hidden="1" customHeight="1" x14ac:dyDescent="0.3">
      <c r="A511" t="s">
        <v>93</v>
      </c>
      <c r="B511" s="2">
        <v>45444</v>
      </c>
      <c r="C511" s="52">
        <v>5859.9</v>
      </c>
      <c r="D511" s="48">
        <f>_xlfn.XLOOKUP(expected_production[[#This Row],[Site Name]],Table1[[Site Name ]],Table1[Commisioned Date],"")</f>
        <v>45509</v>
      </c>
      <c r="E511" s="47">
        <f>IF(ISNUMBER(expected_production[[#This Row],[Commissioned Date]]),MAX(0,(expected_production[[#This Row],[Date]]-expected_production[[#This Row],[Commissioned Date]])/365.25),"")</f>
        <v>0</v>
      </c>
      <c r="F511" s="49">
        <f>IF(expected_production[[#This Row],[Age (yrs)]]="",1,(1-DegradationRate)^expected_production[[#This Row],[Age (yrs)]])</f>
        <v>1</v>
      </c>
      <c r="G511" s="52">
        <f>IF(expected_production[[#This Row],[Base Expected (kWh)]]="","",expected_production[[#This Row],[Base Expected (kWh)]]*expected_production[[#This Row],[Degradation Factor]])</f>
        <v>5859.9</v>
      </c>
    </row>
    <row r="512" spans="1:7" ht="15" hidden="1" customHeight="1" x14ac:dyDescent="0.3">
      <c r="A512" t="s">
        <v>93</v>
      </c>
      <c r="B512" s="2">
        <v>45474</v>
      </c>
      <c r="C512" s="52">
        <v>6453</v>
      </c>
      <c r="D512" s="48">
        <f>_xlfn.XLOOKUP(expected_production[[#This Row],[Site Name]],Table1[[Site Name ]],Table1[Commisioned Date],"")</f>
        <v>45509</v>
      </c>
      <c r="E512" s="47">
        <f>IF(ISNUMBER(expected_production[[#This Row],[Commissioned Date]]),MAX(0,(expected_production[[#This Row],[Date]]-expected_production[[#This Row],[Commissioned Date]])/365.25),"")</f>
        <v>0</v>
      </c>
      <c r="F512" s="49">
        <f>IF(expected_production[[#This Row],[Age (yrs)]]="",1,(1-DegradationRate)^expected_production[[#This Row],[Age (yrs)]])</f>
        <v>1</v>
      </c>
      <c r="G512" s="52">
        <f>IF(expected_production[[#This Row],[Base Expected (kWh)]]="","",expected_production[[#This Row],[Base Expected (kWh)]]*expected_production[[#This Row],[Degradation Factor]])</f>
        <v>6453</v>
      </c>
    </row>
    <row r="513" spans="1:7" ht="15" hidden="1" customHeight="1" x14ac:dyDescent="0.3">
      <c r="A513" t="s">
        <v>93</v>
      </c>
      <c r="B513" s="2">
        <v>45505</v>
      </c>
      <c r="C513" s="52">
        <v>7491.6</v>
      </c>
      <c r="D513" s="48">
        <f>_xlfn.XLOOKUP(expected_production[[#This Row],[Site Name]],Table1[[Site Name ]],Table1[Commisioned Date],"")</f>
        <v>45509</v>
      </c>
      <c r="E513" s="47">
        <f>IF(ISNUMBER(expected_production[[#This Row],[Commissioned Date]]),MAX(0,(expected_production[[#This Row],[Date]]-expected_production[[#This Row],[Commissioned Date]])/365.25),"")</f>
        <v>0</v>
      </c>
      <c r="F513" s="49">
        <f>IF(expected_production[[#This Row],[Age (yrs)]]="",1,(1-DegradationRate)^expected_production[[#This Row],[Age (yrs)]])</f>
        <v>1</v>
      </c>
      <c r="G513" s="52">
        <f>IF(expected_production[[#This Row],[Base Expected (kWh)]]="","",expected_production[[#This Row],[Base Expected (kWh)]]*expected_production[[#This Row],[Degradation Factor]])</f>
        <v>7491.6</v>
      </c>
    </row>
    <row r="514" spans="1:7" ht="15" hidden="1" customHeight="1" x14ac:dyDescent="0.3">
      <c r="A514" t="s">
        <v>93</v>
      </c>
      <c r="B514" s="2">
        <v>45536</v>
      </c>
      <c r="C514" s="52">
        <v>8864.1</v>
      </c>
      <c r="D514" s="48">
        <f>_xlfn.XLOOKUP(expected_production[[#This Row],[Site Name]],Table1[[Site Name ]],Table1[Commisioned Date],"")</f>
        <v>45509</v>
      </c>
      <c r="E514" s="47">
        <f>IF(ISNUMBER(expected_production[[#This Row],[Commissioned Date]]),MAX(0,(expected_production[[#This Row],[Date]]-expected_production[[#This Row],[Commissioned Date]])/365.25),"")</f>
        <v>7.3921971252566734E-2</v>
      </c>
      <c r="F514" s="49">
        <f>IF(expected_production[[#This Row],[Age (yrs)]]="",1,(1-DegradationRate)^expected_production[[#This Row],[Age (yrs)]])</f>
        <v>0.99948086141565917</v>
      </c>
      <c r="G514" s="52">
        <f>IF(expected_production[[#This Row],[Base Expected (kWh)]]="","",expected_production[[#This Row],[Base Expected (kWh)]]*expected_production[[#This Row],[Degradation Factor]])</f>
        <v>8859.4983036745452</v>
      </c>
    </row>
    <row r="515" spans="1:7" ht="15" hidden="1" customHeight="1" x14ac:dyDescent="0.3">
      <c r="A515" t="s">
        <v>93</v>
      </c>
      <c r="B515" s="2">
        <v>45566</v>
      </c>
      <c r="C515" s="52">
        <v>10361.700000000001</v>
      </c>
      <c r="D515" s="48">
        <f>_xlfn.XLOOKUP(expected_production[[#This Row],[Site Name]],Table1[[Site Name ]],Table1[Commisioned Date],"")</f>
        <v>45509</v>
      </c>
      <c r="E515" s="47">
        <f>IF(ISNUMBER(expected_production[[#This Row],[Commissioned Date]]),MAX(0,(expected_production[[#This Row],[Date]]-expected_production[[#This Row],[Commissioned Date]])/365.25),"")</f>
        <v>0.15605749486652978</v>
      </c>
      <c r="F515" s="49">
        <f>IF(expected_production[[#This Row],[Age (yrs)]]="",1,(1-DegradationRate)^expected_production[[#This Row],[Age (yrs)]])</f>
        <v>0.99890435684627177</v>
      </c>
      <c r="G515" s="52">
        <f>IF(expected_production[[#This Row],[Base Expected (kWh)]]="","",expected_production[[#This Row],[Base Expected (kWh)]]*expected_production[[#This Row],[Degradation Factor]])</f>
        <v>10350.347274334015</v>
      </c>
    </row>
    <row r="516" spans="1:7" ht="15" hidden="1" customHeight="1" x14ac:dyDescent="0.3">
      <c r="A516" t="s">
        <v>93</v>
      </c>
      <c r="B516" s="2">
        <v>45597</v>
      </c>
      <c r="C516" s="52">
        <v>10972.8</v>
      </c>
      <c r="D516" s="48">
        <f>_xlfn.XLOOKUP(expected_production[[#This Row],[Site Name]],Table1[[Site Name ]],Table1[Commisioned Date],"")</f>
        <v>45509</v>
      </c>
      <c r="E516" s="47">
        <f>IF(ISNUMBER(expected_production[[#This Row],[Commissioned Date]]),MAX(0,(expected_production[[#This Row],[Date]]-expected_production[[#This Row],[Commissioned Date]])/365.25),"")</f>
        <v>0.24093086926762491</v>
      </c>
      <c r="F516" s="49">
        <f>IF(expected_production[[#This Row],[Age (yrs)]]="",1,(1-DegradationRate)^expected_production[[#This Row],[Age (yrs)]])</f>
        <v>0.99830898479705965</v>
      </c>
      <c r="G516" s="52">
        <f>IF(expected_production[[#This Row],[Base Expected (kWh)]]="","",expected_production[[#This Row],[Base Expected (kWh)]]*expected_production[[#This Row],[Degradation Factor]])</f>
        <v>10954.244828381175</v>
      </c>
    </row>
    <row r="517" spans="1:7" ht="15" hidden="1" customHeight="1" x14ac:dyDescent="0.3">
      <c r="A517" t="s">
        <v>93</v>
      </c>
      <c r="B517" s="2">
        <v>45627</v>
      </c>
      <c r="C517" s="52">
        <v>11630.7</v>
      </c>
      <c r="D517" s="48">
        <f>_xlfn.XLOOKUP(expected_production[[#This Row],[Site Name]],Table1[[Site Name ]],Table1[Commisioned Date],"")</f>
        <v>45509</v>
      </c>
      <c r="E517" s="47">
        <f>IF(ISNUMBER(expected_production[[#This Row],[Commissioned Date]]),MAX(0,(expected_production[[#This Row],[Date]]-expected_production[[#This Row],[Commissioned Date]])/365.25),"")</f>
        <v>0.32306639288158795</v>
      </c>
      <c r="F517" s="49">
        <f>IF(expected_production[[#This Row],[Age (yrs)]]="",1,(1-DegradationRate)^expected_production[[#This Row],[Age (yrs)]])</f>
        <v>0.99773315617080582</v>
      </c>
      <c r="G517" s="52">
        <f>IF(expected_production[[#This Row],[Base Expected (kWh)]]="","",expected_production[[#This Row],[Base Expected (kWh)]]*expected_production[[#This Row],[Degradation Factor]])</f>
        <v>11604.335019475791</v>
      </c>
    </row>
    <row r="518" spans="1:7" ht="15" hidden="1" customHeight="1" x14ac:dyDescent="0.3">
      <c r="A518" t="s">
        <v>93</v>
      </c>
      <c r="B518" s="2">
        <v>45658</v>
      </c>
      <c r="C518" s="52">
        <v>11798.1</v>
      </c>
      <c r="D518" s="48">
        <f>_xlfn.XLOOKUP(expected_production[[#This Row],[Site Name]],Table1[[Site Name ]],Table1[Commisioned Date],"")</f>
        <v>45509</v>
      </c>
      <c r="E518" s="47">
        <f>IF(ISNUMBER(expected_production[[#This Row],[Commissioned Date]]),MAX(0,(expected_production[[#This Row],[Date]]-expected_production[[#This Row],[Commissioned Date]])/365.25),"")</f>
        <v>0.40793976728268311</v>
      </c>
      <c r="F518" s="49">
        <f>IF(expected_production[[#This Row],[Age (yrs)]]="",1,(1-DegradationRate)^expected_production[[#This Row],[Age (yrs)]])</f>
        <v>0.99713848218657009</v>
      </c>
      <c r="G518" s="52">
        <f>IF(expected_production[[#This Row],[Base Expected (kWh)]]="","",expected_production[[#This Row],[Base Expected (kWh)]]*expected_production[[#This Row],[Degradation Factor]])</f>
        <v>11764.339526685373</v>
      </c>
    </row>
    <row r="519" spans="1:7" ht="15" hidden="1" customHeight="1" x14ac:dyDescent="0.3">
      <c r="A519" t="s">
        <v>93</v>
      </c>
      <c r="B519" s="2">
        <v>45689</v>
      </c>
      <c r="C519" s="52">
        <v>10269.9</v>
      </c>
      <c r="D519" s="48">
        <f>_xlfn.XLOOKUP(expected_production[[#This Row],[Site Name]],Table1[[Site Name ]],Table1[Commisioned Date],"")</f>
        <v>45509</v>
      </c>
      <c r="E519" s="47">
        <f>IF(ISNUMBER(expected_production[[#This Row],[Commissioned Date]]),MAX(0,(expected_production[[#This Row],[Date]]-expected_production[[#This Row],[Commissioned Date]])/365.25),"")</f>
        <v>0.49281314168377821</v>
      </c>
      <c r="F519" s="49">
        <f>IF(expected_production[[#This Row],[Age (yrs)]]="",1,(1-DegradationRate)^expected_production[[#This Row],[Age (yrs)]])</f>
        <v>0.99654416264294332</v>
      </c>
      <c r="G519" s="52">
        <f>IF(expected_production[[#This Row],[Base Expected (kWh)]]="","",expected_production[[#This Row],[Base Expected (kWh)]]*expected_production[[#This Row],[Degradation Factor]])</f>
        <v>10234.408895926763</v>
      </c>
    </row>
    <row r="520" spans="1:7" ht="15" hidden="1" customHeight="1" x14ac:dyDescent="0.3">
      <c r="A520" t="s">
        <v>93</v>
      </c>
      <c r="B520" s="2">
        <v>45717</v>
      </c>
      <c r="C520" s="52">
        <v>10571.4</v>
      </c>
      <c r="D520" s="48">
        <f>_xlfn.XLOOKUP(expected_production[[#This Row],[Site Name]],Table1[[Site Name ]],Table1[Commisioned Date],"")</f>
        <v>45509</v>
      </c>
      <c r="E520" s="47">
        <f>IF(ISNUMBER(expected_production[[#This Row],[Commissioned Date]]),MAX(0,(expected_production[[#This Row],[Date]]-expected_production[[#This Row],[Commissioned Date]])/365.25),"")</f>
        <v>0.56947296372347711</v>
      </c>
      <c r="F520" s="49">
        <f>IF(expected_production[[#This Row],[Age (yrs)]]="",1,(1-DegradationRate)^expected_production[[#This Row],[Age (yrs)]])</f>
        <v>0.99600766236740168</v>
      </c>
      <c r="G520" s="52">
        <f>IF(expected_production[[#This Row],[Base Expected (kWh)]]="","",expected_production[[#This Row],[Base Expected (kWh)]]*expected_production[[#This Row],[Degradation Factor]])</f>
        <v>10529.19540195075</v>
      </c>
    </row>
    <row r="521" spans="1:7" ht="15" hidden="1" customHeight="1" x14ac:dyDescent="0.3">
      <c r="A521" t="s">
        <v>93</v>
      </c>
      <c r="B521" s="2">
        <v>45748</v>
      </c>
      <c r="C521" s="52">
        <v>8335.7999999999993</v>
      </c>
      <c r="D521" s="48">
        <f>_xlfn.XLOOKUP(expected_production[[#This Row],[Site Name]],Table1[[Site Name ]],Table1[Commisioned Date],"")</f>
        <v>45509</v>
      </c>
      <c r="E521" s="47">
        <f>IF(ISNUMBER(expected_production[[#This Row],[Commissioned Date]]),MAX(0,(expected_production[[#This Row],[Date]]-expected_production[[#This Row],[Commissioned Date]])/365.25),"")</f>
        <v>0.65434633812457221</v>
      </c>
      <c r="F521" s="49">
        <f>IF(expected_production[[#This Row],[Age (yrs)]]="",1,(1-DegradationRate)^expected_production[[#This Row],[Age (yrs)]])</f>
        <v>0.99541401682074815</v>
      </c>
      <c r="G521" s="52">
        <f>IF(expected_production[[#This Row],[Base Expected (kWh)]]="","",expected_production[[#This Row],[Base Expected (kWh)]]*expected_production[[#This Row],[Degradation Factor]])</f>
        <v>8297.5721614143913</v>
      </c>
    </row>
    <row r="522" spans="1:7" ht="15" hidden="1" customHeight="1" x14ac:dyDescent="0.3">
      <c r="A522" t="s">
        <v>93</v>
      </c>
      <c r="B522" s="2">
        <v>45778</v>
      </c>
      <c r="C522" s="52">
        <v>6723.9</v>
      </c>
      <c r="D522" s="48">
        <f>_xlfn.XLOOKUP(expected_production[[#This Row],[Site Name]],Table1[[Site Name ]],Table1[Commisioned Date],"")</f>
        <v>45509</v>
      </c>
      <c r="E522" s="47">
        <f>IF(ISNUMBER(expected_production[[#This Row],[Commissioned Date]]),MAX(0,(expected_production[[#This Row],[Date]]-expected_production[[#This Row],[Commissioned Date]])/365.25),"")</f>
        <v>0.73648186173853525</v>
      </c>
      <c r="F522" s="49">
        <f>IF(expected_production[[#This Row],[Age (yrs)]]="",1,(1-DegradationRate)^expected_production[[#This Row],[Age (yrs)]])</f>
        <v>0.99483985802363351</v>
      </c>
      <c r="G522" s="52">
        <f>IF(expected_production[[#This Row],[Base Expected (kWh)]]="","",expected_production[[#This Row],[Base Expected (kWh)]]*expected_production[[#This Row],[Degradation Factor]])</f>
        <v>6689.2037213651092</v>
      </c>
    </row>
    <row r="523" spans="1:7" ht="15" hidden="1" customHeight="1" x14ac:dyDescent="0.3">
      <c r="A523" t="s">
        <v>93</v>
      </c>
      <c r="B523" s="2">
        <v>45809</v>
      </c>
      <c r="C523" s="52">
        <v>5859.9</v>
      </c>
      <c r="D523" s="48">
        <f>_xlfn.XLOOKUP(expected_production[[#This Row],[Site Name]],Table1[[Site Name ]],Table1[Commisioned Date],"")</f>
        <v>45509</v>
      </c>
      <c r="E523" s="47">
        <f>IF(ISNUMBER(expected_production[[#This Row],[Commissioned Date]]),MAX(0,(expected_production[[#This Row],[Date]]-expected_production[[#This Row],[Commissioned Date]])/365.25),"")</f>
        <v>0.82135523613963035</v>
      </c>
      <c r="F523" s="49">
        <f>IF(expected_production[[#This Row],[Age (yrs)]]="",1,(1-DegradationRate)^expected_production[[#This Row],[Age (yrs)]])</f>
        <v>0.9942469085176574</v>
      </c>
      <c r="G523" s="52">
        <f>IF(expected_production[[#This Row],[Base Expected (kWh)]]="","",expected_production[[#This Row],[Base Expected (kWh)]]*expected_production[[#This Row],[Degradation Factor]])</f>
        <v>5826.1874592226204</v>
      </c>
    </row>
    <row r="524" spans="1:7" ht="15" hidden="1" customHeight="1" x14ac:dyDescent="0.3">
      <c r="A524" t="s">
        <v>93</v>
      </c>
      <c r="B524" s="2">
        <v>45839</v>
      </c>
      <c r="C524" s="52">
        <v>6453</v>
      </c>
      <c r="D524" s="48">
        <f>_xlfn.XLOOKUP(expected_production[[#This Row],[Site Name]],Table1[[Site Name ]],Table1[Commisioned Date],"")</f>
        <v>45509</v>
      </c>
      <c r="E524" s="47">
        <f>IF(ISNUMBER(expected_production[[#This Row],[Commissioned Date]]),MAX(0,(expected_production[[#This Row],[Date]]-expected_production[[#This Row],[Commissioned Date]])/365.25),"")</f>
        <v>0.90349075975359339</v>
      </c>
      <c r="F524" s="49">
        <f>IF(expected_production[[#This Row],[Age (yrs)]]="",1,(1-DegradationRate)^expected_production[[#This Row],[Age (yrs)]])</f>
        <v>0.99367342291329286</v>
      </c>
      <c r="G524" s="52">
        <f>IF(expected_production[[#This Row],[Base Expected (kWh)]]="","",expected_production[[#This Row],[Base Expected (kWh)]]*expected_production[[#This Row],[Degradation Factor]])</f>
        <v>6412.1745980594787</v>
      </c>
    </row>
    <row r="525" spans="1:7" ht="15" hidden="1" customHeight="1" x14ac:dyDescent="0.3">
      <c r="A525" t="s">
        <v>93</v>
      </c>
      <c r="B525" s="2">
        <v>45870</v>
      </c>
      <c r="C525" s="52">
        <v>7491.6</v>
      </c>
      <c r="D525" s="48">
        <f>_xlfn.XLOOKUP(expected_production[[#This Row],[Site Name]],Table1[[Site Name ]],Table1[Commisioned Date],"")</f>
        <v>45509</v>
      </c>
      <c r="E525" s="47">
        <f>IF(ISNUMBER(expected_production[[#This Row],[Commissioned Date]]),MAX(0,(expected_production[[#This Row],[Date]]-expected_production[[#This Row],[Commissioned Date]])/365.25),"")</f>
        <v>0.9883641341546886</v>
      </c>
      <c r="F525" s="49">
        <f>IF(expected_production[[#This Row],[Age (yrs)]]="",1,(1-DegradationRate)^expected_production[[#This Row],[Age (yrs)]])</f>
        <v>0.99308116863189677</v>
      </c>
      <c r="G525" s="52">
        <f>IF(expected_production[[#This Row],[Base Expected (kWh)]]="","",expected_production[[#This Row],[Base Expected (kWh)]]*expected_production[[#This Row],[Degradation Factor]])</f>
        <v>7439.7668829227187</v>
      </c>
    </row>
    <row r="526" spans="1:7" ht="15" hidden="1" customHeight="1" x14ac:dyDescent="0.3">
      <c r="A526" t="s">
        <v>93</v>
      </c>
      <c r="B526" s="2">
        <v>45901</v>
      </c>
      <c r="C526" s="52">
        <v>8864.1</v>
      </c>
      <c r="D526" s="48">
        <f>_xlfn.XLOOKUP(expected_production[[#This Row],[Site Name]],Table1[[Site Name ]],Table1[Commisioned Date],"")</f>
        <v>45509</v>
      </c>
      <c r="E526" s="47">
        <f>IF(ISNUMBER(expected_production[[#This Row],[Commissioned Date]]),MAX(0,(expected_production[[#This Row],[Date]]-expected_production[[#This Row],[Commissioned Date]])/365.25),"")</f>
        <v>1.0732375085557837</v>
      </c>
      <c r="F526" s="49">
        <f>IF(expected_production[[#This Row],[Age (yrs)]]="",1,(1-DegradationRate)^expected_production[[#This Row],[Age (yrs)]])</f>
        <v>0.99248926734890608</v>
      </c>
      <c r="G526" s="52">
        <f>IF(expected_production[[#This Row],[Base Expected (kWh)]]="","",expected_production[[#This Row],[Base Expected (kWh)]]*expected_production[[#This Row],[Degradation Factor]])</f>
        <v>8797.5241147074394</v>
      </c>
    </row>
    <row r="527" spans="1:7" ht="15" hidden="1" customHeight="1" x14ac:dyDescent="0.3">
      <c r="A527" t="s">
        <v>93</v>
      </c>
      <c r="B527" s="2">
        <v>45931</v>
      </c>
      <c r="C527" s="52">
        <v>10361.700000000001</v>
      </c>
      <c r="D527" s="48">
        <f>_xlfn.XLOOKUP(expected_production[[#This Row],[Site Name]],Table1[[Site Name ]],Table1[Commisioned Date],"")</f>
        <v>45509</v>
      </c>
      <c r="E527" s="47">
        <f>IF(ISNUMBER(expected_production[[#This Row],[Commissioned Date]]),MAX(0,(expected_production[[#This Row],[Date]]-expected_production[[#This Row],[Commissioned Date]])/365.25),"")</f>
        <v>1.1553730321697468</v>
      </c>
      <c r="F527" s="49">
        <f>IF(expected_production[[#This Row],[Age (yrs)]]="",1,(1-DegradationRate)^expected_production[[#This Row],[Age (yrs)]])</f>
        <v>0.9919167955590168</v>
      </c>
      <c r="G527" s="52">
        <f>IF(expected_production[[#This Row],[Base Expected (kWh)]]="","",expected_production[[#This Row],[Base Expected (kWh)]]*expected_production[[#This Row],[Degradation Factor]])</f>
        <v>10277.944260543865</v>
      </c>
    </row>
    <row r="528" spans="1:7" ht="15" hidden="1" customHeight="1" x14ac:dyDescent="0.3">
      <c r="A528" t="s">
        <v>93</v>
      </c>
      <c r="B528" s="2">
        <v>45962</v>
      </c>
      <c r="C528" s="52">
        <v>10972.8</v>
      </c>
      <c r="D528" s="48">
        <f>_xlfn.XLOOKUP(expected_production[[#This Row],[Site Name]],Table1[[Site Name ]],Table1[Commisioned Date],"")</f>
        <v>45509</v>
      </c>
      <c r="E528" s="47">
        <f>IF(ISNUMBER(expected_production[[#This Row],[Commissioned Date]]),MAX(0,(expected_production[[#This Row],[Date]]-expected_production[[#This Row],[Commissioned Date]])/365.25),"")</f>
        <v>1.2402464065708418</v>
      </c>
      <c r="F528" s="49">
        <f>IF(expected_production[[#This Row],[Age (yrs)]]="",1,(1-DegradationRate)^expected_production[[#This Row],[Age (yrs)]])</f>
        <v>0.99132558827158002</v>
      </c>
      <c r="G528" s="52">
        <f>IF(expected_production[[#This Row],[Base Expected (kWh)]]="","",expected_production[[#This Row],[Base Expected (kWh)]]*expected_production[[#This Row],[Degradation Factor]])</f>
        <v>10877.617414986393</v>
      </c>
    </row>
    <row r="529" spans="1:7" ht="15" hidden="1" customHeight="1" x14ac:dyDescent="0.3">
      <c r="A529" t="s">
        <v>93</v>
      </c>
      <c r="B529" s="2">
        <v>45992</v>
      </c>
      <c r="C529" s="52">
        <v>11630.7</v>
      </c>
      <c r="D529" s="48">
        <f>_xlfn.XLOOKUP(expected_production[[#This Row],[Site Name]],Table1[[Site Name ]],Table1[Commisioned Date],"")</f>
        <v>45509</v>
      </c>
      <c r="E529" s="47">
        <f>IF(ISNUMBER(expected_production[[#This Row],[Commissioned Date]]),MAX(0,(expected_production[[#This Row],[Date]]-expected_production[[#This Row],[Commissioned Date]])/365.25),"")</f>
        <v>1.322381930184805</v>
      </c>
      <c r="F529" s="49">
        <f>IF(expected_production[[#This Row],[Age (yrs)]]="",1,(1-DegradationRate)^expected_production[[#This Row],[Age (yrs)]])</f>
        <v>0.99075378769644973</v>
      </c>
      <c r="G529" s="52">
        <f>IF(expected_production[[#This Row],[Base Expected (kWh)]]="","",expected_production[[#This Row],[Base Expected (kWh)]]*expected_production[[#This Row],[Degradation Factor]])</f>
        <v>11523.160078561099</v>
      </c>
    </row>
    <row r="530" spans="1:7" ht="15" hidden="1" customHeight="1" x14ac:dyDescent="0.3">
      <c r="A530" t="s">
        <v>93</v>
      </c>
      <c r="B530" s="2">
        <v>46023</v>
      </c>
      <c r="C530" s="52">
        <v>11798.1</v>
      </c>
      <c r="D530" s="48">
        <f>_xlfn.XLOOKUP(expected_production[[#This Row],[Site Name]],Table1[[Site Name ]],Table1[Commisioned Date],"")</f>
        <v>45509</v>
      </c>
      <c r="E530" s="47">
        <f>IF(ISNUMBER(expected_production[[#This Row],[Commissioned Date]]),MAX(0,(expected_production[[#This Row],[Date]]-expected_production[[#This Row],[Commissioned Date]])/365.25),"")</f>
        <v>1.4072553045859</v>
      </c>
      <c r="F530" s="49">
        <f>IF(expected_production[[#This Row],[Age (yrs)]]="",1,(1-DegradationRate)^expected_production[[#This Row],[Age (yrs)]])</f>
        <v>0.99016327359086731</v>
      </c>
      <c r="G530" s="52">
        <f>IF(expected_production[[#This Row],[Base Expected (kWh)]]="","",expected_production[[#This Row],[Base Expected (kWh)]]*expected_production[[#This Row],[Degradation Factor]])</f>
        <v>11682.045318152412</v>
      </c>
    </row>
    <row r="531" spans="1:7" ht="15" hidden="1" customHeight="1" x14ac:dyDescent="0.3">
      <c r="A531" t="s">
        <v>93</v>
      </c>
      <c r="B531" s="2">
        <v>46054</v>
      </c>
      <c r="C531" s="52">
        <v>10269.9</v>
      </c>
      <c r="D531" s="48">
        <f>_xlfn.XLOOKUP(expected_production[[#This Row],[Site Name]],Table1[[Site Name ]],Table1[Commisioned Date],"")</f>
        <v>45509</v>
      </c>
      <c r="E531" s="47">
        <f>IF(ISNUMBER(expected_production[[#This Row],[Commissioned Date]]),MAX(0,(expected_production[[#This Row],[Date]]-expected_production[[#This Row],[Commissioned Date]])/365.25),"")</f>
        <v>1.4921286789869952</v>
      </c>
      <c r="F531" s="49">
        <f>IF(expected_production[[#This Row],[Age (yrs)]]="",1,(1-DegradationRate)^expected_production[[#This Row],[Age (yrs)]])</f>
        <v>0.98957311144650184</v>
      </c>
      <c r="G531" s="52">
        <f>IF(expected_production[[#This Row],[Base Expected (kWh)]]="","",expected_production[[#This Row],[Base Expected (kWh)]]*expected_production[[#This Row],[Degradation Factor]])</f>
        <v>10162.816897244429</v>
      </c>
    </row>
    <row r="532" spans="1:7" ht="15" hidden="1" customHeight="1" x14ac:dyDescent="0.3">
      <c r="A532" t="s">
        <v>93</v>
      </c>
      <c r="B532" s="2">
        <v>46082</v>
      </c>
      <c r="C532" s="52">
        <v>10571.4</v>
      </c>
      <c r="D532" s="48">
        <f>_xlfn.XLOOKUP(expected_production[[#This Row],[Site Name]],Table1[[Site Name ]],Table1[Commisioned Date],"")</f>
        <v>45509</v>
      </c>
      <c r="E532" s="47">
        <f>IF(ISNUMBER(expected_production[[#This Row],[Commissioned Date]]),MAX(0,(expected_production[[#This Row],[Date]]-expected_production[[#This Row],[Commissioned Date]])/365.25),"")</f>
        <v>1.568788501026694</v>
      </c>
      <c r="F532" s="49">
        <f>IF(expected_production[[#This Row],[Age (yrs)]]="",1,(1-DegradationRate)^expected_production[[#This Row],[Age (yrs)]])</f>
        <v>0.98904036411139973</v>
      </c>
      <c r="G532" s="52">
        <f>IF(expected_production[[#This Row],[Base Expected (kWh)]]="","",expected_production[[#This Row],[Base Expected (kWh)]]*expected_production[[#This Row],[Degradation Factor]])</f>
        <v>10455.541305167251</v>
      </c>
    </row>
    <row r="533" spans="1:7" ht="15" hidden="1" customHeight="1" x14ac:dyDescent="0.3">
      <c r="A533" t="s">
        <v>93</v>
      </c>
      <c r="B533" s="2">
        <v>46113</v>
      </c>
      <c r="C533" s="52">
        <v>8335.7999999999993</v>
      </c>
      <c r="D533" s="48">
        <f>_xlfn.XLOOKUP(expected_production[[#This Row],[Site Name]],Table1[[Site Name ]],Table1[Commisioned Date],"")</f>
        <v>45509</v>
      </c>
      <c r="E533" s="47">
        <f>IF(ISNUMBER(expected_production[[#This Row],[Commissioned Date]]),MAX(0,(expected_production[[#This Row],[Date]]-expected_production[[#This Row],[Commissioned Date]])/365.25),"")</f>
        <v>1.6536618754277892</v>
      </c>
      <c r="F533" s="49">
        <f>IF(expected_production[[#This Row],[Age (yrs)]]="",1,(1-DegradationRate)^expected_production[[#This Row],[Age (yrs)]])</f>
        <v>0.98845087124924669</v>
      </c>
      <c r="G533" s="52">
        <f>IF(expected_production[[#This Row],[Base Expected (kWh)]]="","",expected_production[[#This Row],[Base Expected (kWh)]]*expected_production[[#This Row],[Degradation Factor]])</f>
        <v>8239.5287725594699</v>
      </c>
    </row>
    <row r="534" spans="1:7" ht="15" hidden="1" customHeight="1" x14ac:dyDescent="0.3">
      <c r="A534" t="s">
        <v>93</v>
      </c>
      <c r="B534" s="2">
        <v>46143</v>
      </c>
      <c r="C534" s="52">
        <v>6723.9</v>
      </c>
      <c r="D534" s="48">
        <f>_xlfn.XLOOKUP(expected_production[[#This Row],[Site Name]],Table1[[Site Name ]],Table1[Commisioned Date],"")</f>
        <v>45509</v>
      </c>
      <c r="E534" s="47">
        <f>IF(ISNUMBER(expected_production[[#This Row],[Commissioned Date]]),MAX(0,(expected_production[[#This Row],[Date]]-expected_production[[#This Row],[Commissioned Date]])/365.25),"")</f>
        <v>1.7357973990417521</v>
      </c>
      <c r="F534" s="49">
        <f>IF(expected_production[[#This Row],[Age (yrs)]]="",1,(1-DegradationRate)^expected_production[[#This Row],[Age (yrs)]])</f>
        <v>0.98788072882242417</v>
      </c>
      <c r="G534" s="52">
        <f>IF(expected_production[[#This Row],[Base Expected (kWh)]]="","",expected_production[[#This Row],[Base Expected (kWh)]]*expected_production[[#This Row],[Degradation Factor]])</f>
        <v>6642.4112325290971</v>
      </c>
    </row>
    <row r="535" spans="1:7" ht="15" hidden="1" customHeight="1" x14ac:dyDescent="0.3">
      <c r="A535" t="s">
        <v>93</v>
      </c>
      <c r="B535" s="2">
        <v>46174</v>
      </c>
      <c r="C535" s="52">
        <v>5859.9</v>
      </c>
      <c r="D535" s="48">
        <f>_xlfn.XLOOKUP(expected_production[[#This Row],[Site Name]],Table1[[Site Name ]],Table1[Commisioned Date],"")</f>
        <v>45509</v>
      </c>
      <c r="E535" s="47">
        <f>IF(ISNUMBER(expected_production[[#This Row],[Commissioned Date]]),MAX(0,(expected_production[[#This Row],[Date]]-expected_production[[#This Row],[Commissioned Date]])/365.25),"")</f>
        <v>1.8206707734428473</v>
      </c>
      <c r="F535" s="49">
        <f>IF(expected_production[[#This Row],[Age (yrs)]]="",1,(1-DegradationRate)^expected_production[[#This Row],[Age (yrs)]])</f>
        <v>0.98729192713198699</v>
      </c>
      <c r="G535" s="52">
        <f>IF(expected_production[[#This Row],[Base Expected (kWh)]]="","",expected_production[[#This Row],[Base Expected (kWh)]]*expected_production[[#This Row],[Degradation Factor]])</f>
        <v>5785.43196380073</v>
      </c>
    </row>
    <row r="536" spans="1:7" ht="15" hidden="1" customHeight="1" x14ac:dyDescent="0.3">
      <c r="A536" t="s">
        <v>93</v>
      </c>
      <c r="B536" s="2">
        <v>46204</v>
      </c>
      <c r="C536" s="52">
        <v>6453</v>
      </c>
      <c r="D536" s="48">
        <f>_xlfn.XLOOKUP(expected_production[[#This Row],[Site Name]],Table1[[Site Name ]],Table1[Commisioned Date],"")</f>
        <v>45509</v>
      </c>
      <c r="E536" s="47">
        <f>IF(ISNUMBER(expected_production[[#This Row],[Commissioned Date]]),MAX(0,(expected_production[[#This Row],[Date]]-expected_production[[#This Row],[Commissioned Date]])/365.25),"")</f>
        <v>1.9028062970568105</v>
      </c>
      <c r="F536" s="49">
        <f>IF(expected_production[[#This Row],[Age (yrs)]]="",1,(1-DegradationRate)^expected_production[[#This Row],[Age (yrs)]])</f>
        <v>0.98672245318877938</v>
      </c>
      <c r="G536" s="52">
        <f>IF(expected_production[[#This Row],[Base Expected (kWh)]]="","",expected_production[[#This Row],[Base Expected (kWh)]]*expected_production[[#This Row],[Degradation Factor]])</f>
        <v>6367.3199904271933</v>
      </c>
    </row>
    <row r="537" spans="1:7" ht="15" hidden="1" customHeight="1" x14ac:dyDescent="0.3">
      <c r="A537" t="s">
        <v>93</v>
      </c>
      <c r="B537" s="2">
        <v>46235</v>
      </c>
      <c r="C537" s="52">
        <v>7491.6</v>
      </c>
      <c r="D537" s="48">
        <f>_xlfn.XLOOKUP(expected_production[[#This Row],[Site Name]],Table1[[Site Name ]],Table1[Commisioned Date],"")</f>
        <v>45509</v>
      </c>
      <c r="E537" s="47">
        <f>IF(ISNUMBER(expected_production[[#This Row],[Commissioned Date]]),MAX(0,(expected_production[[#This Row],[Date]]-expected_production[[#This Row],[Commissioned Date]])/365.25),"")</f>
        <v>1.9876796714579055</v>
      </c>
      <c r="F537" s="49">
        <f>IF(expected_production[[#This Row],[Age (yrs)]]="",1,(1-DegradationRate)^expected_production[[#This Row],[Age (yrs)]])</f>
        <v>0.98613434185966942</v>
      </c>
      <c r="G537" s="52">
        <f>IF(expected_production[[#This Row],[Base Expected (kWh)]]="","",expected_production[[#This Row],[Base Expected (kWh)]]*expected_production[[#This Row],[Degradation Factor]])</f>
        <v>7387.7240354758997</v>
      </c>
    </row>
    <row r="538" spans="1:7" ht="15" hidden="1" customHeight="1" x14ac:dyDescent="0.3">
      <c r="A538" t="s">
        <v>93</v>
      </c>
      <c r="B538" s="2">
        <v>46266</v>
      </c>
      <c r="C538" s="52">
        <v>8864.1</v>
      </c>
      <c r="D538" s="48">
        <f>_xlfn.XLOOKUP(expected_production[[#This Row],[Site Name]],Table1[[Site Name ]],Table1[Commisioned Date],"")</f>
        <v>45509</v>
      </c>
      <c r="E538" s="47">
        <f>IF(ISNUMBER(expected_production[[#This Row],[Commissioned Date]]),MAX(0,(expected_production[[#This Row],[Date]]-expected_production[[#This Row],[Commissioned Date]])/365.25),"")</f>
        <v>2.0725530458590007</v>
      </c>
      <c r="F538" s="49">
        <f>IF(expected_production[[#This Row],[Age (yrs)]]="",1,(1-DegradationRate)^expected_production[[#This Row],[Age (yrs)]])</f>
        <v>0.98554658105966153</v>
      </c>
      <c r="G538" s="52">
        <f>IF(expected_production[[#This Row],[Base Expected (kWh)]]="","",expected_production[[#This Row],[Base Expected (kWh)]]*expected_production[[#This Row],[Degradation Factor]])</f>
        <v>8735.9834491709462</v>
      </c>
    </row>
    <row r="539" spans="1:7" ht="15" hidden="1" customHeight="1" x14ac:dyDescent="0.3">
      <c r="A539" t="s">
        <v>93</v>
      </c>
      <c r="B539" s="2">
        <v>46296</v>
      </c>
      <c r="C539" s="52">
        <v>10361.700000000001</v>
      </c>
      <c r="D539" s="48">
        <f>_xlfn.XLOOKUP(expected_production[[#This Row],[Site Name]],Table1[[Site Name ]],Table1[Commisioned Date],"")</f>
        <v>45509</v>
      </c>
      <c r="E539" s="47">
        <f>IF(ISNUMBER(expected_production[[#This Row],[Commissioned Date]]),MAX(0,(expected_production[[#This Row],[Date]]-expected_production[[#This Row],[Commissioned Date]])/365.25),"")</f>
        <v>2.1546885694729636</v>
      </c>
      <c r="F539" s="49">
        <f>IF(expected_production[[#This Row],[Age (yrs)]]="",1,(1-DegradationRate)^expected_production[[#This Row],[Age (yrs)]])</f>
        <v>0.9849781138390683</v>
      </c>
      <c r="G539" s="52">
        <f>IF(expected_production[[#This Row],[Base Expected (kWh)]]="","",expected_production[[#This Row],[Base Expected (kWh)]]*expected_production[[#This Row],[Degradation Factor]])</f>
        <v>10206.047722166275</v>
      </c>
    </row>
    <row r="540" spans="1:7" ht="15" hidden="1" customHeight="1" x14ac:dyDescent="0.3">
      <c r="A540" t="s">
        <v>93</v>
      </c>
      <c r="B540" s="2">
        <v>46327</v>
      </c>
      <c r="C540" s="52">
        <v>10972.8</v>
      </c>
      <c r="D540" s="48">
        <f>_xlfn.XLOOKUP(expected_production[[#This Row],[Site Name]],Table1[[Site Name ]],Table1[Commisioned Date],"")</f>
        <v>45509</v>
      </c>
      <c r="E540" s="47">
        <f>IF(ISNUMBER(expected_production[[#This Row],[Commissioned Date]]),MAX(0,(expected_production[[#This Row],[Date]]-expected_production[[#This Row],[Commissioned Date]])/365.25),"")</f>
        <v>2.239561943874059</v>
      </c>
      <c r="F540" s="49">
        <f>IF(expected_production[[#This Row],[Age (yrs)]]="",1,(1-DegradationRate)^expected_production[[#This Row],[Age (yrs)]])</f>
        <v>0.98439104217995888</v>
      </c>
      <c r="G540" s="52">
        <f>IF(expected_production[[#This Row],[Base Expected (kWh)]]="","",expected_production[[#This Row],[Base Expected (kWh)]]*expected_production[[#This Row],[Degradation Factor]])</f>
        <v>10801.526027632251</v>
      </c>
    </row>
    <row r="541" spans="1:7" ht="15" hidden="1" customHeight="1" x14ac:dyDescent="0.3">
      <c r="A541" t="s">
        <v>93</v>
      </c>
      <c r="B541" s="2">
        <v>46357</v>
      </c>
      <c r="C541" s="52">
        <v>11630.7</v>
      </c>
      <c r="D541" s="48">
        <f>_xlfn.XLOOKUP(expected_production[[#This Row],[Site Name]],Table1[[Site Name ]],Table1[Commisioned Date],"")</f>
        <v>45509</v>
      </c>
      <c r="E541" s="47">
        <f>IF(ISNUMBER(expected_production[[#This Row],[Commissioned Date]]),MAX(0,(expected_production[[#This Row],[Date]]-expected_production[[#This Row],[Commissioned Date]])/365.25),"")</f>
        <v>2.321697467488022</v>
      </c>
      <c r="F541" s="49">
        <f>IF(expected_production[[#This Row],[Age (yrs)]]="",1,(1-DegradationRate)^expected_production[[#This Row],[Age (yrs)]])</f>
        <v>0.98382324147882594</v>
      </c>
      <c r="G541" s="52">
        <f>IF(expected_production[[#This Row],[Base Expected (kWh)]]="","",expected_production[[#This Row],[Base Expected (kWh)]]*expected_production[[#This Row],[Degradation Factor]])</f>
        <v>11442.552974667782</v>
      </c>
    </row>
    <row r="542" spans="1:7" ht="15" hidden="1" customHeight="1" x14ac:dyDescent="0.3">
      <c r="A542" t="s">
        <v>95</v>
      </c>
      <c r="B542" s="2">
        <v>45292</v>
      </c>
      <c r="C542" s="52">
        <v>33516</v>
      </c>
      <c r="D542" s="48">
        <f>_xlfn.XLOOKUP(expected_production[[#This Row],[Site Name]],Table1[[Site Name ]],Table1[Commisioned Date],"")</f>
        <v>45460</v>
      </c>
      <c r="E542" s="47">
        <f>IF(ISNUMBER(expected_production[[#This Row],[Commissioned Date]]),MAX(0,(expected_production[[#This Row],[Date]]-expected_production[[#This Row],[Commissioned Date]])/365.25),"")</f>
        <v>0</v>
      </c>
      <c r="F542" s="49">
        <f>IF(expected_production[[#This Row],[Age (yrs)]]="",1,(1-DegradationRate)^expected_production[[#This Row],[Age (yrs)]])</f>
        <v>1</v>
      </c>
      <c r="G542" s="52">
        <f>IF(expected_production[[#This Row],[Base Expected (kWh)]]="","",expected_production[[#This Row],[Base Expected (kWh)]]*expected_production[[#This Row],[Degradation Factor]])</f>
        <v>33516</v>
      </c>
    </row>
    <row r="543" spans="1:7" ht="15" hidden="1" customHeight="1" x14ac:dyDescent="0.3">
      <c r="A543" t="s">
        <v>95</v>
      </c>
      <c r="B543" s="2">
        <v>45323</v>
      </c>
      <c r="C543" s="52">
        <v>28776.799999999999</v>
      </c>
      <c r="D543" s="48">
        <f>_xlfn.XLOOKUP(expected_production[[#This Row],[Site Name]],Table1[[Site Name ]],Table1[Commisioned Date],"")</f>
        <v>45460</v>
      </c>
      <c r="E543" s="47">
        <f>IF(ISNUMBER(expected_production[[#This Row],[Commissioned Date]]),MAX(0,(expected_production[[#This Row],[Date]]-expected_production[[#This Row],[Commissioned Date]])/365.25),"")</f>
        <v>0</v>
      </c>
      <c r="F543" s="49">
        <f>IF(expected_production[[#This Row],[Age (yrs)]]="",1,(1-DegradationRate)^expected_production[[#This Row],[Age (yrs)]])</f>
        <v>1</v>
      </c>
      <c r="G543" s="52">
        <f>IF(expected_production[[#This Row],[Base Expected (kWh)]]="","",expected_production[[#This Row],[Base Expected (kWh)]]*expected_production[[#This Row],[Degradation Factor]])</f>
        <v>28776.799999999999</v>
      </c>
    </row>
    <row r="544" spans="1:7" ht="15" hidden="1" customHeight="1" x14ac:dyDescent="0.3">
      <c r="A544" t="s">
        <v>95</v>
      </c>
      <c r="B544" s="2">
        <v>45352</v>
      </c>
      <c r="C544" s="52">
        <v>29186.400000000001</v>
      </c>
      <c r="D544" s="48">
        <f>_xlfn.XLOOKUP(expected_production[[#This Row],[Site Name]],Table1[[Site Name ]],Table1[Commisioned Date],"")</f>
        <v>45460</v>
      </c>
      <c r="E544" s="47">
        <f>IF(ISNUMBER(expected_production[[#This Row],[Commissioned Date]]),MAX(0,(expected_production[[#This Row],[Date]]-expected_production[[#This Row],[Commissioned Date]])/365.25),"")</f>
        <v>0</v>
      </c>
      <c r="F544" s="49">
        <f>IF(expected_production[[#This Row],[Age (yrs)]]="",1,(1-DegradationRate)^expected_production[[#This Row],[Age (yrs)]])</f>
        <v>1</v>
      </c>
      <c r="G544" s="52">
        <f>IF(expected_production[[#This Row],[Base Expected (kWh)]]="","",expected_production[[#This Row],[Base Expected (kWh)]]*expected_production[[#This Row],[Degradation Factor]])</f>
        <v>29186.400000000001</v>
      </c>
    </row>
    <row r="545" spans="1:7" ht="15" hidden="1" customHeight="1" x14ac:dyDescent="0.3">
      <c r="A545" t="s">
        <v>95</v>
      </c>
      <c r="B545" s="2">
        <v>45383</v>
      </c>
      <c r="C545" s="52">
        <v>24678.400000000001</v>
      </c>
      <c r="D545" s="48">
        <f>_xlfn.XLOOKUP(expected_production[[#This Row],[Site Name]],Table1[[Site Name ]],Table1[Commisioned Date],"")</f>
        <v>45460</v>
      </c>
      <c r="E545" s="47">
        <f>IF(ISNUMBER(expected_production[[#This Row],[Commissioned Date]]),MAX(0,(expected_production[[#This Row],[Date]]-expected_production[[#This Row],[Commissioned Date]])/365.25),"")</f>
        <v>0</v>
      </c>
      <c r="F545" s="49">
        <f>IF(expected_production[[#This Row],[Age (yrs)]]="",1,(1-DegradationRate)^expected_production[[#This Row],[Age (yrs)]])</f>
        <v>1</v>
      </c>
      <c r="G545" s="52">
        <f>IF(expected_production[[#This Row],[Base Expected (kWh)]]="","",expected_production[[#This Row],[Base Expected (kWh)]]*expected_production[[#This Row],[Degradation Factor]])</f>
        <v>24678.400000000001</v>
      </c>
    </row>
    <row r="546" spans="1:7" ht="15" hidden="1" customHeight="1" x14ac:dyDescent="0.3">
      <c r="A546" t="s">
        <v>95</v>
      </c>
      <c r="B546" s="2">
        <v>45413</v>
      </c>
      <c r="C546" s="52">
        <v>23380.799999999999</v>
      </c>
      <c r="D546" s="48">
        <f>_xlfn.XLOOKUP(expected_production[[#This Row],[Site Name]],Table1[[Site Name ]],Table1[Commisioned Date],"")</f>
        <v>45460</v>
      </c>
      <c r="E546" s="47">
        <f>IF(ISNUMBER(expected_production[[#This Row],[Commissioned Date]]),MAX(0,(expected_production[[#This Row],[Date]]-expected_production[[#This Row],[Commissioned Date]])/365.25),"")</f>
        <v>0</v>
      </c>
      <c r="F546" s="49">
        <f>IF(expected_production[[#This Row],[Age (yrs)]]="",1,(1-DegradationRate)^expected_production[[#This Row],[Age (yrs)]])</f>
        <v>1</v>
      </c>
      <c r="G546" s="52">
        <f>IF(expected_production[[#This Row],[Base Expected (kWh)]]="","",expected_production[[#This Row],[Base Expected (kWh)]]*expected_production[[#This Row],[Degradation Factor]])</f>
        <v>23380.799999999999</v>
      </c>
    </row>
    <row r="547" spans="1:7" ht="15" hidden="1" customHeight="1" x14ac:dyDescent="0.3">
      <c r="A547" t="s">
        <v>95</v>
      </c>
      <c r="B547" s="2">
        <v>45444</v>
      </c>
      <c r="C547" s="52">
        <v>20986.400000000001</v>
      </c>
      <c r="D547" s="48">
        <f>_xlfn.XLOOKUP(expected_production[[#This Row],[Site Name]],Table1[[Site Name ]],Table1[Commisioned Date],"")</f>
        <v>45460</v>
      </c>
      <c r="E547" s="47">
        <f>IF(ISNUMBER(expected_production[[#This Row],[Commissioned Date]]),MAX(0,(expected_production[[#This Row],[Date]]-expected_production[[#This Row],[Commissioned Date]])/365.25),"")</f>
        <v>0</v>
      </c>
      <c r="F547" s="49">
        <f>IF(expected_production[[#This Row],[Age (yrs)]]="",1,(1-DegradationRate)^expected_production[[#This Row],[Age (yrs)]])</f>
        <v>1</v>
      </c>
      <c r="G547" s="52">
        <f>IF(expected_production[[#This Row],[Base Expected (kWh)]]="","",expected_production[[#This Row],[Base Expected (kWh)]]*expected_production[[#This Row],[Degradation Factor]])</f>
        <v>20986.400000000001</v>
      </c>
    </row>
    <row r="548" spans="1:7" ht="15" hidden="1" customHeight="1" x14ac:dyDescent="0.3">
      <c r="A548" t="s">
        <v>95</v>
      </c>
      <c r="B548" s="2">
        <v>45474</v>
      </c>
      <c r="C548" s="52">
        <v>23255.200000000001</v>
      </c>
      <c r="D548" s="48">
        <f>_xlfn.XLOOKUP(expected_production[[#This Row],[Site Name]],Table1[[Site Name ]],Table1[Commisioned Date],"")</f>
        <v>45460</v>
      </c>
      <c r="E548" s="47">
        <f>IF(ISNUMBER(expected_production[[#This Row],[Commissioned Date]]),MAX(0,(expected_production[[#This Row],[Date]]-expected_production[[#This Row],[Commissioned Date]])/365.25),"")</f>
        <v>3.8329911019849415E-2</v>
      </c>
      <c r="F548" s="49">
        <f>IF(expected_production[[#This Row],[Age (yrs)]]="",1,(1-DegradationRate)^expected_production[[#This Row],[Age (yrs)]])</f>
        <v>0.99973078337981713</v>
      </c>
      <c r="G548" s="52">
        <f>IF(expected_production[[#This Row],[Base Expected (kWh)]]="","",expected_production[[#This Row],[Base Expected (kWh)]]*expected_production[[#This Row],[Degradation Factor]])</f>
        <v>23248.939313654326</v>
      </c>
    </row>
    <row r="549" spans="1:7" ht="15" hidden="1" customHeight="1" x14ac:dyDescent="0.3">
      <c r="A549" t="s">
        <v>95</v>
      </c>
      <c r="B549" s="2">
        <v>45505</v>
      </c>
      <c r="C549" s="52">
        <v>27306.400000000001</v>
      </c>
      <c r="D549" s="48">
        <f>_xlfn.XLOOKUP(expected_production[[#This Row],[Site Name]],Table1[[Site Name ]],Table1[Commisioned Date],"")</f>
        <v>45460</v>
      </c>
      <c r="E549" s="47">
        <f>IF(ISNUMBER(expected_production[[#This Row],[Commissioned Date]]),MAX(0,(expected_production[[#This Row],[Date]]-expected_production[[#This Row],[Commissioned Date]])/365.25),"")</f>
        <v>0.12320328542094455</v>
      </c>
      <c r="F549" s="49">
        <f>IF(expected_production[[#This Row],[Age (yrs)]]="",1,(1-DegradationRate)^expected_production[[#This Row],[Age (yrs)]])</f>
        <v>0.9991349187596642</v>
      </c>
      <c r="G549" s="52">
        <f>IF(expected_production[[#This Row],[Base Expected (kWh)]]="","",expected_production[[#This Row],[Base Expected (kWh)]]*expected_production[[#This Row],[Degradation Factor]])</f>
        <v>27282.777745618896</v>
      </c>
    </row>
    <row r="550" spans="1:7" ht="15" hidden="1" customHeight="1" x14ac:dyDescent="0.3">
      <c r="A550" t="s">
        <v>95</v>
      </c>
      <c r="B550" s="2">
        <v>45536</v>
      </c>
      <c r="C550" s="52">
        <v>30312</v>
      </c>
      <c r="D550" s="48">
        <f>_xlfn.XLOOKUP(expected_production[[#This Row],[Site Name]],Table1[[Site Name ]],Table1[Commisioned Date],"")</f>
        <v>45460</v>
      </c>
      <c r="E550" s="47">
        <f>IF(ISNUMBER(expected_production[[#This Row],[Commissioned Date]]),MAX(0,(expected_production[[#This Row],[Date]]-expected_production[[#This Row],[Commissioned Date]])/365.25),"")</f>
        <v>0.20807665982203971</v>
      </c>
      <c r="F550" s="49">
        <f>IF(expected_production[[#This Row],[Age (yrs)]]="",1,(1-DegradationRate)^expected_production[[#This Row],[Age (yrs)]])</f>
        <v>0.99853940928976925</v>
      </c>
      <c r="G550" s="52">
        <f>IF(expected_production[[#This Row],[Base Expected (kWh)]]="","",expected_production[[#This Row],[Base Expected (kWh)]]*expected_production[[#This Row],[Degradation Factor]])</f>
        <v>30267.726574391487</v>
      </c>
    </row>
    <row r="551" spans="1:7" ht="15" hidden="1" customHeight="1" x14ac:dyDescent="0.3">
      <c r="A551" t="s">
        <v>95</v>
      </c>
      <c r="B551" s="2">
        <v>45566</v>
      </c>
      <c r="C551" s="52">
        <v>33024</v>
      </c>
      <c r="D551" s="48">
        <f>_xlfn.XLOOKUP(expected_production[[#This Row],[Site Name]],Table1[[Site Name ]],Table1[Commisioned Date],"")</f>
        <v>45460</v>
      </c>
      <c r="E551" s="47">
        <f>IF(ISNUMBER(expected_production[[#This Row],[Commissioned Date]]),MAX(0,(expected_production[[#This Row],[Date]]-expected_production[[#This Row],[Commissioned Date]])/365.25),"")</f>
        <v>0.29021218343600275</v>
      </c>
      <c r="F551" s="49">
        <f>IF(expected_production[[#This Row],[Age (yrs)]]="",1,(1-DegradationRate)^expected_production[[#This Row],[Age (yrs)]])</f>
        <v>0.9979634477537439</v>
      </c>
      <c r="G551" s="52">
        <f>IF(expected_production[[#This Row],[Base Expected (kWh)]]="","",expected_production[[#This Row],[Base Expected (kWh)]]*expected_production[[#This Row],[Degradation Factor]])</f>
        <v>32956.74489861964</v>
      </c>
    </row>
    <row r="552" spans="1:7" ht="15" hidden="1" customHeight="1" x14ac:dyDescent="0.3">
      <c r="A552" t="s">
        <v>95</v>
      </c>
      <c r="B552" s="2">
        <v>45597</v>
      </c>
      <c r="C552" s="52">
        <v>33214.400000000001</v>
      </c>
      <c r="D552" s="48">
        <f>_xlfn.XLOOKUP(expected_production[[#This Row],[Site Name]],Table1[[Site Name ]],Table1[Commisioned Date],"")</f>
        <v>45460</v>
      </c>
      <c r="E552" s="47">
        <f>IF(ISNUMBER(expected_production[[#This Row],[Commissioned Date]]),MAX(0,(expected_production[[#This Row],[Date]]-expected_production[[#This Row],[Commissioned Date]])/365.25),"")</f>
        <v>0.3750855578370979</v>
      </c>
      <c r="F552" s="49">
        <f>IF(expected_production[[#This Row],[Age (yrs)]]="",1,(1-DegradationRate)^expected_production[[#This Row],[Age (yrs)]])</f>
        <v>0.99736863650994889</v>
      </c>
      <c r="G552" s="52">
        <f>IF(expected_production[[#This Row],[Base Expected (kWh)]]="","",expected_production[[#This Row],[Base Expected (kWh)]]*expected_production[[#This Row],[Degradation Factor]])</f>
        <v>33127.000840496046</v>
      </c>
    </row>
    <row r="553" spans="1:7" ht="15" hidden="1" customHeight="1" x14ac:dyDescent="0.3">
      <c r="A553" t="s">
        <v>95</v>
      </c>
      <c r="B553" s="2">
        <v>45627</v>
      </c>
      <c r="C553" s="52">
        <v>35066.400000000001</v>
      </c>
      <c r="D553" s="48">
        <f>_xlfn.XLOOKUP(expected_production[[#This Row],[Site Name]],Table1[[Site Name ]],Table1[Commisioned Date],"")</f>
        <v>45460</v>
      </c>
      <c r="E553" s="47">
        <f>IF(ISNUMBER(expected_production[[#This Row],[Commissioned Date]]),MAX(0,(expected_production[[#This Row],[Date]]-expected_production[[#This Row],[Commissioned Date]])/365.25),"")</f>
        <v>0.45722108145106094</v>
      </c>
      <c r="F553" s="49">
        <f>IF(expected_production[[#This Row],[Age (yrs)]]="",1,(1-DegradationRate)^expected_production[[#This Row],[Age (yrs)]])</f>
        <v>0.99679335028035843</v>
      </c>
      <c r="G553" s="52">
        <f>IF(expected_production[[#This Row],[Base Expected (kWh)]]="","",expected_production[[#This Row],[Base Expected (kWh)]]*expected_production[[#This Row],[Degradation Factor]])</f>
        <v>34953.954338271164</v>
      </c>
    </row>
    <row r="554" spans="1:7" ht="15" hidden="1" customHeight="1" x14ac:dyDescent="0.3">
      <c r="A554" t="s">
        <v>95</v>
      </c>
      <c r="B554" s="2">
        <v>45658</v>
      </c>
      <c r="C554" s="52">
        <v>33516</v>
      </c>
      <c r="D554" s="48">
        <f>_xlfn.XLOOKUP(expected_production[[#This Row],[Site Name]],Table1[[Site Name ]],Table1[Commisioned Date],"")</f>
        <v>45460</v>
      </c>
      <c r="E554" s="47">
        <f>IF(ISNUMBER(expected_production[[#This Row],[Commissioned Date]]),MAX(0,(expected_production[[#This Row],[Date]]-expected_production[[#This Row],[Commissioned Date]])/365.25),"")</f>
        <v>0.5420944558521561</v>
      </c>
      <c r="F554" s="49">
        <f>IF(expected_production[[#This Row],[Age (yrs)]]="",1,(1-DegradationRate)^expected_production[[#This Row],[Age (yrs)]])</f>
        <v>0.99619923644400366</v>
      </c>
      <c r="G554" s="52">
        <f>IF(expected_production[[#This Row],[Base Expected (kWh)]]="","",expected_production[[#This Row],[Base Expected (kWh)]]*expected_production[[#This Row],[Degradation Factor]])</f>
        <v>33388.61360865723</v>
      </c>
    </row>
    <row r="555" spans="1:7" ht="15" hidden="1" customHeight="1" x14ac:dyDescent="0.3">
      <c r="A555" t="s">
        <v>95</v>
      </c>
      <c r="B555" s="2">
        <v>45689</v>
      </c>
      <c r="C555" s="52">
        <v>28776.799999999999</v>
      </c>
      <c r="D555" s="48">
        <f>_xlfn.XLOOKUP(expected_production[[#This Row],[Site Name]],Table1[[Site Name ]],Table1[Commisioned Date],"")</f>
        <v>45460</v>
      </c>
      <c r="E555" s="47">
        <f>IF(ISNUMBER(expected_production[[#This Row],[Commissioned Date]]),MAX(0,(expected_production[[#This Row],[Date]]-expected_production[[#This Row],[Commissioned Date]])/365.25),"")</f>
        <v>0.6269678302532512</v>
      </c>
      <c r="F555" s="49">
        <f>IF(expected_production[[#This Row],[Age (yrs)]]="",1,(1-DegradationRate)^expected_production[[#This Row],[Age (yrs)]])</f>
        <v>0.99560547671439581</v>
      </c>
      <c r="G555" s="52">
        <f>IF(expected_production[[#This Row],[Base Expected (kWh)]]="","",expected_production[[#This Row],[Base Expected (kWh)]]*expected_production[[#This Row],[Degradation Factor]])</f>
        <v>28650.339682314825</v>
      </c>
    </row>
    <row r="556" spans="1:7" ht="15" hidden="1" customHeight="1" x14ac:dyDescent="0.3">
      <c r="A556" t="s">
        <v>95</v>
      </c>
      <c r="B556" s="2">
        <v>45717</v>
      </c>
      <c r="C556" s="52">
        <v>29186.400000000001</v>
      </c>
      <c r="D556" s="48">
        <f>_xlfn.XLOOKUP(expected_production[[#This Row],[Site Name]],Table1[[Site Name ]],Table1[Commisioned Date],"")</f>
        <v>45460</v>
      </c>
      <c r="E556" s="47">
        <f>IF(ISNUMBER(expected_production[[#This Row],[Commissioned Date]]),MAX(0,(expected_production[[#This Row],[Date]]-expected_production[[#This Row],[Commissioned Date]])/365.25),"")</f>
        <v>0.70362765229294999</v>
      </c>
      <c r="F556" s="49">
        <f>IF(expected_production[[#This Row],[Age (yrs)]]="",1,(1-DegradationRate)^expected_production[[#This Row],[Age (yrs)]])</f>
        <v>0.99506948179052668</v>
      </c>
      <c r="G556" s="52">
        <f>IF(expected_production[[#This Row],[Base Expected (kWh)]]="","",expected_production[[#This Row],[Base Expected (kWh)]]*expected_production[[#This Row],[Degradation Factor]])</f>
        <v>29042.495923331029</v>
      </c>
    </row>
    <row r="557" spans="1:7" ht="15" hidden="1" customHeight="1" x14ac:dyDescent="0.3">
      <c r="A557" t="s">
        <v>95</v>
      </c>
      <c r="B557" s="2">
        <v>45748</v>
      </c>
      <c r="C557" s="52">
        <v>24678.400000000001</v>
      </c>
      <c r="D557" s="48">
        <f>_xlfn.XLOOKUP(expected_production[[#This Row],[Site Name]],Table1[[Site Name ]],Table1[Commisioned Date],"")</f>
        <v>45460</v>
      </c>
      <c r="E557" s="47">
        <f>IF(ISNUMBER(expected_production[[#This Row],[Commissioned Date]]),MAX(0,(expected_production[[#This Row],[Date]]-expected_production[[#This Row],[Commissioned Date]])/365.25),"")</f>
        <v>0.7885010266940452</v>
      </c>
      <c r="F557" s="49">
        <f>IF(expected_production[[#This Row],[Age (yrs)]]="",1,(1-DegradationRate)^expected_production[[#This Row],[Age (yrs)]])</f>
        <v>0.99447639542302646</v>
      </c>
      <c r="G557" s="52">
        <f>IF(expected_production[[#This Row],[Base Expected (kWh)]]="","",expected_production[[#This Row],[Base Expected (kWh)]]*expected_production[[#This Row],[Degradation Factor]])</f>
        <v>24542.086276807619</v>
      </c>
    </row>
    <row r="558" spans="1:7" ht="15" hidden="1" customHeight="1" x14ac:dyDescent="0.3">
      <c r="A558" t="s">
        <v>95</v>
      </c>
      <c r="B558" s="2">
        <v>45778</v>
      </c>
      <c r="C558" s="52">
        <v>23380.799999999999</v>
      </c>
      <c r="D558" s="48">
        <f>_xlfn.XLOOKUP(expected_production[[#This Row],[Site Name]],Table1[[Site Name ]],Table1[Commisioned Date],"")</f>
        <v>45460</v>
      </c>
      <c r="E558" s="47">
        <f>IF(ISNUMBER(expected_production[[#This Row],[Commissioned Date]]),MAX(0,(expected_production[[#This Row],[Date]]-expected_production[[#This Row],[Commissioned Date]])/365.25),"")</f>
        <v>0.87063655030800824</v>
      </c>
      <c r="F558" s="49">
        <f>IF(expected_production[[#This Row],[Age (yrs)]]="",1,(1-DegradationRate)^expected_production[[#This Row],[Age (yrs)]])</f>
        <v>0.99390277744969457</v>
      </c>
      <c r="G558" s="52">
        <f>IF(expected_production[[#This Row],[Base Expected (kWh)]]="","",expected_production[[#This Row],[Base Expected (kWh)]]*expected_production[[#This Row],[Degradation Factor]])</f>
        <v>23238.242058995816</v>
      </c>
    </row>
    <row r="559" spans="1:7" ht="15" hidden="1" customHeight="1" x14ac:dyDescent="0.3">
      <c r="A559" t="s">
        <v>95</v>
      </c>
      <c r="B559" s="2">
        <v>45809</v>
      </c>
      <c r="C559" s="52">
        <v>20986.400000000001</v>
      </c>
      <c r="D559" s="48">
        <f>_xlfn.XLOOKUP(expected_production[[#This Row],[Site Name]],Table1[[Site Name ]],Table1[Commisioned Date],"")</f>
        <v>45460</v>
      </c>
      <c r="E559" s="47">
        <f>IF(ISNUMBER(expected_production[[#This Row],[Commissioned Date]]),MAX(0,(expected_production[[#This Row],[Date]]-expected_production[[#This Row],[Commissioned Date]])/365.25),"")</f>
        <v>0.95550992470910334</v>
      </c>
      <c r="F559" s="49">
        <f>IF(expected_production[[#This Row],[Age (yrs)]]="",1,(1-DegradationRate)^expected_production[[#This Row],[Age (yrs)]])</f>
        <v>0.99331038646724257</v>
      </c>
      <c r="G559" s="52">
        <f>IF(expected_production[[#This Row],[Base Expected (kWh)]]="","",expected_production[[#This Row],[Base Expected (kWh)]]*expected_production[[#This Row],[Degradation Factor]])</f>
        <v>20846.009094556142</v>
      </c>
    </row>
    <row r="560" spans="1:7" ht="15" hidden="1" customHeight="1" x14ac:dyDescent="0.3">
      <c r="A560" t="s">
        <v>95</v>
      </c>
      <c r="B560" s="2">
        <v>45839</v>
      </c>
      <c r="C560" s="52">
        <v>23255.200000000001</v>
      </c>
      <c r="D560" s="48">
        <f>_xlfn.XLOOKUP(expected_production[[#This Row],[Site Name]],Table1[[Site Name ]],Table1[Commisioned Date],"")</f>
        <v>45460</v>
      </c>
      <c r="E560" s="47">
        <f>IF(ISNUMBER(expected_production[[#This Row],[Commissioned Date]]),MAX(0,(expected_production[[#This Row],[Date]]-expected_production[[#This Row],[Commissioned Date]])/365.25),"")</f>
        <v>1.0376454483230664</v>
      </c>
      <c r="F560" s="49">
        <f>IF(expected_production[[#This Row],[Age (yrs)]]="",1,(1-DegradationRate)^expected_production[[#This Row],[Age (yrs)]])</f>
        <v>0.99273744105255268</v>
      </c>
      <c r="G560" s="52">
        <f>IF(expected_production[[#This Row],[Base Expected (kWh)]]="","",expected_production[[#This Row],[Base Expected (kWh)]]*expected_production[[#This Row],[Degradation Factor]])</f>
        <v>23086.307739165324</v>
      </c>
    </row>
    <row r="561" spans="1:7" ht="15" hidden="1" customHeight="1" x14ac:dyDescent="0.3">
      <c r="A561" t="s">
        <v>95</v>
      </c>
      <c r="B561" s="2">
        <v>45870</v>
      </c>
      <c r="C561" s="52">
        <v>27306.400000000001</v>
      </c>
      <c r="D561" s="48">
        <f>_xlfn.XLOOKUP(expected_production[[#This Row],[Site Name]],Table1[[Site Name ]],Table1[Commisioned Date],"")</f>
        <v>45460</v>
      </c>
      <c r="E561" s="47">
        <f>IF(ISNUMBER(expected_production[[#This Row],[Commissioned Date]]),MAX(0,(expected_production[[#This Row],[Date]]-expected_production[[#This Row],[Commissioned Date]])/365.25),"")</f>
        <v>1.1225188227241616</v>
      </c>
      <c r="F561" s="49">
        <f>IF(expected_production[[#This Row],[Age (yrs)]]="",1,(1-DegradationRate)^expected_production[[#This Row],[Age (yrs)]])</f>
        <v>0.99214574463981997</v>
      </c>
      <c r="G561" s="52">
        <f>IF(expected_production[[#This Row],[Base Expected (kWh)]]="","",expected_production[[#This Row],[Base Expected (kWh)]]*expected_production[[#This Row],[Degradation Factor]])</f>
        <v>27091.928561432782</v>
      </c>
    </row>
    <row r="562" spans="1:7" ht="15" hidden="1" customHeight="1" x14ac:dyDescent="0.3">
      <c r="A562" t="s">
        <v>95</v>
      </c>
      <c r="B562" s="2">
        <v>45901</v>
      </c>
      <c r="C562" s="52">
        <v>30312</v>
      </c>
      <c r="D562" s="48">
        <f>_xlfn.XLOOKUP(expected_production[[#This Row],[Site Name]],Table1[[Site Name ]],Table1[Commisioned Date],"")</f>
        <v>45460</v>
      </c>
      <c r="E562" s="47">
        <f>IF(ISNUMBER(expected_production[[#This Row],[Commissioned Date]]),MAX(0,(expected_production[[#This Row],[Date]]-expected_production[[#This Row],[Commissioned Date]])/365.25),"")</f>
        <v>1.2073921971252566</v>
      </c>
      <c r="F562" s="49">
        <f>IF(expected_production[[#This Row],[Age (yrs)]]="",1,(1-DegradationRate)^expected_production[[#This Row],[Age (yrs)]])</f>
        <v>0.99155440089298896</v>
      </c>
      <c r="G562" s="52">
        <f>IF(expected_production[[#This Row],[Base Expected (kWh)]]="","",expected_production[[#This Row],[Base Expected (kWh)]]*expected_production[[#This Row],[Degradation Factor]])</f>
        <v>30055.996999868283</v>
      </c>
    </row>
    <row r="563" spans="1:7" ht="15" hidden="1" customHeight="1" x14ac:dyDescent="0.3">
      <c r="A563" t="s">
        <v>95</v>
      </c>
      <c r="B563" s="2">
        <v>45931</v>
      </c>
      <c r="C563" s="52">
        <v>33024</v>
      </c>
      <c r="D563" s="48">
        <f>_xlfn.XLOOKUP(expected_production[[#This Row],[Site Name]],Table1[[Site Name ]],Table1[Commisioned Date],"")</f>
        <v>45460</v>
      </c>
      <c r="E563" s="47">
        <f>IF(ISNUMBER(expected_production[[#This Row],[Commissioned Date]]),MAX(0,(expected_production[[#This Row],[Date]]-expected_production[[#This Row],[Commissioned Date]])/365.25),"")</f>
        <v>1.2895277207392197</v>
      </c>
      <c r="F563" s="49">
        <f>IF(expected_production[[#This Row],[Age (yrs)]]="",1,(1-DegradationRate)^expected_production[[#This Row],[Age (yrs)]])</f>
        <v>0.990982468337821</v>
      </c>
      <c r="G563" s="52">
        <f>IF(expected_production[[#This Row],[Base Expected (kWh)]]="","",expected_production[[#This Row],[Base Expected (kWh)]]*expected_production[[#This Row],[Degradation Factor]])</f>
        <v>32726.2050343882</v>
      </c>
    </row>
    <row r="564" spans="1:7" ht="15" hidden="1" customHeight="1" x14ac:dyDescent="0.3">
      <c r="A564" t="s">
        <v>95</v>
      </c>
      <c r="B564" s="2">
        <v>45962</v>
      </c>
      <c r="C564" s="52">
        <v>33214.400000000001</v>
      </c>
      <c r="D564" s="48">
        <f>_xlfn.XLOOKUP(expected_production[[#This Row],[Site Name]],Table1[[Site Name ]],Table1[Commisioned Date],"")</f>
        <v>45460</v>
      </c>
      <c r="E564" s="47">
        <f>IF(ISNUMBER(expected_production[[#This Row],[Commissioned Date]]),MAX(0,(expected_production[[#This Row],[Date]]-expected_production[[#This Row],[Commissioned Date]])/365.25),"")</f>
        <v>1.3744010951403149</v>
      </c>
      <c r="F564" s="49">
        <f>IF(expected_production[[#This Row],[Age (yrs)]]="",1,(1-DegradationRate)^expected_production[[#This Row],[Age (yrs)]])</f>
        <v>0.99039181793284092</v>
      </c>
      <c r="G564" s="52">
        <f>IF(expected_production[[#This Row],[Base Expected (kWh)]]="","",expected_production[[#This Row],[Base Expected (kWh)]]*expected_production[[#This Row],[Degradation Factor]])</f>
        <v>32895.269997548552</v>
      </c>
    </row>
    <row r="565" spans="1:7" ht="15" hidden="1" customHeight="1" x14ac:dyDescent="0.3">
      <c r="A565" t="s">
        <v>95</v>
      </c>
      <c r="B565" s="2">
        <v>45992</v>
      </c>
      <c r="C565" s="52">
        <v>35066.400000000001</v>
      </c>
      <c r="D565" s="48">
        <f>_xlfn.XLOOKUP(expected_production[[#This Row],[Site Name]],Table1[[Site Name ]],Table1[Commisioned Date],"")</f>
        <v>45460</v>
      </c>
      <c r="E565" s="47">
        <f>IF(ISNUMBER(expected_production[[#This Row],[Commissioned Date]]),MAX(0,(expected_production[[#This Row],[Date]]-expected_production[[#This Row],[Commissioned Date]])/365.25),"")</f>
        <v>1.4565366187542779</v>
      </c>
      <c r="F565" s="49">
        <f>IF(expected_production[[#This Row],[Age (yrs)]]="",1,(1-DegradationRate)^expected_production[[#This Row],[Age (yrs)]])</f>
        <v>0.98982055596018703</v>
      </c>
      <c r="G565" s="52">
        <f>IF(expected_production[[#This Row],[Base Expected (kWh)]]="","",expected_production[[#This Row],[Base Expected (kWh)]]*expected_production[[#This Row],[Degradation Factor]])</f>
        <v>34709.443543522306</v>
      </c>
    </row>
    <row r="566" spans="1:7" ht="15" hidden="1" customHeight="1" x14ac:dyDescent="0.3">
      <c r="A566" t="s">
        <v>95</v>
      </c>
      <c r="B566" s="2">
        <v>46023</v>
      </c>
      <c r="C566" s="52">
        <v>33516</v>
      </c>
      <c r="D566" s="48">
        <f>_xlfn.XLOOKUP(expected_production[[#This Row],[Site Name]],Table1[[Site Name ]],Table1[Commisioned Date],"")</f>
        <v>45460</v>
      </c>
      <c r="E566" s="47">
        <f>IF(ISNUMBER(expected_production[[#This Row],[Commissioned Date]]),MAX(0,(expected_production[[#This Row],[Date]]-expected_production[[#This Row],[Commissioned Date]])/365.25),"")</f>
        <v>1.5414099931553731</v>
      </c>
      <c r="F566" s="49">
        <f>IF(expected_production[[#This Row],[Age (yrs)]]="",1,(1-DegradationRate)^expected_production[[#This Row],[Age (yrs)]])</f>
        <v>0.98923059808412483</v>
      </c>
      <c r="G566" s="52">
        <f>IF(expected_production[[#This Row],[Base Expected (kWh)]]="","",expected_production[[#This Row],[Base Expected (kWh)]]*expected_production[[#This Row],[Degradation Factor]])</f>
        <v>33155.052725387526</v>
      </c>
    </row>
    <row r="567" spans="1:7" ht="15" hidden="1" customHeight="1" x14ac:dyDescent="0.3">
      <c r="A567" t="s">
        <v>95</v>
      </c>
      <c r="B567" s="2">
        <v>46054</v>
      </c>
      <c r="C567" s="52">
        <v>28776.799999999999</v>
      </c>
      <c r="D567" s="48">
        <f>_xlfn.XLOOKUP(expected_production[[#This Row],[Site Name]],Table1[[Site Name ]],Table1[Commisioned Date],"")</f>
        <v>45460</v>
      </c>
      <c r="E567" s="47">
        <f>IF(ISNUMBER(expected_production[[#This Row],[Commissioned Date]]),MAX(0,(expected_production[[#This Row],[Date]]-expected_production[[#This Row],[Commissioned Date]])/365.25),"")</f>
        <v>1.6262833675564681</v>
      </c>
      <c r="F567" s="49">
        <f>IF(expected_production[[#This Row],[Age (yrs)]]="",1,(1-DegradationRate)^expected_production[[#This Row],[Age (yrs)]])</f>
        <v>0.988640991837753</v>
      </c>
      <c r="G567" s="52">
        <f>IF(expected_production[[#This Row],[Base Expected (kWh)]]="","",expected_production[[#This Row],[Base Expected (kWh)]]*expected_production[[#This Row],[Degradation Factor]])</f>
        <v>28449.924093916648</v>
      </c>
    </row>
    <row r="568" spans="1:7" ht="15" hidden="1" customHeight="1" x14ac:dyDescent="0.3">
      <c r="A568" t="s">
        <v>95</v>
      </c>
      <c r="B568" s="2">
        <v>46082</v>
      </c>
      <c r="C568" s="52">
        <v>29186.400000000001</v>
      </c>
      <c r="D568" s="48">
        <f>_xlfn.XLOOKUP(expected_production[[#This Row],[Site Name]],Table1[[Site Name ]],Table1[Commisioned Date],"")</f>
        <v>45460</v>
      </c>
      <c r="E568" s="47">
        <f>IF(ISNUMBER(expected_production[[#This Row],[Commissioned Date]]),MAX(0,(expected_production[[#This Row],[Date]]-expected_production[[#This Row],[Commissioned Date]])/365.25),"")</f>
        <v>1.7029431895961671</v>
      </c>
      <c r="F568" s="49">
        <f>IF(expected_production[[#This Row],[Age (yrs)]]="",1,(1-DegradationRate)^expected_production[[#This Row],[Age (yrs)]])</f>
        <v>0.98810874631927437</v>
      </c>
      <c r="G568" s="52">
        <f>IF(expected_production[[#This Row],[Base Expected (kWh)]]="","",expected_production[[#This Row],[Base Expected (kWh)]]*expected_production[[#This Row],[Degradation Factor]])</f>
        <v>28839.33711357287</v>
      </c>
    </row>
    <row r="569" spans="1:7" ht="15" hidden="1" customHeight="1" x14ac:dyDescent="0.3">
      <c r="A569" t="s">
        <v>95</v>
      </c>
      <c r="B569" s="2">
        <v>46113</v>
      </c>
      <c r="C569" s="52">
        <v>24678.400000000001</v>
      </c>
      <c r="D569" s="48">
        <f>_xlfn.XLOOKUP(expected_production[[#This Row],[Site Name]],Table1[[Site Name ]],Table1[Commisioned Date],"")</f>
        <v>45460</v>
      </c>
      <c r="E569" s="47">
        <f>IF(ISNUMBER(expected_production[[#This Row],[Commissioned Date]]),MAX(0,(expected_production[[#This Row],[Date]]-expected_production[[#This Row],[Commissioned Date]])/365.25),"")</f>
        <v>1.7878165639972621</v>
      </c>
      <c r="F569" s="49">
        <f>IF(expected_production[[#This Row],[Age (yrs)]]="",1,(1-DegradationRate)^expected_production[[#This Row],[Age (yrs)]])</f>
        <v>0.98751980872469036</v>
      </c>
      <c r="G569" s="52">
        <f>IF(expected_production[[#This Row],[Base Expected (kWh)]]="","",expected_production[[#This Row],[Base Expected (kWh)]]*expected_production[[#This Row],[Degradation Factor]])</f>
        <v>24370.408847631399</v>
      </c>
    </row>
    <row r="570" spans="1:7" ht="15" hidden="1" customHeight="1" x14ac:dyDescent="0.3">
      <c r="A570" t="s">
        <v>95</v>
      </c>
      <c r="B570" s="2">
        <v>46143</v>
      </c>
      <c r="C570" s="52">
        <v>23380.799999999999</v>
      </c>
      <c r="D570" s="48">
        <f>_xlfn.XLOOKUP(expected_production[[#This Row],[Site Name]],Table1[[Site Name ]],Table1[Commisioned Date],"")</f>
        <v>45460</v>
      </c>
      <c r="E570" s="47">
        <f>IF(ISNUMBER(expected_production[[#This Row],[Commissioned Date]]),MAX(0,(expected_production[[#This Row],[Date]]-expected_production[[#This Row],[Commissioned Date]])/365.25),"")</f>
        <v>1.8699520876112252</v>
      </c>
      <c r="F570" s="49">
        <f>IF(expected_production[[#This Row],[Age (yrs)]]="",1,(1-DegradationRate)^expected_production[[#This Row],[Age (yrs)]])</f>
        <v>0.98695020333846617</v>
      </c>
      <c r="G570" s="52">
        <f>IF(expected_production[[#This Row],[Base Expected (kWh)]]="","",expected_production[[#This Row],[Base Expected (kWh)]]*expected_production[[#This Row],[Degradation Factor]])</f>
        <v>23075.685314216011</v>
      </c>
    </row>
    <row r="571" spans="1:7" ht="15" hidden="1" customHeight="1" x14ac:dyDescent="0.3">
      <c r="A571" t="s">
        <v>95</v>
      </c>
      <c r="B571" s="2">
        <v>46174</v>
      </c>
      <c r="C571" s="52">
        <v>20986.400000000001</v>
      </c>
      <c r="D571" s="48">
        <f>_xlfn.XLOOKUP(expected_production[[#This Row],[Site Name]],Table1[[Site Name ]],Table1[Commisioned Date],"")</f>
        <v>45460</v>
      </c>
      <c r="E571" s="47">
        <f>IF(ISNUMBER(expected_production[[#This Row],[Commissioned Date]]),MAX(0,(expected_production[[#This Row],[Date]]-expected_production[[#This Row],[Commissioned Date]])/365.25),"")</f>
        <v>1.9548254620123204</v>
      </c>
      <c r="F571" s="49">
        <f>IF(expected_production[[#This Row],[Age (yrs)]]="",1,(1-DegradationRate)^expected_production[[#This Row],[Age (yrs)]])</f>
        <v>0.98636195626455503</v>
      </c>
      <c r="G571" s="52">
        <f>IF(expected_production[[#This Row],[Base Expected (kWh)]]="","",expected_production[[#This Row],[Base Expected (kWh)]]*expected_production[[#This Row],[Degradation Factor]])</f>
        <v>20700.18655895046</v>
      </c>
    </row>
    <row r="572" spans="1:7" ht="15" hidden="1" customHeight="1" x14ac:dyDescent="0.3">
      <c r="A572" t="s">
        <v>95</v>
      </c>
      <c r="B572" s="2">
        <v>46204</v>
      </c>
      <c r="C572" s="52">
        <v>23255.200000000001</v>
      </c>
      <c r="D572" s="48">
        <f>_xlfn.XLOOKUP(expected_production[[#This Row],[Site Name]],Table1[[Site Name ]],Table1[Commisioned Date],"")</f>
        <v>45460</v>
      </c>
      <c r="E572" s="47">
        <f>IF(ISNUMBER(expected_production[[#This Row],[Commissioned Date]]),MAX(0,(expected_production[[#This Row],[Date]]-expected_production[[#This Row],[Commissioned Date]])/365.25),"")</f>
        <v>2.0369609856262834</v>
      </c>
      <c r="F572" s="49">
        <f>IF(expected_production[[#This Row],[Age (yrs)]]="",1,(1-DegradationRate)^expected_production[[#This Row],[Age (yrs)]])</f>
        <v>0.98579301873227354</v>
      </c>
      <c r="G572" s="52">
        <f>IF(expected_production[[#This Row],[Base Expected (kWh)]]="","",expected_production[[#This Row],[Base Expected (kWh)]]*expected_production[[#This Row],[Degradation Factor]])</f>
        <v>22924.813809222767</v>
      </c>
    </row>
    <row r="573" spans="1:7" ht="15" hidden="1" customHeight="1" x14ac:dyDescent="0.3">
      <c r="A573" t="s">
        <v>95</v>
      </c>
      <c r="B573" s="2">
        <v>46235</v>
      </c>
      <c r="C573" s="52">
        <v>27306.400000000001</v>
      </c>
      <c r="D573" s="48">
        <f>_xlfn.XLOOKUP(expected_production[[#This Row],[Site Name]],Table1[[Site Name ]],Table1[Commisioned Date],"")</f>
        <v>45460</v>
      </c>
      <c r="E573" s="47">
        <f>IF(ISNUMBER(expected_production[[#This Row],[Commissioned Date]]),MAX(0,(expected_production[[#This Row],[Date]]-expected_production[[#This Row],[Commissioned Date]])/365.25),"")</f>
        <v>2.1218343600273784</v>
      </c>
      <c r="F573" s="49">
        <f>IF(expected_production[[#This Row],[Age (yrs)]]="",1,(1-DegradationRate)^expected_production[[#This Row],[Age (yrs)]])</f>
        <v>0.9852054613694099</v>
      </c>
      <c r="G573" s="52">
        <f>IF(expected_production[[#This Row],[Base Expected (kWh)]]="","",expected_production[[#This Row],[Base Expected (kWh)]]*expected_production[[#This Row],[Degradation Factor]])</f>
        <v>26902.414410337657</v>
      </c>
    </row>
    <row r="574" spans="1:7" ht="15" hidden="1" customHeight="1" x14ac:dyDescent="0.3">
      <c r="A574" t="s">
        <v>95</v>
      </c>
      <c r="B574" s="2">
        <v>46266</v>
      </c>
      <c r="C574" s="52">
        <v>30312</v>
      </c>
      <c r="D574" s="48">
        <f>_xlfn.XLOOKUP(expected_production[[#This Row],[Site Name]],Table1[[Site Name ]],Table1[Commisioned Date],"")</f>
        <v>45460</v>
      </c>
      <c r="E574" s="47">
        <f>IF(ISNUMBER(expected_production[[#This Row],[Commissioned Date]]),MAX(0,(expected_production[[#This Row],[Date]]-expected_production[[#This Row],[Commissioned Date]])/365.25),"")</f>
        <v>2.2067077344284738</v>
      </c>
      <c r="F574" s="49">
        <f>IF(expected_production[[#This Row],[Age (yrs)]]="",1,(1-DegradationRate)^expected_production[[#This Row],[Age (yrs)]])</f>
        <v>0.98461825420547044</v>
      </c>
      <c r="G574" s="52">
        <f>IF(expected_production[[#This Row],[Base Expected (kWh)]]="","",expected_production[[#This Row],[Base Expected (kWh)]]*expected_production[[#This Row],[Degradation Factor]])</f>
        <v>29845.74852147622</v>
      </c>
    </row>
    <row r="575" spans="1:7" ht="15" hidden="1" customHeight="1" x14ac:dyDescent="0.3">
      <c r="A575" t="s">
        <v>95</v>
      </c>
      <c r="B575" s="2">
        <v>46296</v>
      </c>
      <c r="C575" s="52">
        <v>33024</v>
      </c>
      <c r="D575" s="48">
        <f>_xlfn.XLOOKUP(expected_production[[#This Row],[Site Name]],Table1[[Site Name ]],Table1[Commisioned Date],"")</f>
        <v>45460</v>
      </c>
      <c r="E575" s="47">
        <f>IF(ISNUMBER(expected_production[[#This Row],[Commissioned Date]]),MAX(0,(expected_production[[#This Row],[Date]]-expected_production[[#This Row],[Commissioned Date]])/365.25),"")</f>
        <v>2.2888432580424367</v>
      </c>
      <c r="F575" s="49">
        <f>IF(expected_production[[#This Row],[Age (yrs)]]="",1,(1-DegradationRate)^expected_production[[#This Row],[Age (yrs)]])</f>
        <v>0.98405032244752988</v>
      </c>
      <c r="G575" s="52">
        <f>IF(expected_production[[#This Row],[Base Expected (kWh)]]="","",expected_production[[#This Row],[Base Expected (kWh)]]*expected_production[[#This Row],[Degradation Factor]])</f>
        <v>32497.277848507227</v>
      </c>
    </row>
    <row r="576" spans="1:7" ht="15" hidden="1" customHeight="1" x14ac:dyDescent="0.3">
      <c r="A576" t="s">
        <v>95</v>
      </c>
      <c r="B576" s="2">
        <v>46327</v>
      </c>
      <c r="C576" s="52">
        <v>33214.400000000001</v>
      </c>
      <c r="D576" s="48">
        <f>_xlfn.XLOOKUP(expected_production[[#This Row],[Site Name]],Table1[[Site Name ]],Table1[Commisioned Date],"")</f>
        <v>45460</v>
      </c>
      <c r="E576" s="47">
        <f>IF(ISNUMBER(expected_production[[#This Row],[Commissioned Date]]),MAX(0,(expected_production[[#This Row],[Date]]-expected_production[[#This Row],[Commissioned Date]])/365.25),"")</f>
        <v>2.3737166324435317</v>
      </c>
      <c r="F576" s="49">
        <f>IF(expected_production[[#This Row],[Age (yrs)]]="",1,(1-DegradationRate)^expected_production[[#This Row],[Age (yrs)]])</f>
        <v>0.9834638037753588</v>
      </c>
      <c r="G576" s="52">
        <f>IF(expected_production[[#This Row],[Base Expected (kWh)]]="","",expected_production[[#This Row],[Base Expected (kWh)]]*expected_production[[#This Row],[Degradation Factor]])</f>
        <v>32665.160164116278</v>
      </c>
    </row>
    <row r="577" spans="1:7" ht="15" hidden="1" customHeight="1" x14ac:dyDescent="0.3">
      <c r="A577" t="s">
        <v>95</v>
      </c>
      <c r="B577" s="2">
        <v>46357</v>
      </c>
      <c r="C577" s="52">
        <v>35066.400000000001</v>
      </c>
      <c r="D577" s="48">
        <f>_xlfn.XLOOKUP(expected_production[[#This Row],[Site Name]],Table1[[Site Name ]],Table1[Commisioned Date],"")</f>
        <v>45460</v>
      </c>
      <c r="E577" s="47">
        <f>IF(ISNUMBER(expected_production[[#This Row],[Commissioned Date]]),MAX(0,(expected_production[[#This Row],[Date]]-expected_production[[#This Row],[Commissioned Date]])/365.25),"")</f>
        <v>2.4558521560574951</v>
      </c>
      <c r="F577" s="49">
        <f>IF(expected_production[[#This Row],[Age (yrs)]]="",1,(1-DegradationRate)^expected_production[[#This Row],[Age (yrs)]])</f>
        <v>0.9828965379090564</v>
      </c>
      <c r="G577" s="52">
        <f>IF(expected_production[[#This Row],[Base Expected (kWh)]]="","",expected_production[[#This Row],[Base Expected (kWh)]]*expected_production[[#This Row],[Degradation Factor]])</f>
        <v>34466.643156934137</v>
      </c>
    </row>
    <row r="578" spans="1:7" ht="15" hidden="1" customHeight="1" x14ac:dyDescent="0.3">
      <c r="A578" t="s">
        <v>239</v>
      </c>
      <c r="B578" s="2">
        <v>45292</v>
      </c>
      <c r="C578" s="52">
        <v>2461.5</v>
      </c>
      <c r="D578" s="48">
        <f>_xlfn.XLOOKUP(expected_production[[#This Row],[Site Name]],Table1[[Site Name ]],Table1[Commisioned Date],"")</f>
        <v>45951</v>
      </c>
      <c r="E578" s="47">
        <f>IF(ISNUMBER(expected_production[[#This Row],[Commissioned Date]]),MAX(0,(expected_production[[#This Row],[Date]]-expected_production[[#This Row],[Commissioned Date]])/365.25),"")</f>
        <v>0</v>
      </c>
      <c r="F578" s="49">
        <f>IF(expected_production[[#This Row],[Age (yrs)]]="",1,(1-DegradationRate)^expected_production[[#This Row],[Age (yrs)]])</f>
        <v>1</v>
      </c>
      <c r="G578" s="52">
        <f>IF(expected_production[[#This Row],[Base Expected (kWh)]]="","",expected_production[[#This Row],[Base Expected (kWh)]]*expected_production[[#This Row],[Degradation Factor]])</f>
        <v>2461.5</v>
      </c>
    </row>
    <row r="579" spans="1:7" ht="15" hidden="1" customHeight="1" x14ac:dyDescent="0.3">
      <c r="A579" t="s">
        <v>239</v>
      </c>
      <c r="B579" s="2">
        <v>45323</v>
      </c>
      <c r="C579" s="52">
        <v>2300.4</v>
      </c>
      <c r="D579" s="48">
        <f>_xlfn.XLOOKUP(expected_production[[#This Row],[Site Name]],Table1[[Site Name ]],Table1[Commisioned Date],"")</f>
        <v>45951</v>
      </c>
      <c r="E579" s="47">
        <f>IF(ISNUMBER(expected_production[[#This Row],[Commissioned Date]]),MAX(0,(expected_production[[#This Row],[Date]]-expected_production[[#This Row],[Commissioned Date]])/365.25),"")</f>
        <v>0</v>
      </c>
      <c r="F579" s="49">
        <f>IF(expected_production[[#This Row],[Age (yrs)]]="",1,(1-DegradationRate)^expected_production[[#This Row],[Age (yrs)]])</f>
        <v>1</v>
      </c>
      <c r="G579" s="52">
        <f>IF(expected_production[[#This Row],[Base Expected (kWh)]]="","",expected_production[[#This Row],[Base Expected (kWh)]]*expected_production[[#This Row],[Degradation Factor]])</f>
        <v>2300.4</v>
      </c>
    </row>
    <row r="580" spans="1:7" ht="15" hidden="1" customHeight="1" x14ac:dyDescent="0.3">
      <c r="A580" t="s">
        <v>239</v>
      </c>
      <c r="B580" s="2">
        <v>45352</v>
      </c>
      <c r="C580" s="52">
        <v>2281.5</v>
      </c>
      <c r="D580" s="48">
        <f>_xlfn.XLOOKUP(expected_production[[#This Row],[Site Name]],Table1[[Site Name ]],Table1[Commisioned Date],"")</f>
        <v>45951</v>
      </c>
      <c r="E580" s="47">
        <f>IF(ISNUMBER(expected_production[[#This Row],[Commissioned Date]]),MAX(0,(expected_production[[#This Row],[Date]]-expected_production[[#This Row],[Commissioned Date]])/365.25),"")</f>
        <v>0</v>
      </c>
      <c r="F580" s="49">
        <f>IF(expected_production[[#This Row],[Age (yrs)]]="",1,(1-DegradationRate)^expected_production[[#This Row],[Age (yrs)]])</f>
        <v>1</v>
      </c>
      <c r="G580" s="52">
        <f>IF(expected_production[[#This Row],[Base Expected (kWh)]]="","",expected_production[[#This Row],[Base Expected (kWh)]]*expected_production[[#This Row],[Degradation Factor]])</f>
        <v>2281.5</v>
      </c>
    </row>
    <row r="581" spans="1:7" ht="15" hidden="1" customHeight="1" x14ac:dyDescent="0.3">
      <c r="A581" t="s">
        <v>239</v>
      </c>
      <c r="B581" s="2">
        <v>45383</v>
      </c>
      <c r="C581" s="52">
        <v>2197.8000000000002</v>
      </c>
      <c r="D581" s="48">
        <f>_xlfn.XLOOKUP(expected_production[[#This Row],[Site Name]],Table1[[Site Name ]],Table1[Commisioned Date],"")</f>
        <v>45951</v>
      </c>
      <c r="E581" s="47">
        <f>IF(ISNUMBER(expected_production[[#This Row],[Commissioned Date]]),MAX(0,(expected_production[[#This Row],[Date]]-expected_production[[#This Row],[Commissioned Date]])/365.25),"")</f>
        <v>0</v>
      </c>
      <c r="F581" s="49">
        <f>IF(expected_production[[#This Row],[Age (yrs)]]="",1,(1-DegradationRate)^expected_production[[#This Row],[Age (yrs)]])</f>
        <v>1</v>
      </c>
      <c r="G581" s="52">
        <f>IF(expected_production[[#This Row],[Base Expected (kWh)]]="","",expected_production[[#This Row],[Base Expected (kWh)]]*expected_production[[#This Row],[Degradation Factor]])</f>
        <v>2197.8000000000002</v>
      </c>
    </row>
    <row r="582" spans="1:7" ht="15" hidden="1" customHeight="1" x14ac:dyDescent="0.3">
      <c r="A582" t="s">
        <v>239</v>
      </c>
      <c r="B582" s="2">
        <v>45413</v>
      </c>
      <c r="C582" s="52">
        <v>2226.6</v>
      </c>
      <c r="D582" s="48">
        <f>_xlfn.XLOOKUP(expected_production[[#This Row],[Site Name]],Table1[[Site Name ]],Table1[Commisioned Date],"")</f>
        <v>45951</v>
      </c>
      <c r="E582" s="47">
        <f>IF(ISNUMBER(expected_production[[#This Row],[Commissioned Date]]),MAX(0,(expected_production[[#This Row],[Date]]-expected_production[[#This Row],[Commissioned Date]])/365.25),"")</f>
        <v>0</v>
      </c>
      <c r="F582" s="49">
        <f>IF(expected_production[[#This Row],[Age (yrs)]]="",1,(1-DegradationRate)^expected_production[[#This Row],[Age (yrs)]])</f>
        <v>1</v>
      </c>
      <c r="G582" s="52">
        <f>IF(expected_production[[#This Row],[Base Expected (kWh)]]="","",expected_production[[#This Row],[Base Expected (kWh)]]*expected_production[[#This Row],[Degradation Factor]])</f>
        <v>2226.6</v>
      </c>
    </row>
    <row r="583" spans="1:7" ht="15" hidden="1" customHeight="1" x14ac:dyDescent="0.3">
      <c r="A583" t="s">
        <v>239</v>
      </c>
      <c r="B583" s="2">
        <v>45444</v>
      </c>
      <c r="C583" s="52">
        <v>2480.4</v>
      </c>
      <c r="D583" s="48">
        <f>_xlfn.XLOOKUP(expected_production[[#This Row],[Site Name]],Table1[[Site Name ]],Table1[Commisioned Date],"")</f>
        <v>45951</v>
      </c>
      <c r="E583" s="47">
        <f>IF(ISNUMBER(expected_production[[#This Row],[Commissioned Date]]),MAX(0,(expected_production[[#This Row],[Date]]-expected_production[[#This Row],[Commissioned Date]])/365.25),"")</f>
        <v>0</v>
      </c>
      <c r="F583" s="49">
        <f>IF(expected_production[[#This Row],[Age (yrs)]]="",1,(1-DegradationRate)^expected_production[[#This Row],[Age (yrs)]])</f>
        <v>1</v>
      </c>
      <c r="G583" s="52">
        <f>IF(expected_production[[#This Row],[Base Expected (kWh)]]="","",expected_production[[#This Row],[Base Expected (kWh)]]*expected_production[[#This Row],[Degradation Factor]])</f>
        <v>2480.4</v>
      </c>
    </row>
    <row r="584" spans="1:7" ht="15" hidden="1" customHeight="1" x14ac:dyDescent="0.3">
      <c r="A584" t="s">
        <v>239</v>
      </c>
      <c r="B584" s="2">
        <v>45474</v>
      </c>
      <c r="C584" s="52">
        <v>2349.9</v>
      </c>
      <c r="D584" s="48">
        <f>_xlfn.XLOOKUP(expected_production[[#This Row],[Site Name]],Table1[[Site Name ]],Table1[Commisioned Date],"")</f>
        <v>45951</v>
      </c>
      <c r="E584" s="47">
        <f>IF(ISNUMBER(expected_production[[#This Row],[Commissioned Date]]),MAX(0,(expected_production[[#This Row],[Date]]-expected_production[[#This Row],[Commissioned Date]])/365.25),"")</f>
        <v>0</v>
      </c>
      <c r="F584" s="49">
        <f>IF(expected_production[[#This Row],[Age (yrs)]]="",1,(1-DegradationRate)^expected_production[[#This Row],[Age (yrs)]])</f>
        <v>1</v>
      </c>
      <c r="G584" s="52">
        <f>IF(expected_production[[#This Row],[Base Expected (kWh)]]="","",expected_production[[#This Row],[Base Expected (kWh)]]*expected_production[[#This Row],[Degradation Factor]])</f>
        <v>2349.9</v>
      </c>
    </row>
    <row r="585" spans="1:7" ht="15" hidden="1" customHeight="1" x14ac:dyDescent="0.3">
      <c r="A585" t="s">
        <v>239</v>
      </c>
      <c r="B585" s="2">
        <v>45505</v>
      </c>
      <c r="C585" s="52">
        <v>2520</v>
      </c>
      <c r="D585" s="48">
        <f>_xlfn.XLOOKUP(expected_production[[#This Row],[Site Name]],Table1[[Site Name ]],Table1[Commisioned Date],"")</f>
        <v>45951</v>
      </c>
      <c r="E585" s="47">
        <f>IF(ISNUMBER(expected_production[[#This Row],[Commissioned Date]]),MAX(0,(expected_production[[#This Row],[Date]]-expected_production[[#This Row],[Commissioned Date]])/365.25),"")</f>
        <v>0</v>
      </c>
      <c r="F585" s="49">
        <f>IF(expected_production[[#This Row],[Age (yrs)]]="",1,(1-DegradationRate)^expected_production[[#This Row],[Age (yrs)]])</f>
        <v>1</v>
      </c>
      <c r="G585" s="52">
        <f>IF(expected_production[[#This Row],[Base Expected (kWh)]]="","",expected_production[[#This Row],[Base Expected (kWh)]]*expected_production[[#This Row],[Degradation Factor]])</f>
        <v>2520</v>
      </c>
    </row>
    <row r="586" spans="1:7" ht="15" hidden="1" customHeight="1" x14ac:dyDescent="0.3">
      <c r="A586" t="s">
        <v>239</v>
      </c>
      <c r="B586" s="2">
        <v>45536</v>
      </c>
      <c r="C586" s="52">
        <v>2436.3000000000002</v>
      </c>
      <c r="D586" s="48">
        <f>_xlfn.XLOOKUP(expected_production[[#This Row],[Site Name]],Table1[[Site Name ]],Table1[Commisioned Date],"")</f>
        <v>45951</v>
      </c>
      <c r="E586" s="47">
        <f>IF(ISNUMBER(expected_production[[#This Row],[Commissioned Date]]),MAX(0,(expected_production[[#This Row],[Date]]-expected_production[[#This Row],[Commissioned Date]])/365.25),"")</f>
        <v>0</v>
      </c>
      <c r="F586" s="49">
        <f>IF(expected_production[[#This Row],[Age (yrs)]]="",1,(1-DegradationRate)^expected_production[[#This Row],[Age (yrs)]])</f>
        <v>1</v>
      </c>
      <c r="G586" s="52">
        <f>IF(expected_production[[#This Row],[Base Expected (kWh)]]="","",expected_production[[#This Row],[Base Expected (kWh)]]*expected_production[[#This Row],[Degradation Factor]])</f>
        <v>2436.3000000000002</v>
      </c>
    </row>
    <row r="587" spans="1:7" ht="15" hidden="1" customHeight="1" x14ac:dyDescent="0.3">
      <c r="A587" t="s">
        <v>239</v>
      </c>
      <c r="B587" s="2">
        <v>45566</v>
      </c>
      <c r="C587" s="52">
        <v>2425.5</v>
      </c>
      <c r="D587" s="48">
        <f>_xlfn.XLOOKUP(expected_production[[#This Row],[Site Name]],Table1[[Site Name ]],Table1[Commisioned Date],"")</f>
        <v>45951</v>
      </c>
      <c r="E587" s="47">
        <f>IF(ISNUMBER(expected_production[[#This Row],[Commissioned Date]]),MAX(0,(expected_production[[#This Row],[Date]]-expected_production[[#This Row],[Commissioned Date]])/365.25),"")</f>
        <v>0</v>
      </c>
      <c r="F587" s="49">
        <f>IF(expected_production[[#This Row],[Age (yrs)]]="",1,(1-DegradationRate)^expected_production[[#This Row],[Age (yrs)]])</f>
        <v>1</v>
      </c>
      <c r="G587" s="52">
        <f>IF(expected_production[[#This Row],[Base Expected (kWh)]]="","",expected_production[[#This Row],[Base Expected (kWh)]]*expected_production[[#This Row],[Degradation Factor]])</f>
        <v>2425.5</v>
      </c>
    </row>
    <row r="588" spans="1:7" ht="15" hidden="1" customHeight="1" x14ac:dyDescent="0.3">
      <c r="A588" t="s">
        <v>239</v>
      </c>
      <c r="B588" s="2">
        <v>45597</v>
      </c>
      <c r="C588" s="52">
        <v>2356.1999999999998</v>
      </c>
      <c r="D588" s="48">
        <f>_xlfn.XLOOKUP(expected_production[[#This Row],[Site Name]],Table1[[Site Name ]],Table1[Commisioned Date],"")</f>
        <v>45951</v>
      </c>
      <c r="E588" s="47">
        <f>IF(ISNUMBER(expected_production[[#This Row],[Commissioned Date]]),MAX(0,(expected_production[[#This Row],[Date]]-expected_production[[#This Row],[Commissioned Date]])/365.25),"")</f>
        <v>0</v>
      </c>
      <c r="F588" s="49">
        <f>IF(expected_production[[#This Row],[Age (yrs)]]="",1,(1-DegradationRate)^expected_production[[#This Row],[Age (yrs)]])</f>
        <v>1</v>
      </c>
      <c r="G588" s="52">
        <f>IF(expected_production[[#This Row],[Base Expected (kWh)]]="","",expected_production[[#This Row],[Base Expected (kWh)]]*expected_production[[#This Row],[Degradation Factor]])</f>
        <v>2356.1999999999998</v>
      </c>
    </row>
    <row r="589" spans="1:7" ht="15" hidden="1" customHeight="1" x14ac:dyDescent="0.3">
      <c r="A589" t="s">
        <v>239</v>
      </c>
      <c r="B589" s="2">
        <v>45627</v>
      </c>
      <c r="C589" s="52">
        <v>2437.1999999999998</v>
      </c>
      <c r="D589" s="48">
        <f>_xlfn.XLOOKUP(expected_production[[#This Row],[Site Name]],Table1[[Site Name ]],Table1[Commisioned Date],"")</f>
        <v>45951</v>
      </c>
      <c r="E589" s="47">
        <f>IF(ISNUMBER(expected_production[[#This Row],[Commissioned Date]]),MAX(0,(expected_production[[#This Row],[Date]]-expected_production[[#This Row],[Commissioned Date]])/365.25),"")</f>
        <v>0</v>
      </c>
      <c r="F589" s="49">
        <f>IF(expected_production[[#This Row],[Age (yrs)]]="",1,(1-DegradationRate)^expected_production[[#This Row],[Age (yrs)]])</f>
        <v>1</v>
      </c>
      <c r="G589" s="52">
        <f>IF(expected_production[[#This Row],[Base Expected (kWh)]]="","",expected_production[[#This Row],[Base Expected (kWh)]]*expected_production[[#This Row],[Degradation Factor]])</f>
        <v>2437.1999999999998</v>
      </c>
    </row>
    <row r="590" spans="1:7" ht="15" hidden="1" customHeight="1" x14ac:dyDescent="0.3">
      <c r="A590" t="s">
        <v>239</v>
      </c>
      <c r="B590" s="2">
        <v>45658</v>
      </c>
      <c r="C590" s="52">
        <v>2461.5</v>
      </c>
      <c r="D590" s="48">
        <f>_xlfn.XLOOKUP(expected_production[[#This Row],[Site Name]],Table1[[Site Name ]],Table1[Commisioned Date],"")</f>
        <v>45951</v>
      </c>
      <c r="E590" s="47">
        <f>IF(ISNUMBER(expected_production[[#This Row],[Commissioned Date]]),MAX(0,(expected_production[[#This Row],[Date]]-expected_production[[#This Row],[Commissioned Date]])/365.25),"")</f>
        <v>0</v>
      </c>
      <c r="F590" s="49">
        <f>IF(expected_production[[#This Row],[Age (yrs)]]="",1,(1-DegradationRate)^expected_production[[#This Row],[Age (yrs)]])</f>
        <v>1</v>
      </c>
      <c r="G590" s="52">
        <f>IF(expected_production[[#This Row],[Base Expected (kWh)]]="","",expected_production[[#This Row],[Base Expected (kWh)]]*expected_production[[#This Row],[Degradation Factor]])</f>
        <v>2461.5</v>
      </c>
    </row>
    <row r="591" spans="1:7" ht="15" hidden="1" customHeight="1" x14ac:dyDescent="0.3">
      <c r="A591" t="s">
        <v>239</v>
      </c>
      <c r="B591" s="2">
        <v>45689</v>
      </c>
      <c r="C591" s="52">
        <v>2300.4</v>
      </c>
      <c r="D591" s="48">
        <f>_xlfn.XLOOKUP(expected_production[[#This Row],[Site Name]],Table1[[Site Name ]],Table1[Commisioned Date],"")</f>
        <v>45951</v>
      </c>
      <c r="E591" s="47">
        <f>IF(ISNUMBER(expected_production[[#This Row],[Commissioned Date]]),MAX(0,(expected_production[[#This Row],[Date]]-expected_production[[#This Row],[Commissioned Date]])/365.25),"")</f>
        <v>0</v>
      </c>
      <c r="F591" s="49">
        <f>IF(expected_production[[#This Row],[Age (yrs)]]="",1,(1-DegradationRate)^expected_production[[#This Row],[Age (yrs)]])</f>
        <v>1</v>
      </c>
      <c r="G591" s="52">
        <f>IF(expected_production[[#This Row],[Base Expected (kWh)]]="","",expected_production[[#This Row],[Base Expected (kWh)]]*expected_production[[#This Row],[Degradation Factor]])</f>
        <v>2300.4</v>
      </c>
    </row>
    <row r="592" spans="1:7" ht="15" hidden="1" customHeight="1" x14ac:dyDescent="0.3">
      <c r="A592" t="s">
        <v>239</v>
      </c>
      <c r="B592" s="2">
        <v>45717</v>
      </c>
      <c r="C592" s="52">
        <v>2281.5</v>
      </c>
      <c r="D592" s="48">
        <f>_xlfn.XLOOKUP(expected_production[[#This Row],[Site Name]],Table1[[Site Name ]],Table1[Commisioned Date],"")</f>
        <v>45951</v>
      </c>
      <c r="E592" s="47">
        <f>IF(ISNUMBER(expected_production[[#This Row],[Commissioned Date]]),MAX(0,(expected_production[[#This Row],[Date]]-expected_production[[#This Row],[Commissioned Date]])/365.25),"")</f>
        <v>0</v>
      </c>
      <c r="F592" s="49">
        <f>IF(expected_production[[#This Row],[Age (yrs)]]="",1,(1-DegradationRate)^expected_production[[#This Row],[Age (yrs)]])</f>
        <v>1</v>
      </c>
      <c r="G592" s="52">
        <f>IF(expected_production[[#This Row],[Base Expected (kWh)]]="","",expected_production[[#This Row],[Base Expected (kWh)]]*expected_production[[#This Row],[Degradation Factor]])</f>
        <v>2281.5</v>
      </c>
    </row>
    <row r="593" spans="1:7" ht="15" hidden="1" customHeight="1" x14ac:dyDescent="0.3">
      <c r="A593" t="s">
        <v>239</v>
      </c>
      <c r="B593" s="2">
        <v>45748</v>
      </c>
      <c r="C593" s="52">
        <v>2197.8000000000002</v>
      </c>
      <c r="D593" s="48">
        <f>_xlfn.XLOOKUP(expected_production[[#This Row],[Site Name]],Table1[[Site Name ]],Table1[Commisioned Date],"")</f>
        <v>45951</v>
      </c>
      <c r="E593" s="47">
        <f>IF(ISNUMBER(expected_production[[#This Row],[Commissioned Date]]),MAX(0,(expected_production[[#This Row],[Date]]-expected_production[[#This Row],[Commissioned Date]])/365.25),"")</f>
        <v>0</v>
      </c>
      <c r="F593" s="49">
        <f>IF(expected_production[[#This Row],[Age (yrs)]]="",1,(1-DegradationRate)^expected_production[[#This Row],[Age (yrs)]])</f>
        <v>1</v>
      </c>
      <c r="G593" s="52">
        <f>IF(expected_production[[#This Row],[Base Expected (kWh)]]="","",expected_production[[#This Row],[Base Expected (kWh)]]*expected_production[[#This Row],[Degradation Factor]])</f>
        <v>2197.8000000000002</v>
      </c>
    </row>
    <row r="594" spans="1:7" ht="15" hidden="1" customHeight="1" x14ac:dyDescent="0.3">
      <c r="A594" t="s">
        <v>239</v>
      </c>
      <c r="B594" s="2">
        <v>45778</v>
      </c>
      <c r="C594" s="52">
        <v>2226.6</v>
      </c>
      <c r="D594" s="48">
        <f>_xlfn.XLOOKUP(expected_production[[#This Row],[Site Name]],Table1[[Site Name ]],Table1[Commisioned Date],"")</f>
        <v>45951</v>
      </c>
      <c r="E594" s="47">
        <f>IF(ISNUMBER(expected_production[[#This Row],[Commissioned Date]]),MAX(0,(expected_production[[#This Row],[Date]]-expected_production[[#This Row],[Commissioned Date]])/365.25),"")</f>
        <v>0</v>
      </c>
      <c r="F594" s="49">
        <f>IF(expected_production[[#This Row],[Age (yrs)]]="",1,(1-DegradationRate)^expected_production[[#This Row],[Age (yrs)]])</f>
        <v>1</v>
      </c>
      <c r="G594" s="52">
        <f>IF(expected_production[[#This Row],[Base Expected (kWh)]]="","",expected_production[[#This Row],[Base Expected (kWh)]]*expected_production[[#This Row],[Degradation Factor]])</f>
        <v>2226.6</v>
      </c>
    </row>
    <row r="595" spans="1:7" ht="15" hidden="1" customHeight="1" x14ac:dyDescent="0.3">
      <c r="A595" t="s">
        <v>239</v>
      </c>
      <c r="B595" s="2">
        <v>45809</v>
      </c>
      <c r="C595" s="52">
        <v>2480.4</v>
      </c>
      <c r="D595" s="48">
        <f>_xlfn.XLOOKUP(expected_production[[#This Row],[Site Name]],Table1[[Site Name ]],Table1[Commisioned Date],"")</f>
        <v>45951</v>
      </c>
      <c r="E595" s="47">
        <f>IF(ISNUMBER(expected_production[[#This Row],[Commissioned Date]]),MAX(0,(expected_production[[#This Row],[Date]]-expected_production[[#This Row],[Commissioned Date]])/365.25),"")</f>
        <v>0</v>
      </c>
      <c r="F595" s="49">
        <f>IF(expected_production[[#This Row],[Age (yrs)]]="",1,(1-DegradationRate)^expected_production[[#This Row],[Age (yrs)]])</f>
        <v>1</v>
      </c>
      <c r="G595" s="52">
        <f>IF(expected_production[[#This Row],[Base Expected (kWh)]]="","",expected_production[[#This Row],[Base Expected (kWh)]]*expected_production[[#This Row],[Degradation Factor]])</f>
        <v>2480.4</v>
      </c>
    </row>
    <row r="596" spans="1:7" ht="15" hidden="1" customHeight="1" x14ac:dyDescent="0.3">
      <c r="A596" t="s">
        <v>239</v>
      </c>
      <c r="B596" s="2">
        <v>45839</v>
      </c>
      <c r="C596" s="52">
        <v>2349.9</v>
      </c>
      <c r="D596" s="48">
        <f>_xlfn.XLOOKUP(expected_production[[#This Row],[Site Name]],Table1[[Site Name ]],Table1[Commisioned Date],"")</f>
        <v>45951</v>
      </c>
      <c r="E596" s="47">
        <f>IF(ISNUMBER(expected_production[[#This Row],[Commissioned Date]]),MAX(0,(expected_production[[#This Row],[Date]]-expected_production[[#This Row],[Commissioned Date]])/365.25),"")</f>
        <v>0</v>
      </c>
      <c r="F596" s="49">
        <f>IF(expected_production[[#This Row],[Age (yrs)]]="",1,(1-DegradationRate)^expected_production[[#This Row],[Age (yrs)]])</f>
        <v>1</v>
      </c>
      <c r="G596" s="52">
        <f>IF(expected_production[[#This Row],[Base Expected (kWh)]]="","",expected_production[[#This Row],[Base Expected (kWh)]]*expected_production[[#This Row],[Degradation Factor]])</f>
        <v>2349.9</v>
      </c>
    </row>
    <row r="597" spans="1:7" ht="15" hidden="1" customHeight="1" x14ac:dyDescent="0.3">
      <c r="A597" t="s">
        <v>239</v>
      </c>
      <c r="B597" s="2">
        <v>45870</v>
      </c>
      <c r="C597" s="52">
        <v>2520</v>
      </c>
      <c r="D597" s="48">
        <f>_xlfn.XLOOKUP(expected_production[[#This Row],[Site Name]],Table1[[Site Name ]],Table1[Commisioned Date],"")</f>
        <v>45951</v>
      </c>
      <c r="E597" s="47">
        <f>IF(ISNUMBER(expected_production[[#This Row],[Commissioned Date]]),MAX(0,(expected_production[[#This Row],[Date]]-expected_production[[#This Row],[Commissioned Date]])/365.25),"")</f>
        <v>0</v>
      </c>
      <c r="F597" s="49">
        <f>IF(expected_production[[#This Row],[Age (yrs)]]="",1,(1-DegradationRate)^expected_production[[#This Row],[Age (yrs)]])</f>
        <v>1</v>
      </c>
      <c r="G597" s="52">
        <f>IF(expected_production[[#This Row],[Base Expected (kWh)]]="","",expected_production[[#This Row],[Base Expected (kWh)]]*expected_production[[#This Row],[Degradation Factor]])</f>
        <v>2520</v>
      </c>
    </row>
    <row r="598" spans="1:7" ht="15" hidden="1" customHeight="1" x14ac:dyDescent="0.3">
      <c r="A598" t="s">
        <v>239</v>
      </c>
      <c r="B598" s="2">
        <v>45901</v>
      </c>
      <c r="C598" s="52">
        <v>2436.3000000000002</v>
      </c>
      <c r="D598" s="48">
        <f>_xlfn.XLOOKUP(expected_production[[#This Row],[Site Name]],Table1[[Site Name ]],Table1[Commisioned Date],"")</f>
        <v>45951</v>
      </c>
      <c r="E598" s="47">
        <f>IF(ISNUMBER(expected_production[[#This Row],[Commissioned Date]]),MAX(0,(expected_production[[#This Row],[Date]]-expected_production[[#This Row],[Commissioned Date]])/365.25),"")</f>
        <v>0</v>
      </c>
      <c r="F598" s="49">
        <f>IF(expected_production[[#This Row],[Age (yrs)]]="",1,(1-DegradationRate)^expected_production[[#This Row],[Age (yrs)]])</f>
        <v>1</v>
      </c>
      <c r="G598" s="52">
        <f>IF(expected_production[[#This Row],[Base Expected (kWh)]]="","",expected_production[[#This Row],[Base Expected (kWh)]]*expected_production[[#This Row],[Degradation Factor]])</f>
        <v>2436.3000000000002</v>
      </c>
    </row>
    <row r="599" spans="1:7" ht="15" hidden="1" customHeight="1" x14ac:dyDescent="0.3">
      <c r="A599" t="s">
        <v>239</v>
      </c>
      <c r="B599" s="2">
        <v>45931</v>
      </c>
      <c r="C599" s="52">
        <v>2425.5</v>
      </c>
      <c r="D599" s="48">
        <f>_xlfn.XLOOKUP(expected_production[[#This Row],[Site Name]],Table1[[Site Name ]],Table1[Commisioned Date],"")</f>
        <v>45951</v>
      </c>
      <c r="E599" s="47">
        <f>IF(ISNUMBER(expected_production[[#This Row],[Commissioned Date]]),MAX(0,(expected_production[[#This Row],[Date]]-expected_production[[#This Row],[Commissioned Date]])/365.25),"")</f>
        <v>0</v>
      </c>
      <c r="F599" s="49">
        <f>IF(expected_production[[#This Row],[Age (yrs)]]="",1,(1-DegradationRate)^expected_production[[#This Row],[Age (yrs)]])</f>
        <v>1</v>
      </c>
      <c r="G599" s="52">
        <f>IF(expected_production[[#This Row],[Base Expected (kWh)]]="","",expected_production[[#This Row],[Base Expected (kWh)]]*expected_production[[#This Row],[Degradation Factor]])</f>
        <v>2425.5</v>
      </c>
    </row>
    <row r="600" spans="1:7" ht="15" hidden="1" customHeight="1" x14ac:dyDescent="0.3">
      <c r="A600" t="s">
        <v>239</v>
      </c>
      <c r="B600" s="2">
        <v>45962</v>
      </c>
      <c r="C600" s="52">
        <v>2356.1999999999998</v>
      </c>
      <c r="D600" s="48">
        <f>_xlfn.XLOOKUP(expected_production[[#This Row],[Site Name]],Table1[[Site Name ]],Table1[Commisioned Date],"")</f>
        <v>45951</v>
      </c>
      <c r="E600" s="47">
        <f>IF(ISNUMBER(expected_production[[#This Row],[Commissioned Date]]),MAX(0,(expected_production[[#This Row],[Date]]-expected_production[[#This Row],[Commissioned Date]])/365.25),"")</f>
        <v>3.0116358658453114E-2</v>
      </c>
      <c r="F600" s="49">
        <f>IF(expected_production[[#This Row],[Age (yrs)]]="",1,(1-DegradationRate)^expected_production[[#This Row],[Age (yrs)]])</f>
        <v>0.99978846655347597</v>
      </c>
      <c r="G600" s="52">
        <f>IF(expected_production[[#This Row],[Base Expected (kWh)]]="","",expected_production[[#This Row],[Base Expected (kWh)]]*expected_production[[#This Row],[Degradation Factor]])</f>
        <v>2355.7015848932997</v>
      </c>
    </row>
    <row r="601" spans="1:7" ht="15" hidden="1" customHeight="1" x14ac:dyDescent="0.3">
      <c r="A601" t="s">
        <v>239</v>
      </c>
      <c r="B601" s="2">
        <v>45992</v>
      </c>
      <c r="C601" s="52">
        <v>2437.1999999999998</v>
      </c>
      <c r="D601" s="48">
        <f>_xlfn.XLOOKUP(expected_production[[#This Row],[Site Name]],Table1[[Site Name ]],Table1[Commisioned Date],"")</f>
        <v>45951</v>
      </c>
      <c r="E601" s="47">
        <f>IF(ISNUMBER(expected_production[[#This Row],[Commissioned Date]]),MAX(0,(expected_production[[#This Row],[Date]]-expected_production[[#This Row],[Commissioned Date]])/365.25),"")</f>
        <v>0.11225188227241616</v>
      </c>
      <c r="F601" s="49">
        <f>IF(expected_production[[#This Row],[Age (yrs)]]="",1,(1-DegradationRate)^expected_production[[#This Row],[Age (yrs)]])</f>
        <v>0.9992117845562114</v>
      </c>
      <c r="G601" s="52">
        <f>IF(expected_production[[#This Row],[Base Expected (kWh)]]="","",expected_production[[#This Row],[Base Expected (kWh)]]*expected_production[[#This Row],[Degradation Factor]])</f>
        <v>2435.2789613203981</v>
      </c>
    </row>
    <row r="602" spans="1:7" ht="15" hidden="1" customHeight="1" x14ac:dyDescent="0.3">
      <c r="A602" t="s">
        <v>239</v>
      </c>
      <c r="B602" s="2">
        <v>46023</v>
      </c>
      <c r="C602" s="52">
        <v>2461.5</v>
      </c>
      <c r="D602" s="48">
        <f>_xlfn.XLOOKUP(expected_production[[#This Row],[Site Name]],Table1[[Site Name ]],Table1[Commisioned Date],"")</f>
        <v>45951</v>
      </c>
      <c r="E602" s="47">
        <f>IF(ISNUMBER(expected_production[[#This Row],[Commissioned Date]]),MAX(0,(expected_production[[#This Row],[Date]]-expected_production[[#This Row],[Commissioned Date]])/365.25),"")</f>
        <v>0.1971252566735113</v>
      </c>
      <c r="F602" s="49">
        <f>IF(expected_production[[#This Row],[Age (yrs)]]="",1,(1-DegradationRate)^expected_production[[#This Row],[Age (yrs)]])</f>
        <v>0.99861622927237392</v>
      </c>
      <c r="G602" s="52">
        <f>IF(expected_production[[#This Row],[Base Expected (kWh)]]="","",expected_production[[#This Row],[Base Expected (kWh)]]*expected_production[[#This Row],[Degradation Factor]])</f>
        <v>2458.0938483539485</v>
      </c>
    </row>
    <row r="603" spans="1:7" ht="15" hidden="1" customHeight="1" x14ac:dyDescent="0.3">
      <c r="A603" t="s">
        <v>239</v>
      </c>
      <c r="B603" s="2">
        <v>46054</v>
      </c>
      <c r="C603" s="52">
        <v>2300.4</v>
      </c>
      <c r="D603" s="48">
        <f>_xlfn.XLOOKUP(expected_production[[#This Row],[Site Name]],Table1[[Site Name ]],Table1[Commisioned Date],"")</f>
        <v>45951</v>
      </c>
      <c r="E603" s="47">
        <f>IF(ISNUMBER(expected_production[[#This Row],[Commissioned Date]]),MAX(0,(expected_production[[#This Row],[Date]]-expected_production[[#This Row],[Commissioned Date]])/365.25),"")</f>
        <v>0.28199863107460643</v>
      </c>
      <c r="F603" s="49">
        <f>IF(expected_production[[#This Row],[Age (yrs)]]="",1,(1-DegradationRate)^expected_production[[#This Row],[Age (yrs)]])</f>
        <v>0.99802102895442202</v>
      </c>
      <c r="G603" s="52">
        <f>IF(expected_production[[#This Row],[Base Expected (kWh)]]="","",expected_production[[#This Row],[Base Expected (kWh)]]*expected_production[[#This Row],[Degradation Factor]])</f>
        <v>2295.8475750067523</v>
      </c>
    </row>
    <row r="604" spans="1:7" ht="15" hidden="1" customHeight="1" x14ac:dyDescent="0.3">
      <c r="A604" t="s">
        <v>239</v>
      </c>
      <c r="B604" s="2">
        <v>46082</v>
      </c>
      <c r="C604" s="52">
        <v>2281.5</v>
      </c>
      <c r="D604" s="48">
        <f>_xlfn.XLOOKUP(expected_production[[#This Row],[Site Name]],Table1[[Site Name ]],Table1[Commisioned Date],"")</f>
        <v>45951</v>
      </c>
      <c r="E604" s="47">
        <f>IF(ISNUMBER(expected_production[[#This Row],[Commissioned Date]]),MAX(0,(expected_production[[#This Row],[Date]]-expected_production[[#This Row],[Commissioned Date]])/365.25),"")</f>
        <v>0.35865845311430528</v>
      </c>
      <c r="F604" s="49">
        <f>IF(expected_production[[#This Row],[Age (yrs)]]="",1,(1-DegradationRate)^expected_production[[#This Row],[Age (yrs)]])</f>
        <v>0.99748373359200648</v>
      </c>
      <c r="G604" s="52">
        <f>IF(expected_production[[#This Row],[Base Expected (kWh)]]="","",expected_production[[#This Row],[Base Expected (kWh)]]*expected_production[[#This Row],[Degradation Factor]])</f>
        <v>2275.759138190163</v>
      </c>
    </row>
    <row r="605" spans="1:7" ht="15" hidden="1" customHeight="1" x14ac:dyDescent="0.3">
      <c r="A605" t="s">
        <v>239</v>
      </c>
      <c r="B605" s="2">
        <v>46113</v>
      </c>
      <c r="C605" s="52">
        <v>2197.8000000000002</v>
      </c>
      <c r="D605" s="48">
        <f>_xlfn.XLOOKUP(expected_production[[#This Row],[Site Name]],Table1[[Site Name ]],Table1[Commisioned Date],"")</f>
        <v>45951</v>
      </c>
      <c r="E605" s="47">
        <f>IF(ISNUMBER(expected_production[[#This Row],[Commissioned Date]]),MAX(0,(expected_production[[#This Row],[Date]]-expected_production[[#This Row],[Commissioned Date]])/365.25),"")</f>
        <v>0.44353182751540043</v>
      </c>
      <c r="F605" s="49">
        <f>IF(expected_production[[#This Row],[Age (yrs)]]="",1,(1-DegradationRate)^expected_production[[#This Row],[Age (yrs)]])</f>
        <v>0.99688920826988314</v>
      </c>
      <c r="G605" s="52">
        <f>IF(expected_production[[#This Row],[Base Expected (kWh)]]="","",expected_production[[#This Row],[Base Expected (kWh)]]*expected_production[[#This Row],[Degradation Factor]])</f>
        <v>2190.9631019355493</v>
      </c>
    </row>
    <row r="606" spans="1:7" ht="15" hidden="1" customHeight="1" x14ac:dyDescent="0.3">
      <c r="A606" t="s">
        <v>239</v>
      </c>
      <c r="B606" s="2">
        <v>46143</v>
      </c>
      <c r="C606" s="52">
        <v>2226.6</v>
      </c>
      <c r="D606" s="48">
        <f>_xlfn.XLOOKUP(expected_production[[#This Row],[Site Name]],Table1[[Site Name ]],Table1[Commisioned Date],"")</f>
        <v>45951</v>
      </c>
      <c r="E606" s="47">
        <f>IF(ISNUMBER(expected_production[[#This Row],[Commissioned Date]]),MAX(0,(expected_production[[#This Row],[Date]]-expected_production[[#This Row],[Commissioned Date]])/365.25),"")</f>
        <v>0.52566735112936347</v>
      </c>
      <c r="F606" s="49">
        <f>IF(expected_production[[#This Row],[Age (yrs)]]="",1,(1-DegradationRate)^expected_production[[#This Row],[Age (yrs)]])</f>
        <v>0.99631419857642434</v>
      </c>
      <c r="G606" s="52">
        <f>IF(expected_production[[#This Row],[Base Expected (kWh)]]="","",expected_production[[#This Row],[Base Expected (kWh)]]*expected_production[[#This Row],[Degradation Factor]])</f>
        <v>2218.3931945502663</v>
      </c>
    </row>
    <row r="607" spans="1:7" ht="15" hidden="1" customHeight="1" x14ac:dyDescent="0.3">
      <c r="A607" t="s">
        <v>239</v>
      </c>
      <c r="B607" s="2">
        <v>46174</v>
      </c>
      <c r="C607" s="52">
        <v>2480.4</v>
      </c>
      <c r="D607" s="48">
        <f>_xlfn.XLOOKUP(expected_production[[#This Row],[Site Name]],Table1[[Site Name ]],Table1[Commisioned Date],"")</f>
        <v>45951</v>
      </c>
      <c r="E607" s="47">
        <f>IF(ISNUMBER(expected_production[[#This Row],[Commissioned Date]]),MAX(0,(expected_production[[#This Row],[Date]]-expected_production[[#This Row],[Commissioned Date]])/365.25),"")</f>
        <v>0.61054072553045857</v>
      </c>
      <c r="F607" s="49">
        <f>IF(expected_production[[#This Row],[Age (yrs)]]="",1,(1-DegradationRate)^expected_production[[#This Row],[Age (yrs)]])</f>
        <v>0.99572037032650229</v>
      </c>
      <c r="G607" s="52">
        <f>IF(expected_production[[#This Row],[Base Expected (kWh)]]="","",expected_production[[#This Row],[Base Expected (kWh)]]*expected_production[[#This Row],[Degradation Factor]])</f>
        <v>2469.7848065578564</v>
      </c>
    </row>
    <row r="608" spans="1:7" ht="15" hidden="1" customHeight="1" x14ac:dyDescent="0.3">
      <c r="A608" t="s">
        <v>239</v>
      </c>
      <c r="B608" s="2">
        <v>46204</v>
      </c>
      <c r="C608" s="52">
        <v>2349.9</v>
      </c>
      <c r="D608" s="48">
        <f>_xlfn.XLOOKUP(expected_production[[#This Row],[Site Name]],Table1[[Site Name ]],Table1[Commisioned Date],"")</f>
        <v>45951</v>
      </c>
      <c r="E608" s="47">
        <f>IF(ISNUMBER(expected_production[[#This Row],[Commissioned Date]]),MAX(0,(expected_production[[#This Row],[Date]]-expected_production[[#This Row],[Commissioned Date]])/365.25),"")</f>
        <v>0.69267624914442161</v>
      </c>
      <c r="F608" s="49">
        <f>IF(expected_production[[#This Row],[Age (yrs)]]="",1,(1-DegradationRate)^expected_production[[#This Row],[Age (yrs)]])</f>
        <v>0.99514603482345698</v>
      </c>
      <c r="G608" s="52">
        <f>IF(expected_production[[#This Row],[Base Expected (kWh)]]="","",expected_production[[#This Row],[Base Expected (kWh)]]*expected_production[[#This Row],[Degradation Factor]])</f>
        <v>2338.4936672316417</v>
      </c>
    </row>
    <row r="609" spans="1:7" ht="15" hidden="1" customHeight="1" x14ac:dyDescent="0.3">
      <c r="A609" t="s">
        <v>239</v>
      </c>
      <c r="B609" s="2">
        <v>46235</v>
      </c>
      <c r="C609" s="52">
        <v>2520</v>
      </c>
      <c r="D609" s="48">
        <f>_xlfn.XLOOKUP(expected_production[[#This Row],[Site Name]],Table1[[Site Name ]],Table1[Commisioned Date],"")</f>
        <v>45951</v>
      </c>
      <c r="E609" s="47">
        <f>IF(ISNUMBER(expected_production[[#This Row],[Commissioned Date]]),MAX(0,(expected_production[[#This Row],[Date]]-expected_production[[#This Row],[Commissioned Date]])/365.25),"")</f>
        <v>0.77754962354551682</v>
      </c>
      <c r="F609" s="49">
        <f>IF(expected_production[[#This Row],[Age (yrs)]]="",1,(1-DegradationRate)^expected_production[[#This Row],[Age (yrs)]])</f>
        <v>0.99455290282842923</v>
      </c>
      <c r="G609" s="52">
        <f>IF(expected_production[[#This Row],[Base Expected (kWh)]]="","",expected_production[[#This Row],[Base Expected (kWh)]]*expected_production[[#This Row],[Degradation Factor]])</f>
        <v>2506.2733151276416</v>
      </c>
    </row>
    <row r="610" spans="1:7" ht="15" hidden="1" customHeight="1" x14ac:dyDescent="0.3">
      <c r="A610" t="s">
        <v>239</v>
      </c>
      <c r="B610" s="2">
        <v>46266</v>
      </c>
      <c r="C610" s="52">
        <v>2436.3000000000002</v>
      </c>
      <c r="D610" s="48">
        <f>_xlfn.XLOOKUP(expected_production[[#This Row],[Site Name]],Table1[[Site Name ]],Table1[Commisioned Date],"")</f>
        <v>45951</v>
      </c>
      <c r="E610" s="47">
        <f>IF(ISNUMBER(expected_production[[#This Row],[Commissioned Date]]),MAX(0,(expected_production[[#This Row],[Date]]-expected_production[[#This Row],[Commissioned Date]])/365.25),"")</f>
        <v>0.86242299794661192</v>
      </c>
      <c r="F610" s="49">
        <f>IF(expected_production[[#This Row],[Age (yrs)]]="",1,(1-DegradationRate)^expected_production[[#This Row],[Age (yrs)]])</f>
        <v>0.99396012435494629</v>
      </c>
      <c r="G610" s="52">
        <f>IF(expected_production[[#This Row],[Base Expected (kWh)]]="","",expected_production[[#This Row],[Base Expected (kWh)]]*expected_production[[#This Row],[Degradation Factor]])</f>
        <v>2421.5850509659558</v>
      </c>
    </row>
    <row r="611" spans="1:7" ht="15" hidden="1" customHeight="1" x14ac:dyDescent="0.3">
      <c r="A611" t="s">
        <v>239</v>
      </c>
      <c r="B611" s="2">
        <v>46296</v>
      </c>
      <c r="C611" s="52">
        <v>2425.5</v>
      </c>
      <c r="D611" s="48">
        <f>_xlfn.XLOOKUP(expected_production[[#This Row],[Site Name]],Table1[[Site Name ]],Table1[Commisioned Date],"")</f>
        <v>45951</v>
      </c>
      <c r="E611" s="47">
        <f>IF(ISNUMBER(expected_production[[#This Row],[Commissioned Date]]),MAX(0,(expected_production[[#This Row],[Date]]-expected_production[[#This Row],[Commissioned Date]])/365.25),"")</f>
        <v>0.94455852156057496</v>
      </c>
      <c r="F611" s="49">
        <f>IF(expected_production[[#This Row],[Age (yrs)]]="",1,(1-DegradationRate)^expected_production[[#This Row],[Age (yrs)]])</f>
        <v>0.99338680416883696</v>
      </c>
      <c r="G611" s="52">
        <f>IF(expected_production[[#This Row],[Base Expected (kWh)]]="","",expected_production[[#This Row],[Base Expected (kWh)]]*expected_production[[#This Row],[Degradation Factor]])</f>
        <v>2409.4596935115142</v>
      </c>
    </row>
    <row r="612" spans="1:7" ht="15" hidden="1" customHeight="1" x14ac:dyDescent="0.3">
      <c r="A612" t="s">
        <v>239</v>
      </c>
      <c r="B612" s="2">
        <v>46327</v>
      </c>
      <c r="C612" s="52">
        <v>2356.1999999999998</v>
      </c>
      <c r="D612" s="48">
        <f>_xlfn.XLOOKUP(expected_production[[#This Row],[Site Name]],Table1[[Site Name ]],Table1[Commisioned Date],"")</f>
        <v>45951</v>
      </c>
      <c r="E612" s="47">
        <f>IF(ISNUMBER(expected_production[[#This Row],[Commissioned Date]]),MAX(0,(expected_production[[#This Row],[Date]]-expected_production[[#This Row],[Commissioned Date]])/365.25),"")</f>
        <v>1.0294318959616702</v>
      </c>
      <c r="F612" s="49">
        <f>IF(expected_production[[#This Row],[Age (yrs)]]="",1,(1-DegradationRate)^expected_production[[#This Row],[Age (yrs)]])</f>
        <v>0.99279472071940089</v>
      </c>
      <c r="G612" s="52">
        <f>IF(expected_production[[#This Row],[Base Expected (kWh)]]="","",expected_production[[#This Row],[Base Expected (kWh)]]*expected_production[[#This Row],[Degradation Factor]])</f>
        <v>2339.2229209590523</v>
      </c>
    </row>
    <row r="613" spans="1:7" ht="15" hidden="1" customHeight="1" x14ac:dyDescent="0.3">
      <c r="A613" t="s">
        <v>239</v>
      </c>
      <c r="B613" s="2">
        <v>46357</v>
      </c>
      <c r="C613" s="52">
        <v>2437.1999999999998</v>
      </c>
      <c r="D613" s="48">
        <f>_xlfn.XLOOKUP(expected_production[[#This Row],[Site Name]],Table1[[Site Name ]],Table1[Commisioned Date],"")</f>
        <v>45951</v>
      </c>
      <c r="E613" s="47">
        <f>IF(ISNUMBER(expected_production[[#This Row],[Commissioned Date]]),MAX(0,(expected_production[[#This Row],[Date]]-expected_production[[#This Row],[Commissioned Date]])/365.25),"")</f>
        <v>1.1115674195756331</v>
      </c>
      <c r="F613" s="49">
        <f>IF(expected_production[[#This Row],[Age (yrs)]]="",1,(1-DegradationRate)^expected_production[[#This Row],[Age (yrs)]])</f>
        <v>0.99222207274278251</v>
      </c>
      <c r="G613" s="52">
        <f>IF(expected_production[[#This Row],[Base Expected (kWh)]]="","",expected_production[[#This Row],[Base Expected (kWh)]]*expected_production[[#This Row],[Degradation Factor]])</f>
        <v>2418.2436356887092</v>
      </c>
    </row>
    <row r="614" spans="1:7" ht="15" hidden="1" customHeight="1" x14ac:dyDescent="0.3">
      <c r="A614" t="s">
        <v>98</v>
      </c>
      <c r="B614" s="2">
        <v>45292</v>
      </c>
      <c r="C614" s="52">
        <v>13584</v>
      </c>
      <c r="D614" s="48">
        <f>_xlfn.XLOOKUP(expected_production[[#This Row],[Site Name]],Table1[[Site Name ]],Table1[Commisioned Date],"")</f>
        <v>44479</v>
      </c>
      <c r="E614" s="47">
        <f>IF(ISNUMBER(expected_production[[#This Row],[Commissioned Date]]),MAX(0,(expected_production[[#This Row],[Date]]-expected_production[[#This Row],[Commissioned Date]])/365.25),"")</f>
        <v>2.2258726899383983</v>
      </c>
      <c r="F614" s="49">
        <f>IF(expected_production[[#This Row],[Age (yrs)]]="",1,(1-DegradationRate)^expected_production[[#This Row],[Age (yrs)]])</f>
        <v>0.98448570748464115</v>
      </c>
      <c r="G614" s="52">
        <f>IF(expected_production[[#This Row],[Base Expected (kWh)]]="","",expected_production[[#This Row],[Base Expected (kWh)]]*expected_production[[#This Row],[Degradation Factor]])</f>
        <v>13373.253850471365</v>
      </c>
    </row>
    <row r="615" spans="1:7" ht="15" hidden="1" customHeight="1" x14ac:dyDescent="0.3">
      <c r="A615" t="s">
        <v>98</v>
      </c>
      <c r="B615" s="2">
        <v>45323</v>
      </c>
      <c r="C615" s="52">
        <v>12445.28</v>
      </c>
      <c r="D615" s="48">
        <f>_xlfn.XLOOKUP(expected_production[[#This Row],[Site Name]],Table1[[Site Name ]],Table1[Commisioned Date],"")</f>
        <v>44479</v>
      </c>
      <c r="E615" s="47">
        <f>IF(ISNUMBER(expected_production[[#This Row],[Commissioned Date]]),MAX(0,(expected_production[[#This Row],[Date]]-expected_production[[#This Row],[Commissioned Date]])/365.25),"")</f>
        <v>2.3107460643394937</v>
      </c>
      <c r="F615" s="49">
        <f>IF(expected_production[[#This Row],[Age (yrs)]]="",1,(1-DegradationRate)^expected_production[[#This Row],[Age (yrs)]])</f>
        <v>0.98389892931206846</v>
      </c>
      <c r="G615" s="52">
        <f>IF(expected_production[[#This Row],[Base Expected (kWh)]]="","",expected_production[[#This Row],[Base Expected (kWh)]]*expected_production[[#This Row],[Degradation Factor]])</f>
        <v>12244.8976669889</v>
      </c>
    </row>
    <row r="616" spans="1:7" ht="15" hidden="1" customHeight="1" x14ac:dyDescent="0.3">
      <c r="A616" t="s">
        <v>98</v>
      </c>
      <c r="B616" s="2">
        <v>45352</v>
      </c>
      <c r="C616" s="52">
        <v>12742.08</v>
      </c>
      <c r="D616" s="48">
        <f>_xlfn.XLOOKUP(expected_production[[#This Row],[Site Name]],Table1[[Site Name ]],Table1[Commisioned Date],"")</f>
        <v>44479</v>
      </c>
      <c r="E616" s="47">
        <f>IF(ISNUMBER(expected_production[[#This Row],[Commissioned Date]]),MAX(0,(expected_production[[#This Row],[Date]]-expected_production[[#This Row],[Commissioned Date]])/365.25),"")</f>
        <v>2.3901437371663246</v>
      </c>
      <c r="F616" s="49">
        <f>IF(expected_production[[#This Row],[Age (yrs)]]="",1,(1-DegradationRate)^expected_production[[#This Row],[Age (yrs)]])</f>
        <v>0.98335032441693748</v>
      </c>
      <c r="G616" s="52">
        <f>IF(expected_production[[#This Row],[Base Expected (kWh)]]="","",expected_production[[#This Row],[Base Expected (kWh)]]*expected_production[[#This Row],[Degradation Factor]])</f>
        <v>12529.92850174657</v>
      </c>
    </row>
    <row r="617" spans="1:7" ht="15" hidden="1" customHeight="1" x14ac:dyDescent="0.3">
      <c r="A617" t="s">
        <v>98</v>
      </c>
      <c r="B617" s="2">
        <v>45383</v>
      </c>
      <c r="C617" s="52">
        <v>10941.84</v>
      </c>
      <c r="D617" s="48">
        <f>_xlfn.XLOOKUP(expected_production[[#This Row],[Site Name]],Table1[[Site Name ]],Table1[Commisioned Date],"")</f>
        <v>44479</v>
      </c>
      <c r="E617" s="47">
        <f>IF(ISNUMBER(expected_production[[#This Row],[Commissioned Date]]),MAX(0,(expected_production[[#This Row],[Date]]-expected_production[[#This Row],[Commissioned Date]])/365.25),"")</f>
        <v>2.4750171115674195</v>
      </c>
      <c r="F617" s="49">
        <f>IF(expected_production[[#This Row],[Age (yrs)]]="",1,(1-DegradationRate)^expected_production[[#This Row],[Age (yrs)]])</f>
        <v>0.98276422296114851</v>
      </c>
      <c r="G617" s="52">
        <f>IF(expected_production[[#This Row],[Base Expected (kWh)]]="","",expected_production[[#This Row],[Base Expected (kWh)]]*expected_production[[#This Row],[Degradation Factor]])</f>
        <v>10753.248885365214</v>
      </c>
    </row>
    <row r="618" spans="1:7" ht="15" hidden="1" customHeight="1" x14ac:dyDescent="0.3">
      <c r="A618" t="s">
        <v>98</v>
      </c>
      <c r="B618" s="2">
        <v>45413</v>
      </c>
      <c r="C618" s="52">
        <v>9881.2800000000007</v>
      </c>
      <c r="D618" s="48">
        <f>_xlfn.XLOOKUP(expected_production[[#This Row],[Site Name]],Table1[[Site Name ]],Table1[Commisioned Date],"")</f>
        <v>44479</v>
      </c>
      <c r="E618" s="47">
        <f>IF(ISNUMBER(expected_production[[#This Row],[Commissioned Date]]),MAX(0,(expected_production[[#This Row],[Date]]-expected_production[[#This Row],[Commissioned Date]])/365.25),"")</f>
        <v>2.5571526351813825</v>
      </c>
      <c r="F618" s="49">
        <f>IF(expected_production[[#This Row],[Age (yrs)]]="",1,(1-DegradationRate)^expected_production[[#This Row],[Age (yrs)]])</f>
        <v>0.98219736061586549</v>
      </c>
      <c r="G618" s="52">
        <f>IF(expected_production[[#This Row],[Base Expected (kWh)]]="","",expected_production[[#This Row],[Base Expected (kWh)]]*expected_production[[#This Row],[Degradation Factor]])</f>
        <v>9705.3671355063398</v>
      </c>
    </row>
    <row r="619" spans="1:7" ht="15" hidden="1" customHeight="1" x14ac:dyDescent="0.3">
      <c r="A619" t="s">
        <v>98</v>
      </c>
      <c r="B619" s="2">
        <v>45444</v>
      </c>
      <c r="C619" s="52">
        <v>9234.8799999999992</v>
      </c>
      <c r="D619" s="48">
        <f>_xlfn.XLOOKUP(expected_production[[#This Row],[Site Name]],Table1[[Site Name ]],Table1[Commisioned Date],"")</f>
        <v>44479</v>
      </c>
      <c r="E619" s="47">
        <f>IF(ISNUMBER(expected_production[[#This Row],[Commissioned Date]]),MAX(0,(expected_production[[#This Row],[Date]]-expected_production[[#This Row],[Commissioned Date]])/365.25),"")</f>
        <v>2.6420260095824779</v>
      </c>
      <c r="F619" s="49">
        <f>IF(expected_production[[#This Row],[Age (yrs)]]="",1,(1-DegradationRate)^expected_production[[#This Row],[Age (yrs)]])</f>
        <v>0.98161194635541837</v>
      </c>
      <c r="G619" s="52">
        <f>IF(expected_production[[#This Row],[Base Expected (kWh)]]="","",expected_production[[#This Row],[Base Expected (kWh)]]*expected_production[[#This Row],[Degradation Factor]])</f>
        <v>9065.0685311587258</v>
      </c>
    </row>
    <row r="620" spans="1:7" ht="15" hidden="1" customHeight="1" x14ac:dyDescent="0.3">
      <c r="A620" t="s">
        <v>98</v>
      </c>
      <c r="B620" s="2">
        <v>45474</v>
      </c>
      <c r="C620" s="52">
        <v>9756.08</v>
      </c>
      <c r="D620" s="48">
        <f>_xlfn.XLOOKUP(expected_production[[#This Row],[Site Name]],Table1[[Site Name ]],Table1[Commisioned Date],"")</f>
        <v>44479</v>
      </c>
      <c r="E620" s="47">
        <f>IF(ISNUMBER(expected_production[[#This Row],[Commissioned Date]]),MAX(0,(expected_production[[#This Row],[Date]]-expected_production[[#This Row],[Commissioned Date]])/365.25),"")</f>
        <v>2.7241615331964408</v>
      </c>
      <c r="F620" s="49">
        <f>IF(expected_production[[#This Row],[Age (yrs)]]="",1,(1-DegradationRate)^expected_production[[#This Row],[Age (yrs)]])</f>
        <v>0.98104574864790284</v>
      </c>
      <c r="G620" s="52">
        <f>IF(expected_production[[#This Row],[Base Expected (kWh)]]="","",expected_production[[#This Row],[Base Expected (kWh)]]*expected_production[[#This Row],[Degradation Factor]])</f>
        <v>9571.160807468832</v>
      </c>
    </row>
    <row r="621" spans="1:7" ht="15" hidden="1" customHeight="1" x14ac:dyDescent="0.3">
      <c r="A621" t="s">
        <v>98</v>
      </c>
      <c r="B621" s="2">
        <v>45505</v>
      </c>
      <c r="C621" s="52">
        <v>10822.4</v>
      </c>
      <c r="D621" s="48">
        <f>_xlfn.XLOOKUP(expected_production[[#This Row],[Site Name]],Table1[[Site Name ]],Table1[Commisioned Date],"")</f>
        <v>44479</v>
      </c>
      <c r="E621" s="47">
        <f>IF(ISNUMBER(expected_production[[#This Row],[Commissioned Date]]),MAX(0,(expected_production[[#This Row],[Date]]-expected_production[[#This Row],[Commissioned Date]])/365.25),"")</f>
        <v>2.8090349075975358</v>
      </c>
      <c r="F621" s="49">
        <f>IF(expected_production[[#This Row],[Age (yrs)]]="",1,(1-DegradationRate)^expected_production[[#This Row],[Age (yrs)]])</f>
        <v>0.98046102077707109</v>
      </c>
      <c r="G621" s="52">
        <f>IF(expected_production[[#This Row],[Base Expected (kWh)]]="","",expected_production[[#This Row],[Base Expected (kWh)]]*expected_production[[#This Row],[Degradation Factor]])</f>
        <v>10610.941351257774</v>
      </c>
    </row>
    <row r="622" spans="1:7" ht="15" hidden="1" customHeight="1" x14ac:dyDescent="0.3">
      <c r="A622" t="s">
        <v>98</v>
      </c>
      <c r="B622" s="2">
        <v>45536</v>
      </c>
      <c r="C622" s="52">
        <v>10915.68</v>
      </c>
      <c r="D622" s="48">
        <f>_xlfn.XLOOKUP(expected_production[[#This Row],[Site Name]],Table1[[Site Name ]],Table1[Commisioned Date],"")</f>
        <v>44479</v>
      </c>
      <c r="E622" s="47">
        <f>IF(ISNUMBER(expected_production[[#This Row],[Commissioned Date]]),MAX(0,(expected_production[[#This Row],[Date]]-expected_production[[#This Row],[Commissioned Date]])/365.25),"")</f>
        <v>2.8939082819986313</v>
      </c>
      <c r="F622" s="49">
        <f>IF(expected_production[[#This Row],[Age (yrs)]]="",1,(1-DegradationRate)^expected_production[[#This Row],[Age (yrs)]])</f>
        <v>0.97987664141871533</v>
      </c>
      <c r="G622" s="52">
        <f>IF(expected_production[[#This Row],[Base Expected (kWh)]]="","",expected_production[[#This Row],[Base Expected (kWh)]]*expected_production[[#This Row],[Degradation Factor]])</f>
        <v>10696.019857201443</v>
      </c>
    </row>
    <row r="623" spans="1:7" ht="15" hidden="1" customHeight="1" x14ac:dyDescent="0.3">
      <c r="A623" t="s">
        <v>98</v>
      </c>
      <c r="B623" s="2">
        <v>45566</v>
      </c>
      <c r="C623" s="52">
        <v>12133.12</v>
      </c>
      <c r="D623" s="48">
        <f>_xlfn.XLOOKUP(expected_production[[#This Row],[Site Name]],Table1[[Site Name ]],Table1[Commisioned Date],"")</f>
        <v>44479</v>
      </c>
      <c r="E623" s="47">
        <f>IF(ISNUMBER(expected_production[[#This Row],[Commissioned Date]]),MAX(0,(expected_production[[#This Row],[Date]]-expected_production[[#This Row],[Commissioned Date]])/365.25),"")</f>
        <v>2.9760438056125942</v>
      </c>
      <c r="F623" s="49">
        <f>IF(expected_production[[#This Row],[Age (yrs)]]="",1,(1-DegradationRate)^expected_production[[#This Row],[Age (yrs)]])</f>
        <v>0.97931144464204689</v>
      </c>
      <c r="G623" s="52">
        <f>IF(expected_production[[#This Row],[Base Expected (kWh)]]="","",expected_production[[#This Row],[Base Expected (kWh)]]*expected_production[[#This Row],[Degradation Factor]])</f>
        <v>11882.103275215313</v>
      </c>
    </row>
    <row r="624" spans="1:7" ht="15" hidden="1" customHeight="1" x14ac:dyDescent="0.3">
      <c r="A624" t="s">
        <v>98</v>
      </c>
      <c r="B624" s="2">
        <v>45597</v>
      </c>
      <c r="C624" s="52">
        <v>12325.98984</v>
      </c>
      <c r="D624" s="48">
        <f>_xlfn.XLOOKUP(expected_production[[#This Row],[Site Name]],Table1[[Site Name ]],Table1[Commisioned Date],"")</f>
        <v>44479</v>
      </c>
      <c r="E624" s="47">
        <f>IF(ISNUMBER(expected_production[[#This Row],[Commissioned Date]]),MAX(0,(expected_production[[#This Row],[Date]]-expected_production[[#This Row],[Commissioned Date]])/365.25),"")</f>
        <v>3.0609171800136892</v>
      </c>
      <c r="F624" s="49">
        <f>IF(expected_production[[#This Row],[Age (yrs)]]="",1,(1-DegradationRate)^expected_production[[#This Row],[Age (yrs)]])</f>
        <v>0.97872775045989902</v>
      </c>
      <c r="G624" s="52">
        <f>IF(expected_production[[#This Row],[Base Expected (kWh)]]="","",expected_production[[#This Row],[Base Expected (kWh)]]*expected_production[[#This Row],[Degradation Factor]])</f>
        <v>12063.78830829477</v>
      </c>
    </row>
    <row r="625" spans="1:7" ht="15" hidden="1" customHeight="1" x14ac:dyDescent="0.3">
      <c r="A625" t="s">
        <v>98</v>
      </c>
      <c r="B625" s="2">
        <v>45627</v>
      </c>
      <c r="C625" s="52">
        <v>13473.89784</v>
      </c>
      <c r="D625" s="48">
        <f>_xlfn.XLOOKUP(expected_production[[#This Row],[Site Name]],Table1[[Site Name ]],Table1[Commisioned Date],"")</f>
        <v>44479</v>
      </c>
      <c r="E625" s="47">
        <f>IF(ISNUMBER(expected_production[[#This Row],[Commissioned Date]]),MAX(0,(expected_production[[#This Row],[Date]]-expected_production[[#This Row],[Commissioned Date]])/365.25),"")</f>
        <v>3.1430527036276521</v>
      </c>
      <c r="F625" s="49">
        <f>IF(expected_production[[#This Row],[Age (yrs)]]="",1,(1-DegradationRate)^expected_production[[#This Row],[Age (yrs)]])</f>
        <v>0.97816321636814341</v>
      </c>
      <c r="G625" s="52">
        <f>IF(expected_production[[#This Row],[Base Expected (kWh)]]="","",expected_production[[#This Row],[Base Expected (kWh)]]*expected_production[[#This Row],[Degradation Factor]])</f>
        <v>13179.67124819018</v>
      </c>
    </row>
    <row r="626" spans="1:7" ht="15" hidden="1" customHeight="1" x14ac:dyDescent="0.3">
      <c r="A626" t="s">
        <v>98</v>
      </c>
      <c r="B626" s="2">
        <v>45658</v>
      </c>
      <c r="C626" s="52">
        <v>13584</v>
      </c>
      <c r="D626" s="48">
        <f>_xlfn.XLOOKUP(expected_production[[#This Row],[Site Name]],Table1[[Site Name ]],Table1[Commisioned Date],"")</f>
        <v>44479</v>
      </c>
      <c r="E626" s="47">
        <f>IF(ISNUMBER(expected_production[[#This Row],[Commissioned Date]]),MAX(0,(expected_production[[#This Row],[Date]]-expected_production[[#This Row],[Commissioned Date]])/365.25),"")</f>
        <v>3.2279260780287475</v>
      </c>
      <c r="F626" s="49">
        <f>IF(expected_production[[#This Row],[Age (yrs)]]="",1,(1-DegradationRate)^expected_production[[#This Row],[Age (yrs)]])</f>
        <v>0.97758020655884426</v>
      </c>
      <c r="G626" s="52">
        <f>IF(expected_production[[#This Row],[Base Expected (kWh)]]="","",expected_production[[#This Row],[Base Expected (kWh)]]*expected_production[[#This Row],[Degradation Factor]])</f>
        <v>13279.449525895341</v>
      </c>
    </row>
    <row r="627" spans="1:7" ht="15" hidden="1" customHeight="1" x14ac:dyDescent="0.3">
      <c r="A627" t="s">
        <v>98</v>
      </c>
      <c r="B627" s="2">
        <v>45689</v>
      </c>
      <c r="C627" s="52">
        <v>12445.28</v>
      </c>
      <c r="D627" s="48">
        <f>_xlfn.XLOOKUP(expected_production[[#This Row],[Site Name]],Table1[[Site Name ]],Table1[Commisioned Date],"")</f>
        <v>44479</v>
      </c>
      <c r="E627" s="47">
        <f>IF(ISNUMBER(expected_production[[#This Row],[Commissioned Date]]),MAX(0,(expected_production[[#This Row],[Date]]-expected_production[[#This Row],[Commissioned Date]])/365.25),"")</f>
        <v>3.3127994524298425</v>
      </c>
      <c r="F627" s="49">
        <f>IF(expected_production[[#This Row],[Age (yrs)]]="",1,(1-DegradationRate)^expected_production[[#This Row],[Age (yrs)]])</f>
        <v>0.97699754423801344</v>
      </c>
      <c r="G627" s="52">
        <f>IF(expected_production[[#This Row],[Base Expected (kWh)]]="","",expected_production[[#This Row],[Base Expected (kWh)]]*expected_production[[#This Row],[Degradation Factor]])</f>
        <v>12159.007997354465</v>
      </c>
    </row>
    <row r="628" spans="1:7" ht="15" hidden="1" customHeight="1" x14ac:dyDescent="0.3">
      <c r="A628" t="s">
        <v>98</v>
      </c>
      <c r="B628" s="2">
        <v>45717</v>
      </c>
      <c r="C628" s="52">
        <v>12742.08</v>
      </c>
      <c r="D628" s="48">
        <f>_xlfn.XLOOKUP(expected_production[[#This Row],[Site Name]],Table1[[Site Name ]],Table1[Commisioned Date],"")</f>
        <v>44479</v>
      </c>
      <c r="E628" s="47">
        <f>IF(ISNUMBER(expected_production[[#This Row],[Commissioned Date]]),MAX(0,(expected_production[[#This Row],[Date]]-expected_production[[#This Row],[Commissioned Date]])/365.25),"")</f>
        <v>3.3894592744695413</v>
      </c>
      <c r="F628" s="49">
        <f>IF(expected_production[[#This Row],[Age (yrs)]]="",1,(1-DegradationRate)^expected_production[[#This Row],[Age (yrs)]])</f>
        <v>0.97647156709486593</v>
      </c>
      <c r="G628" s="52">
        <f>IF(expected_production[[#This Row],[Base Expected (kWh)]]="","",expected_production[[#This Row],[Base Expected (kWh)]]*expected_production[[#This Row],[Degradation Factor]])</f>
        <v>12442.278825648149</v>
      </c>
    </row>
    <row r="629" spans="1:7" ht="15" hidden="1" customHeight="1" x14ac:dyDescent="0.3">
      <c r="A629" t="s">
        <v>98</v>
      </c>
      <c r="B629" s="2">
        <v>45748</v>
      </c>
      <c r="C629" s="52">
        <v>10941.84</v>
      </c>
      <c r="D629" s="48">
        <f>_xlfn.XLOOKUP(expected_production[[#This Row],[Site Name]],Table1[[Site Name ]],Table1[Commisioned Date],"")</f>
        <v>44479</v>
      </c>
      <c r="E629" s="47">
        <f>IF(ISNUMBER(expected_production[[#This Row],[Commissioned Date]]),MAX(0,(expected_production[[#This Row],[Date]]-expected_production[[#This Row],[Commissioned Date]])/365.25),"")</f>
        <v>3.4743326488706368</v>
      </c>
      <c r="F629" s="49">
        <f>IF(expected_production[[#This Row],[Age (yrs)]]="",1,(1-DegradationRate)^expected_production[[#This Row],[Age (yrs)]])</f>
        <v>0.97588956555096029</v>
      </c>
      <c r="G629" s="52">
        <f>IF(expected_production[[#This Row],[Base Expected (kWh)]]="","",expected_production[[#This Row],[Base Expected (kWh)]]*expected_production[[#This Row],[Degradation Factor]])</f>
        <v>10678.027483928119</v>
      </c>
    </row>
    <row r="630" spans="1:7" ht="15" hidden="1" customHeight="1" x14ac:dyDescent="0.3">
      <c r="A630" t="s">
        <v>98</v>
      </c>
      <c r="B630" s="2">
        <v>45778</v>
      </c>
      <c r="C630" s="52">
        <v>9881.2800000000007</v>
      </c>
      <c r="D630" s="48">
        <f>_xlfn.XLOOKUP(expected_production[[#This Row],[Site Name]],Table1[[Site Name ]],Table1[Commisioned Date],"")</f>
        <v>44479</v>
      </c>
      <c r="E630" s="47">
        <f>IF(ISNUMBER(expected_production[[#This Row],[Commissioned Date]]),MAX(0,(expected_production[[#This Row],[Date]]-expected_production[[#This Row],[Commissioned Date]])/365.25),"")</f>
        <v>3.5564681724845997</v>
      </c>
      <c r="F630" s="49">
        <f>IF(expected_production[[#This Row],[Age (yrs)]]="",1,(1-DegradationRate)^expected_production[[#This Row],[Age (yrs)]])</f>
        <v>0.97532666853564309</v>
      </c>
      <c r="G630" s="52">
        <f>IF(expected_production[[#This Row],[Base Expected (kWh)]]="","",expected_production[[#This Row],[Base Expected (kWh)]]*expected_production[[#This Row],[Degradation Factor]])</f>
        <v>9637.4759032678794</v>
      </c>
    </row>
    <row r="631" spans="1:7" ht="15" hidden="1" customHeight="1" x14ac:dyDescent="0.3">
      <c r="A631" t="s">
        <v>98</v>
      </c>
      <c r="B631" s="2">
        <v>45809</v>
      </c>
      <c r="C631" s="52">
        <v>9234.8799999999992</v>
      </c>
      <c r="D631" s="48">
        <f>_xlfn.XLOOKUP(expected_production[[#This Row],[Site Name]],Table1[[Site Name ]],Table1[Commisioned Date],"")</f>
        <v>44479</v>
      </c>
      <c r="E631" s="47">
        <f>IF(ISNUMBER(expected_production[[#This Row],[Commissioned Date]]),MAX(0,(expected_production[[#This Row],[Date]]-expected_production[[#This Row],[Commissioned Date]])/365.25),"")</f>
        <v>3.6413415468856947</v>
      </c>
      <c r="F631" s="49">
        <f>IF(expected_production[[#This Row],[Age (yrs)]]="",1,(1-DegradationRate)^expected_production[[#This Row],[Age (yrs)]])</f>
        <v>0.9747453493799928</v>
      </c>
      <c r="G631" s="52">
        <f>IF(expected_production[[#This Row],[Base Expected (kWh)]]="","",expected_production[[#This Row],[Base Expected (kWh)]]*expected_production[[#This Row],[Degradation Factor]])</f>
        <v>9001.6563320823079</v>
      </c>
    </row>
    <row r="632" spans="1:7" ht="15" hidden="1" customHeight="1" x14ac:dyDescent="0.3">
      <c r="A632" t="s">
        <v>98</v>
      </c>
      <c r="B632" s="2">
        <v>45839</v>
      </c>
      <c r="C632" s="52">
        <v>9756.08</v>
      </c>
      <c r="D632" s="48">
        <f>_xlfn.XLOOKUP(expected_production[[#This Row],[Site Name]],Table1[[Site Name ]],Table1[Commisioned Date],"")</f>
        <v>44479</v>
      </c>
      <c r="E632" s="47">
        <f>IF(ISNUMBER(expected_production[[#This Row],[Commissioned Date]]),MAX(0,(expected_production[[#This Row],[Date]]-expected_production[[#This Row],[Commissioned Date]])/365.25),"")</f>
        <v>3.7234770704996576</v>
      </c>
      <c r="F632" s="49">
        <f>IF(expected_production[[#This Row],[Age (yrs)]]="",1,(1-DegradationRate)^expected_production[[#This Row],[Age (yrs)]])</f>
        <v>0.97418311235315191</v>
      </c>
      <c r="G632" s="52">
        <f>IF(expected_production[[#This Row],[Base Expected (kWh)]]="","",expected_production[[#This Row],[Base Expected (kWh)]]*expected_production[[#This Row],[Degradation Factor]])</f>
        <v>9504.2083787663378</v>
      </c>
    </row>
    <row r="633" spans="1:7" ht="15" hidden="1" customHeight="1" x14ac:dyDescent="0.3">
      <c r="A633" t="s">
        <v>98</v>
      </c>
      <c r="B633" s="2">
        <v>45870</v>
      </c>
      <c r="C633" s="52">
        <v>10822.4</v>
      </c>
      <c r="D633" s="48">
        <f>_xlfn.XLOOKUP(expected_production[[#This Row],[Site Name]],Table1[[Site Name ]],Table1[Commisioned Date],"")</f>
        <v>44479</v>
      </c>
      <c r="E633" s="47">
        <f>IF(ISNUMBER(expected_production[[#This Row],[Commissioned Date]]),MAX(0,(expected_production[[#This Row],[Date]]-expected_production[[#This Row],[Commissioned Date]])/365.25),"")</f>
        <v>3.808350444900753</v>
      </c>
      <c r="F633" s="49">
        <f>IF(expected_production[[#This Row],[Age (yrs)]]="",1,(1-DegradationRate)^expected_production[[#This Row],[Age (yrs)]])</f>
        <v>0.97360247478566675</v>
      </c>
      <c r="G633" s="52">
        <f>IF(expected_production[[#This Row],[Base Expected (kWh)]]="","",expected_production[[#This Row],[Base Expected (kWh)]]*expected_production[[#This Row],[Degradation Factor]])</f>
        <v>10536.7154231204</v>
      </c>
    </row>
    <row r="634" spans="1:7" ht="15" hidden="1" customHeight="1" x14ac:dyDescent="0.3">
      <c r="A634" t="s">
        <v>98</v>
      </c>
      <c r="B634" s="2">
        <v>45901</v>
      </c>
      <c r="C634" s="52">
        <v>10915.68</v>
      </c>
      <c r="D634" s="48">
        <f>_xlfn.XLOOKUP(expected_production[[#This Row],[Site Name]],Table1[[Site Name ]],Table1[Commisioned Date],"")</f>
        <v>44479</v>
      </c>
      <c r="E634" s="47">
        <f>IF(ISNUMBER(expected_production[[#This Row],[Commissioned Date]]),MAX(0,(expected_production[[#This Row],[Date]]-expected_production[[#This Row],[Commissioned Date]])/365.25),"")</f>
        <v>3.893223819301848</v>
      </c>
      <c r="F634" s="49">
        <f>IF(expected_production[[#This Row],[Age (yrs)]]="",1,(1-DegradationRate)^expected_production[[#This Row],[Age (yrs)]])</f>
        <v>0.97302218329273427</v>
      </c>
      <c r="G634" s="52">
        <f>IF(expected_production[[#This Row],[Base Expected (kWh)]]="","",expected_production[[#This Row],[Base Expected (kWh)]]*expected_production[[#This Row],[Degradation Factor]])</f>
        <v>10621.198785724833</v>
      </c>
    </row>
    <row r="635" spans="1:7" ht="15" hidden="1" customHeight="1" x14ac:dyDescent="0.3">
      <c r="A635" t="s">
        <v>98</v>
      </c>
      <c r="B635" s="2">
        <v>45931</v>
      </c>
      <c r="C635" s="52">
        <v>12133.12</v>
      </c>
      <c r="D635" s="48">
        <f>_xlfn.XLOOKUP(expected_production[[#This Row],[Site Name]],Table1[[Site Name ]],Table1[Commisioned Date],"")</f>
        <v>44479</v>
      </c>
      <c r="E635" s="47">
        <f>IF(ISNUMBER(expected_production[[#This Row],[Commissioned Date]]),MAX(0,(expected_production[[#This Row],[Date]]-expected_production[[#This Row],[Commissioned Date]])/365.25),"")</f>
        <v>3.9753593429158109</v>
      </c>
      <c r="F635" s="49">
        <f>IF(expected_production[[#This Row],[Age (yrs)]]="",1,(1-DegradationRate)^expected_production[[#This Row],[Age (yrs)]])</f>
        <v>0.97246094019500351</v>
      </c>
      <c r="G635" s="52">
        <f>IF(expected_production[[#This Row],[Base Expected (kWh)]]="","",expected_production[[#This Row],[Base Expected (kWh)]]*expected_production[[#This Row],[Degradation Factor]])</f>
        <v>11798.985282698803</v>
      </c>
    </row>
    <row r="636" spans="1:7" ht="15" hidden="1" customHeight="1" x14ac:dyDescent="0.3">
      <c r="A636" t="s">
        <v>98</v>
      </c>
      <c r="B636" s="2">
        <v>45962</v>
      </c>
      <c r="C636" s="52">
        <v>12325.98984</v>
      </c>
      <c r="D636" s="48">
        <f>_xlfn.XLOOKUP(expected_production[[#This Row],[Site Name]],Table1[[Site Name ]],Table1[Commisioned Date],"")</f>
        <v>44479</v>
      </c>
      <c r="E636" s="47">
        <f>IF(ISNUMBER(expected_production[[#This Row],[Commissioned Date]]),MAX(0,(expected_production[[#This Row],[Date]]-expected_production[[#This Row],[Commissioned Date]])/365.25),"")</f>
        <v>4.0602327173169064</v>
      </c>
      <c r="F636" s="49">
        <f>IF(expected_production[[#This Row],[Age (yrs)]]="",1,(1-DegradationRate)^expected_production[[#This Row],[Age (yrs)]])</f>
        <v>0.97188132908531666</v>
      </c>
      <c r="G636" s="52">
        <f>IF(expected_production[[#This Row],[Base Expected (kWh)]]="","",expected_production[[#This Row],[Base Expected (kWh)]]*expected_production[[#This Row],[Degradation Factor]])</f>
        <v>11979.399387991311</v>
      </c>
    </row>
    <row r="637" spans="1:7" ht="15" hidden="1" customHeight="1" x14ac:dyDescent="0.3">
      <c r="A637" t="s">
        <v>98</v>
      </c>
      <c r="B637" s="2">
        <v>45992</v>
      </c>
      <c r="C637" s="52">
        <v>13473.89784</v>
      </c>
      <c r="D637" s="48">
        <f>_xlfn.XLOOKUP(expected_production[[#This Row],[Site Name]],Table1[[Site Name ]],Table1[Commisioned Date],"")</f>
        <v>44479</v>
      </c>
      <c r="E637" s="47">
        <f>IF(ISNUMBER(expected_production[[#This Row],[Commissioned Date]]),MAX(0,(expected_production[[#This Row],[Date]]-expected_production[[#This Row],[Commissioned Date]])/365.25),"")</f>
        <v>4.1423682409308693</v>
      </c>
      <c r="F637" s="49">
        <f>IF(expected_production[[#This Row],[Age (yrs)]]="",1,(1-DegradationRate)^expected_production[[#This Row],[Age (yrs)]])</f>
        <v>0.97132074403686819</v>
      </c>
      <c r="G637" s="52">
        <f>IF(expected_production[[#This Row],[Base Expected (kWh)]]="","",expected_production[[#This Row],[Base Expected (kWh)]]*expected_production[[#This Row],[Degradation Factor]])</f>
        <v>13087.476475025551</v>
      </c>
    </row>
    <row r="638" spans="1:7" ht="15" hidden="1" customHeight="1" x14ac:dyDescent="0.3">
      <c r="A638" t="s">
        <v>98</v>
      </c>
      <c r="B638" s="2">
        <v>46023</v>
      </c>
      <c r="C638" s="52">
        <v>13584</v>
      </c>
      <c r="D638" s="48">
        <f>_xlfn.XLOOKUP(expected_production[[#This Row],[Site Name]],Table1[[Site Name ]],Table1[Commisioned Date],"")</f>
        <v>44479</v>
      </c>
      <c r="E638" s="47">
        <f>IF(ISNUMBER(expected_production[[#This Row],[Commissioned Date]]),MAX(0,(expected_production[[#This Row],[Date]]-expected_production[[#This Row],[Commissioned Date]])/365.25),"")</f>
        <v>4.2272416153319643</v>
      </c>
      <c r="F638" s="49">
        <f>IF(expected_production[[#This Row],[Age (yrs)]]="",1,(1-DegradationRate)^expected_production[[#This Row],[Age (yrs)]])</f>
        <v>0.97074181251268787</v>
      </c>
      <c r="G638" s="52">
        <f>IF(expected_production[[#This Row],[Base Expected (kWh)]]="","",expected_production[[#This Row],[Base Expected (kWh)]]*expected_production[[#This Row],[Degradation Factor]])</f>
        <v>13186.556781172352</v>
      </c>
    </row>
    <row r="639" spans="1:7" ht="15" hidden="1" customHeight="1" x14ac:dyDescent="0.3">
      <c r="A639" t="s">
        <v>98</v>
      </c>
      <c r="B639" s="2">
        <v>46054</v>
      </c>
      <c r="C639" s="52">
        <v>12445.28</v>
      </c>
      <c r="D639" s="48">
        <f>_xlfn.XLOOKUP(expected_production[[#This Row],[Site Name]],Table1[[Site Name ]],Table1[Commisioned Date],"")</f>
        <v>44479</v>
      </c>
      <c r="E639" s="47">
        <f>IF(ISNUMBER(expected_production[[#This Row],[Commissioned Date]]),MAX(0,(expected_production[[#This Row],[Date]]-expected_production[[#This Row],[Commissioned Date]])/365.25),"")</f>
        <v>4.3121149897330593</v>
      </c>
      <c r="F639" s="49">
        <f>IF(expected_production[[#This Row],[Age (yrs)]]="",1,(1-DegradationRate)^expected_production[[#This Row],[Age (yrs)]])</f>
        <v>0.97016322604621552</v>
      </c>
      <c r="G639" s="52">
        <f>IF(expected_production[[#This Row],[Base Expected (kWh)]]="","",expected_production[[#This Row],[Base Expected (kWh)]]*expected_production[[#This Row],[Degradation Factor]])</f>
        <v>12073.952993848447</v>
      </c>
    </row>
    <row r="640" spans="1:7" ht="15" hidden="1" customHeight="1" x14ac:dyDescent="0.3">
      <c r="A640" t="s">
        <v>98</v>
      </c>
      <c r="B640" s="2">
        <v>46082</v>
      </c>
      <c r="C640" s="52">
        <v>12742.08</v>
      </c>
      <c r="D640" s="48">
        <f>_xlfn.XLOOKUP(expected_production[[#This Row],[Site Name]],Table1[[Site Name ]],Table1[Commisioned Date],"")</f>
        <v>44479</v>
      </c>
      <c r="E640" s="47">
        <f>IF(ISNUMBER(expected_production[[#This Row],[Commissioned Date]]),MAX(0,(expected_production[[#This Row],[Date]]-expected_production[[#This Row],[Commissioned Date]])/365.25),"")</f>
        <v>4.3887748117727581</v>
      </c>
      <c r="F640" s="49">
        <f>IF(expected_production[[#This Row],[Age (yrs)]]="",1,(1-DegradationRate)^expected_production[[#This Row],[Age (yrs)]])</f>
        <v>0.9696409282318228</v>
      </c>
      <c r="G640" s="52">
        <f>IF(expected_production[[#This Row],[Base Expected (kWh)]]="","",expected_production[[#This Row],[Base Expected (kWh)]]*expected_production[[#This Row],[Degradation Factor]])</f>
        <v>12355.242278804144</v>
      </c>
    </row>
    <row r="641" spans="1:7" ht="15" hidden="1" customHeight="1" x14ac:dyDescent="0.3">
      <c r="A641" t="s">
        <v>98</v>
      </c>
      <c r="B641" s="2">
        <v>46113</v>
      </c>
      <c r="C641" s="52">
        <v>10941.84</v>
      </c>
      <c r="D641" s="48">
        <f>_xlfn.XLOOKUP(expected_production[[#This Row],[Site Name]],Table1[[Site Name ]],Table1[Commisioned Date],"")</f>
        <v>44479</v>
      </c>
      <c r="E641" s="47">
        <f>IF(ISNUMBER(expected_production[[#This Row],[Commissioned Date]]),MAX(0,(expected_production[[#This Row],[Date]]-expected_production[[#This Row],[Commissioned Date]])/365.25),"")</f>
        <v>4.473648186173854</v>
      </c>
      <c r="F641" s="49">
        <f>IF(expected_production[[#This Row],[Age (yrs)]]="",1,(1-DegradationRate)^expected_production[[#This Row],[Age (yrs)]])</f>
        <v>0.96906299791999206</v>
      </c>
      <c r="G641" s="52">
        <f>IF(expected_production[[#This Row],[Base Expected (kWh)]]="","",expected_production[[#This Row],[Base Expected (kWh)]]*expected_production[[#This Row],[Degradation Factor]])</f>
        <v>10603.332273160886</v>
      </c>
    </row>
    <row r="642" spans="1:7" ht="15" hidden="1" customHeight="1" x14ac:dyDescent="0.3">
      <c r="A642" t="s">
        <v>98</v>
      </c>
      <c r="B642" s="2">
        <v>46143</v>
      </c>
      <c r="C642" s="52">
        <v>9881.2800000000007</v>
      </c>
      <c r="D642" s="48">
        <f>_xlfn.XLOOKUP(expected_production[[#This Row],[Site Name]],Table1[[Site Name ]],Table1[Commisioned Date],"")</f>
        <v>44479</v>
      </c>
      <c r="E642" s="47">
        <f>IF(ISNUMBER(expected_production[[#This Row],[Commissioned Date]]),MAX(0,(expected_production[[#This Row],[Date]]-expected_production[[#This Row],[Commissioned Date]])/365.25),"")</f>
        <v>4.5557837097878169</v>
      </c>
      <c r="F642" s="49">
        <f>IF(expected_production[[#This Row],[Age (yrs)]]="",1,(1-DegradationRate)^expected_production[[#This Row],[Age (yrs)]])</f>
        <v>0.96850403849626299</v>
      </c>
      <c r="G642" s="52">
        <f>IF(expected_production[[#This Row],[Base Expected (kWh)]]="","",expected_production[[#This Row],[Base Expected (kWh)]]*expected_production[[#This Row],[Degradation Factor]])</f>
        <v>9570.0595855123538</v>
      </c>
    </row>
    <row r="643" spans="1:7" ht="15" hidden="1" customHeight="1" x14ac:dyDescent="0.3">
      <c r="A643" t="s">
        <v>98</v>
      </c>
      <c r="B643" s="2">
        <v>46174</v>
      </c>
      <c r="C643" s="52">
        <v>9234.8799999999992</v>
      </c>
      <c r="D643" s="48">
        <f>_xlfn.XLOOKUP(expected_production[[#This Row],[Site Name]],Table1[[Site Name ]],Table1[Commisioned Date],"")</f>
        <v>44479</v>
      </c>
      <c r="E643" s="47">
        <f>IF(ISNUMBER(expected_production[[#This Row],[Commissioned Date]]),MAX(0,(expected_production[[#This Row],[Date]]-expected_production[[#This Row],[Commissioned Date]])/365.25),"")</f>
        <v>4.6406570841889119</v>
      </c>
      <c r="F643" s="49">
        <f>IF(expected_production[[#This Row],[Age (yrs)]]="",1,(1-DegradationRate)^expected_production[[#This Row],[Age (yrs)]])</f>
        <v>0.96792678579922775</v>
      </c>
      <c r="G643" s="52">
        <f>IF(expected_production[[#This Row],[Base Expected (kWh)]]="","",expected_production[[#This Row],[Base Expected (kWh)]]*expected_production[[#This Row],[Degradation Factor]])</f>
        <v>8938.6877156415721</v>
      </c>
    </row>
    <row r="644" spans="1:7" ht="15" hidden="1" customHeight="1" x14ac:dyDescent="0.3">
      <c r="A644" t="s">
        <v>98</v>
      </c>
      <c r="B644" s="2">
        <v>46204</v>
      </c>
      <c r="C644" s="52">
        <v>9756.08</v>
      </c>
      <c r="D644" s="48">
        <f>_xlfn.XLOOKUP(expected_production[[#This Row],[Site Name]],Table1[[Site Name ]],Table1[Commisioned Date],"")</f>
        <v>44479</v>
      </c>
      <c r="E644" s="47">
        <f>IF(ISNUMBER(expected_production[[#This Row],[Commissioned Date]]),MAX(0,(expected_production[[#This Row],[Date]]-expected_production[[#This Row],[Commissioned Date]])/365.25),"")</f>
        <v>4.7227926078028748</v>
      </c>
      <c r="F644" s="49">
        <f>IF(expected_production[[#This Row],[Age (yrs)]]="",1,(1-DegradationRate)^expected_production[[#This Row],[Age (yrs)]])</f>
        <v>0.96736848174720691</v>
      </c>
      <c r="G644" s="52">
        <f>IF(expected_production[[#This Row],[Base Expected (kWh)]]="","",expected_production[[#This Row],[Base Expected (kWh)]]*expected_production[[#This Row],[Degradation Factor]])</f>
        <v>9437.7242974042911</v>
      </c>
    </row>
    <row r="645" spans="1:7" ht="15" hidden="1" customHeight="1" x14ac:dyDescent="0.3">
      <c r="A645" t="s">
        <v>98</v>
      </c>
      <c r="B645" s="2">
        <v>46235</v>
      </c>
      <c r="C645" s="52">
        <v>10822.4</v>
      </c>
      <c r="D645" s="48">
        <f>_xlfn.XLOOKUP(expected_production[[#This Row],[Site Name]],Table1[[Site Name ]],Table1[Commisioned Date],"")</f>
        <v>44479</v>
      </c>
      <c r="E645" s="47">
        <f>IF(ISNUMBER(expected_production[[#This Row],[Commissioned Date]]),MAX(0,(expected_production[[#This Row],[Date]]-expected_production[[#This Row],[Commissioned Date]])/365.25),"")</f>
        <v>4.8076659822039698</v>
      </c>
      <c r="F645" s="49">
        <f>IF(expected_production[[#This Row],[Age (yrs)]]="",1,(1-DegradationRate)^expected_production[[#This Row],[Age (yrs)]])</f>
        <v>0.96679190587047392</v>
      </c>
      <c r="G645" s="52">
        <f>IF(expected_production[[#This Row],[Base Expected (kWh)]]="","",expected_production[[#This Row],[Base Expected (kWh)]]*expected_production[[#This Row],[Degradation Factor]])</f>
        <v>10463.008722092616</v>
      </c>
    </row>
    <row r="646" spans="1:7" ht="15" hidden="1" customHeight="1" x14ac:dyDescent="0.3">
      <c r="A646" t="s">
        <v>98</v>
      </c>
      <c r="B646" s="2">
        <v>46266</v>
      </c>
      <c r="C646" s="52">
        <v>10915.68</v>
      </c>
      <c r="D646" s="48">
        <f>_xlfn.XLOOKUP(expected_production[[#This Row],[Site Name]],Table1[[Site Name ]],Table1[Commisioned Date],"")</f>
        <v>44479</v>
      </c>
      <c r="E646" s="47">
        <f>IF(ISNUMBER(expected_production[[#This Row],[Commissioned Date]]),MAX(0,(expected_production[[#This Row],[Date]]-expected_production[[#This Row],[Commissioned Date]])/365.25),"")</f>
        <v>4.8925393566050648</v>
      </c>
      <c r="F646" s="49">
        <f>IF(expected_production[[#This Row],[Age (yrs)]]="",1,(1-DegradationRate)^expected_production[[#This Row],[Age (yrs)]])</f>
        <v>0.966215673647424</v>
      </c>
      <c r="G646" s="52">
        <f>IF(expected_production[[#This Row],[Base Expected (kWh)]]="","",expected_production[[#This Row],[Base Expected (kWh)]]*expected_production[[#This Row],[Degradation Factor]])</f>
        <v>10546.901104519713</v>
      </c>
    </row>
    <row r="647" spans="1:7" ht="15" hidden="1" customHeight="1" x14ac:dyDescent="0.3">
      <c r="A647" t="s">
        <v>98</v>
      </c>
      <c r="B647" s="2">
        <v>46296</v>
      </c>
      <c r="C647" s="52">
        <v>12133.12</v>
      </c>
      <c r="D647" s="48">
        <f>_xlfn.XLOOKUP(expected_production[[#This Row],[Site Name]],Table1[[Site Name ]],Table1[Commisioned Date],"")</f>
        <v>44479</v>
      </c>
      <c r="E647" s="47">
        <f>IF(ISNUMBER(expected_production[[#This Row],[Commissioned Date]]),MAX(0,(expected_production[[#This Row],[Date]]-expected_production[[#This Row],[Commissioned Date]])/365.25),"")</f>
        <v>4.9746748802190277</v>
      </c>
      <c r="F647" s="49">
        <f>IF(expected_production[[#This Row],[Age (yrs)]]="",1,(1-DegradationRate)^expected_production[[#This Row],[Age (yrs)]])</f>
        <v>0.96565835657175481</v>
      </c>
      <c r="G647" s="52">
        <f>IF(expected_production[[#This Row],[Base Expected (kWh)]]="","",expected_production[[#This Row],[Base Expected (kWh)]]*expected_production[[#This Row],[Degradation Factor]])</f>
        <v>11716.44871928789</v>
      </c>
    </row>
    <row r="648" spans="1:7" ht="15" hidden="1" customHeight="1" x14ac:dyDescent="0.3">
      <c r="A648" t="s">
        <v>98</v>
      </c>
      <c r="B648" s="2">
        <v>46327</v>
      </c>
      <c r="C648" s="52">
        <v>12325.98984</v>
      </c>
      <c r="D648" s="48">
        <f>_xlfn.XLOOKUP(expected_production[[#This Row],[Site Name]],Table1[[Site Name ]],Table1[Commisioned Date],"")</f>
        <v>44479</v>
      </c>
      <c r="E648" s="47">
        <f>IF(ISNUMBER(expected_production[[#This Row],[Commissioned Date]]),MAX(0,(expected_production[[#This Row],[Date]]-expected_production[[#This Row],[Commissioned Date]])/365.25),"")</f>
        <v>5.0595482546201236</v>
      </c>
      <c r="F648" s="49">
        <f>IF(expected_production[[#This Row],[Age (yrs)]]="",1,(1-DegradationRate)^expected_production[[#This Row],[Age (yrs)]])</f>
        <v>0.96508279997251634</v>
      </c>
      <c r="G648" s="52">
        <f>IF(expected_production[[#This Row],[Base Expected (kWh)]]="","",expected_production[[#This Row],[Base Expected (kWh)]]*expected_production[[#This Row],[Degradation Factor]])</f>
        <v>11895.600787219988</v>
      </c>
    </row>
    <row r="649" spans="1:7" ht="15" hidden="1" customHeight="1" x14ac:dyDescent="0.3">
      <c r="A649" t="s">
        <v>98</v>
      </c>
      <c r="B649" s="2">
        <v>46357</v>
      </c>
      <c r="C649" s="52">
        <v>13473.89784</v>
      </c>
      <c r="D649" s="48">
        <f>_xlfn.XLOOKUP(expected_production[[#This Row],[Site Name]],Table1[[Site Name ]],Table1[Commisioned Date],"")</f>
        <v>44479</v>
      </c>
      <c r="E649" s="47">
        <f>IF(ISNUMBER(expected_production[[#This Row],[Commissioned Date]]),MAX(0,(expected_production[[#This Row],[Date]]-expected_production[[#This Row],[Commissioned Date]])/365.25),"")</f>
        <v>5.1416837782340865</v>
      </c>
      <c r="F649" s="49">
        <f>IF(expected_production[[#This Row],[Age (yrs)]]="",1,(1-DegradationRate)^expected_production[[#This Row],[Age (yrs)]])</f>
        <v>0.96452613634292639</v>
      </c>
      <c r="G649" s="52">
        <f>IF(expected_production[[#This Row],[Base Expected (kWh)]]="","",expected_production[[#This Row],[Base Expected (kWh)]]*expected_production[[#This Row],[Degradation Factor]])</f>
        <v>12995.9266250945</v>
      </c>
    </row>
    <row r="650" spans="1:7" ht="15" hidden="1" customHeight="1" x14ac:dyDescent="0.3">
      <c r="A650" t="s">
        <v>102</v>
      </c>
      <c r="B650" s="2">
        <v>45292</v>
      </c>
      <c r="C650" s="52">
        <v>11384.625</v>
      </c>
      <c r="D650" s="48">
        <f>_xlfn.XLOOKUP(expected_production[[#This Row],[Site Name]],Table1[[Site Name ]],Table1[Commisioned Date],"")</f>
        <v>44479</v>
      </c>
      <c r="E650" s="47">
        <f>IF(ISNUMBER(expected_production[[#This Row],[Commissioned Date]]),MAX(0,(expected_production[[#This Row],[Date]]-expected_production[[#This Row],[Commissioned Date]])/365.25),"")</f>
        <v>2.2258726899383983</v>
      </c>
      <c r="F650" s="49">
        <f>IF(expected_production[[#This Row],[Age (yrs)]]="",1,(1-DegradationRate)^expected_production[[#This Row],[Age (yrs)]])</f>
        <v>0.98448570748464115</v>
      </c>
      <c r="G650" s="52">
        <f>IF(expected_production[[#This Row],[Base Expected (kWh)]]="","",expected_production[[#This Row],[Base Expected (kWh)]]*expected_production[[#This Row],[Degradation Factor]])</f>
        <v>11208.000597572332</v>
      </c>
    </row>
    <row r="651" spans="1:7" ht="15" hidden="1" customHeight="1" x14ac:dyDescent="0.3">
      <c r="A651" t="s">
        <v>102</v>
      </c>
      <c r="B651" s="2">
        <v>45323</v>
      </c>
      <c r="C651" s="52">
        <v>10143.6</v>
      </c>
      <c r="D651" s="48">
        <f>_xlfn.XLOOKUP(expected_production[[#This Row],[Site Name]],Table1[[Site Name ]],Table1[Commisioned Date],"")</f>
        <v>44479</v>
      </c>
      <c r="E651" s="47">
        <f>IF(ISNUMBER(expected_production[[#This Row],[Commissioned Date]]),MAX(0,(expected_production[[#This Row],[Date]]-expected_production[[#This Row],[Commissioned Date]])/365.25),"")</f>
        <v>2.3107460643394937</v>
      </c>
      <c r="F651" s="49">
        <f>IF(expected_production[[#This Row],[Age (yrs)]]="",1,(1-DegradationRate)^expected_production[[#This Row],[Age (yrs)]])</f>
        <v>0.98389892931206846</v>
      </c>
      <c r="G651" s="52">
        <f>IF(expected_production[[#This Row],[Base Expected (kWh)]]="","",expected_production[[#This Row],[Base Expected (kWh)]]*expected_production[[#This Row],[Degradation Factor]])</f>
        <v>9980.2771793698976</v>
      </c>
    </row>
    <row r="652" spans="1:7" ht="15" hidden="1" customHeight="1" x14ac:dyDescent="0.3">
      <c r="A652" t="s">
        <v>102</v>
      </c>
      <c r="B652" s="2">
        <v>45352</v>
      </c>
      <c r="C652" s="52">
        <v>10396.424999999999</v>
      </c>
      <c r="D652" s="48">
        <f>_xlfn.XLOOKUP(expected_production[[#This Row],[Site Name]],Table1[[Site Name ]],Table1[Commisioned Date],"")</f>
        <v>44479</v>
      </c>
      <c r="E652" s="47">
        <f>IF(ISNUMBER(expected_production[[#This Row],[Commissioned Date]]),MAX(0,(expected_production[[#This Row],[Date]]-expected_production[[#This Row],[Commissioned Date]])/365.25),"")</f>
        <v>2.3901437371663246</v>
      </c>
      <c r="F652" s="49">
        <f>IF(expected_production[[#This Row],[Age (yrs)]]="",1,(1-DegradationRate)^expected_production[[#This Row],[Age (yrs)]])</f>
        <v>0.98335032441693748</v>
      </c>
      <c r="G652" s="52">
        <f>IF(expected_production[[#This Row],[Base Expected (kWh)]]="","",expected_production[[#This Row],[Base Expected (kWh)]]*expected_production[[#This Row],[Degradation Factor]])</f>
        <v>10223.327896526358</v>
      </c>
    </row>
    <row r="653" spans="1:7" ht="15" hidden="1" customHeight="1" x14ac:dyDescent="0.3">
      <c r="A653" t="s">
        <v>102</v>
      </c>
      <c r="B653" s="2">
        <v>45383</v>
      </c>
      <c r="C653" s="52">
        <v>8842.2749999999996</v>
      </c>
      <c r="D653" s="48">
        <f>_xlfn.XLOOKUP(expected_production[[#This Row],[Site Name]],Table1[[Site Name ]],Table1[Commisioned Date],"")</f>
        <v>44479</v>
      </c>
      <c r="E653" s="47">
        <f>IF(ISNUMBER(expected_production[[#This Row],[Commissioned Date]]),MAX(0,(expected_production[[#This Row],[Date]]-expected_production[[#This Row],[Commissioned Date]])/365.25),"")</f>
        <v>2.4750171115674195</v>
      </c>
      <c r="F653" s="49">
        <f>IF(expected_production[[#This Row],[Age (yrs)]]="",1,(1-DegradationRate)^expected_production[[#This Row],[Age (yrs)]])</f>
        <v>0.98276422296114851</v>
      </c>
      <c r="G653" s="52">
        <f>IF(expected_production[[#This Row],[Base Expected (kWh)]]="","",expected_production[[#This Row],[Base Expected (kWh)]]*expected_production[[#This Row],[Degradation Factor]])</f>
        <v>8689.8715195837885</v>
      </c>
    </row>
    <row r="654" spans="1:7" ht="15" hidden="1" customHeight="1" x14ac:dyDescent="0.3">
      <c r="A654" t="s">
        <v>102</v>
      </c>
      <c r="B654" s="2">
        <v>45413</v>
      </c>
      <c r="C654" s="52">
        <v>7963.7250000000004</v>
      </c>
      <c r="D654" s="48">
        <f>_xlfn.XLOOKUP(expected_production[[#This Row],[Site Name]],Table1[[Site Name ]],Table1[Commisioned Date],"")</f>
        <v>44479</v>
      </c>
      <c r="E654" s="47">
        <f>IF(ISNUMBER(expected_production[[#This Row],[Commissioned Date]]),MAX(0,(expected_production[[#This Row],[Date]]-expected_production[[#This Row],[Commissioned Date]])/365.25),"")</f>
        <v>2.5571526351813825</v>
      </c>
      <c r="F654" s="49">
        <f>IF(expected_production[[#This Row],[Age (yrs)]]="",1,(1-DegradationRate)^expected_production[[#This Row],[Age (yrs)]])</f>
        <v>0.98219736061586549</v>
      </c>
      <c r="G654" s="52">
        <f>IF(expected_production[[#This Row],[Base Expected (kWh)]]="","",expected_production[[#This Row],[Base Expected (kWh)]]*expected_production[[#This Row],[Degradation Factor]])</f>
        <v>7821.9496756705839</v>
      </c>
    </row>
    <row r="655" spans="1:7" ht="15" hidden="1" customHeight="1" x14ac:dyDescent="0.3">
      <c r="A655" t="s">
        <v>102</v>
      </c>
      <c r="B655" s="2">
        <v>45444</v>
      </c>
      <c r="C655" s="52">
        <v>7364.3249999999998</v>
      </c>
      <c r="D655" s="48">
        <f>_xlfn.XLOOKUP(expected_production[[#This Row],[Site Name]],Table1[[Site Name ]],Table1[Commisioned Date],"")</f>
        <v>44479</v>
      </c>
      <c r="E655" s="47">
        <f>IF(ISNUMBER(expected_production[[#This Row],[Commissioned Date]]),MAX(0,(expected_production[[#This Row],[Date]]-expected_production[[#This Row],[Commissioned Date]])/365.25),"")</f>
        <v>2.6420260095824779</v>
      </c>
      <c r="F655" s="49">
        <f>IF(expected_production[[#This Row],[Age (yrs)]]="",1,(1-DegradationRate)^expected_production[[#This Row],[Age (yrs)]])</f>
        <v>0.98161194635541837</v>
      </c>
      <c r="G655" s="52">
        <f>IF(expected_production[[#This Row],[Base Expected (kWh)]]="","",expected_production[[#This Row],[Base Expected (kWh)]]*expected_production[[#This Row],[Degradation Factor]])</f>
        <v>7228.9093968438665</v>
      </c>
    </row>
    <row r="656" spans="1:7" ht="15" hidden="1" customHeight="1" x14ac:dyDescent="0.3">
      <c r="A656" t="s">
        <v>102</v>
      </c>
      <c r="B656" s="2">
        <v>45474</v>
      </c>
      <c r="C656" s="52">
        <v>7865.1750000000002</v>
      </c>
      <c r="D656" s="48">
        <f>_xlfn.XLOOKUP(expected_production[[#This Row],[Site Name]],Table1[[Site Name ]],Table1[Commisioned Date],"")</f>
        <v>44479</v>
      </c>
      <c r="E656" s="47">
        <f>IF(ISNUMBER(expected_production[[#This Row],[Commissioned Date]]),MAX(0,(expected_production[[#This Row],[Date]]-expected_production[[#This Row],[Commissioned Date]])/365.25),"")</f>
        <v>2.7241615331964408</v>
      </c>
      <c r="F656" s="49">
        <f>IF(expected_production[[#This Row],[Age (yrs)]]="",1,(1-DegradationRate)^expected_production[[#This Row],[Age (yrs)]])</f>
        <v>0.98104574864790284</v>
      </c>
      <c r="G656" s="52">
        <f>IF(expected_production[[#This Row],[Base Expected (kWh)]]="","",expected_production[[#This Row],[Base Expected (kWh)]]*expected_production[[#This Row],[Degradation Factor]])</f>
        <v>7716.0964961217696</v>
      </c>
    </row>
    <row r="657" spans="1:7" ht="15" hidden="1" customHeight="1" x14ac:dyDescent="0.3">
      <c r="A657" t="s">
        <v>102</v>
      </c>
      <c r="B657" s="2">
        <v>45505</v>
      </c>
      <c r="C657" s="52">
        <v>8758.7250000000004</v>
      </c>
      <c r="D657" s="48">
        <f>_xlfn.XLOOKUP(expected_production[[#This Row],[Site Name]],Table1[[Site Name ]],Table1[Commisioned Date],"")</f>
        <v>44479</v>
      </c>
      <c r="E657" s="47">
        <f>IF(ISNUMBER(expected_production[[#This Row],[Commissioned Date]]),MAX(0,(expected_production[[#This Row],[Date]]-expected_production[[#This Row],[Commissioned Date]])/365.25),"")</f>
        <v>2.8090349075975358</v>
      </c>
      <c r="F657" s="49">
        <f>IF(expected_production[[#This Row],[Age (yrs)]]="",1,(1-DegradationRate)^expected_production[[#This Row],[Age (yrs)]])</f>
        <v>0.98046102077707109</v>
      </c>
      <c r="G657" s="52">
        <f>IF(expected_production[[#This Row],[Base Expected (kWh)]]="","",expected_production[[#This Row],[Base Expected (kWh)]]*expected_production[[#This Row],[Degradation Factor]])</f>
        <v>8587.5884542056519</v>
      </c>
    </row>
    <row r="658" spans="1:7" ht="15" hidden="1" customHeight="1" x14ac:dyDescent="0.3">
      <c r="A658" t="s">
        <v>102</v>
      </c>
      <c r="B658" s="2">
        <v>45536</v>
      </c>
      <c r="C658" s="52">
        <v>8956.35</v>
      </c>
      <c r="D658" s="48">
        <f>_xlfn.XLOOKUP(expected_production[[#This Row],[Site Name]],Table1[[Site Name ]],Table1[Commisioned Date],"")</f>
        <v>44479</v>
      </c>
      <c r="E658" s="47">
        <f>IF(ISNUMBER(expected_production[[#This Row],[Commissioned Date]]),MAX(0,(expected_production[[#This Row],[Date]]-expected_production[[#This Row],[Commissioned Date]])/365.25),"")</f>
        <v>2.8939082819986313</v>
      </c>
      <c r="F658" s="49">
        <f>IF(expected_production[[#This Row],[Age (yrs)]]="",1,(1-DegradationRate)^expected_production[[#This Row],[Age (yrs)]])</f>
        <v>0.97987664141871533</v>
      </c>
      <c r="G658" s="52">
        <f>IF(expected_production[[#This Row],[Base Expected (kWh)]]="","",expected_production[[#This Row],[Base Expected (kWh)]]*expected_production[[#This Row],[Degradation Factor]])</f>
        <v>8776.1181573705107</v>
      </c>
    </row>
    <row r="659" spans="1:7" ht="15" hidden="1" customHeight="1" x14ac:dyDescent="0.3">
      <c r="A659" t="s">
        <v>102</v>
      </c>
      <c r="B659" s="2">
        <v>45566</v>
      </c>
      <c r="C659" s="52">
        <v>9957.75</v>
      </c>
      <c r="D659" s="48">
        <f>_xlfn.XLOOKUP(expected_production[[#This Row],[Site Name]],Table1[[Site Name ]],Table1[Commisioned Date],"")</f>
        <v>44479</v>
      </c>
      <c r="E659" s="47">
        <f>IF(ISNUMBER(expected_production[[#This Row],[Commissioned Date]]),MAX(0,(expected_production[[#This Row],[Date]]-expected_production[[#This Row],[Commissioned Date]])/365.25),"")</f>
        <v>2.9760438056125942</v>
      </c>
      <c r="F659" s="49">
        <f>IF(expected_production[[#This Row],[Age (yrs)]]="",1,(1-DegradationRate)^expected_production[[#This Row],[Age (yrs)]])</f>
        <v>0.97931144464204689</v>
      </c>
      <c r="G659" s="52">
        <f>IF(expected_production[[#This Row],[Base Expected (kWh)]]="","",expected_production[[#This Row],[Base Expected (kWh)]]*expected_production[[#This Row],[Degradation Factor]])</f>
        <v>9751.7385378843428</v>
      </c>
    </row>
    <row r="660" spans="1:7" ht="15" hidden="1" customHeight="1" x14ac:dyDescent="0.3">
      <c r="A660" t="s">
        <v>102</v>
      </c>
      <c r="B660" s="2">
        <v>45597</v>
      </c>
      <c r="C660" s="52">
        <v>10009.663425000001</v>
      </c>
      <c r="D660" s="48">
        <f>_xlfn.XLOOKUP(expected_production[[#This Row],[Site Name]],Table1[[Site Name ]],Table1[Commisioned Date],"")</f>
        <v>44479</v>
      </c>
      <c r="E660" s="47">
        <f>IF(ISNUMBER(expected_production[[#This Row],[Commissioned Date]]),MAX(0,(expected_production[[#This Row],[Date]]-expected_production[[#This Row],[Commissioned Date]])/365.25),"")</f>
        <v>3.0609171800136892</v>
      </c>
      <c r="F660" s="49">
        <f>IF(expected_production[[#This Row],[Age (yrs)]]="",1,(1-DegradationRate)^expected_production[[#This Row],[Age (yrs)]])</f>
        <v>0.97872775045989902</v>
      </c>
      <c r="G660" s="52">
        <f>IF(expected_production[[#This Row],[Base Expected (kWh)]]="","",expected_production[[#This Row],[Base Expected (kWh)]]*expected_production[[#This Row],[Degradation Factor]])</f>
        <v>9796.735366810979</v>
      </c>
    </row>
    <row r="661" spans="1:7" ht="15" hidden="1" customHeight="1" x14ac:dyDescent="0.3">
      <c r="A661" t="s">
        <v>102</v>
      </c>
      <c r="B661" s="2">
        <v>45627</v>
      </c>
      <c r="C661" s="52">
        <v>11121.500700000001</v>
      </c>
      <c r="D661" s="48">
        <f>_xlfn.XLOOKUP(expected_production[[#This Row],[Site Name]],Table1[[Site Name ]],Table1[Commisioned Date],"")</f>
        <v>44479</v>
      </c>
      <c r="E661" s="47">
        <f>IF(ISNUMBER(expected_production[[#This Row],[Commissioned Date]]),MAX(0,(expected_production[[#This Row],[Date]]-expected_production[[#This Row],[Commissioned Date]])/365.25),"")</f>
        <v>3.1430527036276521</v>
      </c>
      <c r="F661" s="49">
        <f>IF(expected_production[[#This Row],[Age (yrs)]]="",1,(1-DegradationRate)^expected_production[[#This Row],[Age (yrs)]])</f>
        <v>0.97816321636814341</v>
      </c>
      <c r="G661" s="52">
        <f>IF(expected_production[[#This Row],[Base Expected (kWh)]]="","",expected_production[[#This Row],[Base Expected (kWh)]]*expected_production[[#This Row],[Degradation Factor]])</f>
        <v>10878.642895552559</v>
      </c>
    </row>
    <row r="662" spans="1:7" ht="15" hidden="1" customHeight="1" x14ac:dyDescent="0.3">
      <c r="A662" t="s">
        <v>102</v>
      </c>
      <c r="B662" s="2">
        <v>45658</v>
      </c>
      <c r="C662" s="52">
        <v>11384.625</v>
      </c>
      <c r="D662" s="48">
        <f>_xlfn.XLOOKUP(expected_production[[#This Row],[Site Name]],Table1[[Site Name ]],Table1[Commisioned Date],"")</f>
        <v>44479</v>
      </c>
      <c r="E662" s="47">
        <f>IF(ISNUMBER(expected_production[[#This Row],[Commissioned Date]]),MAX(0,(expected_production[[#This Row],[Date]]-expected_production[[#This Row],[Commissioned Date]])/365.25),"")</f>
        <v>3.2279260780287475</v>
      </c>
      <c r="F662" s="49">
        <f>IF(expected_production[[#This Row],[Age (yrs)]]="",1,(1-DegradationRate)^expected_production[[#This Row],[Age (yrs)]])</f>
        <v>0.97758020655884426</v>
      </c>
      <c r="G662" s="52">
        <f>IF(expected_production[[#This Row],[Base Expected (kWh)]]="","",expected_production[[#This Row],[Base Expected (kWh)]]*expected_production[[#This Row],[Degradation Factor]])</f>
        <v>11129.384059094982</v>
      </c>
    </row>
    <row r="663" spans="1:7" ht="15" hidden="1" customHeight="1" x14ac:dyDescent="0.3">
      <c r="A663" t="s">
        <v>102</v>
      </c>
      <c r="B663" s="2">
        <v>45689</v>
      </c>
      <c r="C663" s="52">
        <v>10143.6</v>
      </c>
      <c r="D663" s="48">
        <f>_xlfn.XLOOKUP(expected_production[[#This Row],[Site Name]],Table1[[Site Name ]],Table1[Commisioned Date],"")</f>
        <v>44479</v>
      </c>
      <c r="E663" s="47">
        <f>IF(ISNUMBER(expected_production[[#This Row],[Commissioned Date]]),MAX(0,(expected_production[[#This Row],[Date]]-expected_production[[#This Row],[Commissioned Date]])/365.25),"")</f>
        <v>3.3127994524298425</v>
      </c>
      <c r="F663" s="49">
        <f>IF(expected_production[[#This Row],[Age (yrs)]]="",1,(1-DegradationRate)^expected_production[[#This Row],[Age (yrs)]])</f>
        <v>0.97699754423801344</v>
      </c>
      <c r="G663" s="52">
        <f>IF(expected_production[[#This Row],[Base Expected (kWh)]]="","",expected_production[[#This Row],[Base Expected (kWh)]]*expected_production[[#This Row],[Degradation Factor]])</f>
        <v>9910.272289732713</v>
      </c>
    </row>
    <row r="664" spans="1:7" ht="15" hidden="1" customHeight="1" x14ac:dyDescent="0.3">
      <c r="A664" t="s">
        <v>102</v>
      </c>
      <c r="B664" s="2">
        <v>45717</v>
      </c>
      <c r="C664" s="52">
        <v>10396.424999999999</v>
      </c>
      <c r="D664" s="48">
        <f>_xlfn.XLOOKUP(expected_production[[#This Row],[Site Name]],Table1[[Site Name ]],Table1[Commisioned Date],"")</f>
        <v>44479</v>
      </c>
      <c r="E664" s="47">
        <f>IF(ISNUMBER(expected_production[[#This Row],[Commissioned Date]]),MAX(0,(expected_production[[#This Row],[Date]]-expected_production[[#This Row],[Commissioned Date]])/365.25),"")</f>
        <v>3.3894592744695413</v>
      </c>
      <c r="F664" s="49">
        <f>IF(expected_production[[#This Row],[Age (yrs)]]="",1,(1-DegradationRate)^expected_production[[#This Row],[Age (yrs)]])</f>
        <v>0.97647156709486593</v>
      </c>
      <c r="G664" s="52">
        <f>IF(expected_production[[#This Row],[Base Expected (kWh)]]="","",expected_production[[#This Row],[Base Expected (kWh)]]*expected_production[[#This Row],[Degradation Factor]])</f>
        <v>10151.813411934241</v>
      </c>
    </row>
    <row r="665" spans="1:7" ht="15" hidden="1" customHeight="1" x14ac:dyDescent="0.3">
      <c r="A665" t="s">
        <v>102</v>
      </c>
      <c r="B665" s="2">
        <v>45748</v>
      </c>
      <c r="C665" s="52">
        <v>8842.2749999999996</v>
      </c>
      <c r="D665" s="48">
        <f>_xlfn.XLOOKUP(expected_production[[#This Row],[Site Name]],Table1[[Site Name ]],Table1[Commisioned Date],"")</f>
        <v>44479</v>
      </c>
      <c r="E665" s="47">
        <f>IF(ISNUMBER(expected_production[[#This Row],[Commissioned Date]]),MAX(0,(expected_production[[#This Row],[Date]]-expected_production[[#This Row],[Commissioned Date]])/365.25),"")</f>
        <v>3.4743326488706368</v>
      </c>
      <c r="F665" s="49">
        <f>IF(expected_production[[#This Row],[Age (yrs)]]="",1,(1-DegradationRate)^expected_production[[#This Row],[Age (yrs)]])</f>
        <v>0.97588956555096029</v>
      </c>
      <c r="G665" s="52">
        <f>IF(expected_production[[#This Row],[Base Expected (kWh)]]="","",expected_production[[#This Row],[Base Expected (kWh)]]*expected_production[[#This Row],[Degradation Factor]])</f>
        <v>8629.0839082321163</v>
      </c>
    </row>
    <row r="666" spans="1:7" ht="15" hidden="1" customHeight="1" x14ac:dyDescent="0.3">
      <c r="A666" t="s">
        <v>102</v>
      </c>
      <c r="B666" s="2">
        <v>45778</v>
      </c>
      <c r="C666" s="52">
        <v>7963.7250000000004</v>
      </c>
      <c r="D666" s="48">
        <f>_xlfn.XLOOKUP(expected_production[[#This Row],[Site Name]],Table1[[Site Name ]],Table1[Commisioned Date],"")</f>
        <v>44479</v>
      </c>
      <c r="E666" s="47">
        <f>IF(ISNUMBER(expected_production[[#This Row],[Commissioned Date]]),MAX(0,(expected_production[[#This Row],[Date]]-expected_production[[#This Row],[Commissioned Date]])/365.25),"")</f>
        <v>3.5564681724845997</v>
      </c>
      <c r="F666" s="49">
        <f>IF(expected_production[[#This Row],[Age (yrs)]]="",1,(1-DegradationRate)^expected_production[[#This Row],[Age (yrs)]])</f>
        <v>0.97532666853564309</v>
      </c>
      <c r="G666" s="52">
        <f>IF(expected_production[[#This Row],[Base Expected (kWh)]]="","",expected_production[[#This Row],[Base Expected (kWh)]]*expected_production[[#This Row],[Degradation Factor]])</f>
        <v>7767.2333733840151</v>
      </c>
    </row>
    <row r="667" spans="1:7" ht="15" hidden="1" customHeight="1" x14ac:dyDescent="0.3">
      <c r="A667" t="s">
        <v>102</v>
      </c>
      <c r="B667" s="2">
        <v>45809</v>
      </c>
      <c r="C667" s="52">
        <v>7364.3249999999998</v>
      </c>
      <c r="D667" s="48">
        <f>_xlfn.XLOOKUP(expected_production[[#This Row],[Site Name]],Table1[[Site Name ]],Table1[Commisioned Date],"")</f>
        <v>44479</v>
      </c>
      <c r="E667" s="47">
        <f>IF(ISNUMBER(expected_production[[#This Row],[Commissioned Date]]),MAX(0,(expected_production[[#This Row],[Date]]-expected_production[[#This Row],[Commissioned Date]])/365.25),"")</f>
        <v>3.6413415468856947</v>
      </c>
      <c r="F667" s="49">
        <f>IF(expected_production[[#This Row],[Age (yrs)]]="",1,(1-DegradationRate)^expected_production[[#This Row],[Age (yrs)]])</f>
        <v>0.9747453493799928</v>
      </c>
      <c r="G667" s="52">
        <f>IF(expected_production[[#This Row],[Base Expected (kWh)]]="","",expected_production[[#This Row],[Base Expected (kWh)]]*expected_production[[#This Row],[Degradation Factor]])</f>
        <v>7178.3415450728153</v>
      </c>
    </row>
    <row r="668" spans="1:7" ht="15" hidden="1" customHeight="1" x14ac:dyDescent="0.3">
      <c r="A668" t="s">
        <v>102</v>
      </c>
      <c r="B668" s="2">
        <v>45839</v>
      </c>
      <c r="C668" s="52">
        <v>7865.1750000000002</v>
      </c>
      <c r="D668" s="48">
        <f>_xlfn.XLOOKUP(expected_production[[#This Row],[Site Name]],Table1[[Site Name ]],Table1[Commisioned Date],"")</f>
        <v>44479</v>
      </c>
      <c r="E668" s="47">
        <f>IF(ISNUMBER(expected_production[[#This Row],[Commissioned Date]]),MAX(0,(expected_production[[#This Row],[Date]]-expected_production[[#This Row],[Commissioned Date]])/365.25),"")</f>
        <v>3.7234770704996576</v>
      </c>
      <c r="F668" s="49">
        <f>IF(expected_production[[#This Row],[Age (yrs)]]="",1,(1-DegradationRate)^expected_production[[#This Row],[Age (yrs)]])</f>
        <v>0.97418311235315191</v>
      </c>
      <c r="G668" s="52">
        <f>IF(expected_production[[#This Row],[Base Expected (kWh)]]="","",expected_production[[#This Row],[Base Expected (kWh)]]*expected_production[[#This Row],[Degradation Factor]])</f>
        <v>7662.1206607022013</v>
      </c>
    </row>
    <row r="669" spans="1:7" ht="15" hidden="1" customHeight="1" x14ac:dyDescent="0.3">
      <c r="A669" t="s">
        <v>102</v>
      </c>
      <c r="B669" s="2">
        <v>45870</v>
      </c>
      <c r="C669" s="52">
        <v>8758.7250000000004</v>
      </c>
      <c r="D669" s="48">
        <f>_xlfn.XLOOKUP(expected_production[[#This Row],[Site Name]],Table1[[Site Name ]],Table1[Commisioned Date],"")</f>
        <v>44479</v>
      </c>
      <c r="E669" s="47">
        <f>IF(ISNUMBER(expected_production[[#This Row],[Commissioned Date]]),MAX(0,(expected_production[[#This Row],[Date]]-expected_production[[#This Row],[Commissioned Date]])/365.25),"")</f>
        <v>3.808350444900753</v>
      </c>
      <c r="F669" s="49">
        <f>IF(expected_production[[#This Row],[Age (yrs)]]="",1,(1-DegradationRate)^expected_production[[#This Row],[Age (yrs)]])</f>
        <v>0.97360247478566675</v>
      </c>
      <c r="G669" s="52">
        <f>IF(expected_production[[#This Row],[Base Expected (kWh)]]="","",expected_production[[#This Row],[Base Expected (kWh)]]*expected_production[[#This Row],[Degradation Factor]])</f>
        <v>8527.5163359670896</v>
      </c>
    </row>
    <row r="670" spans="1:7" ht="15" hidden="1" customHeight="1" x14ac:dyDescent="0.3">
      <c r="A670" t="s">
        <v>102</v>
      </c>
      <c r="B670" s="2">
        <v>45901</v>
      </c>
      <c r="C670" s="52">
        <v>8956.35</v>
      </c>
      <c r="D670" s="48">
        <f>_xlfn.XLOOKUP(expected_production[[#This Row],[Site Name]],Table1[[Site Name ]],Table1[Commisioned Date],"")</f>
        <v>44479</v>
      </c>
      <c r="E670" s="47">
        <f>IF(ISNUMBER(expected_production[[#This Row],[Commissioned Date]]),MAX(0,(expected_production[[#This Row],[Date]]-expected_production[[#This Row],[Commissioned Date]])/365.25),"")</f>
        <v>3.893223819301848</v>
      </c>
      <c r="F670" s="49">
        <f>IF(expected_production[[#This Row],[Age (yrs)]]="",1,(1-DegradationRate)^expected_production[[#This Row],[Age (yrs)]])</f>
        <v>0.97302218329273427</v>
      </c>
      <c r="G670" s="52">
        <f>IF(expected_production[[#This Row],[Base Expected (kWh)]]="","",expected_production[[#This Row],[Base Expected (kWh)]]*expected_production[[#This Row],[Degradation Factor]])</f>
        <v>8714.7272313338817</v>
      </c>
    </row>
    <row r="671" spans="1:7" ht="15" hidden="1" customHeight="1" x14ac:dyDescent="0.3">
      <c r="A671" t="s">
        <v>102</v>
      </c>
      <c r="B671" s="2">
        <v>45931</v>
      </c>
      <c r="C671" s="52">
        <v>9957.75</v>
      </c>
      <c r="D671" s="48">
        <f>_xlfn.XLOOKUP(expected_production[[#This Row],[Site Name]],Table1[[Site Name ]],Table1[Commisioned Date],"")</f>
        <v>44479</v>
      </c>
      <c r="E671" s="47">
        <f>IF(ISNUMBER(expected_production[[#This Row],[Commissioned Date]]),MAX(0,(expected_production[[#This Row],[Date]]-expected_production[[#This Row],[Commissioned Date]])/365.25),"")</f>
        <v>3.9753593429158109</v>
      </c>
      <c r="F671" s="49">
        <f>IF(expected_production[[#This Row],[Age (yrs)]]="",1,(1-DegradationRate)^expected_production[[#This Row],[Age (yrs)]])</f>
        <v>0.97246094019500351</v>
      </c>
      <c r="G671" s="52">
        <f>IF(expected_production[[#This Row],[Base Expected (kWh)]]="","",expected_production[[#This Row],[Base Expected (kWh)]]*expected_production[[#This Row],[Degradation Factor]])</f>
        <v>9683.522927226797</v>
      </c>
    </row>
    <row r="672" spans="1:7" ht="15" hidden="1" customHeight="1" x14ac:dyDescent="0.3">
      <c r="A672" t="s">
        <v>102</v>
      </c>
      <c r="B672" s="2">
        <v>45962</v>
      </c>
      <c r="C672" s="52">
        <v>10009.663425000001</v>
      </c>
      <c r="D672" s="48">
        <f>_xlfn.XLOOKUP(expected_production[[#This Row],[Site Name]],Table1[[Site Name ]],Table1[Commisioned Date],"")</f>
        <v>44479</v>
      </c>
      <c r="E672" s="47">
        <f>IF(ISNUMBER(expected_production[[#This Row],[Commissioned Date]]),MAX(0,(expected_production[[#This Row],[Date]]-expected_production[[#This Row],[Commissioned Date]])/365.25),"")</f>
        <v>4.0602327173169064</v>
      </c>
      <c r="F672" s="49">
        <f>IF(expected_production[[#This Row],[Age (yrs)]]="",1,(1-DegradationRate)^expected_production[[#This Row],[Age (yrs)]])</f>
        <v>0.97188132908531666</v>
      </c>
      <c r="G672" s="52">
        <f>IF(expected_production[[#This Row],[Base Expected (kWh)]]="","",expected_production[[#This Row],[Base Expected (kWh)]]*expected_production[[#This Row],[Degradation Factor]])</f>
        <v>9728.2049931856836</v>
      </c>
    </row>
    <row r="673" spans="1:7" ht="15" hidden="1" customHeight="1" x14ac:dyDescent="0.3">
      <c r="A673" t="s">
        <v>102</v>
      </c>
      <c r="B673" s="2">
        <v>45992</v>
      </c>
      <c r="C673" s="52">
        <v>11121.500700000001</v>
      </c>
      <c r="D673" s="48">
        <f>_xlfn.XLOOKUP(expected_production[[#This Row],[Site Name]],Table1[[Site Name ]],Table1[Commisioned Date],"")</f>
        <v>44479</v>
      </c>
      <c r="E673" s="47">
        <f>IF(ISNUMBER(expected_production[[#This Row],[Commissioned Date]]),MAX(0,(expected_production[[#This Row],[Date]]-expected_production[[#This Row],[Commissioned Date]])/365.25),"")</f>
        <v>4.1423682409308693</v>
      </c>
      <c r="F673" s="49">
        <f>IF(expected_production[[#This Row],[Age (yrs)]]="",1,(1-DegradationRate)^expected_production[[#This Row],[Age (yrs)]])</f>
        <v>0.97132074403686819</v>
      </c>
      <c r="G673" s="52">
        <f>IF(expected_production[[#This Row],[Base Expected (kWh)]]="","",expected_production[[#This Row],[Base Expected (kWh)]]*expected_production[[#This Row],[Degradation Factor]])</f>
        <v>10802.544334730552</v>
      </c>
    </row>
    <row r="674" spans="1:7" ht="15" hidden="1" customHeight="1" x14ac:dyDescent="0.3">
      <c r="A674" t="s">
        <v>102</v>
      </c>
      <c r="B674" s="2">
        <v>46023</v>
      </c>
      <c r="C674" s="52">
        <v>11384.625</v>
      </c>
      <c r="D674" s="48">
        <f>_xlfn.XLOOKUP(expected_production[[#This Row],[Site Name]],Table1[[Site Name ]],Table1[Commisioned Date],"")</f>
        <v>44479</v>
      </c>
      <c r="E674" s="47">
        <f>IF(ISNUMBER(expected_production[[#This Row],[Commissioned Date]]),MAX(0,(expected_production[[#This Row],[Date]]-expected_production[[#This Row],[Commissioned Date]])/365.25),"")</f>
        <v>4.2272416153319643</v>
      </c>
      <c r="F674" s="49">
        <f>IF(expected_production[[#This Row],[Age (yrs)]]="",1,(1-DegradationRate)^expected_production[[#This Row],[Age (yrs)]])</f>
        <v>0.97074181251268787</v>
      </c>
      <c r="G674" s="52">
        <f>IF(expected_production[[#This Row],[Base Expected (kWh)]]="","",expected_production[[#This Row],[Base Expected (kWh)]]*expected_production[[#This Row],[Degradation Factor]])</f>
        <v>11051.531507277259</v>
      </c>
    </row>
    <row r="675" spans="1:7" ht="15" hidden="1" customHeight="1" x14ac:dyDescent="0.3">
      <c r="A675" t="s">
        <v>102</v>
      </c>
      <c r="B675" s="2">
        <v>46054</v>
      </c>
      <c r="C675" s="52">
        <v>10143.6</v>
      </c>
      <c r="D675" s="48">
        <f>_xlfn.XLOOKUP(expected_production[[#This Row],[Site Name]],Table1[[Site Name ]],Table1[Commisioned Date],"")</f>
        <v>44479</v>
      </c>
      <c r="E675" s="47">
        <f>IF(ISNUMBER(expected_production[[#This Row],[Commissioned Date]]),MAX(0,(expected_production[[#This Row],[Date]]-expected_production[[#This Row],[Commissioned Date]])/365.25),"")</f>
        <v>4.3121149897330593</v>
      </c>
      <c r="F675" s="49">
        <f>IF(expected_production[[#This Row],[Age (yrs)]]="",1,(1-DegradationRate)^expected_production[[#This Row],[Age (yrs)]])</f>
        <v>0.97016322604621552</v>
      </c>
      <c r="G675" s="52">
        <f>IF(expected_production[[#This Row],[Base Expected (kWh)]]="","",expected_production[[#This Row],[Base Expected (kWh)]]*expected_production[[#This Row],[Degradation Factor]])</f>
        <v>9840.9476997223919</v>
      </c>
    </row>
    <row r="676" spans="1:7" ht="15" hidden="1" customHeight="1" x14ac:dyDescent="0.3">
      <c r="A676" t="s">
        <v>102</v>
      </c>
      <c r="B676" s="2">
        <v>46082</v>
      </c>
      <c r="C676" s="52">
        <v>10396.424999999999</v>
      </c>
      <c r="D676" s="48">
        <f>_xlfn.XLOOKUP(expected_production[[#This Row],[Site Name]],Table1[[Site Name ]],Table1[Commisioned Date],"")</f>
        <v>44479</v>
      </c>
      <c r="E676" s="47">
        <f>IF(ISNUMBER(expected_production[[#This Row],[Commissioned Date]]),MAX(0,(expected_production[[#This Row],[Date]]-expected_production[[#This Row],[Commissioned Date]])/365.25),"")</f>
        <v>4.3887748117727581</v>
      </c>
      <c r="F676" s="49">
        <f>IF(expected_production[[#This Row],[Age (yrs)]]="",1,(1-DegradationRate)^expected_production[[#This Row],[Age (yrs)]])</f>
        <v>0.9696409282318228</v>
      </c>
      <c r="G676" s="52">
        <f>IF(expected_production[[#This Row],[Base Expected (kWh)]]="","",expected_production[[#This Row],[Base Expected (kWh)]]*expected_production[[#This Row],[Degradation Factor]])</f>
        <v>10080.799187292527</v>
      </c>
    </row>
    <row r="677" spans="1:7" ht="15" hidden="1" customHeight="1" x14ac:dyDescent="0.3">
      <c r="A677" t="s">
        <v>102</v>
      </c>
      <c r="B677" s="2">
        <v>46113</v>
      </c>
      <c r="C677" s="52">
        <v>8842.2749999999996</v>
      </c>
      <c r="D677" s="48">
        <f>_xlfn.XLOOKUP(expected_production[[#This Row],[Site Name]],Table1[[Site Name ]],Table1[Commisioned Date],"")</f>
        <v>44479</v>
      </c>
      <c r="E677" s="47">
        <f>IF(ISNUMBER(expected_production[[#This Row],[Commissioned Date]]),MAX(0,(expected_production[[#This Row],[Date]]-expected_production[[#This Row],[Commissioned Date]])/365.25),"")</f>
        <v>4.473648186173854</v>
      </c>
      <c r="F677" s="49">
        <f>IF(expected_production[[#This Row],[Age (yrs)]]="",1,(1-DegradationRate)^expected_production[[#This Row],[Age (yrs)]])</f>
        <v>0.96906299791999206</v>
      </c>
      <c r="G677" s="52">
        <f>IF(expected_production[[#This Row],[Base Expected (kWh)]]="","",expected_production[[#This Row],[Base Expected (kWh)]]*expected_production[[#This Row],[Degradation Factor]])</f>
        <v>8568.7215199329967</v>
      </c>
    </row>
    <row r="678" spans="1:7" ht="15" hidden="1" customHeight="1" x14ac:dyDescent="0.3">
      <c r="A678" t="s">
        <v>102</v>
      </c>
      <c r="B678" s="2">
        <v>46143</v>
      </c>
      <c r="C678" s="52">
        <v>7963.7250000000004</v>
      </c>
      <c r="D678" s="48">
        <f>_xlfn.XLOOKUP(expected_production[[#This Row],[Site Name]],Table1[[Site Name ]],Table1[Commisioned Date],"")</f>
        <v>44479</v>
      </c>
      <c r="E678" s="47">
        <f>IF(ISNUMBER(expected_production[[#This Row],[Commissioned Date]]),MAX(0,(expected_production[[#This Row],[Date]]-expected_production[[#This Row],[Commissioned Date]])/365.25),"")</f>
        <v>4.5557837097878169</v>
      </c>
      <c r="F678" s="49">
        <f>IF(expected_production[[#This Row],[Age (yrs)]]="",1,(1-DegradationRate)^expected_production[[#This Row],[Age (yrs)]])</f>
        <v>0.96850403849626299</v>
      </c>
      <c r="G678" s="52">
        <f>IF(expected_production[[#This Row],[Base Expected (kWh)]]="","",expected_production[[#This Row],[Base Expected (kWh)]]*expected_production[[#This Row],[Degradation Factor]])</f>
        <v>7712.899823973652</v>
      </c>
    </row>
    <row r="679" spans="1:7" ht="15" hidden="1" customHeight="1" x14ac:dyDescent="0.3">
      <c r="A679" t="s">
        <v>102</v>
      </c>
      <c r="B679" s="2">
        <v>46174</v>
      </c>
      <c r="C679" s="52">
        <v>7364.3249999999998</v>
      </c>
      <c r="D679" s="48">
        <f>_xlfn.XLOOKUP(expected_production[[#This Row],[Site Name]],Table1[[Site Name ]],Table1[Commisioned Date],"")</f>
        <v>44479</v>
      </c>
      <c r="E679" s="47">
        <f>IF(ISNUMBER(expected_production[[#This Row],[Commissioned Date]]),MAX(0,(expected_production[[#This Row],[Date]]-expected_production[[#This Row],[Commissioned Date]])/365.25),"")</f>
        <v>4.6406570841889119</v>
      </c>
      <c r="F679" s="49">
        <f>IF(expected_production[[#This Row],[Age (yrs)]]="",1,(1-DegradationRate)^expected_production[[#This Row],[Age (yrs)]])</f>
        <v>0.96792678579922775</v>
      </c>
      <c r="G679" s="52">
        <f>IF(expected_production[[#This Row],[Base Expected (kWh)]]="","",expected_production[[#This Row],[Base Expected (kWh)]]*expected_production[[#This Row],[Degradation Factor]])</f>
        <v>7128.127426830898</v>
      </c>
    </row>
    <row r="680" spans="1:7" ht="15" hidden="1" customHeight="1" x14ac:dyDescent="0.3">
      <c r="A680" t="s">
        <v>102</v>
      </c>
      <c r="B680" s="2">
        <v>46204</v>
      </c>
      <c r="C680" s="52">
        <v>7865.1750000000002</v>
      </c>
      <c r="D680" s="48">
        <f>_xlfn.XLOOKUP(expected_production[[#This Row],[Site Name]],Table1[[Site Name ]],Table1[Commisioned Date],"")</f>
        <v>44479</v>
      </c>
      <c r="E680" s="47">
        <f>IF(ISNUMBER(expected_production[[#This Row],[Commissioned Date]]),MAX(0,(expected_production[[#This Row],[Date]]-expected_production[[#This Row],[Commissioned Date]])/365.25),"")</f>
        <v>4.7227926078028748</v>
      </c>
      <c r="F680" s="49">
        <f>IF(expected_production[[#This Row],[Age (yrs)]]="",1,(1-DegradationRate)^expected_production[[#This Row],[Age (yrs)]])</f>
        <v>0.96736848174720691</v>
      </c>
      <c r="G680" s="52">
        <f>IF(expected_production[[#This Row],[Base Expected (kWh)]]="","",expected_production[[#This Row],[Base Expected (kWh)]]*expected_production[[#This Row],[Degradation Factor]])</f>
        <v>7608.5223984260883</v>
      </c>
    </row>
    <row r="681" spans="1:7" ht="15" hidden="1" customHeight="1" x14ac:dyDescent="0.3">
      <c r="A681" t="s">
        <v>102</v>
      </c>
      <c r="B681" s="2">
        <v>46235</v>
      </c>
      <c r="C681" s="52">
        <v>8758.7250000000004</v>
      </c>
      <c r="D681" s="48">
        <f>_xlfn.XLOOKUP(expected_production[[#This Row],[Site Name]],Table1[[Site Name ]],Table1[Commisioned Date],"")</f>
        <v>44479</v>
      </c>
      <c r="E681" s="47">
        <f>IF(ISNUMBER(expected_production[[#This Row],[Commissioned Date]]),MAX(0,(expected_production[[#This Row],[Date]]-expected_production[[#This Row],[Commissioned Date]])/365.25),"")</f>
        <v>4.8076659822039698</v>
      </c>
      <c r="F681" s="49">
        <f>IF(expected_production[[#This Row],[Age (yrs)]]="",1,(1-DegradationRate)^expected_production[[#This Row],[Age (yrs)]])</f>
        <v>0.96679190587047392</v>
      </c>
      <c r="G681" s="52">
        <f>IF(expected_production[[#This Row],[Base Expected (kWh)]]="","",expected_production[[#This Row],[Base Expected (kWh)]]*expected_production[[#This Row],[Degradation Factor]])</f>
        <v>8467.8644357453668</v>
      </c>
    </row>
    <row r="682" spans="1:7" ht="15" hidden="1" customHeight="1" x14ac:dyDescent="0.3">
      <c r="A682" t="s">
        <v>102</v>
      </c>
      <c r="B682" s="2">
        <v>46266</v>
      </c>
      <c r="C682" s="52">
        <v>8956.35</v>
      </c>
      <c r="D682" s="48">
        <f>_xlfn.XLOOKUP(expected_production[[#This Row],[Site Name]],Table1[[Site Name ]],Table1[Commisioned Date],"")</f>
        <v>44479</v>
      </c>
      <c r="E682" s="47">
        <f>IF(ISNUMBER(expected_production[[#This Row],[Commissioned Date]]),MAX(0,(expected_production[[#This Row],[Date]]-expected_production[[#This Row],[Commissioned Date]])/365.25),"")</f>
        <v>4.8925393566050648</v>
      </c>
      <c r="F682" s="49">
        <f>IF(expected_production[[#This Row],[Age (yrs)]]="",1,(1-DegradationRate)^expected_production[[#This Row],[Age (yrs)]])</f>
        <v>0.966215673647424</v>
      </c>
      <c r="G682" s="52">
        <f>IF(expected_production[[#This Row],[Base Expected (kWh)]]="","",expected_production[[#This Row],[Base Expected (kWh)]]*expected_production[[#This Row],[Degradation Factor]])</f>
        <v>8653.7657486721055</v>
      </c>
    </row>
    <row r="683" spans="1:7" ht="15" hidden="1" customHeight="1" x14ac:dyDescent="0.3">
      <c r="A683" t="s">
        <v>102</v>
      </c>
      <c r="B683" s="2">
        <v>46296</v>
      </c>
      <c r="C683" s="52">
        <v>9957.75</v>
      </c>
      <c r="D683" s="48">
        <f>_xlfn.XLOOKUP(expected_production[[#This Row],[Site Name]],Table1[[Site Name ]],Table1[Commisioned Date],"")</f>
        <v>44479</v>
      </c>
      <c r="E683" s="47">
        <f>IF(ISNUMBER(expected_production[[#This Row],[Commissioned Date]]),MAX(0,(expected_production[[#This Row],[Date]]-expected_production[[#This Row],[Commissioned Date]])/365.25),"")</f>
        <v>4.9746748802190277</v>
      </c>
      <c r="F683" s="49">
        <f>IF(expected_production[[#This Row],[Age (yrs)]]="",1,(1-DegradationRate)^expected_production[[#This Row],[Age (yrs)]])</f>
        <v>0.96565835657175481</v>
      </c>
      <c r="G683" s="52">
        <f>IF(expected_production[[#This Row],[Base Expected (kWh)]]="","",expected_production[[#This Row],[Base Expected (kWh)]]*expected_production[[#This Row],[Degradation Factor]])</f>
        <v>9615.784500152391</v>
      </c>
    </row>
    <row r="684" spans="1:7" ht="15" hidden="1" customHeight="1" x14ac:dyDescent="0.3">
      <c r="A684" t="s">
        <v>102</v>
      </c>
      <c r="B684" s="2">
        <v>46327</v>
      </c>
      <c r="C684" s="52">
        <v>10009.663425000001</v>
      </c>
      <c r="D684" s="48">
        <f>_xlfn.XLOOKUP(expected_production[[#This Row],[Site Name]],Table1[[Site Name ]],Table1[Commisioned Date],"")</f>
        <v>44479</v>
      </c>
      <c r="E684" s="47">
        <f>IF(ISNUMBER(expected_production[[#This Row],[Commissioned Date]]),MAX(0,(expected_production[[#This Row],[Date]]-expected_production[[#This Row],[Commissioned Date]])/365.25),"")</f>
        <v>5.0595482546201236</v>
      </c>
      <c r="F684" s="49">
        <f>IF(expected_production[[#This Row],[Age (yrs)]]="",1,(1-DegradationRate)^expected_production[[#This Row],[Age (yrs)]])</f>
        <v>0.96508279997251634</v>
      </c>
      <c r="G684" s="52">
        <f>IF(expected_production[[#This Row],[Base Expected (kWh)]]="","",expected_production[[#This Row],[Base Expected (kWh)]]*expected_production[[#This Row],[Degradation Factor]])</f>
        <v>9660.1540049814885</v>
      </c>
    </row>
    <row r="685" spans="1:7" ht="15" hidden="1" customHeight="1" x14ac:dyDescent="0.3">
      <c r="A685" t="s">
        <v>102</v>
      </c>
      <c r="B685" s="2">
        <v>46357</v>
      </c>
      <c r="C685" s="52">
        <v>11121.500700000001</v>
      </c>
      <c r="D685" s="48">
        <f>_xlfn.XLOOKUP(expected_production[[#This Row],[Site Name]],Table1[[Site Name ]],Table1[Commisioned Date],"")</f>
        <v>44479</v>
      </c>
      <c r="E685" s="47">
        <f>IF(ISNUMBER(expected_production[[#This Row],[Commissioned Date]]),MAX(0,(expected_production[[#This Row],[Date]]-expected_production[[#This Row],[Commissioned Date]])/365.25),"")</f>
        <v>5.1416837782340865</v>
      </c>
      <c r="F685" s="49">
        <f>IF(expected_production[[#This Row],[Age (yrs)]]="",1,(1-DegradationRate)^expected_production[[#This Row],[Age (yrs)]])</f>
        <v>0.96452613634292639</v>
      </c>
      <c r="G685" s="52">
        <f>IF(expected_production[[#This Row],[Base Expected (kWh)]]="","",expected_production[[#This Row],[Base Expected (kWh)]]*expected_production[[#This Row],[Degradation Factor]])</f>
        <v>10726.978100506152</v>
      </c>
    </row>
    <row r="686" spans="1:7" ht="15" hidden="1" customHeight="1" x14ac:dyDescent="0.3">
      <c r="A686" t="s">
        <v>104</v>
      </c>
      <c r="B686" s="2">
        <v>45292</v>
      </c>
      <c r="C686" s="52">
        <v>4042.8</v>
      </c>
      <c r="D686" s="48">
        <f>_xlfn.XLOOKUP(expected_production[[#This Row],[Site Name]],Table1[[Site Name ]],Table1[Commisioned Date],"")</f>
        <v>45073</v>
      </c>
      <c r="E686" s="47">
        <f>IF(ISNUMBER(expected_production[[#This Row],[Commissioned Date]]),MAX(0,(expected_production[[#This Row],[Date]]-expected_production[[#This Row],[Commissioned Date]])/365.25),"")</f>
        <v>0.59958932238193019</v>
      </c>
      <c r="F686" s="49">
        <f>IF(expected_production[[#This Row],[Age (yrs)]]="",1,(1-DegradationRate)^expected_production[[#This Row],[Age (yrs)]])</f>
        <v>0.99579697343381679</v>
      </c>
      <c r="G686" s="52">
        <f>IF(expected_production[[#This Row],[Base Expected (kWh)]]="","",expected_production[[#This Row],[Base Expected (kWh)]]*expected_production[[#This Row],[Degradation Factor]])</f>
        <v>4025.8080041982348</v>
      </c>
    </row>
    <row r="687" spans="1:7" ht="15" hidden="1" customHeight="1" x14ac:dyDescent="0.3">
      <c r="A687" t="s">
        <v>104</v>
      </c>
      <c r="B687" s="2">
        <v>45323</v>
      </c>
      <c r="C687" s="52">
        <v>3650.4</v>
      </c>
      <c r="D687" s="48">
        <f>_xlfn.XLOOKUP(expected_production[[#This Row],[Site Name]],Table1[[Site Name ]],Table1[Commisioned Date],"")</f>
        <v>45073</v>
      </c>
      <c r="E687" s="47">
        <f>IF(ISNUMBER(expected_production[[#This Row],[Commissioned Date]]),MAX(0,(expected_production[[#This Row],[Date]]-expected_production[[#This Row],[Commissioned Date]])/365.25),"")</f>
        <v>0.68446269678302529</v>
      </c>
      <c r="F687" s="49">
        <f>IF(expected_production[[#This Row],[Age (yrs)]]="",1,(1-DegradationRate)^expected_production[[#This Row],[Age (yrs)]])</f>
        <v>0.99520345346305172</v>
      </c>
      <c r="G687" s="52">
        <f>IF(expected_production[[#This Row],[Base Expected (kWh)]]="","",expected_production[[#This Row],[Base Expected (kWh)]]*expected_production[[#This Row],[Degradation Factor]])</f>
        <v>3632.890686521524</v>
      </c>
    </row>
    <row r="688" spans="1:7" ht="15" hidden="1" customHeight="1" x14ac:dyDescent="0.3">
      <c r="A688" t="s">
        <v>104</v>
      </c>
      <c r="B688" s="2">
        <v>45352</v>
      </c>
      <c r="C688" s="52">
        <v>3957.3</v>
      </c>
      <c r="D688" s="48">
        <f>_xlfn.XLOOKUP(expected_production[[#This Row],[Site Name]],Table1[[Site Name ]],Table1[Commisioned Date],"")</f>
        <v>45073</v>
      </c>
      <c r="E688" s="47">
        <f>IF(ISNUMBER(expected_production[[#This Row],[Commissioned Date]]),MAX(0,(expected_production[[#This Row],[Date]]-expected_production[[#This Row],[Commissioned Date]])/365.25),"")</f>
        <v>0.76386036960985626</v>
      </c>
      <c r="F688" s="49">
        <f>IF(expected_production[[#This Row],[Age (yrs)]]="",1,(1-DegradationRate)^expected_production[[#This Row],[Age (yrs)]])</f>
        <v>0.99464854536227465</v>
      </c>
      <c r="G688" s="52">
        <f>IF(expected_production[[#This Row],[Base Expected (kWh)]]="","",expected_production[[#This Row],[Base Expected (kWh)]]*expected_production[[#This Row],[Degradation Factor]])</f>
        <v>3936.1226885621295</v>
      </c>
    </row>
    <row r="689" spans="1:7" ht="15" hidden="1" customHeight="1" x14ac:dyDescent="0.3">
      <c r="A689" t="s">
        <v>104</v>
      </c>
      <c r="B689" s="2">
        <v>45383</v>
      </c>
      <c r="C689" s="52">
        <v>3279.6</v>
      </c>
      <c r="D689" s="48">
        <f>_xlfn.XLOOKUP(expected_production[[#This Row],[Site Name]],Table1[[Site Name ]],Table1[Commisioned Date],"")</f>
        <v>45073</v>
      </c>
      <c r="E689" s="47">
        <f>IF(ISNUMBER(expected_production[[#This Row],[Commissioned Date]]),MAX(0,(expected_production[[#This Row],[Date]]-expected_production[[#This Row],[Commissioned Date]])/365.25),"")</f>
        <v>0.84873374401095136</v>
      </c>
      <c r="F689" s="49">
        <f>IF(expected_production[[#This Row],[Age (yrs)]]="",1,(1-DegradationRate)^expected_production[[#This Row],[Age (yrs)]])</f>
        <v>0.99405570988344283</v>
      </c>
      <c r="G689" s="52">
        <f>IF(expected_production[[#This Row],[Base Expected (kWh)]]="","",expected_production[[#This Row],[Base Expected (kWh)]]*expected_production[[#This Row],[Degradation Factor]])</f>
        <v>3260.1051061337389</v>
      </c>
    </row>
    <row r="690" spans="1:7" ht="15" hidden="1" customHeight="1" x14ac:dyDescent="0.3">
      <c r="A690" t="s">
        <v>104</v>
      </c>
      <c r="B690" s="2">
        <v>45413</v>
      </c>
      <c r="C690" s="52">
        <v>3050.1</v>
      </c>
      <c r="D690" s="48">
        <f>_xlfn.XLOOKUP(expected_production[[#This Row],[Site Name]],Table1[[Site Name ]],Table1[Commisioned Date],"")</f>
        <v>45073</v>
      </c>
      <c r="E690" s="47">
        <f>IF(ISNUMBER(expected_production[[#This Row],[Commissioned Date]]),MAX(0,(expected_production[[#This Row],[Date]]-expected_production[[#This Row],[Commissioned Date]])/365.25),"")</f>
        <v>0.9308692676249144</v>
      </c>
      <c r="F690" s="49">
        <f>IF(expected_production[[#This Row],[Age (yrs)]]="",1,(1-DegradationRate)^expected_production[[#This Row],[Age (yrs)]])</f>
        <v>0.99348233456321733</v>
      </c>
      <c r="G690" s="52">
        <f>IF(expected_production[[#This Row],[Base Expected (kWh)]]="","",expected_production[[#This Row],[Base Expected (kWh)]]*expected_production[[#This Row],[Degradation Factor]])</f>
        <v>3030.2204686512691</v>
      </c>
    </row>
    <row r="691" spans="1:7" ht="15" hidden="1" customHeight="1" x14ac:dyDescent="0.3">
      <c r="A691" t="s">
        <v>104</v>
      </c>
      <c r="B691" s="2">
        <v>45444</v>
      </c>
      <c r="C691" s="52">
        <v>2790</v>
      </c>
      <c r="D691" s="48">
        <f>_xlfn.XLOOKUP(expected_production[[#This Row],[Site Name]],Table1[[Site Name ]],Table1[Commisioned Date],"")</f>
        <v>45073</v>
      </c>
      <c r="E691" s="47">
        <f>IF(ISNUMBER(expected_production[[#This Row],[Commissioned Date]]),MAX(0,(expected_production[[#This Row],[Date]]-expected_production[[#This Row],[Commissioned Date]])/365.25),"")</f>
        <v>1.0157426420260096</v>
      </c>
      <c r="F691" s="49">
        <f>IF(expected_production[[#This Row],[Age (yrs)]]="",1,(1-DegradationRate)^expected_production[[#This Row],[Age (yrs)]])</f>
        <v>0.99289019417527036</v>
      </c>
      <c r="G691" s="52">
        <f>IF(expected_production[[#This Row],[Base Expected (kWh)]]="","",expected_production[[#This Row],[Base Expected (kWh)]]*expected_production[[#This Row],[Degradation Factor]])</f>
        <v>2770.1636417490045</v>
      </c>
    </row>
    <row r="692" spans="1:7" ht="15" hidden="1" customHeight="1" x14ac:dyDescent="0.3">
      <c r="A692" t="s">
        <v>104</v>
      </c>
      <c r="B692" s="2">
        <v>45474</v>
      </c>
      <c r="C692" s="52">
        <v>3044.7</v>
      </c>
      <c r="D692" s="48">
        <f>_xlfn.XLOOKUP(expected_production[[#This Row],[Site Name]],Table1[[Site Name ]],Table1[Commisioned Date],"")</f>
        <v>45073</v>
      </c>
      <c r="E692" s="47">
        <f>IF(ISNUMBER(expected_production[[#This Row],[Commissioned Date]]),MAX(0,(expected_production[[#This Row],[Date]]-expected_production[[#This Row],[Commissioned Date]])/365.25),"")</f>
        <v>1.0978781656399725</v>
      </c>
      <c r="F692" s="49">
        <f>IF(expected_production[[#This Row],[Age (yrs)]]="",1,(1-DegradationRate)^expected_production[[#This Row],[Age (yrs)]])</f>
        <v>0.99231749112917977</v>
      </c>
      <c r="G692" s="52">
        <f>IF(expected_production[[#This Row],[Base Expected (kWh)]]="","",expected_production[[#This Row],[Base Expected (kWh)]]*expected_production[[#This Row],[Degradation Factor]])</f>
        <v>3021.3090652410133</v>
      </c>
    </row>
    <row r="693" spans="1:7" ht="15" hidden="1" customHeight="1" x14ac:dyDescent="0.3">
      <c r="A693" t="s">
        <v>104</v>
      </c>
      <c r="B693" s="2">
        <v>45505</v>
      </c>
      <c r="C693" s="52">
        <v>3298.5</v>
      </c>
      <c r="D693" s="48">
        <f>_xlfn.XLOOKUP(expected_production[[#This Row],[Site Name]],Table1[[Site Name ]],Table1[Commisioned Date],"")</f>
        <v>45073</v>
      </c>
      <c r="E693" s="47">
        <f>IF(ISNUMBER(expected_production[[#This Row],[Commissioned Date]]),MAX(0,(expected_production[[#This Row],[Date]]-expected_production[[#This Row],[Commissioned Date]])/365.25),"")</f>
        <v>1.1827515400410678</v>
      </c>
      <c r="F693" s="49">
        <f>IF(expected_production[[#This Row],[Age (yrs)]]="",1,(1-DegradationRate)^expected_production[[#This Row],[Age (yrs)]])</f>
        <v>0.99172604501713368</v>
      </c>
      <c r="G693" s="52">
        <f>IF(expected_production[[#This Row],[Base Expected (kWh)]]="","",expected_production[[#This Row],[Base Expected (kWh)]]*expected_production[[#This Row],[Degradation Factor]])</f>
        <v>3271.2083594890155</v>
      </c>
    </row>
    <row r="694" spans="1:7" ht="15" hidden="1" customHeight="1" x14ac:dyDescent="0.3">
      <c r="A694" t="s">
        <v>104</v>
      </c>
      <c r="B694" s="2">
        <v>45536</v>
      </c>
      <c r="C694" s="52">
        <v>3492.9</v>
      </c>
      <c r="D694" s="48">
        <f>_xlfn.XLOOKUP(expected_production[[#This Row],[Site Name]],Table1[[Site Name ]],Table1[Commisioned Date],"")</f>
        <v>45073</v>
      </c>
      <c r="E694" s="47">
        <f>IF(ISNUMBER(expected_production[[#This Row],[Commissioned Date]]),MAX(0,(expected_production[[#This Row],[Date]]-expected_production[[#This Row],[Commissioned Date]])/365.25),"")</f>
        <v>1.267624914442163</v>
      </c>
      <c r="F694" s="49">
        <f>IF(expected_production[[#This Row],[Age (yrs)]]="",1,(1-DegradationRate)^expected_production[[#This Row],[Age (yrs)]])</f>
        <v>0.99113495142180397</v>
      </c>
      <c r="G694" s="52">
        <f>IF(expected_production[[#This Row],[Base Expected (kWh)]]="","",expected_production[[#This Row],[Base Expected (kWh)]]*expected_production[[#This Row],[Degradation Factor]])</f>
        <v>3461.935271821219</v>
      </c>
    </row>
    <row r="695" spans="1:7" ht="15" hidden="1" customHeight="1" x14ac:dyDescent="0.3">
      <c r="A695" t="s">
        <v>104</v>
      </c>
      <c r="B695" s="2">
        <v>45566</v>
      </c>
      <c r="C695" s="52">
        <v>3509.1</v>
      </c>
      <c r="D695" s="48">
        <f>_xlfn.XLOOKUP(expected_production[[#This Row],[Site Name]],Table1[[Site Name ]],Table1[Commisioned Date],"")</f>
        <v>45073</v>
      </c>
      <c r="E695" s="47">
        <f>IF(ISNUMBER(expected_production[[#This Row],[Commissioned Date]]),MAX(0,(expected_production[[#This Row],[Date]]-expected_production[[#This Row],[Commissioned Date]])/365.25),"")</f>
        <v>1.3497604380561259</v>
      </c>
      <c r="F695" s="49">
        <f>IF(expected_production[[#This Row],[Age (yrs)]]="",1,(1-DegradationRate)^expected_production[[#This Row],[Age (yrs)]])</f>
        <v>0.99056326080677315</v>
      </c>
      <c r="G695" s="52">
        <f>IF(expected_production[[#This Row],[Base Expected (kWh)]]="","",expected_production[[#This Row],[Base Expected (kWh)]]*expected_production[[#This Row],[Degradation Factor]])</f>
        <v>3475.9855384970474</v>
      </c>
    </row>
    <row r="696" spans="1:7" ht="15" hidden="1" customHeight="1" x14ac:dyDescent="0.3">
      <c r="A696" t="s">
        <v>104</v>
      </c>
      <c r="B696" s="2">
        <v>45597</v>
      </c>
      <c r="C696" s="52">
        <v>3348</v>
      </c>
      <c r="D696" s="48">
        <f>_xlfn.XLOOKUP(expected_production[[#This Row],[Site Name]],Table1[[Site Name ]],Table1[Commisioned Date],"")</f>
        <v>45073</v>
      </c>
      <c r="E696" s="47">
        <f>IF(ISNUMBER(expected_production[[#This Row],[Commissioned Date]]),MAX(0,(expected_production[[#This Row],[Date]]-expected_production[[#This Row],[Commissioned Date]])/365.25),"")</f>
        <v>1.4346338124572211</v>
      </c>
      <c r="F696" s="49">
        <f>IF(expected_production[[#This Row],[Age (yrs)]]="",1,(1-DegradationRate)^expected_production[[#This Row],[Age (yrs)]])</f>
        <v>0.98997286025999531</v>
      </c>
      <c r="G696" s="52">
        <f>IF(expected_production[[#This Row],[Base Expected (kWh)]]="","",expected_production[[#This Row],[Base Expected (kWh)]]*expected_production[[#This Row],[Degradation Factor]])</f>
        <v>3314.4291361504643</v>
      </c>
    </row>
    <row r="697" spans="1:7" ht="15" hidden="1" customHeight="1" x14ac:dyDescent="0.3">
      <c r="A697" t="s">
        <v>104</v>
      </c>
      <c r="B697" s="2">
        <v>45627</v>
      </c>
      <c r="C697" s="52">
        <v>3591.9</v>
      </c>
      <c r="D697" s="48">
        <f>_xlfn.XLOOKUP(expected_production[[#This Row],[Site Name]],Table1[[Site Name ]],Table1[Commisioned Date],"")</f>
        <v>45073</v>
      </c>
      <c r="E697" s="47">
        <f>IF(ISNUMBER(expected_production[[#This Row],[Commissioned Date]]),MAX(0,(expected_production[[#This Row],[Date]]-expected_production[[#This Row],[Commissioned Date]])/365.25),"")</f>
        <v>1.516769336071184</v>
      </c>
      <c r="F697" s="49">
        <f>IF(expected_production[[#This Row],[Age (yrs)]]="",1,(1-DegradationRate)^expected_production[[#This Row],[Age (yrs)]])</f>
        <v>0.98940183994380737</v>
      </c>
      <c r="G697" s="52">
        <f>IF(expected_production[[#This Row],[Base Expected (kWh)]]="","",expected_production[[#This Row],[Base Expected (kWh)]]*expected_production[[#This Row],[Degradation Factor]])</f>
        <v>3553.8324688941616</v>
      </c>
    </row>
    <row r="698" spans="1:7" ht="15" hidden="1" customHeight="1" x14ac:dyDescent="0.3">
      <c r="A698" t="s">
        <v>104</v>
      </c>
      <c r="B698" s="2">
        <v>45658</v>
      </c>
      <c r="C698" s="52">
        <v>4042.8</v>
      </c>
      <c r="D698" s="48">
        <f>_xlfn.XLOOKUP(expected_production[[#This Row],[Site Name]],Table1[[Site Name ]],Table1[Commisioned Date],"")</f>
        <v>45073</v>
      </c>
      <c r="E698" s="47">
        <f>IF(ISNUMBER(expected_production[[#This Row],[Commissioned Date]]),MAX(0,(expected_production[[#This Row],[Date]]-expected_production[[#This Row],[Commissioned Date]])/365.25),"")</f>
        <v>1.6016427104722792</v>
      </c>
      <c r="F698" s="49">
        <f>IF(expected_production[[#This Row],[Age (yrs)]]="",1,(1-DegradationRate)^expected_production[[#This Row],[Age (yrs)]])</f>
        <v>0.98881213163299231</v>
      </c>
      <c r="G698" s="52">
        <f>IF(expected_production[[#This Row],[Base Expected (kWh)]]="","",expected_production[[#This Row],[Base Expected (kWh)]]*expected_production[[#This Row],[Degradation Factor]])</f>
        <v>3997.5696857658613</v>
      </c>
    </row>
    <row r="699" spans="1:7" ht="15" hidden="1" customHeight="1" x14ac:dyDescent="0.3">
      <c r="A699" t="s">
        <v>104</v>
      </c>
      <c r="B699" s="2">
        <v>45689</v>
      </c>
      <c r="C699" s="52">
        <v>3650.4</v>
      </c>
      <c r="D699" s="48">
        <f>_xlfn.XLOOKUP(expected_production[[#This Row],[Site Name]],Table1[[Site Name ]],Table1[Commisioned Date],"")</f>
        <v>45073</v>
      </c>
      <c r="E699" s="47">
        <f>IF(ISNUMBER(expected_production[[#This Row],[Commissioned Date]]),MAX(0,(expected_production[[#This Row],[Date]]-expected_production[[#This Row],[Commissioned Date]])/365.25),"")</f>
        <v>1.6865160848733745</v>
      </c>
      <c r="F699" s="49">
        <f>IF(expected_production[[#This Row],[Age (yrs)]]="",1,(1-DegradationRate)^expected_production[[#This Row],[Age (yrs)]])</f>
        <v>0.98822277480312049</v>
      </c>
      <c r="G699" s="52">
        <f>IF(expected_production[[#This Row],[Base Expected (kWh)]]="","",expected_production[[#This Row],[Base Expected (kWh)]]*expected_production[[#This Row],[Degradation Factor]])</f>
        <v>3607.408417141311</v>
      </c>
    </row>
    <row r="700" spans="1:7" ht="15" hidden="1" customHeight="1" x14ac:dyDescent="0.3">
      <c r="A700" t="s">
        <v>104</v>
      </c>
      <c r="B700" s="2">
        <v>45717</v>
      </c>
      <c r="C700" s="52">
        <v>3957.3</v>
      </c>
      <c r="D700" s="48">
        <f>_xlfn.XLOOKUP(expected_production[[#This Row],[Site Name]],Table1[[Site Name ]],Table1[Commisioned Date],"")</f>
        <v>45073</v>
      </c>
      <c r="E700" s="47">
        <f>IF(ISNUMBER(expected_production[[#This Row],[Commissioned Date]]),MAX(0,(expected_production[[#This Row],[Date]]-expected_production[[#This Row],[Commissioned Date]])/365.25),"")</f>
        <v>1.7631759069130732</v>
      </c>
      <c r="F700" s="49">
        <f>IF(expected_production[[#This Row],[Age (yrs)]]="",1,(1-DegradationRate)^expected_production[[#This Row],[Age (yrs)]])</f>
        <v>0.98769075443628362</v>
      </c>
      <c r="G700" s="52">
        <f>IF(expected_production[[#This Row],[Base Expected (kWh)]]="","",expected_production[[#This Row],[Base Expected (kWh)]]*expected_production[[#This Row],[Degradation Factor]])</f>
        <v>3908.5886225307054</v>
      </c>
    </row>
    <row r="701" spans="1:7" ht="15" hidden="1" customHeight="1" x14ac:dyDescent="0.3">
      <c r="A701" t="s">
        <v>104</v>
      </c>
      <c r="B701" s="2">
        <v>45748</v>
      </c>
      <c r="C701" s="52">
        <v>3279.6</v>
      </c>
      <c r="D701" s="48">
        <f>_xlfn.XLOOKUP(expected_production[[#This Row],[Site Name]],Table1[[Site Name ]],Table1[Commisioned Date],"")</f>
        <v>45073</v>
      </c>
      <c r="E701" s="47">
        <f>IF(ISNUMBER(expected_production[[#This Row],[Commissioned Date]]),MAX(0,(expected_production[[#This Row],[Date]]-expected_production[[#This Row],[Commissioned Date]])/365.25),"")</f>
        <v>1.8480492813141685</v>
      </c>
      <c r="F701" s="49">
        <f>IF(expected_production[[#This Row],[Age (yrs)]]="",1,(1-DegradationRate)^expected_production[[#This Row],[Age (yrs)]])</f>
        <v>0.98710206597534522</v>
      </c>
      <c r="G701" s="52">
        <f>IF(expected_production[[#This Row],[Base Expected (kWh)]]="","",expected_production[[#This Row],[Base Expected (kWh)]]*expected_production[[#This Row],[Degradation Factor]])</f>
        <v>3237.299935572742</v>
      </c>
    </row>
    <row r="702" spans="1:7" ht="15" hidden="1" customHeight="1" x14ac:dyDescent="0.3">
      <c r="A702" t="s">
        <v>104</v>
      </c>
      <c r="B702" s="2">
        <v>45778</v>
      </c>
      <c r="C702" s="52">
        <v>3050.1</v>
      </c>
      <c r="D702" s="48">
        <f>_xlfn.XLOOKUP(expected_production[[#This Row],[Site Name]],Table1[[Site Name ]],Table1[Commisioned Date],"")</f>
        <v>45073</v>
      </c>
      <c r="E702" s="47">
        <f>IF(ISNUMBER(expected_production[[#This Row],[Commissioned Date]]),MAX(0,(expected_production[[#This Row],[Date]]-expected_production[[#This Row],[Commissioned Date]])/365.25),"")</f>
        <v>1.9301848049281314</v>
      </c>
      <c r="F702" s="49">
        <f>IF(expected_production[[#This Row],[Age (yrs)]]="",1,(1-DegradationRate)^expected_production[[#This Row],[Age (yrs)]])</f>
        <v>0.98653270154481421</v>
      </c>
      <c r="G702" s="52">
        <f>IF(expected_production[[#This Row],[Base Expected (kWh)]]="","",expected_production[[#This Row],[Base Expected (kWh)]]*expected_production[[#This Row],[Degradation Factor]])</f>
        <v>3009.0233929818378</v>
      </c>
    </row>
    <row r="703" spans="1:7" ht="15" hidden="1" customHeight="1" x14ac:dyDescent="0.3">
      <c r="A703" t="s">
        <v>104</v>
      </c>
      <c r="B703" s="2">
        <v>45809</v>
      </c>
      <c r="C703" s="52">
        <v>2790</v>
      </c>
      <c r="D703" s="48">
        <f>_xlfn.XLOOKUP(expected_production[[#This Row],[Site Name]],Table1[[Site Name ]],Table1[Commisioned Date],"")</f>
        <v>45073</v>
      </c>
      <c r="E703" s="47">
        <f>IF(ISNUMBER(expected_production[[#This Row],[Commissioned Date]]),MAX(0,(expected_production[[#This Row],[Date]]-expected_production[[#This Row],[Commissioned Date]])/365.25),"")</f>
        <v>2.0150581793292264</v>
      </c>
      <c r="F703" s="49">
        <f>IF(expected_production[[#This Row],[Age (yrs)]]="",1,(1-DegradationRate)^expected_production[[#This Row],[Age (yrs)]])</f>
        <v>0.98594470331244299</v>
      </c>
      <c r="G703" s="52">
        <f>IF(expected_production[[#This Row],[Base Expected (kWh)]]="","",expected_production[[#This Row],[Base Expected (kWh)]]*expected_production[[#This Row],[Degradation Factor]])</f>
        <v>2750.785722241716</v>
      </c>
    </row>
    <row r="704" spans="1:7" ht="15" hidden="1" customHeight="1" x14ac:dyDescent="0.3">
      <c r="A704" t="s">
        <v>104</v>
      </c>
      <c r="B704" s="2">
        <v>45839</v>
      </c>
      <c r="C704" s="52">
        <v>3044.7</v>
      </c>
      <c r="D704" s="48">
        <f>_xlfn.XLOOKUP(expected_production[[#This Row],[Site Name]],Table1[[Site Name ]],Table1[Commisioned Date],"")</f>
        <v>45073</v>
      </c>
      <c r="E704" s="47">
        <f>IF(ISNUMBER(expected_production[[#This Row],[Commissioned Date]]),MAX(0,(expected_production[[#This Row],[Date]]-expected_production[[#This Row],[Commissioned Date]])/365.25),"")</f>
        <v>2.0971937029431897</v>
      </c>
      <c r="F704" s="49">
        <f>IF(expected_production[[#This Row],[Age (yrs)]]="",1,(1-DegradationRate)^expected_production[[#This Row],[Age (yrs)]])</f>
        <v>0.98537600645333778</v>
      </c>
      <c r="G704" s="52">
        <f>IF(expected_production[[#This Row],[Base Expected (kWh)]]="","",expected_production[[#This Row],[Base Expected (kWh)]]*expected_production[[#This Row],[Degradation Factor]])</f>
        <v>3000.1743268484774</v>
      </c>
    </row>
    <row r="705" spans="1:7" ht="15" hidden="1" customHeight="1" x14ac:dyDescent="0.3">
      <c r="A705" t="s">
        <v>104</v>
      </c>
      <c r="B705" s="2">
        <v>45870</v>
      </c>
      <c r="C705" s="52">
        <v>3298.5</v>
      </c>
      <c r="D705" s="48">
        <f>_xlfn.XLOOKUP(expected_production[[#This Row],[Site Name]],Table1[[Site Name ]],Table1[Commisioned Date],"")</f>
        <v>45073</v>
      </c>
      <c r="E705" s="47">
        <f>IF(ISNUMBER(expected_production[[#This Row],[Commissioned Date]]),MAX(0,(expected_production[[#This Row],[Date]]-expected_production[[#This Row],[Commissioned Date]])/365.25),"")</f>
        <v>2.1820670773442847</v>
      </c>
      <c r="F705" s="49">
        <f>IF(expected_production[[#This Row],[Age (yrs)]]="",1,(1-DegradationRate)^expected_production[[#This Row],[Age (yrs)]])</f>
        <v>0.98478869764025101</v>
      </c>
      <c r="G705" s="52">
        <f>IF(expected_production[[#This Row],[Base Expected (kWh)]]="","",expected_production[[#This Row],[Base Expected (kWh)]]*expected_production[[#This Row],[Degradation Factor]])</f>
        <v>3248.3255191663679</v>
      </c>
    </row>
    <row r="706" spans="1:7" ht="15" hidden="1" customHeight="1" x14ac:dyDescent="0.3">
      <c r="A706" t="s">
        <v>104</v>
      </c>
      <c r="B706" s="2">
        <v>45901</v>
      </c>
      <c r="C706" s="52">
        <v>3492.9</v>
      </c>
      <c r="D706" s="48">
        <f>_xlfn.XLOOKUP(expected_production[[#This Row],[Site Name]],Table1[[Site Name ]],Table1[Commisioned Date],"")</f>
        <v>45073</v>
      </c>
      <c r="E706" s="47">
        <f>IF(ISNUMBER(expected_production[[#This Row],[Commissioned Date]]),MAX(0,(expected_production[[#This Row],[Date]]-expected_production[[#This Row],[Commissioned Date]])/365.25),"")</f>
        <v>2.2669404517453797</v>
      </c>
      <c r="F706" s="49">
        <f>IF(expected_production[[#This Row],[Age (yrs)]]="",1,(1-DegradationRate)^expected_production[[#This Row],[Age (yrs)]])</f>
        <v>0.9842017388779466</v>
      </c>
      <c r="G706" s="52">
        <f>IF(expected_production[[#This Row],[Base Expected (kWh)]]="","",expected_production[[#This Row],[Base Expected (kWh)]]*expected_production[[#This Row],[Degradation Factor]])</f>
        <v>3437.7182537267799</v>
      </c>
    </row>
    <row r="707" spans="1:7" ht="15" hidden="1" customHeight="1" x14ac:dyDescent="0.3">
      <c r="A707" t="s">
        <v>104</v>
      </c>
      <c r="B707" s="2">
        <v>45931</v>
      </c>
      <c r="C707" s="52">
        <v>3509.1</v>
      </c>
      <c r="D707" s="48">
        <f>_xlfn.XLOOKUP(expected_production[[#This Row],[Site Name]],Table1[[Site Name ]],Table1[Commisioned Date],"")</f>
        <v>45073</v>
      </c>
      <c r="E707" s="47">
        <f>IF(ISNUMBER(expected_production[[#This Row],[Commissioned Date]]),MAX(0,(expected_production[[#This Row],[Date]]-expected_production[[#This Row],[Commissioned Date]])/365.25),"")</f>
        <v>2.3490759753593431</v>
      </c>
      <c r="F707" s="49">
        <f>IF(expected_production[[#This Row],[Age (yrs)]]="",1,(1-DegradationRate)^expected_production[[#This Row],[Age (yrs)]])</f>
        <v>0.98363404736771742</v>
      </c>
      <c r="G707" s="52">
        <f>IF(expected_production[[#This Row],[Base Expected (kWh)]]="","",expected_production[[#This Row],[Base Expected (kWh)]]*expected_production[[#This Row],[Degradation Factor]])</f>
        <v>3451.6702356180572</v>
      </c>
    </row>
    <row r="708" spans="1:7" ht="15" hidden="1" customHeight="1" x14ac:dyDescent="0.3">
      <c r="A708" t="s">
        <v>104</v>
      </c>
      <c r="B708" s="2">
        <v>45962</v>
      </c>
      <c r="C708" s="52">
        <v>3348</v>
      </c>
      <c r="D708" s="48">
        <f>_xlfn.XLOOKUP(expected_production[[#This Row],[Site Name]],Table1[[Site Name ]],Table1[Commisioned Date],"")</f>
        <v>45073</v>
      </c>
      <c r="E708" s="47">
        <f>IF(ISNUMBER(expected_production[[#This Row],[Commissioned Date]]),MAX(0,(expected_production[[#This Row],[Date]]-expected_production[[#This Row],[Commissioned Date]])/365.25),"")</f>
        <v>2.4339493497604381</v>
      </c>
      <c r="F708" s="49">
        <f>IF(expected_production[[#This Row],[Age (yrs)]]="",1,(1-DegradationRate)^expected_production[[#This Row],[Age (yrs)]])</f>
        <v>0.98304777680593414</v>
      </c>
      <c r="G708" s="52">
        <f>IF(expected_production[[#This Row],[Base Expected (kWh)]]="","",expected_production[[#This Row],[Base Expected (kWh)]]*expected_production[[#This Row],[Degradation Factor]])</f>
        <v>3291.2439567462675</v>
      </c>
    </row>
    <row r="709" spans="1:7" ht="15" hidden="1" customHeight="1" x14ac:dyDescent="0.3">
      <c r="A709" t="s">
        <v>104</v>
      </c>
      <c r="B709" s="2">
        <v>45992</v>
      </c>
      <c r="C709" s="52">
        <v>3591.9</v>
      </c>
      <c r="D709" s="48">
        <f>_xlfn.XLOOKUP(expected_production[[#This Row],[Site Name]],Table1[[Site Name ]],Table1[Commisioned Date],"")</f>
        <v>45073</v>
      </c>
      <c r="E709" s="47">
        <f>IF(ISNUMBER(expected_production[[#This Row],[Commissioned Date]]),MAX(0,(expected_production[[#This Row],[Date]]-expected_production[[#This Row],[Commissioned Date]])/365.25),"")</f>
        <v>2.516084873374401</v>
      </c>
      <c r="F709" s="49">
        <f>IF(expected_production[[#This Row],[Age (yrs)]]="",1,(1-DegradationRate)^expected_production[[#This Row],[Age (yrs)]])</f>
        <v>0.98248075090565623</v>
      </c>
      <c r="G709" s="52">
        <f>IF(expected_production[[#This Row],[Base Expected (kWh)]]="","",expected_production[[#This Row],[Base Expected (kWh)]]*expected_production[[#This Row],[Degradation Factor]])</f>
        <v>3528.9726091780267</v>
      </c>
    </row>
    <row r="710" spans="1:7" ht="15" hidden="1" customHeight="1" x14ac:dyDescent="0.3">
      <c r="A710" t="s">
        <v>104</v>
      </c>
      <c r="B710" s="2">
        <v>46023</v>
      </c>
      <c r="C710" s="52">
        <v>4042.8</v>
      </c>
      <c r="D710" s="48">
        <f>_xlfn.XLOOKUP(expected_production[[#This Row],[Site Name]],Table1[[Site Name ]],Table1[Commisioned Date],"")</f>
        <v>45073</v>
      </c>
      <c r="E710" s="47">
        <f>IF(ISNUMBER(expected_production[[#This Row],[Commissioned Date]]),MAX(0,(expected_production[[#This Row],[Date]]-expected_production[[#This Row],[Commissioned Date]])/365.25),"")</f>
        <v>2.6009582477754964</v>
      </c>
      <c r="F710" s="49">
        <f>IF(expected_production[[#This Row],[Age (yrs)]]="",1,(1-DegradationRate)^expected_production[[#This Row],[Age (yrs)]])</f>
        <v>0.98189516773748897</v>
      </c>
      <c r="G710" s="52">
        <f>IF(expected_production[[#This Row],[Base Expected (kWh)]]="","",expected_production[[#This Row],[Base Expected (kWh)]]*expected_production[[#This Row],[Degradation Factor]])</f>
        <v>3969.6057841291208</v>
      </c>
    </row>
    <row r="711" spans="1:7" ht="15" hidden="1" customHeight="1" x14ac:dyDescent="0.3">
      <c r="A711" t="s">
        <v>104</v>
      </c>
      <c r="B711" s="2">
        <v>46054</v>
      </c>
      <c r="C711" s="52">
        <v>3650.4</v>
      </c>
      <c r="D711" s="48">
        <f>_xlfn.XLOOKUP(expected_production[[#This Row],[Site Name]],Table1[[Site Name ]],Table1[Commisioned Date],"")</f>
        <v>45073</v>
      </c>
      <c r="E711" s="47">
        <f>IF(ISNUMBER(expected_production[[#This Row],[Commissioned Date]]),MAX(0,(expected_production[[#This Row],[Date]]-expected_production[[#This Row],[Commissioned Date]])/365.25),"")</f>
        <v>2.6858316221765914</v>
      </c>
      <c r="F711" s="49">
        <f>IF(expected_production[[#This Row],[Age (yrs)]]="",1,(1-DegradationRate)^expected_production[[#This Row],[Age (yrs)]])</f>
        <v>0.98130993359157626</v>
      </c>
      <c r="G711" s="52">
        <f>IF(expected_production[[#This Row],[Base Expected (kWh)]]="","",expected_production[[#This Row],[Base Expected (kWh)]]*expected_production[[#This Row],[Degradation Factor]])</f>
        <v>3582.17378158269</v>
      </c>
    </row>
    <row r="712" spans="1:7" ht="15" hidden="1" customHeight="1" x14ac:dyDescent="0.3">
      <c r="A712" t="s">
        <v>104</v>
      </c>
      <c r="B712" s="2">
        <v>46082</v>
      </c>
      <c r="C712" s="52">
        <v>3957.3</v>
      </c>
      <c r="D712" s="48">
        <f>_xlfn.XLOOKUP(expected_production[[#This Row],[Site Name]],Table1[[Site Name ]],Table1[Commisioned Date],"")</f>
        <v>45073</v>
      </c>
      <c r="E712" s="47">
        <f>IF(ISNUMBER(expected_production[[#This Row],[Commissioned Date]]),MAX(0,(expected_production[[#This Row],[Date]]-expected_production[[#This Row],[Commissioned Date]])/365.25),"")</f>
        <v>2.7624914442162902</v>
      </c>
      <c r="F712" s="49">
        <f>IF(expected_production[[#This Row],[Age (yrs)]]="",1,(1-DegradationRate)^expected_production[[#This Row],[Age (yrs)]])</f>
        <v>0.98078163482720715</v>
      </c>
      <c r="G712" s="52">
        <f>IF(expected_production[[#This Row],[Base Expected (kWh)]]="","",expected_production[[#This Row],[Base Expected (kWh)]]*expected_production[[#This Row],[Degradation Factor]])</f>
        <v>3881.2471635017068</v>
      </c>
    </row>
    <row r="713" spans="1:7" ht="15" hidden="1" customHeight="1" x14ac:dyDescent="0.3">
      <c r="A713" t="s">
        <v>104</v>
      </c>
      <c r="B713" s="2">
        <v>46113</v>
      </c>
      <c r="C713" s="52">
        <v>3279.6</v>
      </c>
      <c r="D713" s="48">
        <f>_xlfn.XLOOKUP(expected_production[[#This Row],[Site Name]],Table1[[Site Name ]],Table1[Commisioned Date],"")</f>
        <v>45073</v>
      </c>
      <c r="E713" s="47">
        <f>IF(ISNUMBER(expected_production[[#This Row],[Commissioned Date]]),MAX(0,(expected_production[[#This Row],[Date]]-expected_production[[#This Row],[Commissioned Date]])/365.25),"")</f>
        <v>2.8473648186173852</v>
      </c>
      <c r="F713" s="49">
        <f>IF(expected_production[[#This Row],[Age (yrs)]]="",1,(1-DegradationRate)^expected_production[[#This Row],[Age (yrs)]])</f>
        <v>0.98019706437483645</v>
      </c>
      <c r="G713" s="52">
        <f>IF(expected_production[[#This Row],[Base Expected (kWh)]]="","",expected_production[[#This Row],[Base Expected (kWh)]]*expected_production[[#This Row],[Degradation Factor]])</f>
        <v>3214.6542923237134</v>
      </c>
    </row>
    <row r="714" spans="1:7" ht="15" hidden="1" customHeight="1" x14ac:dyDescent="0.3">
      <c r="A714" t="s">
        <v>104</v>
      </c>
      <c r="B714" s="2">
        <v>46143</v>
      </c>
      <c r="C714" s="52">
        <v>3050.1</v>
      </c>
      <c r="D714" s="48">
        <f>_xlfn.XLOOKUP(expected_production[[#This Row],[Site Name]],Table1[[Site Name ]],Table1[Commisioned Date],"")</f>
        <v>45073</v>
      </c>
      <c r="E714" s="47">
        <f>IF(ISNUMBER(expected_production[[#This Row],[Commissioned Date]]),MAX(0,(expected_production[[#This Row],[Date]]-expected_production[[#This Row],[Commissioned Date]])/365.25),"")</f>
        <v>2.9295003422313486</v>
      </c>
      <c r="F714" s="49">
        <f>IF(expected_production[[#This Row],[Age (yrs)]]="",1,(1-DegradationRate)^expected_production[[#This Row],[Age (yrs)]])</f>
        <v>0.97963168277692181</v>
      </c>
      <c r="G714" s="52">
        <f>IF(expected_production[[#This Row],[Base Expected (kWh)]]="","",expected_production[[#This Row],[Base Expected (kWh)]]*expected_production[[#This Row],[Degradation Factor]])</f>
        <v>2987.9745956378893</v>
      </c>
    </row>
    <row r="715" spans="1:7" ht="15" hidden="1" customHeight="1" x14ac:dyDescent="0.3">
      <c r="A715" t="s">
        <v>104</v>
      </c>
      <c r="B715" s="2">
        <v>46174</v>
      </c>
      <c r="C715" s="52">
        <v>2790</v>
      </c>
      <c r="D715" s="48">
        <f>_xlfn.XLOOKUP(expected_production[[#This Row],[Site Name]],Table1[[Site Name ]],Table1[Commisioned Date],"")</f>
        <v>45073</v>
      </c>
      <c r="E715" s="47">
        <f>IF(ISNUMBER(expected_production[[#This Row],[Commissioned Date]]),MAX(0,(expected_production[[#This Row],[Date]]-expected_production[[#This Row],[Commissioned Date]])/365.25),"")</f>
        <v>3.0143737166324436</v>
      </c>
      <c r="F715" s="49">
        <f>IF(expected_production[[#This Row],[Age (yrs)]]="",1,(1-DegradationRate)^expected_production[[#This Row],[Age (yrs)]])</f>
        <v>0.97904779772481398</v>
      </c>
      <c r="G715" s="52">
        <f>IF(expected_production[[#This Row],[Base Expected (kWh)]]="","",expected_production[[#This Row],[Base Expected (kWh)]]*expected_production[[#This Row],[Degradation Factor]])</f>
        <v>2731.5433556522312</v>
      </c>
    </row>
    <row r="716" spans="1:7" ht="15" hidden="1" customHeight="1" x14ac:dyDescent="0.3">
      <c r="A716" t="s">
        <v>104</v>
      </c>
      <c r="B716" s="2">
        <v>46204</v>
      </c>
      <c r="C716" s="52">
        <v>3044.7</v>
      </c>
      <c r="D716" s="48">
        <f>_xlfn.XLOOKUP(expected_production[[#This Row],[Site Name]],Table1[[Site Name ]],Table1[Commisioned Date],"")</f>
        <v>45073</v>
      </c>
      <c r="E716" s="47">
        <f>IF(ISNUMBER(expected_production[[#This Row],[Commissioned Date]]),MAX(0,(expected_production[[#This Row],[Date]]-expected_production[[#This Row],[Commissioned Date]])/365.25),"")</f>
        <v>3.0965092402464065</v>
      </c>
      <c r="F716" s="49">
        <f>IF(expected_production[[#This Row],[Age (yrs)]]="",1,(1-DegradationRate)^expected_production[[#This Row],[Age (yrs)]])</f>
        <v>0.97848307902851239</v>
      </c>
      <c r="G716" s="52">
        <f>IF(expected_production[[#This Row],[Base Expected (kWh)]]="","",expected_production[[#This Row],[Base Expected (kWh)]]*expected_production[[#This Row],[Degradation Factor]])</f>
        <v>2979.1874307181115</v>
      </c>
    </row>
    <row r="717" spans="1:7" ht="15" hidden="1" customHeight="1" x14ac:dyDescent="0.3">
      <c r="A717" t="s">
        <v>104</v>
      </c>
      <c r="B717" s="2">
        <v>46235</v>
      </c>
      <c r="C717" s="52">
        <v>3298.5</v>
      </c>
      <c r="D717" s="48">
        <f>_xlfn.XLOOKUP(expected_production[[#This Row],[Site Name]],Table1[[Site Name ]],Table1[Commisioned Date],"")</f>
        <v>45073</v>
      </c>
      <c r="E717" s="47">
        <f>IF(ISNUMBER(expected_production[[#This Row],[Commissioned Date]]),MAX(0,(expected_production[[#This Row],[Date]]-expected_production[[#This Row],[Commissioned Date]])/365.25),"")</f>
        <v>3.1813826146475015</v>
      </c>
      <c r="F717" s="49">
        <f>IF(expected_production[[#This Row],[Age (yrs)]]="",1,(1-DegradationRate)^expected_production[[#This Row],[Age (yrs)]])</f>
        <v>0.9778998785730455</v>
      </c>
      <c r="G717" s="52">
        <f>IF(expected_production[[#This Row],[Base Expected (kWh)]]="","",expected_production[[#This Row],[Base Expected (kWh)]]*expected_production[[#This Row],[Degradation Factor]])</f>
        <v>3225.6027494731907</v>
      </c>
    </row>
    <row r="718" spans="1:7" ht="15" hidden="1" customHeight="1" x14ac:dyDescent="0.3">
      <c r="A718" t="s">
        <v>104</v>
      </c>
      <c r="B718" s="2">
        <v>46266</v>
      </c>
      <c r="C718" s="52">
        <v>3492.9</v>
      </c>
      <c r="D718" s="48">
        <f>_xlfn.XLOOKUP(expected_production[[#This Row],[Site Name]],Table1[[Site Name ]],Table1[Commisioned Date],"")</f>
        <v>45073</v>
      </c>
      <c r="E718" s="47">
        <f>IF(ISNUMBER(expected_production[[#This Row],[Commissioned Date]]),MAX(0,(expected_production[[#This Row],[Date]]-expected_production[[#This Row],[Commissioned Date]])/365.25),"")</f>
        <v>3.2662559890485969</v>
      </c>
      <c r="F718" s="49">
        <f>IF(expected_production[[#This Row],[Age (yrs)]]="",1,(1-DegradationRate)^expected_production[[#This Row],[Age (yrs)]])</f>
        <v>0.97731702571967682</v>
      </c>
      <c r="G718" s="52">
        <f>IF(expected_production[[#This Row],[Base Expected (kWh)]]="","",expected_production[[#This Row],[Base Expected (kWh)]]*expected_production[[#This Row],[Degradation Factor]])</f>
        <v>3413.6706391362591</v>
      </c>
    </row>
    <row r="719" spans="1:7" ht="15" hidden="1" customHeight="1" x14ac:dyDescent="0.3">
      <c r="A719" t="s">
        <v>104</v>
      </c>
      <c r="B719" s="2">
        <v>46296</v>
      </c>
      <c r="C719" s="52">
        <v>3509.1</v>
      </c>
      <c r="D719" s="48">
        <f>_xlfn.XLOOKUP(expected_production[[#This Row],[Site Name]],Table1[[Site Name ]],Table1[Commisioned Date],"")</f>
        <v>45073</v>
      </c>
      <c r="E719" s="47">
        <f>IF(ISNUMBER(expected_production[[#This Row],[Commissioned Date]]),MAX(0,(expected_production[[#This Row],[Date]]-expected_production[[#This Row],[Commissioned Date]])/365.25),"")</f>
        <v>3.3483915126625599</v>
      </c>
      <c r="F719" s="49">
        <f>IF(expected_production[[#This Row],[Age (yrs)]]="",1,(1-DegradationRate)^expected_production[[#This Row],[Age (yrs)]])</f>
        <v>0.97675330533960925</v>
      </c>
      <c r="G719" s="52">
        <f>IF(expected_production[[#This Row],[Base Expected (kWh)]]="","",expected_production[[#This Row],[Base Expected (kWh)]]*expected_production[[#This Row],[Degradation Factor]])</f>
        <v>3427.5250237672226</v>
      </c>
    </row>
    <row r="720" spans="1:7" ht="15" hidden="1" customHeight="1" x14ac:dyDescent="0.3">
      <c r="A720" t="s">
        <v>104</v>
      </c>
      <c r="B720" s="2">
        <v>46327</v>
      </c>
      <c r="C720" s="52">
        <v>3348</v>
      </c>
      <c r="D720" s="48">
        <f>_xlfn.XLOOKUP(expected_production[[#This Row],[Site Name]],Table1[[Site Name ]],Table1[Commisioned Date],"")</f>
        <v>45073</v>
      </c>
      <c r="E720" s="47">
        <f>IF(ISNUMBER(expected_production[[#This Row],[Commissioned Date]]),MAX(0,(expected_production[[#This Row],[Date]]-expected_production[[#This Row],[Commissioned Date]])/365.25),"")</f>
        <v>3.4332648870636548</v>
      </c>
      <c r="F720" s="49">
        <f>IF(expected_production[[#This Row],[Age (yrs)]]="",1,(1-DegradationRate)^expected_production[[#This Row],[Age (yrs)]])</f>
        <v>0.9761711358726437</v>
      </c>
      <c r="G720" s="52">
        <f>IF(expected_production[[#This Row],[Base Expected (kWh)]]="","",expected_production[[#This Row],[Base Expected (kWh)]]*expected_production[[#This Row],[Degradation Factor]])</f>
        <v>3268.2209629016111</v>
      </c>
    </row>
    <row r="721" spans="1:7" ht="15" hidden="1" customHeight="1" x14ac:dyDescent="0.3">
      <c r="A721" t="s">
        <v>104</v>
      </c>
      <c r="B721" s="2">
        <v>46357</v>
      </c>
      <c r="C721" s="52">
        <v>3591.9</v>
      </c>
      <c r="D721" s="48">
        <f>_xlfn.XLOOKUP(expected_production[[#This Row],[Site Name]],Table1[[Site Name ]],Table1[Commisioned Date],"")</f>
        <v>45073</v>
      </c>
      <c r="E721" s="47">
        <f>IF(ISNUMBER(expected_production[[#This Row],[Commissioned Date]]),MAX(0,(expected_production[[#This Row],[Date]]-expected_production[[#This Row],[Commissioned Date]])/365.25),"")</f>
        <v>3.5154004106776182</v>
      </c>
      <c r="F721" s="49">
        <f>IF(expected_production[[#This Row],[Age (yrs)]]="",1,(1-DegradationRate)^expected_production[[#This Row],[Age (yrs)]])</f>
        <v>0.97560807644643566</v>
      </c>
      <c r="G721" s="52">
        <f>IF(expected_production[[#This Row],[Base Expected (kWh)]]="","",expected_production[[#This Row],[Base Expected (kWh)]]*expected_production[[#This Row],[Degradation Factor]])</f>
        <v>3504.2866497879522</v>
      </c>
    </row>
    <row r="722" spans="1:7" ht="15" hidden="1" customHeight="1" x14ac:dyDescent="0.3">
      <c r="A722" t="s">
        <v>107</v>
      </c>
      <c r="B722" s="2">
        <v>45292</v>
      </c>
      <c r="C722" s="52">
        <v>3618</v>
      </c>
      <c r="D722" s="48">
        <f>_xlfn.XLOOKUP(expected_production[[#This Row],[Site Name]],Table1[[Site Name ]],Table1[Commisioned Date],"")</f>
        <v>45072</v>
      </c>
      <c r="E722" s="47">
        <f>IF(ISNUMBER(expected_production[[#This Row],[Commissioned Date]]),MAX(0,(expected_production[[#This Row],[Date]]-expected_production[[#This Row],[Commissioned Date]])/365.25),"")</f>
        <v>0.60232717316906226</v>
      </c>
      <c r="F722" s="49">
        <f>IF(expected_production[[#This Row],[Age (yrs)]]="",1,(1-DegradationRate)^expected_production[[#This Row],[Age (yrs)]])</f>
        <v>0.99577782210451304</v>
      </c>
      <c r="G722" s="52">
        <f>IF(expected_production[[#This Row],[Base Expected (kWh)]]="","",expected_production[[#This Row],[Base Expected (kWh)]]*expected_production[[#This Row],[Degradation Factor]])</f>
        <v>3602.7241603741281</v>
      </c>
    </row>
    <row r="723" spans="1:7" ht="15" hidden="1" customHeight="1" x14ac:dyDescent="0.3">
      <c r="A723" t="s">
        <v>107</v>
      </c>
      <c r="B723" s="2">
        <v>45323</v>
      </c>
      <c r="C723" s="52">
        <v>3254.4</v>
      </c>
      <c r="D723" s="48">
        <f>_xlfn.XLOOKUP(expected_production[[#This Row],[Site Name]],Table1[[Site Name ]],Table1[Commisioned Date],"")</f>
        <v>45072</v>
      </c>
      <c r="E723" s="47">
        <f>IF(ISNUMBER(expected_production[[#This Row],[Commissioned Date]]),MAX(0,(expected_production[[#This Row],[Date]]-expected_production[[#This Row],[Commissioned Date]])/365.25),"")</f>
        <v>0.68720054757015747</v>
      </c>
      <c r="F723" s="49">
        <f>IF(expected_production[[#This Row],[Age (yrs)]]="",1,(1-DegradationRate)^expected_production[[#This Row],[Age (yrs)]])</f>
        <v>0.99518431354842052</v>
      </c>
      <c r="G723" s="52">
        <f>IF(expected_production[[#This Row],[Base Expected (kWh)]]="","",expected_production[[#This Row],[Base Expected (kWh)]]*expected_production[[#This Row],[Degradation Factor]])</f>
        <v>3238.7278300119797</v>
      </c>
    </row>
    <row r="724" spans="1:7" ht="15" hidden="1" customHeight="1" x14ac:dyDescent="0.3">
      <c r="A724" t="s">
        <v>107</v>
      </c>
      <c r="B724" s="2">
        <v>45352</v>
      </c>
      <c r="C724" s="52">
        <v>3608.1</v>
      </c>
      <c r="D724" s="48">
        <f>_xlfn.XLOOKUP(expected_production[[#This Row],[Site Name]],Table1[[Site Name ]],Table1[Commisioned Date],"")</f>
        <v>45072</v>
      </c>
      <c r="E724" s="47">
        <f>IF(ISNUMBER(expected_production[[#This Row],[Commissioned Date]]),MAX(0,(expected_production[[#This Row],[Date]]-expected_production[[#This Row],[Commissioned Date]])/365.25),"")</f>
        <v>0.76659822039698833</v>
      </c>
      <c r="F724" s="49">
        <f>IF(expected_production[[#This Row],[Age (yrs)]]="",1,(1-DegradationRate)^expected_production[[#This Row],[Age (yrs)]])</f>
        <v>0.99462941611972633</v>
      </c>
      <c r="G724" s="52">
        <f>IF(expected_production[[#This Row],[Base Expected (kWh)]]="","",expected_production[[#This Row],[Base Expected (kWh)]]*expected_production[[#This Row],[Degradation Factor]])</f>
        <v>3588.7223963015845</v>
      </c>
    </row>
    <row r="725" spans="1:7" ht="15" hidden="1" customHeight="1" x14ac:dyDescent="0.3">
      <c r="A725" t="s">
        <v>107</v>
      </c>
      <c r="B725" s="2">
        <v>45383</v>
      </c>
      <c r="C725" s="52">
        <v>2962.8</v>
      </c>
      <c r="D725" s="48">
        <f>_xlfn.XLOOKUP(expected_production[[#This Row],[Site Name]],Table1[[Site Name ]],Table1[Commisioned Date],"")</f>
        <v>45072</v>
      </c>
      <c r="E725" s="47">
        <f>IF(ISNUMBER(expected_production[[#This Row],[Commissioned Date]]),MAX(0,(expected_production[[#This Row],[Date]]-expected_production[[#This Row],[Commissioned Date]])/365.25),"")</f>
        <v>0.85147159479808354</v>
      </c>
      <c r="F725" s="49">
        <f>IF(expected_production[[#This Row],[Age (yrs)]]="",1,(1-DegradationRate)^expected_production[[#This Row],[Age (yrs)]])</f>
        <v>0.9940365920424028</v>
      </c>
      <c r="G725" s="52">
        <f>IF(expected_production[[#This Row],[Base Expected (kWh)]]="","",expected_production[[#This Row],[Base Expected (kWh)]]*expected_production[[#This Row],[Degradation Factor]])</f>
        <v>2945.1316149032314</v>
      </c>
    </row>
    <row r="726" spans="1:7" ht="15" hidden="1" customHeight="1" x14ac:dyDescent="0.3">
      <c r="A726" t="s">
        <v>107</v>
      </c>
      <c r="B726" s="2">
        <v>45413</v>
      </c>
      <c r="C726" s="52">
        <v>2723.4</v>
      </c>
      <c r="D726" s="48">
        <f>_xlfn.XLOOKUP(expected_production[[#This Row],[Site Name]],Table1[[Site Name ]],Table1[Commisioned Date],"")</f>
        <v>45072</v>
      </c>
      <c r="E726" s="47">
        <f>IF(ISNUMBER(expected_production[[#This Row],[Commissioned Date]]),MAX(0,(expected_production[[#This Row],[Date]]-expected_production[[#This Row],[Commissioned Date]])/365.25),"")</f>
        <v>0.93360711841204658</v>
      </c>
      <c r="F726" s="49">
        <f>IF(expected_production[[#This Row],[Age (yrs)]]="",1,(1-DegradationRate)^expected_production[[#This Row],[Age (yrs)]])</f>
        <v>0.99346322774942475</v>
      </c>
      <c r="G726" s="52">
        <f>IF(expected_production[[#This Row],[Base Expected (kWh)]]="","",expected_production[[#This Row],[Base Expected (kWh)]]*expected_production[[#This Row],[Degradation Factor]])</f>
        <v>2705.5977544527836</v>
      </c>
    </row>
    <row r="727" spans="1:7" ht="15" hidden="1" customHeight="1" x14ac:dyDescent="0.3">
      <c r="A727" t="s">
        <v>107</v>
      </c>
      <c r="B727" s="2">
        <v>45444</v>
      </c>
      <c r="C727" s="52">
        <v>2461.5</v>
      </c>
      <c r="D727" s="48">
        <f>_xlfn.XLOOKUP(expected_production[[#This Row],[Site Name]],Table1[[Site Name ]],Table1[Commisioned Date],"")</f>
        <v>45072</v>
      </c>
      <c r="E727" s="47">
        <f>IF(ISNUMBER(expected_production[[#This Row],[Commissioned Date]]),MAX(0,(expected_production[[#This Row],[Date]]-expected_production[[#This Row],[Commissioned Date]])/365.25),"")</f>
        <v>1.0184804928131417</v>
      </c>
      <c r="F727" s="49">
        <f>IF(expected_production[[#This Row],[Age (yrs)]]="",1,(1-DegradationRate)^expected_production[[#This Row],[Age (yrs)]])</f>
        <v>0.99287109874961788</v>
      </c>
      <c r="G727" s="52">
        <f>IF(expected_production[[#This Row],[Base Expected (kWh)]]="","",expected_production[[#This Row],[Base Expected (kWh)]]*expected_production[[#This Row],[Degradation Factor]])</f>
        <v>2443.9522095721845</v>
      </c>
    </row>
    <row r="728" spans="1:7" ht="15" hidden="1" customHeight="1" x14ac:dyDescent="0.3">
      <c r="A728" t="s">
        <v>107</v>
      </c>
      <c r="B728" s="2">
        <v>45474</v>
      </c>
      <c r="C728" s="52">
        <v>2701.8</v>
      </c>
      <c r="D728" s="48">
        <f>_xlfn.XLOOKUP(expected_production[[#This Row],[Site Name]],Table1[[Site Name ]],Table1[Commisioned Date],"")</f>
        <v>45072</v>
      </c>
      <c r="E728" s="47">
        <f>IF(ISNUMBER(expected_production[[#This Row],[Commissioned Date]]),MAX(0,(expected_production[[#This Row],[Date]]-expected_production[[#This Row],[Commissioned Date]])/365.25),"")</f>
        <v>1.1006160164271048</v>
      </c>
      <c r="F728" s="49">
        <f>IF(expected_production[[#This Row],[Age (yrs)]]="",1,(1-DegradationRate)^expected_production[[#This Row],[Age (yrs)]])</f>
        <v>0.99229840671784542</v>
      </c>
      <c r="G728" s="52">
        <f>IF(expected_production[[#This Row],[Base Expected (kWh)]]="","",expected_production[[#This Row],[Base Expected (kWh)]]*expected_production[[#This Row],[Degradation Factor]])</f>
        <v>2680.9918352702748</v>
      </c>
    </row>
    <row r="729" spans="1:7" ht="15" hidden="1" customHeight="1" x14ac:dyDescent="0.3">
      <c r="A729" t="s">
        <v>107</v>
      </c>
      <c r="B729" s="2">
        <v>45505</v>
      </c>
      <c r="C729" s="52">
        <v>2973.6</v>
      </c>
      <c r="D729" s="48">
        <f>_xlfn.XLOOKUP(expected_production[[#This Row],[Site Name]],Table1[[Site Name ]],Table1[Commisioned Date],"")</f>
        <v>45072</v>
      </c>
      <c r="E729" s="47">
        <f>IF(ISNUMBER(expected_production[[#This Row],[Commissioned Date]]),MAX(0,(expected_production[[#This Row],[Date]]-expected_production[[#This Row],[Commissioned Date]])/365.25),"")</f>
        <v>1.1854893908281998</v>
      </c>
      <c r="F729" s="49">
        <f>IF(expected_production[[#This Row],[Age (yrs)]]="",1,(1-DegradationRate)^expected_production[[#This Row],[Age (yrs)]])</f>
        <v>0.99170697198058722</v>
      </c>
      <c r="G729" s="52">
        <f>IF(expected_production[[#This Row],[Base Expected (kWh)]]="","",expected_production[[#This Row],[Base Expected (kWh)]]*expected_production[[#This Row],[Degradation Factor]])</f>
        <v>2948.9398518814742</v>
      </c>
    </row>
    <row r="730" spans="1:7" ht="15" hidden="1" customHeight="1" x14ac:dyDescent="0.3">
      <c r="A730" t="s">
        <v>107</v>
      </c>
      <c r="B730" s="2">
        <v>45536</v>
      </c>
      <c r="C730" s="52">
        <v>3147.3</v>
      </c>
      <c r="D730" s="48">
        <f>_xlfn.XLOOKUP(expected_production[[#This Row],[Site Name]],Table1[[Site Name ]],Table1[Commisioned Date],"")</f>
        <v>45072</v>
      </c>
      <c r="E730" s="47">
        <f>IF(ISNUMBER(expected_production[[#This Row],[Commissioned Date]]),MAX(0,(expected_production[[#This Row],[Date]]-expected_production[[#This Row],[Commissioned Date]])/365.25),"")</f>
        <v>1.270362765229295</v>
      </c>
      <c r="F730" s="49">
        <f>IF(expected_production[[#This Row],[Age (yrs)]]="",1,(1-DegradationRate)^expected_production[[#This Row],[Age (yrs)]])</f>
        <v>0.99111588975326548</v>
      </c>
      <c r="G730" s="52">
        <f>IF(expected_production[[#This Row],[Base Expected (kWh)]]="","",expected_production[[#This Row],[Base Expected (kWh)]]*expected_production[[#This Row],[Degradation Factor]])</f>
        <v>3119.3390398204524</v>
      </c>
    </row>
    <row r="731" spans="1:7" ht="15" hidden="1" customHeight="1" x14ac:dyDescent="0.3">
      <c r="A731" t="s">
        <v>107</v>
      </c>
      <c r="B731" s="2">
        <v>45566</v>
      </c>
      <c r="C731" s="52">
        <v>3179.7</v>
      </c>
      <c r="D731" s="48">
        <f>_xlfn.XLOOKUP(expected_production[[#This Row],[Site Name]],Table1[[Site Name ]],Table1[Commisioned Date],"")</f>
        <v>45072</v>
      </c>
      <c r="E731" s="47">
        <f>IF(ISNUMBER(expected_production[[#This Row],[Commissioned Date]]),MAX(0,(expected_production[[#This Row],[Date]]-expected_production[[#This Row],[Commissioned Date]])/365.25),"")</f>
        <v>1.352498288843258</v>
      </c>
      <c r="F731" s="49">
        <f>IF(expected_production[[#This Row],[Age (yrs)]]="",1,(1-DegradationRate)^expected_production[[#This Row],[Age (yrs)]])</f>
        <v>0.99054421013308158</v>
      </c>
      <c r="G731" s="52">
        <f>IF(expected_production[[#This Row],[Base Expected (kWh)]]="","",expected_production[[#This Row],[Base Expected (kWh)]]*expected_production[[#This Row],[Degradation Factor]])</f>
        <v>3149.6334249601591</v>
      </c>
    </row>
    <row r="732" spans="1:7" ht="15" hidden="1" customHeight="1" x14ac:dyDescent="0.3">
      <c r="A732" t="s">
        <v>107</v>
      </c>
      <c r="B732" s="2">
        <v>45597</v>
      </c>
      <c r="C732" s="52">
        <v>3013.2</v>
      </c>
      <c r="D732" s="48">
        <f>_xlfn.XLOOKUP(expected_production[[#This Row],[Site Name]],Table1[[Site Name ]],Table1[Commisioned Date],"")</f>
        <v>45072</v>
      </c>
      <c r="E732" s="47">
        <f>IF(ISNUMBER(expected_production[[#This Row],[Commissioned Date]]),MAX(0,(expected_production[[#This Row],[Date]]-expected_production[[#This Row],[Commissioned Date]])/365.25),"")</f>
        <v>1.4373716632443532</v>
      </c>
      <c r="F732" s="49">
        <f>IF(expected_production[[#This Row],[Age (yrs)]]="",1,(1-DegradationRate)^expected_production[[#This Row],[Age (yrs)]])</f>
        <v>0.98995382094098316</v>
      </c>
      <c r="G732" s="52">
        <f>IF(expected_production[[#This Row],[Base Expected (kWh)]]="","",expected_production[[#This Row],[Base Expected (kWh)]]*expected_production[[#This Row],[Degradation Factor]])</f>
        <v>2982.9288532593705</v>
      </c>
    </row>
    <row r="733" spans="1:7" ht="15" hidden="1" customHeight="1" x14ac:dyDescent="0.3">
      <c r="A733" t="s">
        <v>107</v>
      </c>
      <c r="B733" s="2">
        <v>45627</v>
      </c>
      <c r="C733" s="52">
        <v>3204</v>
      </c>
      <c r="D733" s="48">
        <f>_xlfn.XLOOKUP(expected_production[[#This Row],[Site Name]],Table1[[Site Name ]],Table1[Commisioned Date],"")</f>
        <v>45072</v>
      </c>
      <c r="E733" s="47">
        <f>IF(ISNUMBER(expected_production[[#This Row],[Commissioned Date]]),MAX(0,(expected_production[[#This Row],[Date]]-expected_production[[#This Row],[Commissioned Date]])/365.25),"")</f>
        <v>1.5195071868583163</v>
      </c>
      <c r="F733" s="49">
        <f>IF(expected_production[[#This Row],[Age (yrs)]]="",1,(1-DegradationRate)^expected_production[[#This Row],[Age (yrs)]])</f>
        <v>0.98938281160675068</v>
      </c>
      <c r="G733" s="52">
        <f>IF(expected_production[[#This Row],[Base Expected (kWh)]]="","",expected_production[[#This Row],[Base Expected (kWh)]]*expected_production[[#This Row],[Degradation Factor]])</f>
        <v>3169.9825283880291</v>
      </c>
    </row>
    <row r="734" spans="1:7" ht="15" hidden="1" customHeight="1" x14ac:dyDescent="0.3">
      <c r="A734" t="s">
        <v>107</v>
      </c>
      <c r="B734" s="2">
        <v>45658</v>
      </c>
      <c r="C734" s="52">
        <v>3618</v>
      </c>
      <c r="D734" s="48">
        <f>_xlfn.XLOOKUP(expected_production[[#This Row],[Site Name]],Table1[[Site Name ]],Table1[Commisioned Date],"")</f>
        <v>45072</v>
      </c>
      <c r="E734" s="47">
        <f>IF(ISNUMBER(expected_production[[#This Row],[Commissioned Date]]),MAX(0,(expected_production[[#This Row],[Date]]-expected_production[[#This Row],[Commissioned Date]])/365.25),"")</f>
        <v>1.6043805612594113</v>
      </c>
      <c r="F734" s="49">
        <f>IF(expected_production[[#This Row],[Age (yrs)]]="",1,(1-DegradationRate)^expected_production[[#This Row],[Age (yrs)]])</f>
        <v>0.9887931146373018</v>
      </c>
      <c r="G734" s="52">
        <f>IF(expected_production[[#This Row],[Base Expected (kWh)]]="","",expected_production[[#This Row],[Base Expected (kWh)]]*expected_production[[#This Row],[Degradation Factor]])</f>
        <v>3577.4534887577579</v>
      </c>
    </row>
    <row r="735" spans="1:7" ht="15" hidden="1" customHeight="1" x14ac:dyDescent="0.3">
      <c r="A735" t="s">
        <v>107</v>
      </c>
      <c r="B735" s="2">
        <v>45689</v>
      </c>
      <c r="C735" s="52">
        <v>3254.4</v>
      </c>
      <c r="D735" s="48">
        <f>_xlfn.XLOOKUP(expected_production[[#This Row],[Site Name]],Table1[[Site Name ]],Table1[Commisioned Date],"")</f>
        <v>45072</v>
      </c>
      <c r="E735" s="47">
        <f>IF(ISNUMBER(expected_production[[#This Row],[Commissioned Date]]),MAX(0,(expected_production[[#This Row],[Date]]-expected_production[[#This Row],[Commissioned Date]])/365.25),"")</f>
        <v>1.6892539356605065</v>
      </c>
      <c r="F735" s="49">
        <f>IF(expected_production[[#This Row],[Age (yrs)]]="",1,(1-DegradationRate)^expected_production[[#This Row],[Age (yrs)]])</f>
        <v>0.98820376914203634</v>
      </c>
      <c r="G735" s="52">
        <f>IF(expected_production[[#This Row],[Base Expected (kWh)]]="","",expected_production[[#This Row],[Base Expected (kWh)]]*expected_production[[#This Row],[Degradation Factor]])</f>
        <v>3216.0103462958432</v>
      </c>
    </row>
    <row r="736" spans="1:7" ht="15" hidden="1" customHeight="1" x14ac:dyDescent="0.3">
      <c r="A736" t="s">
        <v>107</v>
      </c>
      <c r="B736" s="2">
        <v>45717</v>
      </c>
      <c r="C736" s="52">
        <v>3608.1</v>
      </c>
      <c r="D736" s="48">
        <f>_xlfn.XLOOKUP(expected_production[[#This Row],[Site Name]],Table1[[Site Name ]],Table1[Commisioned Date],"")</f>
        <v>45072</v>
      </c>
      <c r="E736" s="47">
        <f>IF(ISNUMBER(expected_production[[#This Row],[Commissioned Date]]),MAX(0,(expected_production[[#This Row],[Date]]-expected_production[[#This Row],[Commissioned Date]])/365.25),"")</f>
        <v>1.7659137577002053</v>
      </c>
      <c r="F736" s="49">
        <f>IF(expected_production[[#This Row],[Age (yrs)]]="",1,(1-DegradationRate)^expected_production[[#This Row],[Age (yrs)]])</f>
        <v>0.98767175900710169</v>
      </c>
      <c r="G736" s="52">
        <f>IF(expected_production[[#This Row],[Base Expected (kWh)]]="","",expected_production[[#This Row],[Base Expected (kWh)]]*expected_production[[#This Row],[Degradation Factor]])</f>
        <v>3563.6184736735236</v>
      </c>
    </row>
    <row r="737" spans="1:7" ht="15" hidden="1" customHeight="1" x14ac:dyDescent="0.3">
      <c r="A737" t="s">
        <v>107</v>
      </c>
      <c r="B737" s="2">
        <v>45748</v>
      </c>
      <c r="C737" s="52">
        <v>2962.8</v>
      </c>
      <c r="D737" s="48">
        <f>_xlfn.XLOOKUP(expected_production[[#This Row],[Site Name]],Table1[[Site Name ]],Table1[Commisioned Date],"")</f>
        <v>45072</v>
      </c>
      <c r="E737" s="47">
        <f>IF(ISNUMBER(expected_production[[#This Row],[Commissioned Date]]),MAX(0,(expected_production[[#This Row],[Date]]-expected_production[[#This Row],[Commissioned Date]])/365.25),"")</f>
        <v>1.8507871321013005</v>
      </c>
      <c r="F737" s="49">
        <f>IF(expected_production[[#This Row],[Age (yrs)]]="",1,(1-DegradationRate)^expected_production[[#This Row],[Age (yrs)]])</f>
        <v>0.98708308186791538</v>
      </c>
      <c r="G737" s="52">
        <f>IF(expected_production[[#This Row],[Base Expected (kWh)]]="","",expected_production[[#This Row],[Base Expected (kWh)]]*expected_production[[#This Row],[Degradation Factor]])</f>
        <v>2924.5297549582597</v>
      </c>
    </row>
    <row r="738" spans="1:7" ht="15" hidden="1" customHeight="1" x14ac:dyDescent="0.3">
      <c r="A738" t="s">
        <v>107</v>
      </c>
      <c r="B738" s="2">
        <v>45778</v>
      </c>
      <c r="C738" s="52">
        <v>2723.4</v>
      </c>
      <c r="D738" s="48">
        <f>_xlfn.XLOOKUP(expected_production[[#This Row],[Site Name]],Table1[[Site Name ]],Table1[Commisioned Date],"")</f>
        <v>45072</v>
      </c>
      <c r="E738" s="47">
        <f>IF(ISNUMBER(expected_production[[#This Row],[Commissioned Date]]),MAX(0,(expected_production[[#This Row],[Date]]-expected_production[[#This Row],[Commissioned Date]])/365.25),"")</f>
        <v>1.9329226557152634</v>
      </c>
      <c r="F738" s="49">
        <f>IF(expected_production[[#This Row],[Age (yrs)]]="",1,(1-DegradationRate)^expected_production[[#This Row],[Age (yrs)]])</f>
        <v>0.98651372838749374</v>
      </c>
      <c r="G738" s="52">
        <f>IF(expected_production[[#This Row],[Base Expected (kWh)]]="","",expected_production[[#This Row],[Base Expected (kWh)]]*expected_production[[#This Row],[Degradation Factor]])</f>
        <v>2686.6714878905004</v>
      </c>
    </row>
    <row r="739" spans="1:7" ht="15" hidden="1" customHeight="1" x14ac:dyDescent="0.3">
      <c r="A739" t="s">
        <v>107</v>
      </c>
      <c r="B739" s="2">
        <v>45809</v>
      </c>
      <c r="C739" s="52">
        <v>2461.5</v>
      </c>
      <c r="D739" s="48">
        <f>_xlfn.XLOOKUP(expected_production[[#This Row],[Site Name]],Table1[[Site Name ]],Table1[Commisioned Date],"")</f>
        <v>45072</v>
      </c>
      <c r="E739" s="47">
        <f>IF(ISNUMBER(expected_production[[#This Row],[Commissioned Date]]),MAX(0,(expected_production[[#This Row],[Date]]-expected_production[[#This Row],[Commissioned Date]])/365.25),"")</f>
        <v>2.0177960301163584</v>
      </c>
      <c r="F739" s="49">
        <f>IF(expected_production[[#This Row],[Age (yrs)]]="",1,(1-DegradationRate)^expected_production[[#This Row],[Age (yrs)]])</f>
        <v>0.98592574146360024</v>
      </c>
      <c r="G739" s="52">
        <f>IF(expected_production[[#This Row],[Base Expected (kWh)]]="","",expected_production[[#This Row],[Base Expected (kWh)]]*expected_production[[#This Row],[Degradation Factor]])</f>
        <v>2426.8562126126521</v>
      </c>
    </row>
    <row r="740" spans="1:7" ht="15" hidden="1" customHeight="1" x14ac:dyDescent="0.3">
      <c r="A740" t="s">
        <v>107</v>
      </c>
      <c r="B740" s="2">
        <v>45839</v>
      </c>
      <c r="C740" s="52">
        <v>2701.8</v>
      </c>
      <c r="D740" s="48">
        <f>_xlfn.XLOOKUP(expected_production[[#This Row],[Site Name]],Table1[[Site Name ]],Table1[Commisioned Date],"")</f>
        <v>45072</v>
      </c>
      <c r="E740" s="47">
        <f>IF(ISNUMBER(expected_production[[#This Row],[Commissioned Date]]),MAX(0,(expected_production[[#This Row],[Date]]-expected_production[[#This Row],[Commissioned Date]])/365.25),"")</f>
        <v>2.0999315537303218</v>
      </c>
      <c r="F740" s="49">
        <f>IF(expected_production[[#This Row],[Age (yrs)]]="",1,(1-DegradationRate)^expected_production[[#This Row],[Age (yrs)]])</f>
        <v>0.98535705554176534</v>
      </c>
      <c r="G740" s="52">
        <f>IF(expected_production[[#This Row],[Base Expected (kWh)]]="","",expected_production[[#This Row],[Base Expected (kWh)]]*expected_production[[#This Row],[Degradation Factor]])</f>
        <v>2662.2376926627417</v>
      </c>
    </row>
    <row r="741" spans="1:7" ht="15" hidden="1" customHeight="1" x14ac:dyDescent="0.3">
      <c r="A741" t="s">
        <v>107</v>
      </c>
      <c r="B741" s="2">
        <v>45870</v>
      </c>
      <c r="C741" s="52">
        <v>2973.6</v>
      </c>
      <c r="D741" s="48">
        <f>_xlfn.XLOOKUP(expected_production[[#This Row],[Site Name]],Table1[[Site Name ]],Table1[Commisioned Date],"")</f>
        <v>45072</v>
      </c>
      <c r="E741" s="47">
        <f>IF(ISNUMBER(expected_production[[#This Row],[Commissioned Date]]),MAX(0,(expected_production[[#This Row],[Date]]-expected_production[[#This Row],[Commissioned Date]])/365.25),"")</f>
        <v>2.1848049281314168</v>
      </c>
      <c r="F741" s="49">
        <f>IF(expected_production[[#This Row],[Age (yrs)]]="",1,(1-DegradationRate)^expected_production[[#This Row],[Age (yrs)]])</f>
        <v>0.98476975802389721</v>
      </c>
      <c r="G741" s="52">
        <f>IF(expected_production[[#This Row],[Base Expected (kWh)]]="","",expected_production[[#This Row],[Base Expected (kWh)]]*expected_production[[#This Row],[Degradation Factor]])</f>
        <v>2928.3113524598607</v>
      </c>
    </row>
    <row r="742" spans="1:7" ht="15" hidden="1" customHeight="1" x14ac:dyDescent="0.3">
      <c r="A742" t="s">
        <v>107</v>
      </c>
      <c r="B742" s="2">
        <v>45901</v>
      </c>
      <c r="C742" s="52">
        <v>3147.3</v>
      </c>
      <c r="D742" s="48">
        <f>_xlfn.XLOOKUP(expected_production[[#This Row],[Site Name]],Table1[[Site Name ]],Table1[Commisioned Date],"")</f>
        <v>45072</v>
      </c>
      <c r="E742" s="47">
        <f>IF(ISNUMBER(expected_production[[#This Row],[Commissioned Date]]),MAX(0,(expected_production[[#This Row],[Date]]-expected_production[[#This Row],[Commissioned Date]])/365.25),"")</f>
        <v>2.2696783025325118</v>
      </c>
      <c r="F742" s="49">
        <f>IF(expected_production[[#This Row],[Age (yrs)]]="",1,(1-DegradationRate)^expected_production[[#This Row],[Age (yrs)]])</f>
        <v>0.98418281055007917</v>
      </c>
      <c r="G742" s="52">
        <f>IF(expected_production[[#This Row],[Base Expected (kWh)]]="","",expected_production[[#This Row],[Base Expected (kWh)]]*expected_production[[#This Row],[Degradation Factor]])</f>
        <v>3097.5185596442643</v>
      </c>
    </row>
    <row r="743" spans="1:7" ht="15" hidden="1" customHeight="1" x14ac:dyDescent="0.3">
      <c r="A743" t="s">
        <v>107</v>
      </c>
      <c r="B743" s="2">
        <v>45931</v>
      </c>
      <c r="C743" s="52">
        <v>3179.7</v>
      </c>
      <c r="D743" s="48">
        <f>_xlfn.XLOOKUP(expected_production[[#This Row],[Site Name]],Table1[[Site Name ]],Table1[Commisioned Date],"")</f>
        <v>45072</v>
      </c>
      <c r="E743" s="47">
        <f>IF(ISNUMBER(expected_production[[#This Row],[Commissioned Date]]),MAX(0,(expected_production[[#This Row],[Date]]-expected_production[[#This Row],[Commissioned Date]])/365.25),"")</f>
        <v>2.3518138261464752</v>
      </c>
      <c r="F743" s="49">
        <f>IF(expected_production[[#This Row],[Age (yrs)]]="",1,(1-DegradationRate)^expected_production[[#This Row],[Age (yrs)]])</f>
        <v>0.98361512995778544</v>
      </c>
      <c r="G743" s="52">
        <f>IF(expected_production[[#This Row],[Base Expected (kWh)]]="","",expected_production[[#This Row],[Base Expected (kWh)]]*expected_production[[#This Row],[Degradation Factor]])</f>
        <v>3127.60102872677</v>
      </c>
    </row>
    <row r="744" spans="1:7" ht="15" hidden="1" customHeight="1" x14ac:dyDescent="0.3">
      <c r="A744" t="s">
        <v>107</v>
      </c>
      <c r="B744" s="2">
        <v>45962</v>
      </c>
      <c r="C744" s="52">
        <v>3013.2</v>
      </c>
      <c r="D744" s="48">
        <f>_xlfn.XLOOKUP(expected_production[[#This Row],[Site Name]],Table1[[Site Name ]],Table1[Commisioned Date],"")</f>
        <v>45072</v>
      </c>
      <c r="E744" s="47">
        <f>IF(ISNUMBER(expected_production[[#This Row],[Commissioned Date]]),MAX(0,(expected_production[[#This Row],[Date]]-expected_production[[#This Row],[Commissioned Date]])/365.25),"")</f>
        <v>2.4366872005475702</v>
      </c>
      <c r="F744" s="49">
        <f>IF(expected_production[[#This Row],[Age (yrs)]]="",1,(1-DegradationRate)^expected_production[[#This Row],[Age (yrs)]])</f>
        <v>0.98302887067125289</v>
      </c>
      <c r="G744" s="52">
        <f>IF(expected_production[[#This Row],[Base Expected (kWh)]]="","",expected_production[[#This Row],[Base Expected (kWh)]]*expected_production[[#This Row],[Degradation Factor]])</f>
        <v>2962.0625931066188</v>
      </c>
    </row>
    <row r="745" spans="1:7" ht="15" hidden="1" customHeight="1" x14ac:dyDescent="0.3">
      <c r="A745" t="s">
        <v>107</v>
      </c>
      <c r="B745" s="2">
        <v>45992</v>
      </c>
      <c r="C745" s="52">
        <v>3204</v>
      </c>
      <c r="D745" s="48">
        <f>_xlfn.XLOOKUP(expected_production[[#This Row],[Site Name]],Table1[[Site Name ]],Table1[Commisioned Date],"")</f>
        <v>45072</v>
      </c>
      <c r="E745" s="47">
        <f>IF(ISNUMBER(expected_production[[#This Row],[Commissioned Date]]),MAX(0,(expected_production[[#This Row],[Date]]-expected_production[[#This Row],[Commissioned Date]])/365.25),"")</f>
        <v>2.5188227241615331</v>
      </c>
      <c r="F745" s="49">
        <f>IF(expected_production[[#This Row],[Age (yrs)]]="",1,(1-DegradationRate)^expected_production[[#This Row],[Age (yrs)]])</f>
        <v>0.98246185567610922</v>
      </c>
      <c r="G745" s="52">
        <f>IF(expected_production[[#This Row],[Base Expected (kWh)]]="","",expected_production[[#This Row],[Base Expected (kWh)]]*expected_production[[#This Row],[Degradation Factor]])</f>
        <v>3147.8077855862539</v>
      </c>
    </row>
    <row r="746" spans="1:7" ht="15" hidden="1" customHeight="1" x14ac:dyDescent="0.3">
      <c r="A746" t="s">
        <v>107</v>
      </c>
      <c r="B746" s="2">
        <v>46023</v>
      </c>
      <c r="C746" s="52">
        <v>3618</v>
      </c>
      <c r="D746" s="48">
        <f>_xlfn.XLOOKUP(expected_production[[#This Row],[Site Name]],Table1[[Site Name ]],Table1[Commisioned Date],"")</f>
        <v>45072</v>
      </c>
      <c r="E746" s="47">
        <f>IF(ISNUMBER(expected_production[[#This Row],[Commissioned Date]]),MAX(0,(expected_production[[#This Row],[Date]]-expected_production[[#This Row],[Commissioned Date]])/365.25),"")</f>
        <v>2.6036960985626285</v>
      </c>
      <c r="F746" s="49">
        <f>IF(expected_production[[#This Row],[Age (yrs)]]="",1,(1-DegradationRate)^expected_production[[#This Row],[Age (yrs)]])</f>
        <v>0.98187628376997271</v>
      </c>
      <c r="G746" s="52">
        <f>IF(expected_production[[#This Row],[Base Expected (kWh)]]="","",expected_production[[#This Row],[Base Expected (kWh)]]*expected_production[[#This Row],[Degradation Factor]])</f>
        <v>3552.4283946797614</v>
      </c>
    </row>
    <row r="747" spans="1:7" ht="15" hidden="1" customHeight="1" x14ac:dyDescent="0.3">
      <c r="A747" t="s">
        <v>107</v>
      </c>
      <c r="B747" s="2">
        <v>46054</v>
      </c>
      <c r="C747" s="52">
        <v>3254.4</v>
      </c>
      <c r="D747" s="48">
        <f>_xlfn.XLOOKUP(expected_production[[#This Row],[Site Name]],Table1[[Site Name ]],Table1[Commisioned Date],"")</f>
        <v>45072</v>
      </c>
      <c r="E747" s="47">
        <f>IF(ISNUMBER(expected_production[[#This Row],[Commissioned Date]]),MAX(0,(expected_production[[#This Row],[Date]]-expected_production[[#This Row],[Commissioned Date]])/365.25),"")</f>
        <v>2.6885694729637235</v>
      </c>
      <c r="F747" s="49">
        <f>IF(expected_production[[#This Row],[Age (yrs)]]="",1,(1-DegradationRate)^expected_production[[#This Row],[Age (yrs)]])</f>
        <v>0.98129106087937834</v>
      </c>
      <c r="G747" s="52">
        <f>IF(expected_production[[#This Row],[Base Expected (kWh)]]="","",expected_production[[#This Row],[Base Expected (kWh)]]*expected_production[[#This Row],[Degradation Factor]])</f>
        <v>3193.5136285258491</v>
      </c>
    </row>
    <row r="748" spans="1:7" ht="15" hidden="1" customHeight="1" x14ac:dyDescent="0.3">
      <c r="A748" t="s">
        <v>107</v>
      </c>
      <c r="B748" s="2">
        <v>46082</v>
      </c>
      <c r="C748" s="52">
        <v>3608.1</v>
      </c>
      <c r="D748" s="48">
        <f>_xlfn.XLOOKUP(expected_production[[#This Row],[Site Name]],Table1[[Site Name ]],Table1[Commisioned Date],"")</f>
        <v>45072</v>
      </c>
      <c r="E748" s="47">
        <f>IF(ISNUMBER(expected_production[[#This Row],[Commissioned Date]]),MAX(0,(expected_production[[#This Row],[Date]]-expected_production[[#This Row],[Commissioned Date]])/365.25),"")</f>
        <v>2.7652292950034223</v>
      </c>
      <c r="F748" s="49">
        <f>IF(expected_production[[#This Row],[Age (yrs)]]="",1,(1-DegradationRate)^expected_production[[#This Row],[Age (yrs)]])</f>
        <v>0.98076277227533681</v>
      </c>
      <c r="G748" s="52">
        <f>IF(expected_production[[#This Row],[Base Expected (kWh)]]="","",expected_production[[#This Row],[Base Expected (kWh)]]*expected_production[[#This Row],[Degradation Factor]])</f>
        <v>3538.6901586466429</v>
      </c>
    </row>
    <row r="749" spans="1:7" ht="15" hidden="1" customHeight="1" x14ac:dyDescent="0.3">
      <c r="A749" t="s">
        <v>107</v>
      </c>
      <c r="B749" s="2">
        <v>46113</v>
      </c>
      <c r="C749" s="52">
        <v>2962.8</v>
      </c>
      <c r="D749" s="48">
        <f>_xlfn.XLOOKUP(expected_production[[#This Row],[Site Name]],Table1[[Site Name ]],Table1[Commisioned Date],"")</f>
        <v>45072</v>
      </c>
      <c r="E749" s="47">
        <f>IF(ISNUMBER(expected_production[[#This Row],[Commissioned Date]]),MAX(0,(expected_production[[#This Row],[Date]]-expected_production[[#This Row],[Commissioned Date]])/365.25),"")</f>
        <v>2.8501026694045173</v>
      </c>
      <c r="F749" s="49">
        <f>IF(expected_production[[#This Row],[Age (yrs)]]="",1,(1-DegradationRate)^expected_production[[#This Row],[Age (yrs)]])</f>
        <v>0.98017821306552011</v>
      </c>
      <c r="G749" s="52">
        <f>IF(expected_production[[#This Row],[Base Expected (kWh)]]="","",expected_production[[#This Row],[Base Expected (kWh)]]*expected_production[[#This Row],[Degradation Factor]])</f>
        <v>2904.0720096705231</v>
      </c>
    </row>
    <row r="750" spans="1:7" ht="15" hidden="1" customHeight="1" x14ac:dyDescent="0.3">
      <c r="A750" t="s">
        <v>107</v>
      </c>
      <c r="B750" s="2">
        <v>46143</v>
      </c>
      <c r="C750" s="52">
        <v>2723.4</v>
      </c>
      <c r="D750" s="48">
        <f>_xlfn.XLOOKUP(expected_production[[#This Row],[Site Name]],Table1[[Site Name ]],Table1[Commisioned Date],"")</f>
        <v>45072</v>
      </c>
      <c r="E750" s="47">
        <f>IF(ISNUMBER(expected_production[[#This Row],[Commissioned Date]]),MAX(0,(expected_production[[#This Row],[Date]]-expected_production[[#This Row],[Commissioned Date]])/365.25),"")</f>
        <v>2.9322381930184807</v>
      </c>
      <c r="F750" s="49">
        <f>IF(expected_production[[#This Row],[Age (yrs)]]="",1,(1-DegradationRate)^expected_production[[#This Row],[Age (yrs)]])</f>
        <v>0.97961284234111645</v>
      </c>
      <c r="G750" s="52">
        <f>IF(expected_production[[#This Row],[Base Expected (kWh)]]="","",expected_production[[#This Row],[Base Expected (kWh)]]*expected_production[[#This Row],[Degradation Factor]])</f>
        <v>2667.8776148317966</v>
      </c>
    </row>
    <row r="751" spans="1:7" ht="15" hidden="1" customHeight="1" x14ac:dyDescent="0.3">
      <c r="A751" t="s">
        <v>107</v>
      </c>
      <c r="B751" s="2">
        <v>46174</v>
      </c>
      <c r="C751" s="52">
        <v>2461.5</v>
      </c>
      <c r="D751" s="48">
        <f>_xlfn.XLOOKUP(expected_production[[#This Row],[Site Name]],Table1[[Site Name ]],Table1[Commisioned Date],"")</f>
        <v>45072</v>
      </c>
      <c r="E751" s="47">
        <f>IF(ISNUMBER(expected_production[[#This Row],[Commissioned Date]]),MAX(0,(expected_production[[#This Row],[Date]]-expected_production[[#This Row],[Commissioned Date]])/365.25),"")</f>
        <v>3.0171115674195756</v>
      </c>
      <c r="F751" s="49">
        <f>IF(expected_production[[#This Row],[Age (yrs)]]="",1,(1-DegradationRate)^expected_production[[#This Row],[Age (yrs)]])</f>
        <v>0.97902896851838073</v>
      </c>
      <c r="G751" s="52">
        <f>IF(expected_production[[#This Row],[Base Expected (kWh)]]="","",expected_production[[#This Row],[Base Expected (kWh)]]*expected_production[[#This Row],[Degradation Factor]])</f>
        <v>2409.8798060079944</v>
      </c>
    </row>
    <row r="752" spans="1:7" ht="15" hidden="1" customHeight="1" x14ac:dyDescent="0.3">
      <c r="A752" t="s">
        <v>107</v>
      </c>
      <c r="B752" s="2">
        <v>46204</v>
      </c>
      <c r="C752" s="52">
        <v>2701.8</v>
      </c>
      <c r="D752" s="48">
        <f>_xlfn.XLOOKUP(expected_production[[#This Row],[Site Name]],Table1[[Site Name ]],Table1[Commisioned Date],"")</f>
        <v>45072</v>
      </c>
      <c r="E752" s="47">
        <f>IF(ISNUMBER(expected_production[[#This Row],[Commissioned Date]]),MAX(0,(expected_production[[#This Row],[Date]]-expected_production[[#This Row],[Commissioned Date]])/365.25),"")</f>
        <v>3.0992470910335386</v>
      </c>
      <c r="F752" s="49">
        <f>IF(expected_production[[#This Row],[Age (yrs)]]="",1,(1-DegradationRate)^expected_production[[#This Row],[Age (yrs)]])</f>
        <v>0.97846426068284098</v>
      </c>
      <c r="G752" s="52">
        <f>IF(expected_production[[#This Row],[Base Expected (kWh)]]="","",expected_production[[#This Row],[Base Expected (kWh)]]*expected_production[[#This Row],[Degradation Factor]])</f>
        <v>2643.6147395129001</v>
      </c>
    </row>
    <row r="753" spans="1:7" ht="15" hidden="1" customHeight="1" x14ac:dyDescent="0.3">
      <c r="A753" t="s">
        <v>107</v>
      </c>
      <c r="B753" s="2">
        <v>46235</v>
      </c>
      <c r="C753" s="52">
        <v>2973.6</v>
      </c>
      <c r="D753" s="48">
        <f>_xlfn.XLOOKUP(expected_production[[#This Row],[Site Name]],Table1[[Site Name ]],Table1[Commisioned Date],"")</f>
        <v>45072</v>
      </c>
      <c r="E753" s="47">
        <f>IF(ISNUMBER(expected_production[[#This Row],[Commissioned Date]]),MAX(0,(expected_production[[#This Row],[Date]]-expected_production[[#This Row],[Commissioned Date]])/365.25),"")</f>
        <v>3.184120465434634</v>
      </c>
      <c r="F753" s="49">
        <f>IF(expected_production[[#This Row],[Age (yrs)]]="",1,(1-DegradationRate)^expected_production[[#This Row],[Age (yrs)]])</f>
        <v>0.97788107144358005</v>
      </c>
      <c r="G753" s="52">
        <f>IF(expected_production[[#This Row],[Base Expected (kWh)]]="","",expected_production[[#This Row],[Base Expected (kWh)]]*expected_production[[#This Row],[Degradation Factor]])</f>
        <v>2907.8271540446294</v>
      </c>
    </row>
    <row r="754" spans="1:7" ht="15" hidden="1" customHeight="1" x14ac:dyDescent="0.3">
      <c r="A754" t="s">
        <v>107</v>
      </c>
      <c r="B754" s="2">
        <v>46266</v>
      </c>
      <c r="C754" s="52">
        <v>3147.3</v>
      </c>
      <c r="D754" s="48">
        <f>_xlfn.XLOOKUP(expected_production[[#This Row],[Site Name]],Table1[[Site Name ]],Table1[Commisioned Date],"")</f>
        <v>45072</v>
      </c>
      <c r="E754" s="47">
        <f>IF(ISNUMBER(expected_production[[#This Row],[Commissioned Date]]),MAX(0,(expected_production[[#This Row],[Date]]-expected_production[[#This Row],[Commissioned Date]])/365.25),"")</f>
        <v>3.268993839835729</v>
      </c>
      <c r="F754" s="49">
        <f>IF(expected_production[[#This Row],[Age (yrs)]]="",1,(1-DegradationRate)^expected_production[[#This Row],[Age (yrs)]])</f>
        <v>0.97729822979973224</v>
      </c>
      <c r="G754" s="52">
        <f>IF(expected_production[[#This Row],[Base Expected (kWh)]]="","",expected_production[[#This Row],[Base Expected (kWh)]]*expected_production[[#This Row],[Degradation Factor]])</f>
        <v>3075.8507186486977</v>
      </c>
    </row>
    <row r="755" spans="1:7" ht="15" hidden="1" customHeight="1" x14ac:dyDescent="0.3">
      <c r="A755" t="s">
        <v>107</v>
      </c>
      <c r="B755" s="2">
        <v>46296</v>
      </c>
      <c r="C755" s="52">
        <v>3179.7</v>
      </c>
      <c r="D755" s="48">
        <f>_xlfn.XLOOKUP(expected_production[[#This Row],[Site Name]],Table1[[Site Name ]],Table1[Commisioned Date],"")</f>
        <v>45072</v>
      </c>
      <c r="E755" s="47">
        <f>IF(ISNUMBER(expected_production[[#This Row],[Commissioned Date]]),MAX(0,(expected_production[[#This Row],[Date]]-expected_production[[#This Row],[Commissioned Date]])/365.25),"")</f>
        <v>3.3511293634496919</v>
      </c>
      <c r="F755" s="49">
        <f>IF(expected_production[[#This Row],[Age (yrs)]]="",1,(1-DegradationRate)^expected_production[[#This Row],[Age (yrs)]])</f>
        <v>0.97673452026122665</v>
      </c>
      <c r="G755" s="52">
        <f>IF(expected_production[[#This Row],[Base Expected (kWh)]]="","",expected_production[[#This Row],[Base Expected (kWh)]]*expected_production[[#This Row],[Degradation Factor]])</f>
        <v>3105.7227540746221</v>
      </c>
    </row>
    <row r="756" spans="1:7" ht="15" hidden="1" customHeight="1" x14ac:dyDescent="0.3">
      <c r="A756" t="s">
        <v>107</v>
      </c>
      <c r="B756" s="2">
        <v>46327</v>
      </c>
      <c r="C756" s="52">
        <v>3013.2</v>
      </c>
      <c r="D756" s="48">
        <f>_xlfn.XLOOKUP(expected_production[[#This Row],[Site Name]],Table1[[Site Name ]],Table1[Commisioned Date],"")</f>
        <v>45072</v>
      </c>
      <c r="E756" s="47">
        <f>IF(ISNUMBER(expected_production[[#This Row],[Commissioned Date]]),MAX(0,(expected_production[[#This Row],[Date]]-expected_production[[#This Row],[Commissioned Date]])/365.25),"")</f>
        <v>3.4360027378507869</v>
      </c>
      <c r="F756" s="49">
        <f>IF(expected_production[[#This Row],[Age (yrs)]]="",1,(1-DegradationRate)^expected_production[[#This Row],[Age (yrs)]])</f>
        <v>0.97615236199063904</v>
      </c>
      <c r="G756" s="52">
        <f>IF(expected_production[[#This Row],[Base Expected (kWh)]]="","",expected_production[[#This Row],[Base Expected (kWh)]]*expected_production[[#This Row],[Degradation Factor]])</f>
        <v>2941.3422971501932</v>
      </c>
    </row>
    <row r="757" spans="1:7" ht="15" hidden="1" customHeight="1" x14ac:dyDescent="0.3">
      <c r="A757" t="s">
        <v>107</v>
      </c>
      <c r="B757" s="2">
        <v>46357</v>
      </c>
      <c r="C757" s="52">
        <v>3204</v>
      </c>
      <c r="D757" s="48">
        <f>_xlfn.XLOOKUP(expected_production[[#This Row],[Site Name]],Table1[[Site Name ]],Table1[Commisioned Date],"")</f>
        <v>45072</v>
      </c>
      <c r="E757" s="47">
        <f>IF(ISNUMBER(expected_production[[#This Row],[Commissioned Date]]),MAX(0,(expected_production[[#This Row],[Date]]-expected_production[[#This Row],[Commissioned Date]])/365.25),"")</f>
        <v>3.5181382614647503</v>
      </c>
      <c r="F757" s="49">
        <f>IF(expected_production[[#This Row],[Age (yrs)]]="",1,(1-DegradationRate)^expected_production[[#This Row],[Age (yrs)]])</f>
        <v>0.97558931339328137</v>
      </c>
      <c r="G757" s="52">
        <f>IF(expected_production[[#This Row],[Base Expected (kWh)]]="","",expected_production[[#This Row],[Base Expected (kWh)]]*expected_production[[#This Row],[Degradation Factor]])</f>
        <v>3125.7881601120735</v>
      </c>
    </row>
    <row r="758" spans="1:7" ht="15" hidden="1" customHeight="1" x14ac:dyDescent="0.3">
      <c r="A758" t="s">
        <v>228</v>
      </c>
      <c r="B758" s="2">
        <v>45292</v>
      </c>
      <c r="C758" s="52">
        <v>29074.5</v>
      </c>
      <c r="D758" s="48">
        <f>_xlfn.XLOOKUP(expected_production[[#This Row],[Site Name]],Table1[[Site Name ]],Table1[Commisioned Date],"")</f>
        <v>46086</v>
      </c>
      <c r="E758" s="47">
        <f>IF(ISNUMBER(expected_production[[#This Row],[Commissioned Date]]),MAX(0,(expected_production[[#This Row],[Date]]-expected_production[[#This Row],[Commissioned Date]])/365.25),"")</f>
        <v>0</v>
      </c>
      <c r="F758" s="49">
        <f>IF(expected_production[[#This Row],[Age (yrs)]]="",1,(1-DegradationRate)^expected_production[[#This Row],[Age (yrs)]])</f>
        <v>1</v>
      </c>
      <c r="G758" s="52">
        <f>IF(expected_production[[#This Row],[Base Expected (kWh)]]="","",expected_production[[#This Row],[Base Expected (kWh)]]*expected_production[[#This Row],[Degradation Factor]])</f>
        <v>29074.5</v>
      </c>
    </row>
    <row r="759" spans="1:7" ht="15" hidden="1" customHeight="1" x14ac:dyDescent="0.3">
      <c r="A759" t="s">
        <v>228</v>
      </c>
      <c r="B759" s="2">
        <v>45323</v>
      </c>
      <c r="C759" s="52">
        <v>26716.5</v>
      </c>
      <c r="D759" s="48">
        <f>_xlfn.XLOOKUP(expected_production[[#This Row],[Site Name]],Table1[[Site Name ]],Table1[Commisioned Date],"")</f>
        <v>46086</v>
      </c>
      <c r="E759" s="47">
        <f>IF(ISNUMBER(expected_production[[#This Row],[Commissioned Date]]),MAX(0,(expected_production[[#This Row],[Date]]-expected_production[[#This Row],[Commissioned Date]])/365.25),"")</f>
        <v>0</v>
      </c>
      <c r="F759" s="49">
        <f>IF(expected_production[[#This Row],[Age (yrs)]]="",1,(1-DegradationRate)^expected_production[[#This Row],[Age (yrs)]])</f>
        <v>1</v>
      </c>
      <c r="G759" s="52">
        <f>IF(expected_production[[#This Row],[Base Expected (kWh)]]="","",expected_production[[#This Row],[Base Expected (kWh)]]*expected_production[[#This Row],[Degradation Factor]])</f>
        <v>26716.5</v>
      </c>
    </row>
    <row r="760" spans="1:7" ht="15" hidden="1" customHeight="1" x14ac:dyDescent="0.3">
      <c r="A760" t="s">
        <v>228</v>
      </c>
      <c r="B760" s="2">
        <v>45352</v>
      </c>
      <c r="C760" s="52">
        <v>27941.4</v>
      </c>
      <c r="D760" s="48">
        <f>_xlfn.XLOOKUP(expected_production[[#This Row],[Site Name]],Table1[[Site Name ]],Table1[Commisioned Date],"")</f>
        <v>46086</v>
      </c>
      <c r="E760" s="47">
        <f>IF(ISNUMBER(expected_production[[#This Row],[Commissioned Date]]),MAX(0,(expected_production[[#This Row],[Date]]-expected_production[[#This Row],[Commissioned Date]])/365.25),"")</f>
        <v>0</v>
      </c>
      <c r="F760" s="49">
        <f>IF(expected_production[[#This Row],[Age (yrs)]]="",1,(1-DegradationRate)^expected_production[[#This Row],[Age (yrs)]])</f>
        <v>1</v>
      </c>
      <c r="G760" s="52">
        <f>IF(expected_production[[#This Row],[Base Expected (kWh)]]="","",expected_production[[#This Row],[Base Expected (kWh)]]*expected_production[[#This Row],[Degradation Factor]])</f>
        <v>27941.4</v>
      </c>
    </row>
    <row r="761" spans="1:7" ht="15" hidden="1" customHeight="1" x14ac:dyDescent="0.3">
      <c r="A761" t="s">
        <v>228</v>
      </c>
      <c r="B761" s="2">
        <v>45383</v>
      </c>
      <c r="C761" s="52">
        <v>25610.400000000001</v>
      </c>
      <c r="D761" s="48">
        <f>_xlfn.XLOOKUP(expected_production[[#This Row],[Site Name]],Table1[[Site Name ]],Table1[Commisioned Date],"")</f>
        <v>46086</v>
      </c>
      <c r="E761" s="47">
        <f>IF(ISNUMBER(expected_production[[#This Row],[Commissioned Date]]),MAX(0,(expected_production[[#This Row],[Date]]-expected_production[[#This Row],[Commissioned Date]])/365.25),"")</f>
        <v>0</v>
      </c>
      <c r="F761" s="49">
        <f>IF(expected_production[[#This Row],[Age (yrs)]]="",1,(1-DegradationRate)^expected_production[[#This Row],[Age (yrs)]])</f>
        <v>1</v>
      </c>
      <c r="G761" s="52">
        <f>IF(expected_production[[#This Row],[Base Expected (kWh)]]="","",expected_production[[#This Row],[Base Expected (kWh)]]*expected_production[[#This Row],[Degradation Factor]])</f>
        <v>25610.400000000001</v>
      </c>
    </row>
    <row r="762" spans="1:7" ht="15" hidden="1" customHeight="1" x14ac:dyDescent="0.3">
      <c r="A762" t="s">
        <v>228</v>
      </c>
      <c r="B762" s="2">
        <v>45413</v>
      </c>
      <c r="C762" s="52">
        <v>25802.1</v>
      </c>
      <c r="D762" s="48">
        <f>_xlfn.XLOOKUP(expected_production[[#This Row],[Site Name]],Table1[[Site Name ]],Table1[Commisioned Date],"")</f>
        <v>46086</v>
      </c>
      <c r="E762" s="47">
        <f>IF(ISNUMBER(expected_production[[#This Row],[Commissioned Date]]),MAX(0,(expected_production[[#This Row],[Date]]-expected_production[[#This Row],[Commissioned Date]])/365.25),"")</f>
        <v>0</v>
      </c>
      <c r="F762" s="49">
        <f>IF(expected_production[[#This Row],[Age (yrs)]]="",1,(1-DegradationRate)^expected_production[[#This Row],[Age (yrs)]])</f>
        <v>1</v>
      </c>
      <c r="G762" s="52">
        <f>IF(expected_production[[#This Row],[Base Expected (kWh)]]="","",expected_production[[#This Row],[Base Expected (kWh)]]*expected_production[[#This Row],[Degradation Factor]])</f>
        <v>25802.1</v>
      </c>
    </row>
    <row r="763" spans="1:7" ht="15" hidden="1" customHeight="1" x14ac:dyDescent="0.3">
      <c r="A763" t="s">
        <v>228</v>
      </c>
      <c r="B763" s="2">
        <v>45444</v>
      </c>
      <c r="C763" s="52">
        <v>23428.799999999999</v>
      </c>
      <c r="D763" s="48">
        <f>_xlfn.XLOOKUP(expected_production[[#This Row],[Site Name]],Table1[[Site Name ]],Table1[Commisioned Date],"")</f>
        <v>46086</v>
      </c>
      <c r="E763" s="47">
        <f>IF(ISNUMBER(expected_production[[#This Row],[Commissioned Date]]),MAX(0,(expected_production[[#This Row],[Date]]-expected_production[[#This Row],[Commissioned Date]])/365.25),"")</f>
        <v>0</v>
      </c>
      <c r="F763" s="49">
        <f>IF(expected_production[[#This Row],[Age (yrs)]]="",1,(1-DegradationRate)^expected_production[[#This Row],[Age (yrs)]])</f>
        <v>1</v>
      </c>
      <c r="G763" s="52">
        <f>IF(expected_production[[#This Row],[Base Expected (kWh)]]="","",expected_production[[#This Row],[Base Expected (kWh)]]*expected_production[[#This Row],[Degradation Factor]])</f>
        <v>23428.799999999999</v>
      </c>
    </row>
    <row r="764" spans="1:7" ht="15" hidden="1" customHeight="1" x14ac:dyDescent="0.3">
      <c r="A764" t="s">
        <v>228</v>
      </c>
      <c r="B764" s="2">
        <v>45474</v>
      </c>
      <c r="C764" s="52">
        <v>25632</v>
      </c>
      <c r="D764" s="48">
        <f>_xlfn.XLOOKUP(expected_production[[#This Row],[Site Name]],Table1[[Site Name ]],Table1[Commisioned Date],"")</f>
        <v>46086</v>
      </c>
      <c r="E764" s="47">
        <f>IF(ISNUMBER(expected_production[[#This Row],[Commissioned Date]]),MAX(0,(expected_production[[#This Row],[Date]]-expected_production[[#This Row],[Commissioned Date]])/365.25),"")</f>
        <v>0</v>
      </c>
      <c r="F764" s="49">
        <f>IF(expected_production[[#This Row],[Age (yrs)]]="",1,(1-DegradationRate)^expected_production[[#This Row],[Age (yrs)]])</f>
        <v>1</v>
      </c>
      <c r="G764" s="52">
        <f>IF(expected_production[[#This Row],[Base Expected (kWh)]]="","",expected_production[[#This Row],[Base Expected (kWh)]]*expected_production[[#This Row],[Degradation Factor]])</f>
        <v>25632</v>
      </c>
    </row>
    <row r="765" spans="1:7" ht="15" hidden="1" customHeight="1" x14ac:dyDescent="0.3">
      <c r="A765" t="s">
        <v>228</v>
      </c>
      <c r="B765" s="2">
        <v>45505</v>
      </c>
      <c r="C765" s="52">
        <v>28549.8</v>
      </c>
      <c r="D765" s="48">
        <f>_xlfn.XLOOKUP(expected_production[[#This Row],[Site Name]],Table1[[Site Name ]],Table1[Commisioned Date],"")</f>
        <v>46086</v>
      </c>
      <c r="E765" s="47">
        <f>IF(ISNUMBER(expected_production[[#This Row],[Commissioned Date]]),MAX(0,(expected_production[[#This Row],[Date]]-expected_production[[#This Row],[Commissioned Date]])/365.25),"")</f>
        <v>0</v>
      </c>
      <c r="F765" s="49">
        <f>IF(expected_production[[#This Row],[Age (yrs)]]="",1,(1-DegradationRate)^expected_production[[#This Row],[Age (yrs)]])</f>
        <v>1</v>
      </c>
      <c r="G765" s="52">
        <f>IF(expected_production[[#This Row],[Base Expected (kWh)]]="","",expected_production[[#This Row],[Base Expected (kWh)]]*expected_production[[#This Row],[Degradation Factor]])</f>
        <v>28549.8</v>
      </c>
    </row>
    <row r="766" spans="1:7" ht="15" hidden="1" customHeight="1" x14ac:dyDescent="0.3">
      <c r="A766" t="s">
        <v>228</v>
      </c>
      <c r="B766" s="2">
        <v>45536</v>
      </c>
      <c r="C766" s="52">
        <v>29561.4</v>
      </c>
      <c r="D766" s="48">
        <f>_xlfn.XLOOKUP(expected_production[[#This Row],[Site Name]],Table1[[Site Name ]],Table1[Commisioned Date],"")</f>
        <v>46086</v>
      </c>
      <c r="E766" s="47">
        <f>IF(ISNUMBER(expected_production[[#This Row],[Commissioned Date]]),MAX(0,(expected_production[[#This Row],[Date]]-expected_production[[#This Row],[Commissioned Date]])/365.25),"")</f>
        <v>0</v>
      </c>
      <c r="F766" s="49">
        <f>IF(expected_production[[#This Row],[Age (yrs)]]="",1,(1-DegradationRate)^expected_production[[#This Row],[Age (yrs)]])</f>
        <v>1</v>
      </c>
      <c r="G766" s="52">
        <f>IF(expected_production[[#This Row],[Base Expected (kWh)]]="","",expected_production[[#This Row],[Base Expected (kWh)]]*expected_production[[#This Row],[Degradation Factor]])</f>
        <v>29561.4</v>
      </c>
    </row>
    <row r="767" spans="1:7" ht="15" hidden="1" customHeight="1" x14ac:dyDescent="0.3">
      <c r="A767" t="s">
        <v>228</v>
      </c>
      <c r="B767" s="2">
        <v>45566</v>
      </c>
      <c r="C767" s="52">
        <v>31417.200000000001</v>
      </c>
      <c r="D767" s="48">
        <f>_xlfn.XLOOKUP(expected_production[[#This Row],[Site Name]],Table1[[Site Name ]],Table1[Commisioned Date],"")</f>
        <v>46086</v>
      </c>
      <c r="E767" s="47">
        <f>IF(ISNUMBER(expected_production[[#This Row],[Commissioned Date]]),MAX(0,(expected_production[[#This Row],[Date]]-expected_production[[#This Row],[Commissioned Date]])/365.25),"")</f>
        <v>0</v>
      </c>
      <c r="F767" s="49">
        <f>IF(expected_production[[#This Row],[Age (yrs)]]="",1,(1-DegradationRate)^expected_production[[#This Row],[Age (yrs)]])</f>
        <v>1</v>
      </c>
      <c r="G767" s="52">
        <f>IF(expected_production[[#This Row],[Base Expected (kWh)]]="","",expected_production[[#This Row],[Base Expected (kWh)]]*expected_production[[#This Row],[Degradation Factor]])</f>
        <v>31417.200000000001</v>
      </c>
    </row>
    <row r="768" spans="1:7" ht="15" hidden="1" customHeight="1" x14ac:dyDescent="0.3">
      <c r="A768" t="s">
        <v>228</v>
      </c>
      <c r="B768" s="2">
        <v>45597</v>
      </c>
      <c r="C768" s="52">
        <v>30121.200000000001</v>
      </c>
      <c r="D768" s="48">
        <f>_xlfn.XLOOKUP(expected_production[[#This Row],[Site Name]],Table1[[Site Name ]],Table1[Commisioned Date],"")</f>
        <v>46086</v>
      </c>
      <c r="E768" s="47">
        <f>IF(ISNUMBER(expected_production[[#This Row],[Commissioned Date]]),MAX(0,(expected_production[[#This Row],[Date]]-expected_production[[#This Row],[Commissioned Date]])/365.25),"")</f>
        <v>0</v>
      </c>
      <c r="F768" s="49">
        <f>IF(expected_production[[#This Row],[Age (yrs)]]="",1,(1-DegradationRate)^expected_production[[#This Row],[Age (yrs)]])</f>
        <v>1</v>
      </c>
      <c r="G768" s="52">
        <f>IF(expected_production[[#This Row],[Base Expected (kWh)]]="","",expected_production[[#This Row],[Base Expected (kWh)]]*expected_production[[#This Row],[Degradation Factor]])</f>
        <v>30121.200000000001</v>
      </c>
    </row>
    <row r="769" spans="1:7" ht="15" hidden="1" customHeight="1" x14ac:dyDescent="0.3">
      <c r="A769" t="s">
        <v>228</v>
      </c>
      <c r="B769" s="2">
        <v>45627</v>
      </c>
      <c r="C769" s="52">
        <v>29445.3</v>
      </c>
      <c r="D769" s="48">
        <f>_xlfn.XLOOKUP(expected_production[[#This Row],[Site Name]],Table1[[Site Name ]],Table1[Commisioned Date],"")</f>
        <v>46086</v>
      </c>
      <c r="E769" s="47">
        <f>IF(ISNUMBER(expected_production[[#This Row],[Commissioned Date]]),MAX(0,(expected_production[[#This Row],[Date]]-expected_production[[#This Row],[Commissioned Date]])/365.25),"")</f>
        <v>0</v>
      </c>
      <c r="F769" s="49">
        <f>IF(expected_production[[#This Row],[Age (yrs)]]="",1,(1-DegradationRate)^expected_production[[#This Row],[Age (yrs)]])</f>
        <v>1</v>
      </c>
      <c r="G769" s="52">
        <f>IF(expected_production[[#This Row],[Base Expected (kWh)]]="","",expected_production[[#This Row],[Base Expected (kWh)]]*expected_production[[#This Row],[Degradation Factor]])</f>
        <v>29445.3</v>
      </c>
    </row>
    <row r="770" spans="1:7" ht="15" hidden="1" customHeight="1" x14ac:dyDescent="0.3">
      <c r="A770" t="s">
        <v>228</v>
      </c>
      <c r="B770" s="2">
        <v>45658</v>
      </c>
      <c r="C770" s="52">
        <v>29074.5</v>
      </c>
      <c r="D770" s="48">
        <f>_xlfn.XLOOKUP(expected_production[[#This Row],[Site Name]],Table1[[Site Name ]],Table1[Commisioned Date],"")</f>
        <v>46086</v>
      </c>
      <c r="E770" s="47">
        <f>IF(ISNUMBER(expected_production[[#This Row],[Commissioned Date]]),MAX(0,(expected_production[[#This Row],[Date]]-expected_production[[#This Row],[Commissioned Date]])/365.25),"")</f>
        <v>0</v>
      </c>
      <c r="F770" s="49">
        <f>IF(expected_production[[#This Row],[Age (yrs)]]="",1,(1-DegradationRate)^expected_production[[#This Row],[Age (yrs)]])</f>
        <v>1</v>
      </c>
      <c r="G770" s="52">
        <f>IF(expected_production[[#This Row],[Base Expected (kWh)]]="","",expected_production[[#This Row],[Base Expected (kWh)]]*expected_production[[#This Row],[Degradation Factor]])</f>
        <v>29074.5</v>
      </c>
    </row>
    <row r="771" spans="1:7" ht="15" hidden="1" customHeight="1" x14ac:dyDescent="0.3">
      <c r="A771" t="s">
        <v>228</v>
      </c>
      <c r="B771" s="2">
        <v>45689</v>
      </c>
      <c r="C771" s="52">
        <v>26716.5</v>
      </c>
      <c r="D771" s="48">
        <f>_xlfn.XLOOKUP(expected_production[[#This Row],[Site Name]],Table1[[Site Name ]],Table1[Commisioned Date],"")</f>
        <v>46086</v>
      </c>
      <c r="E771" s="47">
        <f>IF(ISNUMBER(expected_production[[#This Row],[Commissioned Date]]),MAX(0,(expected_production[[#This Row],[Date]]-expected_production[[#This Row],[Commissioned Date]])/365.25),"")</f>
        <v>0</v>
      </c>
      <c r="F771" s="49">
        <f>IF(expected_production[[#This Row],[Age (yrs)]]="",1,(1-DegradationRate)^expected_production[[#This Row],[Age (yrs)]])</f>
        <v>1</v>
      </c>
      <c r="G771" s="52">
        <f>IF(expected_production[[#This Row],[Base Expected (kWh)]]="","",expected_production[[#This Row],[Base Expected (kWh)]]*expected_production[[#This Row],[Degradation Factor]])</f>
        <v>26716.5</v>
      </c>
    </row>
    <row r="772" spans="1:7" ht="15" hidden="1" customHeight="1" x14ac:dyDescent="0.3">
      <c r="A772" t="s">
        <v>228</v>
      </c>
      <c r="B772" s="2">
        <v>45717</v>
      </c>
      <c r="C772" s="52">
        <v>27941.4</v>
      </c>
      <c r="D772" s="48">
        <f>_xlfn.XLOOKUP(expected_production[[#This Row],[Site Name]],Table1[[Site Name ]],Table1[Commisioned Date],"")</f>
        <v>46086</v>
      </c>
      <c r="E772" s="47">
        <f>IF(ISNUMBER(expected_production[[#This Row],[Commissioned Date]]),MAX(0,(expected_production[[#This Row],[Date]]-expected_production[[#This Row],[Commissioned Date]])/365.25),"")</f>
        <v>0</v>
      </c>
      <c r="F772" s="49">
        <f>IF(expected_production[[#This Row],[Age (yrs)]]="",1,(1-DegradationRate)^expected_production[[#This Row],[Age (yrs)]])</f>
        <v>1</v>
      </c>
      <c r="G772" s="52">
        <f>IF(expected_production[[#This Row],[Base Expected (kWh)]]="","",expected_production[[#This Row],[Base Expected (kWh)]]*expected_production[[#This Row],[Degradation Factor]])</f>
        <v>27941.4</v>
      </c>
    </row>
    <row r="773" spans="1:7" ht="15" hidden="1" customHeight="1" x14ac:dyDescent="0.3">
      <c r="A773" t="s">
        <v>228</v>
      </c>
      <c r="B773" s="2">
        <v>45748</v>
      </c>
      <c r="C773" s="52">
        <v>25610.400000000001</v>
      </c>
      <c r="D773" s="48">
        <f>_xlfn.XLOOKUP(expected_production[[#This Row],[Site Name]],Table1[[Site Name ]],Table1[Commisioned Date],"")</f>
        <v>46086</v>
      </c>
      <c r="E773" s="47">
        <f>IF(ISNUMBER(expected_production[[#This Row],[Commissioned Date]]),MAX(0,(expected_production[[#This Row],[Date]]-expected_production[[#This Row],[Commissioned Date]])/365.25),"")</f>
        <v>0</v>
      </c>
      <c r="F773" s="49">
        <f>IF(expected_production[[#This Row],[Age (yrs)]]="",1,(1-DegradationRate)^expected_production[[#This Row],[Age (yrs)]])</f>
        <v>1</v>
      </c>
      <c r="G773" s="52">
        <f>IF(expected_production[[#This Row],[Base Expected (kWh)]]="","",expected_production[[#This Row],[Base Expected (kWh)]]*expected_production[[#This Row],[Degradation Factor]])</f>
        <v>25610.400000000001</v>
      </c>
    </row>
    <row r="774" spans="1:7" ht="15" hidden="1" customHeight="1" x14ac:dyDescent="0.3">
      <c r="A774" t="s">
        <v>228</v>
      </c>
      <c r="B774" s="2">
        <v>45778</v>
      </c>
      <c r="C774" s="52">
        <v>25802.1</v>
      </c>
      <c r="D774" s="48">
        <f>_xlfn.XLOOKUP(expected_production[[#This Row],[Site Name]],Table1[[Site Name ]],Table1[Commisioned Date],"")</f>
        <v>46086</v>
      </c>
      <c r="E774" s="47">
        <f>IF(ISNUMBER(expected_production[[#This Row],[Commissioned Date]]),MAX(0,(expected_production[[#This Row],[Date]]-expected_production[[#This Row],[Commissioned Date]])/365.25),"")</f>
        <v>0</v>
      </c>
      <c r="F774" s="49">
        <f>IF(expected_production[[#This Row],[Age (yrs)]]="",1,(1-DegradationRate)^expected_production[[#This Row],[Age (yrs)]])</f>
        <v>1</v>
      </c>
      <c r="G774" s="52">
        <f>IF(expected_production[[#This Row],[Base Expected (kWh)]]="","",expected_production[[#This Row],[Base Expected (kWh)]]*expected_production[[#This Row],[Degradation Factor]])</f>
        <v>25802.1</v>
      </c>
    </row>
    <row r="775" spans="1:7" ht="15" hidden="1" customHeight="1" x14ac:dyDescent="0.3">
      <c r="A775" t="s">
        <v>228</v>
      </c>
      <c r="B775" s="2">
        <v>45809</v>
      </c>
      <c r="C775" s="52">
        <v>23428.799999999999</v>
      </c>
      <c r="D775" s="48">
        <f>_xlfn.XLOOKUP(expected_production[[#This Row],[Site Name]],Table1[[Site Name ]],Table1[Commisioned Date],"")</f>
        <v>46086</v>
      </c>
      <c r="E775" s="47">
        <f>IF(ISNUMBER(expected_production[[#This Row],[Commissioned Date]]),MAX(0,(expected_production[[#This Row],[Date]]-expected_production[[#This Row],[Commissioned Date]])/365.25),"")</f>
        <v>0</v>
      </c>
      <c r="F775" s="49">
        <f>IF(expected_production[[#This Row],[Age (yrs)]]="",1,(1-DegradationRate)^expected_production[[#This Row],[Age (yrs)]])</f>
        <v>1</v>
      </c>
      <c r="G775" s="52">
        <f>IF(expected_production[[#This Row],[Base Expected (kWh)]]="","",expected_production[[#This Row],[Base Expected (kWh)]]*expected_production[[#This Row],[Degradation Factor]])</f>
        <v>23428.799999999999</v>
      </c>
    </row>
    <row r="776" spans="1:7" ht="15" hidden="1" customHeight="1" x14ac:dyDescent="0.3">
      <c r="A776" t="s">
        <v>228</v>
      </c>
      <c r="B776" s="2">
        <v>45839</v>
      </c>
      <c r="C776" s="52">
        <v>25632</v>
      </c>
      <c r="D776" s="48">
        <f>_xlfn.XLOOKUP(expected_production[[#This Row],[Site Name]],Table1[[Site Name ]],Table1[Commisioned Date],"")</f>
        <v>46086</v>
      </c>
      <c r="E776" s="47">
        <f>IF(ISNUMBER(expected_production[[#This Row],[Commissioned Date]]),MAX(0,(expected_production[[#This Row],[Date]]-expected_production[[#This Row],[Commissioned Date]])/365.25),"")</f>
        <v>0</v>
      </c>
      <c r="F776" s="49">
        <f>IF(expected_production[[#This Row],[Age (yrs)]]="",1,(1-DegradationRate)^expected_production[[#This Row],[Age (yrs)]])</f>
        <v>1</v>
      </c>
      <c r="G776" s="52">
        <f>IF(expected_production[[#This Row],[Base Expected (kWh)]]="","",expected_production[[#This Row],[Base Expected (kWh)]]*expected_production[[#This Row],[Degradation Factor]])</f>
        <v>25632</v>
      </c>
    </row>
    <row r="777" spans="1:7" ht="15" hidden="1" customHeight="1" x14ac:dyDescent="0.3">
      <c r="A777" t="s">
        <v>228</v>
      </c>
      <c r="B777" s="2">
        <v>45870</v>
      </c>
      <c r="C777" s="52">
        <v>28549.8</v>
      </c>
      <c r="D777" s="48">
        <f>_xlfn.XLOOKUP(expected_production[[#This Row],[Site Name]],Table1[[Site Name ]],Table1[Commisioned Date],"")</f>
        <v>46086</v>
      </c>
      <c r="E777" s="47">
        <f>IF(ISNUMBER(expected_production[[#This Row],[Commissioned Date]]),MAX(0,(expected_production[[#This Row],[Date]]-expected_production[[#This Row],[Commissioned Date]])/365.25),"")</f>
        <v>0</v>
      </c>
      <c r="F777" s="49">
        <f>IF(expected_production[[#This Row],[Age (yrs)]]="",1,(1-DegradationRate)^expected_production[[#This Row],[Age (yrs)]])</f>
        <v>1</v>
      </c>
      <c r="G777" s="52">
        <f>IF(expected_production[[#This Row],[Base Expected (kWh)]]="","",expected_production[[#This Row],[Base Expected (kWh)]]*expected_production[[#This Row],[Degradation Factor]])</f>
        <v>28549.8</v>
      </c>
    </row>
    <row r="778" spans="1:7" ht="15" hidden="1" customHeight="1" x14ac:dyDescent="0.3">
      <c r="A778" t="s">
        <v>228</v>
      </c>
      <c r="B778" s="2">
        <v>45901</v>
      </c>
      <c r="C778" s="52">
        <v>29561.4</v>
      </c>
      <c r="D778" s="48">
        <f>_xlfn.XLOOKUP(expected_production[[#This Row],[Site Name]],Table1[[Site Name ]],Table1[Commisioned Date],"")</f>
        <v>46086</v>
      </c>
      <c r="E778" s="47">
        <f>IF(ISNUMBER(expected_production[[#This Row],[Commissioned Date]]),MAX(0,(expected_production[[#This Row],[Date]]-expected_production[[#This Row],[Commissioned Date]])/365.25),"")</f>
        <v>0</v>
      </c>
      <c r="F778" s="49">
        <f>IF(expected_production[[#This Row],[Age (yrs)]]="",1,(1-DegradationRate)^expected_production[[#This Row],[Age (yrs)]])</f>
        <v>1</v>
      </c>
      <c r="G778" s="52">
        <f>IF(expected_production[[#This Row],[Base Expected (kWh)]]="","",expected_production[[#This Row],[Base Expected (kWh)]]*expected_production[[#This Row],[Degradation Factor]])</f>
        <v>29561.4</v>
      </c>
    </row>
    <row r="779" spans="1:7" ht="15" hidden="1" customHeight="1" x14ac:dyDescent="0.3">
      <c r="A779" t="s">
        <v>228</v>
      </c>
      <c r="B779" s="2">
        <v>45931</v>
      </c>
      <c r="C779" s="52">
        <v>31417.200000000001</v>
      </c>
      <c r="D779" s="48">
        <f>_xlfn.XLOOKUP(expected_production[[#This Row],[Site Name]],Table1[[Site Name ]],Table1[Commisioned Date],"")</f>
        <v>46086</v>
      </c>
      <c r="E779" s="47">
        <f>IF(ISNUMBER(expected_production[[#This Row],[Commissioned Date]]),MAX(0,(expected_production[[#This Row],[Date]]-expected_production[[#This Row],[Commissioned Date]])/365.25),"")</f>
        <v>0</v>
      </c>
      <c r="F779" s="49">
        <f>IF(expected_production[[#This Row],[Age (yrs)]]="",1,(1-DegradationRate)^expected_production[[#This Row],[Age (yrs)]])</f>
        <v>1</v>
      </c>
      <c r="G779" s="52">
        <f>IF(expected_production[[#This Row],[Base Expected (kWh)]]="","",expected_production[[#This Row],[Base Expected (kWh)]]*expected_production[[#This Row],[Degradation Factor]])</f>
        <v>31417.200000000001</v>
      </c>
    </row>
    <row r="780" spans="1:7" ht="15" hidden="1" customHeight="1" x14ac:dyDescent="0.3">
      <c r="A780" t="s">
        <v>228</v>
      </c>
      <c r="B780" s="2">
        <v>45962</v>
      </c>
      <c r="C780" s="52">
        <v>30121.200000000001</v>
      </c>
      <c r="D780" s="48">
        <f>_xlfn.XLOOKUP(expected_production[[#This Row],[Site Name]],Table1[[Site Name ]],Table1[Commisioned Date],"")</f>
        <v>46086</v>
      </c>
      <c r="E780" s="47">
        <f>IF(ISNUMBER(expected_production[[#This Row],[Commissioned Date]]),MAX(0,(expected_production[[#This Row],[Date]]-expected_production[[#This Row],[Commissioned Date]])/365.25),"")</f>
        <v>0</v>
      </c>
      <c r="F780" s="49">
        <f>IF(expected_production[[#This Row],[Age (yrs)]]="",1,(1-DegradationRate)^expected_production[[#This Row],[Age (yrs)]])</f>
        <v>1</v>
      </c>
      <c r="G780" s="52">
        <f>IF(expected_production[[#This Row],[Base Expected (kWh)]]="","",expected_production[[#This Row],[Base Expected (kWh)]]*expected_production[[#This Row],[Degradation Factor]])</f>
        <v>30121.200000000001</v>
      </c>
    </row>
    <row r="781" spans="1:7" ht="15" hidden="1" customHeight="1" x14ac:dyDescent="0.3">
      <c r="A781" t="s">
        <v>228</v>
      </c>
      <c r="B781" s="2">
        <v>45992</v>
      </c>
      <c r="C781" s="52">
        <v>29445.3</v>
      </c>
      <c r="D781" s="48">
        <f>_xlfn.XLOOKUP(expected_production[[#This Row],[Site Name]],Table1[[Site Name ]],Table1[Commisioned Date],"")</f>
        <v>46086</v>
      </c>
      <c r="E781" s="47">
        <f>IF(ISNUMBER(expected_production[[#This Row],[Commissioned Date]]),MAX(0,(expected_production[[#This Row],[Date]]-expected_production[[#This Row],[Commissioned Date]])/365.25),"")</f>
        <v>0</v>
      </c>
      <c r="F781" s="49">
        <f>IF(expected_production[[#This Row],[Age (yrs)]]="",1,(1-DegradationRate)^expected_production[[#This Row],[Age (yrs)]])</f>
        <v>1</v>
      </c>
      <c r="G781" s="52">
        <f>IF(expected_production[[#This Row],[Base Expected (kWh)]]="","",expected_production[[#This Row],[Base Expected (kWh)]]*expected_production[[#This Row],[Degradation Factor]])</f>
        <v>29445.3</v>
      </c>
    </row>
    <row r="782" spans="1:7" ht="15" hidden="1" customHeight="1" x14ac:dyDescent="0.3">
      <c r="A782" t="s">
        <v>228</v>
      </c>
      <c r="B782" s="2">
        <v>46023</v>
      </c>
      <c r="C782" s="52">
        <v>29074.5</v>
      </c>
      <c r="D782" s="48">
        <f>_xlfn.XLOOKUP(expected_production[[#This Row],[Site Name]],Table1[[Site Name ]],Table1[Commisioned Date],"")</f>
        <v>46086</v>
      </c>
      <c r="E782" s="47">
        <f>IF(ISNUMBER(expected_production[[#This Row],[Commissioned Date]]),MAX(0,(expected_production[[#This Row],[Date]]-expected_production[[#This Row],[Commissioned Date]])/365.25),"")</f>
        <v>0</v>
      </c>
      <c r="F782" s="49">
        <f>IF(expected_production[[#This Row],[Age (yrs)]]="",1,(1-DegradationRate)^expected_production[[#This Row],[Age (yrs)]])</f>
        <v>1</v>
      </c>
      <c r="G782" s="52">
        <f>IF(expected_production[[#This Row],[Base Expected (kWh)]]="","",expected_production[[#This Row],[Base Expected (kWh)]]*expected_production[[#This Row],[Degradation Factor]])</f>
        <v>29074.5</v>
      </c>
    </row>
    <row r="783" spans="1:7" ht="15" hidden="1" customHeight="1" x14ac:dyDescent="0.3">
      <c r="A783" t="s">
        <v>228</v>
      </c>
      <c r="B783" s="2">
        <v>46054</v>
      </c>
      <c r="C783" s="52">
        <v>26716.5</v>
      </c>
      <c r="D783" s="48">
        <f>_xlfn.XLOOKUP(expected_production[[#This Row],[Site Name]],Table1[[Site Name ]],Table1[Commisioned Date],"")</f>
        <v>46086</v>
      </c>
      <c r="E783" s="47">
        <f>IF(ISNUMBER(expected_production[[#This Row],[Commissioned Date]]),MAX(0,(expected_production[[#This Row],[Date]]-expected_production[[#This Row],[Commissioned Date]])/365.25),"")</f>
        <v>0</v>
      </c>
      <c r="F783" s="49">
        <f>IF(expected_production[[#This Row],[Age (yrs)]]="",1,(1-DegradationRate)^expected_production[[#This Row],[Age (yrs)]])</f>
        <v>1</v>
      </c>
      <c r="G783" s="52">
        <f>IF(expected_production[[#This Row],[Base Expected (kWh)]]="","",expected_production[[#This Row],[Base Expected (kWh)]]*expected_production[[#This Row],[Degradation Factor]])</f>
        <v>26716.5</v>
      </c>
    </row>
    <row r="784" spans="1:7" ht="15" hidden="1" customHeight="1" x14ac:dyDescent="0.3">
      <c r="A784" t="s">
        <v>228</v>
      </c>
      <c r="B784" s="2">
        <v>46082</v>
      </c>
      <c r="C784" s="52">
        <v>27941.4</v>
      </c>
      <c r="D784" s="48">
        <f>_xlfn.XLOOKUP(expected_production[[#This Row],[Site Name]],Table1[[Site Name ]],Table1[Commisioned Date],"")</f>
        <v>46086</v>
      </c>
      <c r="E784" s="47">
        <f>IF(ISNUMBER(expected_production[[#This Row],[Commissioned Date]]),MAX(0,(expected_production[[#This Row],[Date]]-expected_production[[#This Row],[Commissioned Date]])/365.25),"")</f>
        <v>0</v>
      </c>
      <c r="F784" s="49">
        <f>IF(expected_production[[#This Row],[Age (yrs)]]="",1,(1-DegradationRate)^expected_production[[#This Row],[Age (yrs)]])</f>
        <v>1</v>
      </c>
      <c r="G784" s="52">
        <f>IF(expected_production[[#This Row],[Base Expected (kWh)]]="","",expected_production[[#This Row],[Base Expected (kWh)]]*expected_production[[#This Row],[Degradation Factor]])</f>
        <v>27941.4</v>
      </c>
    </row>
    <row r="785" spans="1:7" ht="15" hidden="1" customHeight="1" x14ac:dyDescent="0.3">
      <c r="A785" t="s">
        <v>228</v>
      </c>
      <c r="B785" s="2">
        <v>46113</v>
      </c>
      <c r="C785" s="52">
        <v>25610.400000000001</v>
      </c>
      <c r="D785" s="48">
        <f>_xlfn.XLOOKUP(expected_production[[#This Row],[Site Name]],Table1[[Site Name ]],Table1[Commisioned Date],"")</f>
        <v>46086</v>
      </c>
      <c r="E785" s="47">
        <f>IF(ISNUMBER(expected_production[[#This Row],[Commissioned Date]]),MAX(0,(expected_production[[#This Row],[Date]]-expected_production[[#This Row],[Commissioned Date]])/365.25),"")</f>
        <v>7.3921971252566734E-2</v>
      </c>
      <c r="F785" s="49">
        <f>IF(expected_production[[#This Row],[Age (yrs)]]="",1,(1-DegradationRate)^expected_production[[#This Row],[Age (yrs)]])</f>
        <v>0.99948086141565917</v>
      </c>
      <c r="G785" s="52">
        <f>IF(expected_production[[#This Row],[Base Expected (kWh)]]="","",expected_production[[#This Row],[Base Expected (kWh)]]*expected_production[[#This Row],[Degradation Factor]])</f>
        <v>25597.1046531996</v>
      </c>
    </row>
    <row r="786" spans="1:7" ht="15" hidden="1" customHeight="1" x14ac:dyDescent="0.3">
      <c r="A786" t="s">
        <v>228</v>
      </c>
      <c r="B786" s="2">
        <v>46113</v>
      </c>
      <c r="C786" s="52">
        <v>25610.400000000001</v>
      </c>
      <c r="D786" s="48">
        <f>_xlfn.XLOOKUP(expected_production[[#This Row],[Site Name]],Table1[[Site Name ]],Table1[Commisioned Date],"")</f>
        <v>46086</v>
      </c>
      <c r="E786" s="47">
        <f>IF(ISNUMBER(expected_production[[#This Row],[Commissioned Date]]),MAX(0,(expected_production[[#This Row],[Date]]-expected_production[[#This Row],[Commissioned Date]])/365.25),"")</f>
        <v>7.3921971252566734E-2</v>
      </c>
      <c r="F786" s="49">
        <f>IF(expected_production[[#This Row],[Age (yrs)]]="",1,(1-DegradationRate)^expected_production[[#This Row],[Age (yrs)]])</f>
        <v>0.99948086141565917</v>
      </c>
      <c r="G786" s="52">
        <f>IF(expected_production[[#This Row],[Base Expected (kWh)]]="","",expected_production[[#This Row],[Base Expected (kWh)]]*expected_production[[#This Row],[Degradation Factor]])</f>
        <v>25597.1046531996</v>
      </c>
    </row>
    <row r="787" spans="1:7" ht="15" hidden="1" customHeight="1" x14ac:dyDescent="0.3">
      <c r="A787" t="s">
        <v>228</v>
      </c>
      <c r="B787" s="2">
        <v>46143</v>
      </c>
      <c r="C787" s="52">
        <v>25802.1</v>
      </c>
      <c r="D787" s="48">
        <f>_xlfn.XLOOKUP(expected_production[[#This Row],[Site Name]],Table1[[Site Name ]],Table1[Commisioned Date],"")</f>
        <v>46086</v>
      </c>
      <c r="E787" s="47">
        <f>IF(ISNUMBER(expected_production[[#This Row],[Commissioned Date]]),MAX(0,(expected_production[[#This Row],[Date]]-expected_production[[#This Row],[Commissioned Date]])/365.25),"")</f>
        <v>0.15605749486652978</v>
      </c>
      <c r="F787" s="49">
        <f>IF(expected_production[[#This Row],[Age (yrs)]]="",1,(1-DegradationRate)^expected_production[[#This Row],[Age (yrs)]])</f>
        <v>0.99890435684627177</v>
      </c>
      <c r="G787" s="52">
        <f>IF(expected_production[[#This Row],[Base Expected (kWh)]]="","",expected_production[[#This Row],[Base Expected (kWh)]]*expected_production[[#This Row],[Degradation Factor]])</f>
        <v>25773.830105783189</v>
      </c>
    </row>
    <row r="788" spans="1:7" ht="15" hidden="1" customHeight="1" x14ac:dyDescent="0.3">
      <c r="A788" t="s">
        <v>228</v>
      </c>
      <c r="B788" s="2">
        <v>46174</v>
      </c>
      <c r="C788" s="52">
        <v>23428.799999999999</v>
      </c>
      <c r="D788" s="48">
        <f>_xlfn.XLOOKUP(expected_production[[#This Row],[Site Name]],Table1[[Site Name ]],Table1[Commisioned Date],"")</f>
        <v>46086</v>
      </c>
      <c r="E788" s="47">
        <f>IF(ISNUMBER(expected_production[[#This Row],[Commissioned Date]]),MAX(0,(expected_production[[#This Row],[Date]]-expected_production[[#This Row],[Commissioned Date]])/365.25),"")</f>
        <v>0.24093086926762491</v>
      </c>
      <c r="F788" s="49">
        <f>IF(expected_production[[#This Row],[Age (yrs)]]="",1,(1-DegradationRate)^expected_production[[#This Row],[Age (yrs)]])</f>
        <v>0.99830898479705965</v>
      </c>
      <c r="G788" s="52">
        <f>IF(expected_production[[#This Row],[Base Expected (kWh)]]="","",expected_production[[#This Row],[Base Expected (kWh)]]*expected_production[[#This Row],[Degradation Factor]])</f>
        <v>23389.18154301335</v>
      </c>
    </row>
    <row r="789" spans="1:7" ht="15" hidden="1" customHeight="1" x14ac:dyDescent="0.3">
      <c r="A789" t="s">
        <v>228</v>
      </c>
      <c r="B789" s="2">
        <v>46204</v>
      </c>
      <c r="C789" s="52">
        <v>25632</v>
      </c>
      <c r="D789" s="48">
        <f>_xlfn.XLOOKUP(expected_production[[#This Row],[Site Name]],Table1[[Site Name ]],Table1[Commisioned Date],"")</f>
        <v>46086</v>
      </c>
      <c r="E789" s="47">
        <f>IF(ISNUMBER(expected_production[[#This Row],[Commissioned Date]]),MAX(0,(expected_production[[#This Row],[Date]]-expected_production[[#This Row],[Commissioned Date]])/365.25),"")</f>
        <v>0.32306639288158795</v>
      </c>
      <c r="F789" s="49">
        <f>IF(expected_production[[#This Row],[Age (yrs)]]="",1,(1-DegradationRate)^expected_production[[#This Row],[Age (yrs)]])</f>
        <v>0.99773315617080582</v>
      </c>
      <c r="G789" s="52">
        <f>IF(expected_production[[#This Row],[Base Expected (kWh)]]="","",expected_production[[#This Row],[Base Expected (kWh)]]*expected_production[[#This Row],[Degradation Factor]])</f>
        <v>25573.896258970093</v>
      </c>
    </row>
    <row r="790" spans="1:7" ht="15" hidden="1" customHeight="1" x14ac:dyDescent="0.3">
      <c r="A790" t="s">
        <v>228</v>
      </c>
      <c r="B790" s="2">
        <v>46235</v>
      </c>
      <c r="C790" s="52">
        <v>28549.8</v>
      </c>
      <c r="D790" s="48">
        <f>_xlfn.XLOOKUP(expected_production[[#This Row],[Site Name]],Table1[[Site Name ]],Table1[Commisioned Date],"")</f>
        <v>46086</v>
      </c>
      <c r="E790" s="47">
        <f>IF(ISNUMBER(expected_production[[#This Row],[Commissioned Date]]),MAX(0,(expected_production[[#This Row],[Date]]-expected_production[[#This Row],[Commissioned Date]])/365.25),"")</f>
        <v>0.40793976728268311</v>
      </c>
      <c r="F790" s="49">
        <f>IF(expected_production[[#This Row],[Age (yrs)]]="",1,(1-DegradationRate)^expected_production[[#This Row],[Age (yrs)]])</f>
        <v>0.99713848218657009</v>
      </c>
      <c r="G790" s="52">
        <f>IF(expected_production[[#This Row],[Base Expected (kWh)]]="","",expected_production[[#This Row],[Base Expected (kWh)]]*expected_production[[#This Row],[Degradation Factor]])</f>
        <v>28468.104238730139</v>
      </c>
    </row>
    <row r="791" spans="1:7" ht="15" hidden="1" customHeight="1" x14ac:dyDescent="0.3">
      <c r="A791" t="s">
        <v>228</v>
      </c>
      <c r="B791" s="2">
        <v>46266</v>
      </c>
      <c r="C791" s="52">
        <v>29561.4</v>
      </c>
      <c r="D791" s="48">
        <f>_xlfn.XLOOKUP(expected_production[[#This Row],[Site Name]],Table1[[Site Name ]],Table1[Commisioned Date],"")</f>
        <v>46086</v>
      </c>
      <c r="E791" s="47">
        <f>IF(ISNUMBER(expected_production[[#This Row],[Commissioned Date]]),MAX(0,(expected_production[[#This Row],[Date]]-expected_production[[#This Row],[Commissioned Date]])/365.25),"")</f>
        <v>0.49281314168377821</v>
      </c>
      <c r="F791" s="49">
        <f>IF(expected_production[[#This Row],[Age (yrs)]]="",1,(1-DegradationRate)^expected_production[[#This Row],[Age (yrs)]])</f>
        <v>0.99654416264294332</v>
      </c>
      <c r="G791" s="52">
        <f>IF(expected_production[[#This Row],[Base Expected (kWh)]]="","",expected_production[[#This Row],[Base Expected (kWh)]]*expected_production[[#This Row],[Degradation Factor]])</f>
        <v>29459.240609553108</v>
      </c>
    </row>
    <row r="792" spans="1:7" ht="15" hidden="1" customHeight="1" x14ac:dyDescent="0.3">
      <c r="A792" t="s">
        <v>228</v>
      </c>
      <c r="B792" s="2">
        <v>46296</v>
      </c>
      <c r="C792" s="52">
        <v>31417.200000000001</v>
      </c>
      <c r="D792" s="48">
        <f>_xlfn.XLOOKUP(expected_production[[#This Row],[Site Name]],Table1[[Site Name ]],Table1[Commisioned Date],"")</f>
        <v>46086</v>
      </c>
      <c r="E792" s="47">
        <f>IF(ISNUMBER(expected_production[[#This Row],[Commissioned Date]]),MAX(0,(expected_production[[#This Row],[Date]]-expected_production[[#This Row],[Commissioned Date]])/365.25),"")</f>
        <v>0.57494866529774125</v>
      </c>
      <c r="F792" s="49">
        <f>IF(expected_production[[#This Row],[Age (yrs)]]="",1,(1-DegradationRate)^expected_production[[#This Row],[Age (yrs)]])</f>
        <v>0.99596935197318592</v>
      </c>
      <c r="G792" s="52">
        <f>IF(expected_production[[#This Row],[Base Expected (kWh)]]="","",expected_production[[#This Row],[Base Expected (kWh)]]*expected_production[[#This Row],[Degradation Factor]])</f>
        <v>31290.568324811979</v>
      </c>
    </row>
    <row r="793" spans="1:7" ht="15" hidden="1" customHeight="1" x14ac:dyDescent="0.3">
      <c r="A793" t="s">
        <v>228</v>
      </c>
      <c r="B793" s="2">
        <v>46327</v>
      </c>
      <c r="C793" s="52">
        <v>30121.200000000001</v>
      </c>
      <c r="D793" s="48">
        <f>_xlfn.XLOOKUP(expected_production[[#This Row],[Site Name]],Table1[[Site Name ]],Table1[Commisioned Date],"")</f>
        <v>46086</v>
      </c>
      <c r="E793" s="47">
        <f>IF(ISNUMBER(expected_production[[#This Row],[Commissioned Date]]),MAX(0,(expected_production[[#This Row],[Date]]-expected_production[[#This Row],[Commissioned Date]])/365.25),"")</f>
        <v>0.65982203969883646</v>
      </c>
      <c r="F793" s="49">
        <f>IF(expected_production[[#This Row],[Age (yrs)]]="",1,(1-DegradationRate)^expected_production[[#This Row],[Age (yrs)]])</f>
        <v>0.99537572926048812</v>
      </c>
      <c r="G793" s="52">
        <f>IF(expected_production[[#This Row],[Base Expected (kWh)]]="","",expected_production[[#This Row],[Base Expected (kWh)]]*expected_production[[#This Row],[Degradation Factor]])</f>
        <v>29981.911416201016</v>
      </c>
    </row>
    <row r="794" spans="1:7" ht="15" hidden="1" customHeight="1" x14ac:dyDescent="0.3">
      <c r="A794" t="s">
        <v>228</v>
      </c>
      <c r="B794" s="2">
        <v>46357</v>
      </c>
      <c r="C794" s="52">
        <v>29445.3</v>
      </c>
      <c r="D794" s="48">
        <f>_xlfn.XLOOKUP(expected_production[[#This Row],[Site Name]],Table1[[Site Name ]],Table1[Commisioned Date],"")</f>
        <v>46086</v>
      </c>
      <c r="E794" s="47">
        <f>IF(ISNUMBER(expected_production[[#This Row],[Commissioned Date]]),MAX(0,(expected_production[[#This Row],[Date]]-expected_production[[#This Row],[Commissioned Date]])/365.25),"")</f>
        <v>0.7419575633127995</v>
      </c>
      <c r="F794" s="49">
        <f>IF(expected_production[[#This Row],[Age (yrs)]]="",1,(1-DegradationRate)^expected_production[[#This Row],[Age (yrs)]])</f>
        <v>0.99480159254779188</v>
      </c>
      <c r="G794" s="52">
        <f>IF(expected_production[[#This Row],[Base Expected (kWh)]]="","",expected_production[[#This Row],[Base Expected (kWh)]]*expected_production[[#This Row],[Degradation Factor]])</f>
        <v>29292.231333047497</v>
      </c>
    </row>
    <row r="795" spans="1:7" ht="15" hidden="1" customHeight="1" x14ac:dyDescent="0.3">
      <c r="A795" t="s">
        <v>109</v>
      </c>
      <c r="B795" s="2">
        <v>45292</v>
      </c>
      <c r="C795" s="52">
        <v>4235.3999999999996</v>
      </c>
      <c r="D795" s="48">
        <f>_xlfn.XLOOKUP(expected_production[[#This Row],[Site Name]],Table1[[Site Name ]],Table1[Commisioned Date],"")</f>
        <v>45407</v>
      </c>
      <c r="E795" s="47">
        <f>IF(ISNUMBER(expected_production[[#This Row],[Commissioned Date]]),MAX(0,(expected_production[[#This Row],[Date]]-expected_production[[#This Row],[Commissioned Date]])/365.25),"")</f>
        <v>0</v>
      </c>
      <c r="F795" s="49">
        <f>IF(expected_production[[#This Row],[Age (yrs)]]="",1,(1-DegradationRate)^expected_production[[#This Row],[Age (yrs)]])</f>
        <v>1</v>
      </c>
      <c r="G795" s="52">
        <f>IF(expected_production[[#This Row],[Base Expected (kWh)]]="","",expected_production[[#This Row],[Base Expected (kWh)]]*expected_production[[#This Row],[Degradation Factor]])</f>
        <v>4235.3999999999996</v>
      </c>
    </row>
    <row r="796" spans="1:7" ht="15" hidden="1" customHeight="1" x14ac:dyDescent="0.3">
      <c r="A796" t="s">
        <v>109</v>
      </c>
      <c r="B796" s="2">
        <v>45323</v>
      </c>
      <c r="C796" s="52">
        <v>3699</v>
      </c>
      <c r="D796" s="48">
        <f>_xlfn.XLOOKUP(expected_production[[#This Row],[Site Name]],Table1[[Site Name ]],Table1[Commisioned Date],"")</f>
        <v>45407</v>
      </c>
      <c r="E796" s="47">
        <f>IF(ISNUMBER(expected_production[[#This Row],[Commissioned Date]]),MAX(0,(expected_production[[#This Row],[Date]]-expected_production[[#This Row],[Commissioned Date]])/365.25),"")</f>
        <v>0</v>
      </c>
      <c r="F796" s="49">
        <f>IF(expected_production[[#This Row],[Age (yrs)]]="",1,(1-DegradationRate)^expected_production[[#This Row],[Age (yrs)]])</f>
        <v>1</v>
      </c>
      <c r="G796" s="52">
        <f>IF(expected_production[[#This Row],[Base Expected (kWh)]]="","",expected_production[[#This Row],[Base Expected (kWh)]]*expected_production[[#This Row],[Degradation Factor]])</f>
        <v>3699</v>
      </c>
    </row>
    <row r="797" spans="1:7" ht="15" hidden="1" customHeight="1" x14ac:dyDescent="0.3">
      <c r="A797" t="s">
        <v>109</v>
      </c>
      <c r="B797" s="2">
        <v>45352</v>
      </c>
      <c r="C797" s="52">
        <v>3788.1</v>
      </c>
      <c r="D797" s="48">
        <f>_xlfn.XLOOKUP(expected_production[[#This Row],[Site Name]],Table1[[Site Name ]],Table1[Commisioned Date],"")</f>
        <v>45407</v>
      </c>
      <c r="E797" s="47">
        <f>IF(ISNUMBER(expected_production[[#This Row],[Commissioned Date]]),MAX(0,(expected_production[[#This Row],[Date]]-expected_production[[#This Row],[Commissioned Date]])/365.25),"")</f>
        <v>0</v>
      </c>
      <c r="F797" s="49">
        <f>IF(expected_production[[#This Row],[Age (yrs)]]="",1,(1-DegradationRate)^expected_production[[#This Row],[Age (yrs)]])</f>
        <v>1</v>
      </c>
      <c r="G797" s="52">
        <f>IF(expected_production[[#This Row],[Base Expected (kWh)]]="","",expected_production[[#This Row],[Base Expected (kWh)]]*expected_production[[#This Row],[Degradation Factor]])</f>
        <v>3788.1</v>
      </c>
    </row>
    <row r="798" spans="1:7" ht="15" hidden="1" customHeight="1" x14ac:dyDescent="0.3">
      <c r="A798" t="s">
        <v>109</v>
      </c>
      <c r="B798" s="2">
        <v>45383</v>
      </c>
      <c r="C798" s="52">
        <v>3184.2</v>
      </c>
      <c r="D798" s="48">
        <f>_xlfn.XLOOKUP(expected_production[[#This Row],[Site Name]],Table1[[Site Name ]],Table1[Commisioned Date],"")</f>
        <v>45407</v>
      </c>
      <c r="E798" s="47">
        <f>IF(ISNUMBER(expected_production[[#This Row],[Commissioned Date]]),MAX(0,(expected_production[[#This Row],[Date]]-expected_production[[#This Row],[Commissioned Date]])/365.25),"")</f>
        <v>0</v>
      </c>
      <c r="F798" s="49">
        <f>IF(expected_production[[#This Row],[Age (yrs)]]="",1,(1-DegradationRate)^expected_production[[#This Row],[Age (yrs)]])</f>
        <v>1</v>
      </c>
      <c r="G798" s="52">
        <f>IF(expected_production[[#This Row],[Base Expected (kWh)]]="","",expected_production[[#This Row],[Base Expected (kWh)]]*expected_production[[#This Row],[Degradation Factor]])</f>
        <v>3184.2</v>
      </c>
    </row>
    <row r="799" spans="1:7" ht="15" hidden="1" customHeight="1" x14ac:dyDescent="0.3">
      <c r="A799" t="s">
        <v>109</v>
      </c>
      <c r="B799" s="2">
        <v>45413</v>
      </c>
      <c r="C799" s="52">
        <v>3052.8</v>
      </c>
      <c r="D799" s="48">
        <f>_xlfn.XLOOKUP(expected_production[[#This Row],[Site Name]],Table1[[Site Name ]],Table1[Commisioned Date],"")</f>
        <v>45407</v>
      </c>
      <c r="E799" s="47">
        <f>IF(ISNUMBER(expected_production[[#This Row],[Commissioned Date]]),MAX(0,(expected_production[[#This Row],[Date]]-expected_production[[#This Row],[Commissioned Date]])/365.25),"")</f>
        <v>1.6427104722792608E-2</v>
      </c>
      <c r="F799" s="49">
        <f>IF(expected_production[[#This Row],[Age (yrs)]]="",1,(1-DegradationRate)^expected_production[[#This Row],[Age (yrs)]])</f>
        <v>0.99988461257243455</v>
      </c>
      <c r="G799" s="52">
        <f>IF(expected_production[[#This Row],[Base Expected (kWh)]]="","",expected_production[[#This Row],[Base Expected (kWh)]]*expected_production[[#This Row],[Degradation Factor]])</f>
        <v>3052.4477452611286</v>
      </c>
    </row>
    <row r="800" spans="1:7" ht="15" hidden="1" customHeight="1" x14ac:dyDescent="0.3">
      <c r="A800" t="s">
        <v>109</v>
      </c>
      <c r="B800" s="2">
        <v>45444</v>
      </c>
      <c r="C800" s="52">
        <v>2752.2</v>
      </c>
      <c r="D800" s="48">
        <f>_xlfn.XLOOKUP(expected_production[[#This Row],[Site Name]],Table1[[Site Name ]],Table1[Commisioned Date],"")</f>
        <v>45407</v>
      </c>
      <c r="E800" s="47">
        <f>IF(ISNUMBER(expected_production[[#This Row],[Commissioned Date]]),MAX(0,(expected_production[[#This Row],[Date]]-expected_production[[#This Row],[Commissioned Date]])/365.25),"")</f>
        <v>0.10130047912388775</v>
      </c>
      <c r="F800" s="49">
        <f>IF(expected_production[[#This Row],[Age (yrs)]]="",1,(1-DegradationRate)^expected_production[[#This Row],[Age (yrs)]])</f>
        <v>0.99928865626622487</v>
      </c>
      <c r="G800" s="52">
        <f>IF(expected_production[[#This Row],[Base Expected (kWh)]]="","",expected_production[[#This Row],[Base Expected (kWh)]]*expected_production[[#This Row],[Degradation Factor]])</f>
        <v>2750.2422397759037</v>
      </c>
    </row>
    <row r="801" spans="1:7" ht="15" hidden="1" customHeight="1" x14ac:dyDescent="0.3">
      <c r="A801" t="s">
        <v>109</v>
      </c>
      <c r="B801" s="2">
        <v>45474</v>
      </c>
      <c r="C801" s="52">
        <v>3029.4</v>
      </c>
      <c r="D801" s="48">
        <f>_xlfn.XLOOKUP(expected_production[[#This Row],[Site Name]],Table1[[Site Name ]],Table1[Commisioned Date],"")</f>
        <v>45407</v>
      </c>
      <c r="E801" s="47">
        <f>IF(ISNUMBER(expected_production[[#This Row],[Commissioned Date]]),MAX(0,(expected_production[[#This Row],[Date]]-expected_production[[#This Row],[Commissioned Date]])/365.25),"")</f>
        <v>0.1834360027378508</v>
      </c>
      <c r="F801" s="49">
        <f>IF(expected_production[[#This Row],[Age (yrs)]]="",1,(1-DegradationRate)^expected_production[[#This Row],[Age (yrs)]])</f>
        <v>0.99871226256153844</v>
      </c>
      <c r="G801" s="52">
        <f>IF(expected_production[[#This Row],[Base Expected (kWh)]]="","",expected_production[[#This Row],[Base Expected (kWh)]]*expected_production[[#This Row],[Degradation Factor]])</f>
        <v>3025.4989282039246</v>
      </c>
    </row>
    <row r="802" spans="1:7" ht="15" hidden="1" customHeight="1" x14ac:dyDescent="0.3">
      <c r="A802" t="s">
        <v>109</v>
      </c>
      <c r="B802" s="2">
        <v>45505</v>
      </c>
      <c r="C802" s="52">
        <v>3546.9</v>
      </c>
      <c r="D802" s="48">
        <f>_xlfn.XLOOKUP(expected_production[[#This Row],[Site Name]],Table1[[Site Name ]],Table1[Commisioned Date],"")</f>
        <v>45407</v>
      </c>
      <c r="E802" s="47">
        <f>IF(ISNUMBER(expected_production[[#This Row],[Commissioned Date]]),MAX(0,(expected_production[[#This Row],[Date]]-expected_production[[#This Row],[Commissioned Date]])/365.25),"")</f>
        <v>0.26830937713894593</v>
      </c>
      <c r="F802" s="49">
        <f>IF(expected_production[[#This Row],[Age (yrs)]]="",1,(1-DegradationRate)^expected_production[[#This Row],[Age (yrs)]])</f>
        <v>0.99811700500533784</v>
      </c>
      <c r="G802" s="52">
        <f>IF(expected_production[[#This Row],[Base Expected (kWh)]]="","",expected_production[[#This Row],[Base Expected (kWh)]]*expected_production[[#This Row],[Degradation Factor]])</f>
        <v>3540.2212050534331</v>
      </c>
    </row>
    <row r="803" spans="1:7" ht="15" hidden="1" customHeight="1" x14ac:dyDescent="0.3">
      <c r="A803" t="s">
        <v>109</v>
      </c>
      <c r="B803" s="2">
        <v>45536</v>
      </c>
      <c r="C803" s="52">
        <v>3911.4</v>
      </c>
      <c r="D803" s="48">
        <f>_xlfn.XLOOKUP(expected_production[[#This Row],[Site Name]],Table1[[Site Name ]],Table1[Commisioned Date],"")</f>
        <v>45407</v>
      </c>
      <c r="E803" s="47">
        <f>IF(ISNUMBER(expected_production[[#This Row],[Commissioned Date]]),MAX(0,(expected_production[[#This Row],[Date]]-expected_production[[#This Row],[Commissioned Date]])/365.25),"")</f>
        <v>0.35318275154004108</v>
      </c>
      <c r="F803" s="49">
        <f>IF(expected_production[[#This Row],[Age (yrs)]]="",1,(1-DegradationRate)^expected_production[[#This Row],[Age (yrs)]])</f>
        <v>0.99752210223756976</v>
      </c>
      <c r="G803" s="52">
        <f>IF(expected_production[[#This Row],[Base Expected (kWh)]]="","",expected_production[[#This Row],[Base Expected (kWh)]]*expected_production[[#This Row],[Degradation Factor]])</f>
        <v>3901.7079506920304</v>
      </c>
    </row>
    <row r="804" spans="1:7" ht="15" hidden="1" customHeight="1" x14ac:dyDescent="0.3">
      <c r="A804" t="s">
        <v>109</v>
      </c>
      <c r="B804" s="2">
        <v>45566</v>
      </c>
      <c r="C804" s="52">
        <v>4103.1000000000004</v>
      </c>
      <c r="D804" s="48">
        <f>_xlfn.XLOOKUP(expected_production[[#This Row],[Site Name]],Table1[[Site Name ]],Table1[Commisioned Date],"")</f>
        <v>45407</v>
      </c>
      <c r="E804" s="47">
        <f>IF(ISNUMBER(expected_production[[#This Row],[Commissioned Date]]),MAX(0,(expected_production[[#This Row],[Date]]-expected_production[[#This Row],[Commissioned Date]])/365.25),"")</f>
        <v>0.43531827515400412</v>
      </c>
      <c r="F804" s="49">
        <f>IF(expected_production[[#This Row],[Age (yrs)]]="",1,(1-DegradationRate)^expected_production[[#This Row],[Age (yrs)]])</f>
        <v>0.99694672748833202</v>
      </c>
      <c r="G804" s="52">
        <f>IF(expected_production[[#This Row],[Base Expected (kWh)]]="","",expected_production[[#This Row],[Base Expected (kWh)]]*expected_production[[#This Row],[Degradation Factor]])</f>
        <v>4090.5721175573753</v>
      </c>
    </row>
    <row r="805" spans="1:7" ht="15" hidden="1" customHeight="1" x14ac:dyDescent="0.3">
      <c r="A805" t="s">
        <v>109</v>
      </c>
      <c r="B805" s="2">
        <v>45597</v>
      </c>
      <c r="C805" s="52">
        <v>4120.2</v>
      </c>
      <c r="D805" s="48">
        <f>_xlfn.XLOOKUP(expected_production[[#This Row],[Site Name]],Table1[[Site Name ]],Table1[Commisioned Date],"")</f>
        <v>45407</v>
      </c>
      <c r="E805" s="47">
        <f>IF(ISNUMBER(expected_production[[#This Row],[Commissioned Date]]),MAX(0,(expected_production[[#This Row],[Date]]-expected_production[[#This Row],[Commissioned Date]])/365.25),"")</f>
        <v>0.52019164955509922</v>
      </c>
      <c r="F805" s="49">
        <f>IF(expected_production[[#This Row],[Age (yrs)]]="",1,(1-DegradationRate)^expected_production[[#This Row],[Age (yrs)]])</f>
        <v>0.99635252223531467</v>
      </c>
      <c r="G805" s="52">
        <f>IF(expected_production[[#This Row],[Base Expected (kWh)]]="","",expected_production[[#This Row],[Base Expected (kWh)]]*expected_production[[#This Row],[Degradation Factor]])</f>
        <v>4105.1716621139431</v>
      </c>
    </row>
    <row r="806" spans="1:7" ht="15" hidden="1" customHeight="1" x14ac:dyDescent="0.3">
      <c r="A806" t="s">
        <v>109</v>
      </c>
      <c r="B806" s="2">
        <v>45627</v>
      </c>
      <c r="C806" s="52">
        <v>4377.6000000000004</v>
      </c>
      <c r="D806" s="48">
        <f>_xlfn.XLOOKUP(expected_production[[#This Row],[Site Name]],Table1[[Site Name ]],Table1[Commisioned Date],"")</f>
        <v>45407</v>
      </c>
      <c r="E806" s="47">
        <f>IF(ISNUMBER(expected_production[[#This Row],[Commissioned Date]]),MAX(0,(expected_production[[#This Row],[Date]]-expected_production[[#This Row],[Commissioned Date]])/365.25),"")</f>
        <v>0.60232717316906226</v>
      </c>
      <c r="F806" s="49">
        <f>IF(expected_production[[#This Row],[Age (yrs)]]="",1,(1-DegradationRate)^expected_production[[#This Row],[Age (yrs)]])</f>
        <v>0.99577782210451304</v>
      </c>
      <c r="G806" s="52">
        <f>IF(expected_production[[#This Row],[Base Expected (kWh)]]="","",expected_production[[#This Row],[Base Expected (kWh)]]*expected_production[[#This Row],[Degradation Factor]])</f>
        <v>4359.1169940447171</v>
      </c>
    </row>
    <row r="807" spans="1:7" ht="15" hidden="1" customHeight="1" x14ac:dyDescent="0.3">
      <c r="A807" t="s">
        <v>109</v>
      </c>
      <c r="B807" s="2">
        <v>45658</v>
      </c>
      <c r="C807" s="52">
        <v>4235.3999999999996</v>
      </c>
      <c r="D807" s="48">
        <f>_xlfn.XLOOKUP(expected_production[[#This Row],[Site Name]],Table1[[Site Name ]],Table1[Commisioned Date],"")</f>
        <v>45407</v>
      </c>
      <c r="E807" s="47">
        <f>IF(ISNUMBER(expected_production[[#This Row],[Commissioned Date]]),MAX(0,(expected_production[[#This Row],[Date]]-expected_production[[#This Row],[Commissioned Date]])/365.25),"")</f>
        <v>0.68720054757015747</v>
      </c>
      <c r="F807" s="49">
        <f>IF(expected_production[[#This Row],[Age (yrs)]]="",1,(1-DegradationRate)^expected_production[[#This Row],[Age (yrs)]])</f>
        <v>0.99518431354842052</v>
      </c>
      <c r="G807" s="52">
        <f>IF(expected_production[[#This Row],[Base Expected (kWh)]]="","",expected_production[[#This Row],[Base Expected (kWh)]]*expected_production[[#This Row],[Degradation Factor]])</f>
        <v>4215.0036416029798</v>
      </c>
    </row>
    <row r="808" spans="1:7" ht="15" hidden="1" customHeight="1" x14ac:dyDescent="0.3">
      <c r="A808" t="s">
        <v>109</v>
      </c>
      <c r="B808" s="2">
        <v>45689</v>
      </c>
      <c r="C808" s="52">
        <v>3699</v>
      </c>
      <c r="D808" s="48">
        <f>_xlfn.XLOOKUP(expected_production[[#This Row],[Site Name]],Table1[[Site Name ]],Table1[Commisioned Date],"")</f>
        <v>45407</v>
      </c>
      <c r="E808" s="47">
        <f>IF(ISNUMBER(expected_production[[#This Row],[Commissioned Date]]),MAX(0,(expected_production[[#This Row],[Date]]-expected_production[[#This Row],[Commissioned Date]])/365.25),"")</f>
        <v>0.77207392197125257</v>
      </c>
      <c r="F808" s="49">
        <f>IF(expected_production[[#This Row],[Age (yrs)]]="",1,(1-DegradationRate)^expected_production[[#This Row],[Age (yrs)]])</f>
        <v>0.99459115873831261</v>
      </c>
      <c r="G808" s="52">
        <f>IF(expected_production[[#This Row],[Base Expected (kWh)]]="","",expected_production[[#This Row],[Base Expected (kWh)]]*expected_production[[#This Row],[Degradation Factor]])</f>
        <v>3678.9926961730184</v>
      </c>
    </row>
    <row r="809" spans="1:7" ht="15" hidden="1" customHeight="1" x14ac:dyDescent="0.3">
      <c r="A809" t="s">
        <v>109</v>
      </c>
      <c r="B809" s="2">
        <v>45717</v>
      </c>
      <c r="C809" s="52">
        <v>3788.1</v>
      </c>
      <c r="D809" s="48">
        <f>_xlfn.XLOOKUP(expected_production[[#This Row],[Site Name]],Table1[[Site Name ]],Table1[Commisioned Date],"")</f>
        <v>45407</v>
      </c>
      <c r="E809" s="47">
        <f>IF(ISNUMBER(expected_production[[#This Row],[Commissioned Date]]),MAX(0,(expected_production[[#This Row],[Date]]-expected_production[[#This Row],[Commissioned Date]])/365.25),"")</f>
        <v>0.84873374401095136</v>
      </c>
      <c r="F809" s="49">
        <f>IF(expected_production[[#This Row],[Age (yrs)]]="",1,(1-DegradationRate)^expected_production[[#This Row],[Age (yrs)]])</f>
        <v>0.99405570988344283</v>
      </c>
      <c r="G809" s="52">
        <f>IF(expected_production[[#This Row],[Base Expected (kWh)]]="","",expected_production[[#This Row],[Base Expected (kWh)]]*expected_production[[#This Row],[Degradation Factor]])</f>
        <v>3765.5824346094696</v>
      </c>
    </row>
    <row r="810" spans="1:7" ht="15" hidden="1" customHeight="1" x14ac:dyDescent="0.3">
      <c r="A810" t="s">
        <v>109</v>
      </c>
      <c r="B810" s="2">
        <v>45748</v>
      </c>
      <c r="C810" s="52">
        <v>3184.2</v>
      </c>
      <c r="D810" s="48">
        <f>_xlfn.XLOOKUP(expected_production[[#This Row],[Site Name]],Table1[[Site Name ]],Table1[Commisioned Date],"")</f>
        <v>45407</v>
      </c>
      <c r="E810" s="47">
        <f>IF(ISNUMBER(expected_production[[#This Row],[Commissioned Date]]),MAX(0,(expected_production[[#This Row],[Date]]-expected_production[[#This Row],[Commissioned Date]])/365.25),"")</f>
        <v>0.93360711841204658</v>
      </c>
      <c r="F810" s="49">
        <f>IF(expected_production[[#This Row],[Age (yrs)]]="",1,(1-DegradationRate)^expected_production[[#This Row],[Age (yrs)]])</f>
        <v>0.99346322774942475</v>
      </c>
      <c r="G810" s="52">
        <f>IF(expected_production[[#This Row],[Base Expected (kWh)]]="","",expected_production[[#This Row],[Base Expected (kWh)]]*expected_production[[#This Row],[Degradation Factor]])</f>
        <v>3163.3856097997182</v>
      </c>
    </row>
    <row r="811" spans="1:7" ht="15" hidden="1" customHeight="1" x14ac:dyDescent="0.3">
      <c r="A811" t="s">
        <v>109</v>
      </c>
      <c r="B811" s="2">
        <v>45778</v>
      </c>
      <c r="C811" s="52">
        <v>3052.8</v>
      </c>
      <c r="D811" s="48">
        <f>_xlfn.XLOOKUP(expected_production[[#This Row],[Site Name]],Table1[[Site Name ]],Table1[Commisioned Date],"")</f>
        <v>45407</v>
      </c>
      <c r="E811" s="47">
        <f>IF(ISNUMBER(expected_production[[#This Row],[Commissioned Date]]),MAX(0,(expected_production[[#This Row],[Date]]-expected_production[[#This Row],[Commissioned Date]])/365.25),"")</f>
        <v>1.0157426420260096</v>
      </c>
      <c r="F811" s="49">
        <f>IF(expected_production[[#This Row],[Age (yrs)]]="",1,(1-DegradationRate)^expected_production[[#This Row],[Age (yrs)]])</f>
        <v>0.99289019417527036</v>
      </c>
      <c r="G811" s="52">
        <f>IF(expected_production[[#This Row],[Base Expected (kWh)]]="","",expected_production[[#This Row],[Base Expected (kWh)]]*expected_production[[#This Row],[Degradation Factor]])</f>
        <v>3031.0951847782653</v>
      </c>
    </row>
    <row r="812" spans="1:7" ht="15" hidden="1" customHeight="1" x14ac:dyDescent="0.3">
      <c r="A812" t="s">
        <v>109</v>
      </c>
      <c r="B812" s="2">
        <v>45809</v>
      </c>
      <c r="C812" s="52">
        <v>2752.2</v>
      </c>
      <c r="D812" s="48">
        <f>_xlfn.XLOOKUP(expected_production[[#This Row],[Site Name]],Table1[[Site Name ]],Table1[Commisioned Date],"")</f>
        <v>45407</v>
      </c>
      <c r="E812" s="47">
        <f>IF(ISNUMBER(expected_production[[#This Row],[Commissioned Date]]),MAX(0,(expected_production[[#This Row],[Date]]-expected_production[[#This Row],[Commissioned Date]])/365.25),"")</f>
        <v>1.1006160164271048</v>
      </c>
      <c r="F812" s="49">
        <f>IF(expected_production[[#This Row],[Age (yrs)]]="",1,(1-DegradationRate)^expected_production[[#This Row],[Age (yrs)]])</f>
        <v>0.99229840671784542</v>
      </c>
      <c r="G812" s="52">
        <f>IF(expected_production[[#This Row],[Base Expected (kWh)]]="","",expected_production[[#This Row],[Base Expected (kWh)]]*expected_production[[#This Row],[Degradation Factor]])</f>
        <v>2731.0036749688538</v>
      </c>
    </row>
    <row r="813" spans="1:7" ht="15" hidden="1" customHeight="1" x14ac:dyDescent="0.3">
      <c r="A813" t="s">
        <v>109</v>
      </c>
      <c r="B813" s="2">
        <v>45839</v>
      </c>
      <c r="C813" s="52">
        <v>3029.4</v>
      </c>
      <c r="D813" s="48">
        <f>_xlfn.XLOOKUP(expected_production[[#This Row],[Site Name]],Table1[[Site Name ]],Table1[Commisioned Date],"")</f>
        <v>45407</v>
      </c>
      <c r="E813" s="47">
        <f>IF(ISNUMBER(expected_production[[#This Row],[Commissioned Date]]),MAX(0,(expected_production[[#This Row],[Date]]-expected_production[[#This Row],[Commissioned Date]])/365.25),"")</f>
        <v>1.1827515400410678</v>
      </c>
      <c r="F813" s="49">
        <f>IF(expected_production[[#This Row],[Age (yrs)]]="",1,(1-DegradationRate)^expected_production[[#This Row],[Age (yrs)]])</f>
        <v>0.99172604501713368</v>
      </c>
      <c r="G813" s="52">
        <f>IF(expected_production[[#This Row],[Base Expected (kWh)]]="","",expected_production[[#This Row],[Base Expected (kWh)]]*expected_production[[#This Row],[Degradation Factor]])</f>
        <v>3004.3348807749048</v>
      </c>
    </row>
    <row r="814" spans="1:7" ht="15" hidden="1" customHeight="1" x14ac:dyDescent="0.3">
      <c r="A814" t="s">
        <v>109</v>
      </c>
      <c r="B814" s="2">
        <v>45870</v>
      </c>
      <c r="C814" s="52">
        <v>3546.9</v>
      </c>
      <c r="D814" s="48">
        <f>_xlfn.XLOOKUP(expected_production[[#This Row],[Site Name]],Table1[[Site Name ]],Table1[Commisioned Date],"")</f>
        <v>45407</v>
      </c>
      <c r="E814" s="47">
        <f>IF(ISNUMBER(expected_production[[#This Row],[Commissioned Date]]),MAX(0,(expected_production[[#This Row],[Date]]-expected_production[[#This Row],[Commissioned Date]])/365.25),"")</f>
        <v>1.267624914442163</v>
      </c>
      <c r="F814" s="49">
        <f>IF(expected_production[[#This Row],[Age (yrs)]]="",1,(1-DegradationRate)^expected_production[[#This Row],[Age (yrs)]])</f>
        <v>0.99113495142180397</v>
      </c>
      <c r="G814" s="52">
        <f>IF(expected_production[[#This Row],[Base Expected (kWh)]]="","",expected_production[[#This Row],[Base Expected (kWh)]]*expected_production[[#This Row],[Degradation Factor]])</f>
        <v>3515.4565591979967</v>
      </c>
    </row>
    <row r="815" spans="1:7" ht="15" hidden="1" customHeight="1" x14ac:dyDescent="0.3">
      <c r="A815" t="s">
        <v>109</v>
      </c>
      <c r="B815" s="2">
        <v>45901</v>
      </c>
      <c r="C815" s="52">
        <v>3911.4</v>
      </c>
      <c r="D815" s="48">
        <f>_xlfn.XLOOKUP(expected_production[[#This Row],[Site Name]],Table1[[Site Name ]],Table1[Commisioned Date],"")</f>
        <v>45407</v>
      </c>
      <c r="E815" s="47">
        <f>IF(ISNUMBER(expected_production[[#This Row],[Commissioned Date]]),MAX(0,(expected_production[[#This Row],[Date]]-expected_production[[#This Row],[Commissioned Date]])/365.25),"")</f>
        <v>1.352498288843258</v>
      </c>
      <c r="F815" s="49">
        <f>IF(expected_production[[#This Row],[Age (yrs)]]="",1,(1-DegradationRate)^expected_production[[#This Row],[Age (yrs)]])</f>
        <v>0.99054421013308158</v>
      </c>
      <c r="G815" s="52">
        <f>IF(expected_production[[#This Row],[Base Expected (kWh)]]="","",expected_production[[#This Row],[Base Expected (kWh)]]*expected_production[[#This Row],[Degradation Factor]])</f>
        <v>3874.4146235145354</v>
      </c>
    </row>
    <row r="816" spans="1:7" ht="15" hidden="1" customHeight="1" x14ac:dyDescent="0.3">
      <c r="A816" t="s">
        <v>109</v>
      </c>
      <c r="B816" s="2">
        <v>45931</v>
      </c>
      <c r="C816" s="52">
        <v>4103.1000000000004</v>
      </c>
      <c r="D816" s="48">
        <f>_xlfn.XLOOKUP(expected_production[[#This Row],[Site Name]],Table1[[Site Name ]],Table1[Commisioned Date],"")</f>
        <v>45407</v>
      </c>
      <c r="E816" s="47">
        <f>IF(ISNUMBER(expected_production[[#This Row],[Commissioned Date]]),MAX(0,(expected_production[[#This Row],[Date]]-expected_production[[#This Row],[Commissioned Date]])/365.25),"")</f>
        <v>1.4346338124572211</v>
      </c>
      <c r="F816" s="49">
        <f>IF(expected_production[[#This Row],[Age (yrs)]]="",1,(1-DegradationRate)^expected_production[[#This Row],[Age (yrs)]])</f>
        <v>0.98997286025999531</v>
      </c>
      <c r="G816" s="52">
        <f>IF(expected_production[[#This Row],[Base Expected (kWh)]]="","",expected_production[[#This Row],[Base Expected (kWh)]]*expected_production[[#This Row],[Degradation Factor]])</f>
        <v>4061.9576429327872</v>
      </c>
    </row>
    <row r="817" spans="1:7" ht="15" hidden="1" customHeight="1" x14ac:dyDescent="0.3">
      <c r="A817" t="s">
        <v>109</v>
      </c>
      <c r="B817" s="2">
        <v>45962</v>
      </c>
      <c r="C817" s="52">
        <v>4120.2</v>
      </c>
      <c r="D817" s="48">
        <f>_xlfn.XLOOKUP(expected_production[[#This Row],[Site Name]],Table1[[Site Name ]],Table1[Commisioned Date],"")</f>
        <v>45407</v>
      </c>
      <c r="E817" s="47">
        <f>IF(ISNUMBER(expected_production[[#This Row],[Commissioned Date]]),MAX(0,(expected_production[[#This Row],[Date]]-expected_production[[#This Row],[Commissioned Date]])/365.25),"")</f>
        <v>1.5195071868583163</v>
      </c>
      <c r="F817" s="49">
        <f>IF(expected_production[[#This Row],[Age (yrs)]]="",1,(1-DegradationRate)^expected_production[[#This Row],[Age (yrs)]])</f>
        <v>0.98938281160675068</v>
      </c>
      <c r="G817" s="52">
        <f>IF(expected_production[[#This Row],[Base Expected (kWh)]]="","",expected_production[[#This Row],[Base Expected (kWh)]]*expected_production[[#This Row],[Degradation Factor]])</f>
        <v>4076.455060382134</v>
      </c>
    </row>
    <row r="818" spans="1:7" ht="15" hidden="1" customHeight="1" x14ac:dyDescent="0.3">
      <c r="A818" t="s">
        <v>109</v>
      </c>
      <c r="B818" s="2">
        <v>45992</v>
      </c>
      <c r="C818" s="52">
        <v>4377.6000000000004</v>
      </c>
      <c r="D818" s="48">
        <f>_xlfn.XLOOKUP(expected_production[[#This Row],[Site Name]],Table1[[Site Name ]],Table1[Commisioned Date],"")</f>
        <v>45407</v>
      </c>
      <c r="E818" s="47">
        <f>IF(ISNUMBER(expected_production[[#This Row],[Commissioned Date]]),MAX(0,(expected_production[[#This Row],[Date]]-expected_production[[#This Row],[Commissioned Date]])/365.25),"")</f>
        <v>1.6016427104722792</v>
      </c>
      <c r="F818" s="49">
        <f>IF(expected_production[[#This Row],[Age (yrs)]]="",1,(1-DegradationRate)^expected_production[[#This Row],[Age (yrs)]])</f>
        <v>0.98881213163299231</v>
      </c>
      <c r="G818" s="52">
        <f>IF(expected_production[[#This Row],[Base Expected (kWh)]]="","",expected_production[[#This Row],[Base Expected (kWh)]]*expected_production[[#This Row],[Degradation Factor]])</f>
        <v>4328.6239874365874</v>
      </c>
    </row>
    <row r="819" spans="1:7" ht="15" hidden="1" customHeight="1" x14ac:dyDescent="0.3">
      <c r="A819" t="s">
        <v>109</v>
      </c>
      <c r="B819" s="2">
        <v>46023</v>
      </c>
      <c r="C819" s="52">
        <v>4235.3999999999996</v>
      </c>
      <c r="D819" s="48">
        <f>_xlfn.XLOOKUP(expected_production[[#This Row],[Site Name]],Table1[[Site Name ]],Table1[Commisioned Date],"")</f>
        <v>45407</v>
      </c>
      <c r="E819" s="47">
        <f>IF(ISNUMBER(expected_production[[#This Row],[Commissioned Date]]),MAX(0,(expected_production[[#This Row],[Date]]-expected_production[[#This Row],[Commissioned Date]])/365.25),"")</f>
        <v>1.6865160848733745</v>
      </c>
      <c r="F819" s="49">
        <f>IF(expected_production[[#This Row],[Age (yrs)]]="",1,(1-DegradationRate)^expected_production[[#This Row],[Age (yrs)]])</f>
        <v>0.98822277480312049</v>
      </c>
      <c r="G819" s="52">
        <f>IF(expected_production[[#This Row],[Base Expected (kWh)]]="","",expected_production[[#This Row],[Base Expected (kWh)]]*expected_production[[#This Row],[Degradation Factor]])</f>
        <v>4185.5187404011358</v>
      </c>
    </row>
    <row r="820" spans="1:7" ht="15" hidden="1" customHeight="1" x14ac:dyDescent="0.3">
      <c r="A820" t="s">
        <v>109</v>
      </c>
      <c r="B820" s="2">
        <v>46054</v>
      </c>
      <c r="C820" s="52">
        <v>3699</v>
      </c>
      <c r="D820" s="48">
        <f>_xlfn.XLOOKUP(expected_production[[#This Row],[Site Name]],Table1[[Site Name ]],Table1[Commisioned Date],"")</f>
        <v>45407</v>
      </c>
      <c r="E820" s="47">
        <f>IF(ISNUMBER(expected_production[[#This Row],[Commissioned Date]]),MAX(0,(expected_production[[#This Row],[Date]]-expected_production[[#This Row],[Commissioned Date]])/365.25),"")</f>
        <v>1.7713894592744694</v>
      </c>
      <c r="F820" s="49">
        <f>IF(expected_production[[#This Row],[Age (yrs)]]="",1,(1-DegradationRate)^expected_production[[#This Row],[Age (yrs)]])</f>
        <v>0.98763376924470025</v>
      </c>
      <c r="G820" s="52">
        <f>IF(expected_production[[#This Row],[Base Expected (kWh)]]="","",expected_production[[#This Row],[Base Expected (kWh)]]*expected_production[[#This Row],[Degradation Factor]])</f>
        <v>3653.2573124361461</v>
      </c>
    </row>
    <row r="821" spans="1:7" ht="15" hidden="1" customHeight="1" x14ac:dyDescent="0.3">
      <c r="A821" t="s">
        <v>109</v>
      </c>
      <c r="B821" s="2">
        <v>46082</v>
      </c>
      <c r="C821" s="52">
        <v>3788.1</v>
      </c>
      <c r="D821" s="48">
        <f>_xlfn.XLOOKUP(expected_production[[#This Row],[Site Name]],Table1[[Site Name ]],Table1[Commisioned Date],"")</f>
        <v>45407</v>
      </c>
      <c r="E821" s="47">
        <f>IF(ISNUMBER(expected_production[[#This Row],[Commissioned Date]]),MAX(0,(expected_production[[#This Row],[Date]]-expected_production[[#This Row],[Commissioned Date]])/365.25),"")</f>
        <v>1.8480492813141685</v>
      </c>
      <c r="F821" s="49">
        <f>IF(expected_production[[#This Row],[Age (yrs)]]="",1,(1-DegradationRate)^expected_production[[#This Row],[Age (yrs)]])</f>
        <v>0.98710206597534522</v>
      </c>
      <c r="G821" s="52">
        <f>IF(expected_production[[#This Row],[Base Expected (kWh)]]="","",expected_production[[#This Row],[Base Expected (kWh)]]*expected_production[[#This Row],[Degradation Factor]])</f>
        <v>3739.2413361212052</v>
      </c>
    </row>
    <row r="822" spans="1:7" ht="15" hidden="1" customHeight="1" x14ac:dyDescent="0.3">
      <c r="A822" t="s">
        <v>109</v>
      </c>
      <c r="B822" s="2">
        <v>46113</v>
      </c>
      <c r="C822" s="52">
        <v>3184.2</v>
      </c>
      <c r="D822" s="48">
        <f>_xlfn.XLOOKUP(expected_production[[#This Row],[Site Name]],Table1[[Site Name ]],Table1[Commisioned Date],"")</f>
        <v>45407</v>
      </c>
      <c r="E822" s="47">
        <f>IF(ISNUMBER(expected_production[[#This Row],[Commissioned Date]]),MAX(0,(expected_production[[#This Row],[Date]]-expected_production[[#This Row],[Commissioned Date]])/365.25),"")</f>
        <v>1.9329226557152634</v>
      </c>
      <c r="F822" s="49">
        <f>IF(expected_production[[#This Row],[Age (yrs)]]="",1,(1-DegradationRate)^expected_production[[#This Row],[Age (yrs)]])</f>
        <v>0.98651372838749374</v>
      </c>
      <c r="G822" s="52">
        <f>IF(expected_production[[#This Row],[Base Expected (kWh)]]="","",expected_production[[#This Row],[Base Expected (kWh)]]*expected_production[[#This Row],[Degradation Factor]])</f>
        <v>3141.2570139314575</v>
      </c>
    </row>
    <row r="823" spans="1:7" ht="15" hidden="1" customHeight="1" x14ac:dyDescent="0.3">
      <c r="A823" t="s">
        <v>109</v>
      </c>
      <c r="B823" s="2">
        <v>46143</v>
      </c>
      <c r="C823" s="52">
        <v>3052.8</v>
      </c>
      <c r="D823" s="48">
        <f>_xlfn.XLOOKUP(expected_production[[#This Row],[Site Name]],Table1[[Site Name ]],Table1[Commisioned Date],"")</f>
        <v>45407</v>
      </c>
      <c r="E823" s="47">
        <f>IF(ISNUMBER(expected_production[[#This Row],[Commissioned Date]]),MAX(0,(expected_production[[#This Row],[Date]]-expected_production[[#This Row],[Commissioned Date]])/365.25),"")</f>
        <v>2.0150581793292264</v>
      </c>
      <c r="F823" s="49">
        <f>IF(expected_production[[#This Row],[Age (yrs)]]="",1,(1-DegradationRate)^expected_production[[#This Row],[Age (yrs)]])</f>
        <v>0.98594470331244299</v>
      </c>
      <c r="G823" s="52">
        <f>IF(expected_production[[#This Row],[Base Expected (kWh)]]="","",expected_production[[#This Row],[Base Expected (kWh)]]*expected_production[[#This Row],[Degradation Factor]])</f>
        <v>3009.8919902722259</v>
      </c>
    </row>
    <row r="824" spans="1:7" ht="15" hidden="1" customHeight="1" x14ac:dyDescent="0.3">
      <c r="A824" t="s">
        <v>109</v>
      </c>
      <c r="B824" s="2">
        <v>46174</v>
      </c>
      <c r="C824" s="52">
        <v>2752.2</v>
      </c>
      <c r="D824" s="48">
        <f>_xlfn.XLOOKUP(expected_production[[#This Row],[Site Name]],Table1[[Site Name ]],Table1[Commisioned Date],"")</f>
        <v>45407</v>
      </c>
      <c r="E824" s="47">
        <f>IF(ISNUMBER(expected_production[[#This Row],[Commissioned Date]]),MAX(0,(expected_production[[#This Row],[Date]]-expected_production[[#This Row],[Commissioned Date]])/365.25),"")</f>
        <v>2.0999315537303218</v>
      </c>
      <c r="F824" s="49">
        <f>IF(expected_production[[#This Row],[Age (yrs)]]="",1,(1-DegradationRate)^expected_production[[#This Row],[Age (yrs)]])</f>
        <v>0.98535705554176534</v>
      </c>
      <c r="G824" s="52">
        <f>IF(expected_production[[#This Row],[Base Expected (kWh)]]="","",expected_production[[#This Row],[Base Expected (kWh)]]*expected_production[[#This Row],[Degradation Factor]])</f>
        <v>2711.8996882620463</v>
      </c>
    </row>
    <row r="825" spans="1:7" ht="15" hidden="1" customHeight="1" x14ac:dyDescent="0.3">
      <c r="A825" t="s">
        <v>109</v>
      </c>
      <c r="B825" s="2">
        <v>46204</v>
      </c>
      <c r="C825" s="52">
        <v>3029.4</v>
      </c>
      <c r="D825" s="48">
        <f>_xlfn.XLOOKUP(expected_production[[#This Row],[Site Name]],Table1[[Site Name ]],Table1[Commisioned Date],"")</f>
        <v>45407</v>
      </c>
      <c r="E825" s="47">
        <f>IF(ISNUMBER(expected_production[[#This Row],[Commissioned Date]]),MAX(0,(expected_production[[#This Row],[Date]]-expected_production[[#This Row],[Commissioned Date]])/365.25),"")</f>
        <v>2.1820670773442847</v>
      </c>
      <c r="F825" s="49">
        <f>IF(expected_production[[#This Row],[Age (yrs)]]="",1,(1-DegradationRate)^expected_production[[#This Row],[Age (yrs)]])</f>
        <v>0.98478869764025101</v>
      </c>
      <c r="G825" s="52">
        <f>IF(expected_production[[#This Row],[Base Expected (kWh)]]="","",expected_production[[#This Row],[Base Expected (kWh)]]*expected_production[[#This Row],[Degradation Factor]])</f>
        <v>2983.3188806313765</v>
      </c>
    </row>
    <row r="826" spans="1:7" ht="15" hidden="1" customHeight="1" x14ac:dyDescent="0.3">
      <c r="A826" t="s">
        <v>109</v>
      </c>
      <c r="B826" s="2">
        <v>46235</v>
      </c>
      <c r="C826" s="52">
        <v>3546.9</v>
      </c>
      <c r="D826" s="48">
        <f>_xlfn.XLOOKUP(expected_production[[#This Row],[Site Name]],Table1[[Site Name ]],Table1[Commisioned Date],"")</f>
        <v>45407</v>
      </c>
      <c r="E826" s="47">
        <f>IF(ISNUMBER(expected_production[[#This Row],[Commissioned Date]]),MAX(0,(expected_production[[#This Row],[Date]]-expected_production[[#This Row],[Commissioned Date]])/365.25),"")</f>
        <v>2.2669404517453797</v>
      </c>
      <c r="F826" s="49">
        <f>IF(expected_production[[#This Row],[Age (yrs)]]="",1,(1-DegradationRate)^expected_production[[#This Row],[Age (yrs)]])</f>
        <v>0.9842017388779466</v>
      </c>
      <c r="G826" s="52">
        <f>IF(expected_production[[#This Row],[Base Expected (kWh)]]="","",expected_production[[#This Row],[Base Expected (kWh)]]*expected_production[[#This Row],[Degradation Factor]])</f>
        <v>3490.8651476261889</v>
      </c>
    </row>
    <row r="827" spans="1:7" ht="15" hidden="1" customHeight="1" x14ac:dyDescent="0.3">
      <c r="A827" t="s">
        <v>109</v>
      </c>
      <c r="B827" s="2">
        <v>46266</v>
      </c>
      <c r="C827" s="52">
        <v>3911.4</v>
      </c>
      <c r="D827" s="48">
        <f>_xlfn.XLOOKUP(expected_production[[#This Row],[Site Name]],Table1[[Site Name ]],Table1[Commisioned Date],"")</f>
        <v>45407</v>
      </c>
      <c r="E827" s="47">
        <f>IF(ISNUMBER(expected_production[[#This Row],[Commissioned Date]]),MAX(0,(expected_production[[#This Row],[Date]]-expected_production[[#This Row],[Commissioned Date]])/365.25),"")</f>
        <v>2.3518138261464752</v>
      </c>
      <c r="F827" s="49">
        <f>IF(expected_production[[#This Row],[Age (yrs)]]="",1,(1-DegradationRate)^expected_production[[#This Row],[Age (yrs)]])</f>
        <v>0.98361512995778544</v>
      </c>
      <c r="G827" s="52">
        <f>IF(expected_production[[#This Row],[Base Expected (kWh)]]="","",expected_production[[#This Row],[Base Expected (kWh)]]*expected_production[[#This Row],[Degradation Factor]])</f>
        <v>3847.312219316882</v>
      </c>
    </row>
    <row r="828" spans="1:7" ht="15" hidden="1" customHeight="1" x14ac:dyDescent="0.3">
      <c r="A828" t="s">
        <v>109</v>
      </c>
      <c r="B828" s="2">
        <v>46296</v>
      </c>
      <c r="C828" s="52">
        <v>4103.1000000000004</v>
      </c>
      <c r="D828" s="48">
        <f>_xlfn.XLOOKUP(expected_production[[#This Row],[Site Name]],Table1[[Site Name ]],Table1[Commisioned Date],"")</f>
        <v>45407</v>
      </c>
      <c r="E828" s="47">
        <f>IF(ISNUMBER(expected_production[[#This Row],[Commissioned Date]]),MAX(0,(expected_production[[#This Row],[Date]]-expected_production[[#This Row],[Commissioned Date]])/365.25),"")</f>
        <v>2.4339493497604381</v>
      </c>
      <c r="F828" s="49">
        <f>IF(expected_production[[#This Row],[Age (yrs)]]="",1,(1-DegradationRate)^expected_production[[#This Row],[Age (yrs)]])</f>
        <v>0.98304777680593414</v>
      </c>
      <c r="G828" s="52">
        <f>IF(expected_production[[#This Row],[Base Expected (kWh)]]="","",expected_production[[#This Row],[Base Expected (kWh)]]*expected_production[[#This Row],[Degradation Factor]])</f>
        <v>4033.5433330124288</v>
      </c>
    </row>
    <row r="829" spans="1:7" ht="15" hidden="1" customHeight="1" x14ac:dyDescent="0.3">
      <c r="A829" t="s">
        <v>109</v>
      </c>
      <c r="B829" s="2">
        <v>46327</v>
      </c>
      <c r="C829" s="52">
        <v>4120.2</v>
      </c>
      <c r="D829" s="48">
        <f>_xlfn.XLOOKUP(expected_production[[#This Row],[Site Name]],Table1[[Site Name ]],Table1[Commisioned Date],"")</f>
        <v>45407</v>
      </c>
      <c r="E829" s="47">
        <f>IF(ISNUMBER(expected_production[[#This Row],[Commissioned Date]]),MAX(0,(expected_production[[#This Row],[Date]]-expected_production[[#This Row],[Commissioned Date]])/365.25),"")</f>
        <v>2.5188227241615331</v>
      </c>
      <c r="F829" s="49">
        <f>IF(expected_production[[#This Row],[Age (yrs)]]="",1,(1-DegradationRate)^expected_production[[#This Row],[Age (yrs)]])</f>
        <v>0.98246185567610922</v>
      </c>
      <c r="G829" s="52">
        <f>IF(expected_production[[#This Row],[Base Expected (kWh)]]="","",expected_production[[#This Row],[Base Expected (kWh)]]*expected_production[[#This Row],[Degradation Factor]])</f>
        <v>4047.9393377567048</v>
      </c>
    </row>
    <row r="830" spans="1:7" ht="15" hidden="1" customHeight="1" x14ac:dyDescent="0.3">
      <c r="A830" t="s">
        <v>109</v>
      </c>
      <c r="B830" s="2">
        <v>46357</v>
      </c>
      <c r="C830" s="52">
        <v>4377.6000000000004</v>
      </c>
      <c r="D830" s="48">
        <f>_xlfn.XLOOKUP(expected_production[[#This Row],[Site Name]],Table1[[Site Name ]],Table1[Commisioned Date],"")</f>
        <v>45407</v>
      </c>
      <c r="E830" s="47">
        <f>IF(ISNUMBER(expected_production[[#This Row],[Commissioned Date]]),MAX(0,(expected_production[[#This Row],[Date]]-expected_production[[#This Row],[Commissioned Date]])/365.25),"")</f>
        <v>2.6009582477754964</v>
      </c>
      <c r="F830" s="49">
        <f>IF(expected_production[[#This Row],[Age (yrs)]]="",1,(1-DegradationRate)^expected_production[[#This Row],[Age (yrs)]])</f>
        <v>0.98189516773748897</v>
      </c>
      <c r="G830" s="52">
        <f>IF(expected_production[[#This Row],[Base Expected (kWh)]]="","",expected_production[[#This Row],[Base Expected (kWh)]]*expected_production[[#This Row],[Degradation Factor]])</f>
        <v>4298.3442862876318</v>
      </c>
    </row>
    <row r="831" spans="1:7" ht="15" hidden="1" customHeight="1" x14ac:dyDescent="0.3">
      <c r="A831" t="s">
        <v>113</v>
      </c>
      <c r="B831" s="2">
        <v>45292</v>
      </c>
      <c r="C831" s="52">
        <v>39600.81</v>
      </c>
      <c r="D831" s="48">
        <f>_xlfn.XLOOKUP(expected_production[[#This Row],[Site Name]],Table1[[Site Name ]],Table1[Commisioned Date],"")</f>
        <v>43700</v>
      </c>
      <c r="E831" s="47">
        <f>IF(ISNUMBER(expected_production[[#This Row],[Commissioned Date]]),MAX(0,(expected_production[[#This Row],[Date]]-expected_production[[#This Row],[Commissioned Date]])/365.25),"")</f>
        <v>4.3586584531143053</v>
      </c>
      <c r="F831" s="49">
        <f>IF(expected_production[[#This Row],[Age (yrs)]]="",1,(1-DegradationRate)^expected_production[[#This Row],[Age (yrs)]])</f>
        <v>0.96984608311638232</v>
      </c>
      <c r="G831" s="52">
        <f>IF(expected_production[[#This Row],[Base Expected (kWh)]]="","",expected_production[[#This Row],[Base Expected (kWh)]]*expected_production[[#This Row],[Degradation Factor]])</f>
        <v>38406.690466736065</v>
      </c>
    </row>
    <row r="832" spans="1:7" ht="15" hidden="1" customHeight="1" x14ac:dyDescent="0.3">
      <c r="A832" t="s">
        <v>113</v>
      </c>
      <c r="B832" s="2">
        <v>45323</v>
      </c>
      <c r="C832" s="52">
        <v>33064.92</v>
      </c>
      <c r="D832" s="48">
        <f>_xlfn.XLOOKUP(expected_production[[#This Row],[Site Name]],Table1[[Site Name ]],Table1[Commisioned Date],"")</f>
        <v>43700</v>
      </c>
      <c r="E832" s="47">
        <f>IF(ISNUMBER(expected_production[[#This Row],[Commissioned Date]]),MAX(0,(expected_production[[#This Row],[Date]]-expected_production[[#This Row],[Commissioned Date]])/365.25),"")</f>
        <v>4.4435318275154003</v>
      </c>
      <c r="F832" s="49">
        <f>IF(expected_production[[#This Row],[Age (yrs)]]="",1,(1-DegradationRate)^expected_production[[#This Row],[Age (yrs)]])</f>
        <v>0.96926803052709498</v>
      </c>
      <c r="G832" s="52">
        <f>IF(expected_production[[#This Row],[Base Expected (kWh)]]="","",expected_production[[#This Row],[Base Expected (kWh)]]*expected_production[[#This Row],[Degradation Factor]])</f>
        <v>32048.769887935952</v>
      </c>
    </row>
    <row r="833" spans="1:7" ht="15" hidden="1" customHeight="1" x14ac:dyDescent="0.3">
      <c r="A833" t="s">
        <v>113</v>
      </c>
      <c r="B833" s="2">
        <v>45352</v>
      </c>
      <c r="C833" s="52">
        <v>32219.55</v>
      </c>
      <c r="D833" s="48">
        <f>_xlfn.XLOOKUP(expected_production[[#This Row],[Site Name]],Table1[[Site Name ]],Table1[Commisioned Date],"")</f>
        <v>43700</v>
      </c>
      <c r="E833" s="47">
        <f>IF(ISNUMBER(expected_production[[#This Row],[Commissioned Date]]),MAX(0,(expected_production[[#This Row],[Date]]-expected_production[[#This Row],[Commissioned Date]])/365.25),"")</f>
        <v>4.5229295003422312</v>
      </c>
      <c r="F833" s="49">
        <f>IF(expected_production[[#This Row],[Age (yrs)]]="",1,(1-DegradationRate)^expected_production[[#This Row],[Age (yrs)]])</f>
        <v>0.96872758356613231</v>
      </c>
      <c r="G833" s="52">
        <f>IF(expected_production[[#This Row],[Base Expected (kWh)]]="","",expected_production[[#This Row],[Base Expected (kWh)]]*expected_production[[#This Row],[Degradation Factor]])</f>
        <v>31211.966815088177</v>
      </c>
    </row>
    <row r="834" spans="1:7" ht="15" hidden="1" customHeight="1" x14ac:dyDescent="0.3">
      <c r="A834" t="s">
        <v>113</v>
      </c>
      <c r="B834" s="2">
        <v>45383</v>
      </c>
      <c r="C834" s="52">
        <v>23614.38</v>
      </c>
      <c r="D834" s="48">
        <f>_xlfn.XLOOKUP(expected_production[[#This Row],[Site Name]],Table1[[Site Name ]],Table1[Commisioned Date],"")</f>
        <v>43700</v>
      </c>
      <c r="E834" s="47">
        <f>IF(ISNUMBER(expected_production[[#This Row],[Commissioned Date]]),MAX(0,(expected_production[[#This Row],[Date]]-expected_production[[#This Row],[Commissioned Date]])/365.25),"")</f>
        <v>4.6078028747433262</v>
      </c>
      <c r="F834" s="49">
        <f>IF(expected_production[[#This Row],[Age (yrs)]]="",1,(1-DegradationRate)^expected_production[[#This Row],[Age (yrs)]])</f>
        <v>0.96815019763062904</v>
      </c>
      <c r="G834" s="52">
        <f>IF(expected_production[[#This Row],[Base Expected (kWh)]]="","",expected_production[[#This Row],[Base Expected (kWh)]]*expected_production[[#This Row],[Degradation Factor]])</f>
        <v>22862.266663924776</v>
      </c>
    </row>
    <row r="835" spans="1:7" ht="15" hidden="1" customHeight="1" x14ac:dyDescent="0.3">
      <c r="A835" t="s">
        <v>113</v>
      </c>
      <c r="B835" s="2">
        <v>45413</v>
      </c>
      <c r="C835" s="52">
        <v>17952.57</v>
      </c>
      <c r="D835" s="48">
        <f>_xlfn.XLOOKUP(expected_production[[#This Row],[Site Name]],Table1[[Site Name ]],Table1[Commisioned Date],"")</f>
        <v>43700</v>
      </c>
      <c r="E835" s="47">
        <f>IF(ISNUMBER(expected_production[[#This Row],[Commissioned Date]]),MAX(0,(expected_production[[#This Row],[Date]]-expected_production[[#This Row],[Commissioned Date]])/365.25),"")</f>
        <v>4.6899383983572891</v>
      </c>
      <c r="F835" s="49">
        <f>IF(expected_production[[#This Row],[Age (yrs)]]="",1,(1-DegradationRate)^expected_production[[#This Row],[Age (yrs)]])</f>
        <v>0.96759176471376773</v>
      </c>
      <c r="G835" s="52">
        <f>IF(expected_production[[#This Row],[Base Expected (kWh)]]="","",expected_production[[#This Row],[Base Expected (kWh)]]*expected_production[[#This Row],[Degradation Factor]])</f>
        <v>17370.758887447446</v>
      </c>
    </row>
    <row r="836" spans="1:7" ht="15" hidden="1" customHeight="1" x14ac:dyDescent="0.3">
      <c r="A836" t="s">
        <v>113</v>
      </c>
      <c r="B836" s="2">
        <v>45444</v>
      </c>
      <c r="C836" s="52">
        <v>14925.6</v>
      </c>
      <c r="D836" s="48">
        <f>_xlfn.XLOOKUP(expected_production[[#This Row],[Site Name]],Table1[[Site Name ]],Table1[Commisioned Date],"")</f>
        <v>43700</v>
      </c>
      <c r="E836" s="47">
        <f>IF(ISNUMBER(expected_production[[#This Row],[Commissioned Date]]),MAX(0,(expected_production[[#This Row],[Date]]-expected_production[[#This Row],[Commissioned Date]])/365.25),"")</f>
        <v>4.774811772758385</v>
      </c>
      <c r="F836" s="49">
        <f>IF(expected_production[[#This Row],[Age (yrs)]]="",1,(1-DegradationRate)^expected_production[[#This Row],[Age (yrs)]])</f>
        <v>0.96701505575478675</v>
      </c>
      <c r="G836" s="52">
        <f>IF(expected_production[[#This Row],[Base Expected (kWh)]]="","",expected_production[[#This Row],[Base Expected (kWh)]]*expected_production[[#This Row],[Degradation Factor]])</f>
        <v>14433.279916173646</v>
      </c>
    </row>
    <row r="837" spans="1:7" ht="15" hidden="1" customHeight="1" x14ac:dyDescent="0.3">
      <c r="A837" t="s">
        <v>113</v>
      </c>
      <c r="B837" s="2">
        <v>45474</v>
      </c>
      <c r="C837" s="52">
        <v>16774.830000000002</v>
      </c>
      <c r="D837" s="48">
        <f>_xlfn.XLOOKUP(expected_production[[#This Row],[Site Name]],Table1[[Site Name ]],Table1[Commisioned Date],"")</f>
        <v>43700</v>
      </c>
      <c r="E837" s="47">
        <f>IF(ISNUMBER(expected_production[[#This Row],[Commissioned Date]]),MAX(0,(expected_production[[#This Row],[Date]]-expected_production[[#This Row],[Commissioned Date]])/365.25),"")</f>
        <v>4.8569472963723479</v>
      </c>
      <c r="F837" s="49">
        <f>IF(expected_production[[#This Row],[Age (yrs)]]="",1,(1-DegradationRate)^expected_production[[#This Row],[Age (yrs)]])</f>
        <v>0.96645727759231204</v>
      </c>
      <c r="G837" s="52">
        <f>IF(expected_production[[#This Row],[Base Expected (kWh)]]="","",expected_production[[#This Row],[Base Expected (kWh)]]*expected_production[[#This Row],[Degradation Factor]])</f>
        <v>16212.156533873846</v>
      </c>
    </row>
    <row r="838" spans="1:7" ht="15" hidden="1" customHeight="1" x14ac:dyDescent="0.3">
      <c r="A838" t="s">
        <v>113</v>
      </c>
      <c r="B838" s="2">
        <v>45505</v>
      </c>
      <c r="C838" s="52">
        <v>20886.75</v>
      </c>
      <c r="D838" s="48">
        <f>_xlfn.XLOOKUP(expected_production[[#This Row],[Site Name]],Table1[[Site Name ]],Table1[Commisioned Date],"")</f>
        <v>43700</v>
      </c>
      <c r="E838" s="47">
        <f>IF(ISNUMBER(expected_production[[#This Row],[Commissioned Date]]),MAX(0,(expected_production[[#This Row],[Date]]-expected_production[[#This Row],[Commissioned Date]])/365.25),"")</f>
        <v>4.9418206707734429</v>
      </c>
      <c r="F838" s="49">
        <f>IF(expected_production[[#This Row],[Age (yrs)]]="",1,(1-DegradationRate)^expected_production[[#This Row],[Age (yrs)]])</f>
        <v>0.96588124481610838</v>
      </c>
      <c r="G838" s="52">
        <f>IF(expected_production[[#This Row],[Base Expected (kWh)]]="","",expected_production[[#This Row],[Base Expected (kWh)]]*expected_production[[#This Row],[Degradation Factor]])</f>
        <v>20174.120090162851</v>
      </c>
    </row>
    <row r="839" spans="1:7" ht="15" hidden="1" customHeight="1" x14ac:dyDescent="0.3">
      <c r="A839" t="s">
        <v>113</v>
      </c>
      <c r="B839" s="2">
        <v>45536</v>
      </c>
      <c r="C839" s="52">
        <v>26689.95</v>
      </c>
      <c r="D839" s="48">
        <f>_xlfn.XLOOKUP(expected_production[[#This Row],[Site Name]],Table1[[Site Name ]],Table1[Commisioned Date],"")</f>
        <v>43700</v>
      </c>
      <c r="E839" s="47">
        <f>IF(ISNUMBER(expected_production[[#This Row],[Commissioned Date]]),MAX(0,(expected_production[[#This Row],[Date]]-expected_production[[#This Row],[Commissioned Date]])/365.25),"")</f>
        <v>5.0266940451745379</v>
      </c>
      <c r="F839" s="49">
        <f>IF(expected_production[[#This Row],[Age (yrs)]]="",1,(1-DegradationRate)^expected_production[[#This Row],[Age (yrs)]])</f>
        <v>0.96530555536988627</v>
      </c>
      <c r="G839" s="52">
        <f>IF(expected_production[[#This Row],[Base Expected (kWh)]]="","",expected_production[[#This Row],[Base Expected (kWh)]]*expected_production[[#This Row],[Degradation Factor]])</f>
        <v>25763.957007544497</v>
      </c>
    </row>
    <row r="840" spans="1:7" ht="15" hidden="1" customHeight="1" x14ac:dyDescent="0.3">
      <c r="A840" t="s">
        <v>113</v>
      </c>
      <c r="B840" s="2">
        <v>45566</v>
      </c>
      <c r="C840" s="52">
        <v>33024.69</v>
      </c>
      <c r="D840" s="48">
        <f>_xlfn.XLOOKUP(expected_production[[#This Row],[Site Name]],Table1[[Site Name ]],Table1[Commisioned Date],"")</f>
        <v>43700</v>
      </c>
      <c r="E840" s="47">
        <f>IF(ISNUMBER(expected_production[[#This Row],[Commissioned Date]]),MAX(0,(expected_production[[#This Row],[Date]]-expected_production[[#This Row],[Commissioned Date]])/365.25),"")</f>
        <v>5.1088295687885008</v>
      </c>
      <c r="F840" s="49">
        <f>IF(expected_production[[#This Row],[Age (yrs)]]="",1,(1-DegradationRate)^expected_production[[#This Row],[Age (yrs)]])</f>
        <v>0.96474876325408976</v>
      </c>
      <c r="G840" s="52">
        <f>IF(expected_production[[#This Row],[Base Expected (kWh)]]="","",expected_production[[#This Row],[Base Expected (kWh)]]*expected_production[[#This Row],[Degradation Factor]])</f>
        <v>31860.528834349709</v>
      </c>
    </row>
    <row r="841" spans="1:7" ht="15" hidden="1" customHeight="1" x14ac:dyDescent="0.3">
      <c r="A841" t="s">
        <v>113</v>
      </c>
      <c r="B841" s="2">
        <v>45597</v>
      </c>
      <c r="C841" s="52">
        <v>37111.769999999997</v>
      </c>
      <c r="D841" s="48">
        <f>_xlfn.XLOOKUP(expected_production[[#This Row],[Site Name]],Table1[[Site Name ]],Table1[Commisioned Date],"")</f>
        <v>43700</v>
      </c>
      <c r="E841" s="47">
        <f>IF(ISNUMBER(expected_production[[#This Row],[Commissioned Date]]),MAX(0,(expected_production[[#This Row],[Date]]-expected_production[[#This Row],[Commissioned Date]])/365.25),"")</f>
        <v>5.1937029431895958</v>
      </c>
      <c r="F841" s="49">
        <f>IF(expected_production[[#This Row],[Age (yrs)]]="",1,(1-DegradationRate)^expected_production[[#This Row],[Age (yrs)]])</f>
        <v>0.96417374879528117</v>
      </c>
      <c r="G841" s="52">
        <f>IF(expected_production[[#This Row],[Base Expected (kWh)]]="","",expected_production[[#This Row],[Base Expected (kWh)]]*expected_production[[#This Row],[Degradation Factor]])</f>
        <v>35782.19440532825</v>
      </c>
    </row>
    <row r="842" spans="1:7" ht="15" hidden="1" customHeight="1" x14ac:dyDescent="0.3">
      <c r="A842" t="s">
        <v>113</v>
      </c>
      <c r="B842" s="2">
        <v>45627</v>
      </c>
      <c r="C842" s="52">
        <v>40125.69</v>
      </c>
      <c r="D842" s="48">
        <f>_xlfn.XLOOKUP(expected_production[[#This Row],[Site Name]],Table1[[Site Name ]],Table1[Commisioned Date],"")</f>
        <v>43700</v>
      </c>
      <c r="E842" s="47">
        <f>IF(ISNUMBER(expected_production[[#This Row],[Commissioned Date]]),MAX(0,(expected_production[[#This Row],[Date]]-expected_production[[#This Row],[Commissioned Date]])/365.25),"")</f>
        <v>5.2758384668035596</v>
      </c>
      <c r="F842" s="49">
        <f>IF(expected_production[[#This Row],[Age (yrs)]]="",1,(1-DegradationRate)^expected_production[[#This Row],[Age (yrs)]])</f>
        <v>0.96361760951005615</v>
      </c>
      <c r="G842" s="52">
        <f>IF(expected_production[[#This Row],[Base Expected (kWh)]]="","",expected_production[[#This Row],[Base Expected (kWh)]]*expected_production[[#This Row],[Degradation Factor]])</f>
        <v>38665.821477741571</v>
      </c>
    </row>
    <row r="843" spans="1:7" ht="15" hidden="1" customHeight="1" x14ac:dyDescent="0.3">
      <c r="A843" t="s">
        <v>113</v>
      </c>
      <c r="B843" s="2">
        <v>45658</v>
      </c>
      <c r="C843" s="52">
        <v>39600.81</v>
      </c>
      <c r="D843" s="48">
        <f>_xlfn.XLOOKUP(expected_production[[#This Row],[Site Name]],Table1[[Site Name ]],Table1[Commisioned Date],"")</f>
        <v>43700</v>
      </c>
      <c r="E843" s="47">
        <f>IF(ISNUMBER(expected_production[[#This Row],[Commissioned Date]]),MAX(0,(expected_production[[#This Row],[Date]]-expected_production[[#This Row],[Commissioned Date]])/365.25),"")</f>
        <v>5.3607118412046546</v>
      </c>
      <c r="F843" s="49">
        <f>IF(expected_production[[#This Row],[Age (yrs)]]="",1,(1-DegradationRate)^expected_production[[#This Row],[Age (yrs)]])</f>
        <v>0.96304326924724837</v>
      </c>
      <c r="G843" s="52">
        <f>IF(expected_production[[#This Row],[Base Expected (kWh)]]="","",expected_production[[#This Row],[Base Expected (kWh)]]*expected_production[[#This Row],[Degradation Factor]])</f>
        <v>38137.293527239126</v>
      </c>
    </row>
    <row r="844" spans="1:7" ht="15" hidden="1" customHeight="1" x14ac:dyDescent="0.3">
      <c r="A844" t="s">
        <v>113</v>
      </c>
      <c r="B844" s="2">
        <v>45689</v>
      </c>
      <c r="C844" s="52">
        <v>33064.92</v>
      </c>
      <c r="D844" s="48">
        <f>_xlfn.XLOOKUP(expected_production[[#This Row],[Site Name]],Table1[[Site Name ]],Table1[Commisioned Date],"")</f>
        <v>43700</v>
      </c>
      <c r="E844" s="47">
        <f>IF(ISNUMBER(expected_production[[#This Row],[Commissioned Date]]),MAX(0,(expected_production[[#This Row],[Date]]-expected_production[[#This Row],[Commissioned Date]])/365.25),"")</f>
        <v>5.4455852156057496</v>
      </c>
      <c r="F844" s="49">
        <f>IF(expected_production[[#This Row],[Age (yrs)]]="",1,(1-DegradationRate)^expected_production[[#This Row],[Age (yrs)]])</f>
        <v>0.96246927130564175</v>
      </c>
      <c r="G844" s="52">
        <f>IF(expected_production[[#This Row],[Base Expected (kWh)]]="","",expected_production[[#This Row],[Base Expected (kWh)]]*expected_production[[#This Row],[Degradation Factor]])</f>
        <v>31823.969458179337</v>
      </c>
    </row>
    <row r="845" spans="1:7" ht="15" hidden="1" customHeight="1" x14ac:dyDescent="0.3">
      <c r="A845" t="s">
        <v>113</v>
      </c>
      <c r="B845" s="2">
        <v>45717</v>
      </c>
      <c r="C845" s="52">
        <v>32219.55</v>
      </c>
      <c r="D845" s="48">
        <f>_xlfn.XLOOKUP(expected_production[[#This Row],[Site Name]],Table1[[Site Name ]],Table1[Commisioned Date],"")</f>
        <v>43700</v>
      </c>
      <c r="E845" s="47">
        <f>IF(ISNUMBER(expected_production[[#This Row],[Commissioned Date]]),MAX(0,(expected_production[[#This Row],[Date]]-expected_production[[#This Row],[Commissioned Date]])/365.25),"")</f>
        <v>5.5222450376454484</v>
      </c>
      <c r="F845" s="49">
        <f>IF(expected_production[[#This Row],[Age (yrs)]]="",1,(1-DegradationRate)^expected_production[[#This Row],[Age (yrs)]])</f>
        <v>0.96195111561459201</v>
      </c>
      <c r="G845" s="52">
        <f>IF(expected_production[[#This Row],[Base Expected (kWh)]]="","",expected_production[[#This Row],[Base Expected (kWh)]]*expected_production[[#This Row],[Degradation Factor]])</f>
        <v>30993.632067100127</v>
      </c>
    </row>
    <row r="846" spans="1:7" ht="15" hidden="1" customHeight="1" x14ac:dyDescent="0.3">
      <c r="A846" t="s">
        <v>113</v>
      </c>
      <c r="B846" s="2">
        <v>45748</v>
      </c>
      <c r="C846" s="52">
        <v>23614.38</v>
      </c>
      <c r="D846" s="48">
        <f>_xlfn.XLOOKUP(expected_production[[#This Row],[Site Name]],Table1[[Site Name ]],Table1[Commisioned Date],"")</f>
        <v>43700</v>
      </c>
      <c r="E846" s="47">
        <f>IF(ISNUMBER(expected_production[[#This Row],[Commissioned Date]]),MAX(0,(expected_production[[#This Row],[Date]]-expected_production[[#This Row],[Commissioned Date]])/365.25),"")</f>
        <v>5.6071184120465434</v>
      </c>
      <c r="F846" s="49">
        <f>IF(expected_production[[#This Row],[Age (yrs)]]="",1,(1-DegradationRate)^expected_production[[#This Row],[Age (yrs)]])</f>
        <v>0.96137776862394175</v>
      </c>
      <c r="G846" s="52">
        <f>IF(expected_production[[#This Row],[Base Expected (kWh)]]="","",expected_production[[#This Row],[Base Expected (kWh)]]*expected_production[[#This Row],[Degradation Factor]])</f>
        <v>22702.339951837839</v>
      </c>
    </row>
    <row r="847" spans="1:7" ht="15" hidden="1" customHeight="1" x14ac:dyDescent="0.3">
      <c r="A847" t="s">
        <v>113</v>
      </c>
      <c r="B847" s="2">
        <v>45778</v>
      </c>
      <c r="C847" s="52">
        <v>17952.57</v>
      </c>
      <c r="D847" s="48">
        <f>_xlfn.XLOOKUP(expected_production[[#This Row],[Site Name]],Table1[[Site Name ]],Table1[Commisioned Date],"")</f>
        <v>43700</v>
      </c>
      <c r="E847" s="47">
        <f>IF(ISNUMBER(expected_production[[#This Row],[Commissioned Date]]),MAX(0,(expected_production[[#This Row],[Date]]-expected_production[[#This Row],[Commissioned Date]])/365.25),"")</f>
        <v>5.6892539356605063</v>
      </c>
      <c r="F847" s="49">
        <f>IF(expected_production[[#This Row],[Age (yrs)]]="",1,(1-DegradationRate)^expected_production[[#This Row],[Age (yrs)]])</f>
        <v>0.96082324207129299</v>
      </c>
      <c r="G847" s="52">
        <f>IF(expected_production[[#This Row],[Base Expected (kWh)]]="","",expected_production[[#This Row],[Base Expected (kWh)]]*expected_production[[#This Row],[Degradation Factor]])</f>
        <v>17249.246510911831</v>
      </c>
    </row>
    <row r="848" spans="1:7" ht="15" hidden="1" customHeight="1" x14ac:dyDescent="0.3">
      <c r="A848" t="s">
        <v>113</v>
      </c>
      <c r="B848" s="2">
        <v>45809</v>
      </c>
      <c r="C848" s="52">
        <v>14925.6</v>
      </c>
      <c r="D848" s="48">
        <f>_xlfn.XLOOKUP(expected_production[[#This Row],[Site Name]],Table1[[Site Name ]],Table1[Commisioned Date],"")</f>
        <v>43700</v>
      </c>
      <c r="E848" s="47">
        <f>IF(ISNUMBER(expected_production[[#This Row],[Commissioned Date]]),MAX(0,(expected_production[[#This Row],[Date]]-expected_production[[#This Row],[Commissioned Date]])/365.25),"")</f>
        <v>5.7741273100616013</v>
      </c>
      <c r="F848" s="49">
        <f>IF(expected_production[[#This Row],[Age (yrs)]]="",1,(1-DegradationRate)^expected_production[[#This Row],[Age (yrs)]])</f>
        <v>0.96025056732156155</v>
      </c>
      <c r="G848" s="52">
        <f>IF(expected_production[[#This Row],[Base Expected (kWh)]]="","",expected_production[[#This Row],[Base Expected (kWh)]]*expected_production[[#This Row],[Degradation Factor]])</f>
        <v>14332.3158676147</v>
      </c>
    </row>
    <row r="849" spans="1:7" ht="15" hidden="1" customHeight="1" x14ac:dyDescent="0.3">
      <c r="A849" t="s">
        <v>113</v>
      </c>
      <c r="B849" s="2">
        <v>45839</v>
      </c>
      <c r="C849" s="52">
        <v>16774.830000000002</v>
      </c>
      <c r="D849" s="48">
        <f>_xlfn.XLOOKUP(expected_production[[#This Row],[Site Name]],Table1[[Site Name ]],Table1[Commisioned Date],"")</f>
        <v>43700</v>
      </c>
      <c r="E849" s="47">
        <f>IF(ISNUMBER(expected_production[[#This Row],[Commissioned Date]]),MAX(0,(expected_production[[#This Row],[Date]]-expected_production[[#This Row],[Commissioned Date]])/365.25),"")</f>
        <v>5.8562628336755651</v>
      </c>
      <c r="F849" s="49">
        <f>IF(expected_production[[#This Row],[Age (yrs)]]="",1,(1-DegradationRate)^expected_production[[#This Row],[Age (yrs)]])</f>
        <v>0.9596966909431448</v>
      </c>
      <c r="G849" s="52">
        <f>IF(expected_production[[#This Row],[Base Expected (kWh)]]="","",expected_production[[#This Row],[Base Expected (kWh)]]*expected_production[[#This Row],[Degradation Factor]])</f>
        <v>16098.748842133795</v>
      </c>
    </row>
    <row r="850" spans="1:7" ht="15" hidden="1" customHeight="1" x14ac:dyDescent="0.3">
      <c r="A850" t="s">
        <v>113</v>
      </c>
      <c r="B850" s="2">
        <v>45870</v>
      </c>
      <c r="C850" s="52">
        <v>20886.75</v>
      </c>
      <c r="D850" s="48">
        <f>_xlfn.XLOOKUP(expected_production[[#This Row],[Site Name]],Table1[[Site Name ]],Table1[Commisioned Date],"")</f>
        <v>43700</v>
      </c>
      <c r="E850" s="47">
        <f>IF(ISNUMBER(expected_production[[#This Row],[Commissioned Date]]),MAX(0,(expected_production[[#This Row],[Date]]-expected_production[[#This Row],[Commissioned Date]])/365.25),"")</f>
        <v>5.9411362080766601</v>
      </c>
      <c r="F850" s="49">
        <f>IF(expected_production[[#This Row],[Age (yrs)]]="",1,(1-DegradationRate)^expected_production[[#This Row],[Age (yrs)]])</f>
        <v>0.95912468764613967</v>
      </c>
      <c r="G850" s="52">
        <f>IF(expected_production[[#This Row],[Base Expected (kWh)]]="","",expected_production[[#This Row],[Base Expected (kWh)]]*expected_production[[#This Row],[Degradation Factor]])</f>
        <v>20032.997569693009</v>
      </c>
    </row>
    <row r="851" spans="1:7" ht="15" hidden="1" customHeight="1" x14ac:dyDescent="0.3">
      <c r="A851" t="s">
        <v>113</v>
      </c>
      <c r="B851" s="2">
        <v>45901</v>
      </c>
      <c r="C851" s="52">
        <v>26689.95</v>
      </c>
      <c r="D851" s="48">
        <f>_xlfn.XLOOKUP(expected_production[[#This Row],[Site Name]],Table1[[Site Name ]],Table1[Commisioned Date],"")</f>
        <v>43700</v>
      </c>
      <c r="E851" s="47">
        <f>IF(ISNUMBER(expected_production[[#This Row],[Commissioned Date]]),MAX(0,(expected_production[[#This Row],[Date]]-expected_production[[#This Row],[Commissioned Date]])/365.25),"")</f>
        <v>6.0260095824777551</v>
      </c>
      <c r="F851" s="49">
        <f>IF(expected_production[[#This Row],[Age (yrs)]]="",1,(1-DegradationRate)^expected_production[[#This Row],[Age (yrs)]])</f>
        <v>0.95855302527744535</v>
      </c>
      <c r="G851" s="52">
        <f>IF(expected_production[[#This Row],[Base Expected (kWh)]]="","",expected_production[[#This Row],[Base Expected (kWh)]]*expected_production[[#This Row],[Degradation Factor]])</f>
        <v>25583.732317003753</v>
      </c>
    </row>
    <row r="852" spans="1:7" ht="15" hidden="1" customHeight="1" x14ac:dyDescent="0.3">
      <c r="A852" t="s">
        <v>113</v>
      </c>
      <c r="B852" s="2">
        <v>45931</v>
      </c>
      <c r="C852" s="52">
        <v>33024.69</v>
      </c>
      <c r="D852" s="48">
        <f>_xlfn.XLOOKUP(expected_production[[#This Row],[Site Name]],Table1[[Site Name ]],Table1[Commisioned Date],"")</f>
        <v>43700</v>
      </c>
      <c r="E852" s="47">
        <f>IF(ISNUMBER(expected_production[[#This Row],[Commissioned Date]]),MAX(0,(expected_production[[#This Row],[Date]]-expected_production[[#This Row],[Commissioned Date]])/365.25),"")</f>
        <v>6.108145106091718</v>
      </c>
      <c r="F852" s="49">
        <f>IF(expected_production[[#This Row],[Age (yrs)]]="",1,(1-DegradationRate)^expected_production[[#This Row],[Age (yrs)]])</f>
        <v>0.95800012804808787</v>
      </c>
      <c r="G852" s="52">
        <f>IF(expected_production[[#This Row],[Base Expected (kWh)]]="","",expected_production[[#This Row],[Base Expected (kWh)]]*expected_production[[#This Row],[Degradation Factor]])</f>
        <v>31637.657248748408</v>
      </c>
    </row>
    <row r="853" spans="1:7" ht="15" hidden="1" customHeight="1" x14ac:dyDescent="0.3">
      <c r="A853" t="s">
        <v>113</v>
      </c>
      <c r="B853" s="2">
        <v>45962</v>
      </c>
      <c r="C853" s="52">
        <v>37111.769999999997</v>
      </c>
      <c r="D853" s="48">
        <f>_xlfn.XLOOKUP(expected_production[[#This Row],[Site Name]],Table1[[Site Name ]],Table1[Commisioned Date],"")</f>
        <v>43700</v>
      </c>
      <c r="E853" s="47">
        <f>IF(ISNUMBER(expected_production[[#This Row],[Commissioned Date]]),MAX(0,(expected_production[[#This Row],[Date]]-expected_production[[#This Row],[Commissioned Date]])/365.25),"")</f>
        <v>6.193018480492813</v>
      </c>
      <c r="F853" s="49">
        <f>IF(expected_production[[#This Row],[Age (yrs)]]="",1,(1-DegradationRate)^expected_production[[#This Row],[Age (yrs)]])</f>
        <v>0.95742913594511803</v>
      </c>
      <c r="G853" s="52">
        <f>IF(expected_production[[#This Row],[Base Expected (kWh)]]="","",expected_production[[#This Row],[Base Expected (kWh)]]*expected_production[[#This Row],[Degradation Factor]])</f>
        <v>35531.889884493947</v>
      </c>
    </row>
    <row r="854" spans="1:7" ht="15" hidden="1" customHeight="1" x14ac:dyDescent="0.3">
      <c r="A854" t="s">
        <v>113</v>
      </c>
      <c r="B854" s="2">
        <v>45992</v>
      </c>
      <c r="C854" s="52">
        <v>40125.69</v>
      </c>
      <c r="D854" s="48">
        <f>_xlfn.XLOOKUP(expected_production[[#This Row],[Site Name]],Table1[[Site Name ]],Table1[Commisioned Date],"")</f>
        <v>43700</v>
      </c>
      <c r="E854" s="47">
        <f>IF(ISNUMBER(expected_production[[#This Row],[Commissioned Date]]),MAX(0,(expected_production[[#This Row],[Date]]-expected_production[[#This Row],[Commissioned Date]])/365.25),"")</f>
        <v>6.2751540041067759</v>
      </c>
      <c r="F854" s="49">
        <f>IF(expected_production[[#This Row],[Age (yrs)]]="",1,(1-DegradationRate)^expected_production[[#This Row],[Age (yrs)]])</f>
        <v>0.95687688697963491</v>
      </c>
      <c r="G854" s="52">
        <f>IF(expected_production[[#This Row],[Base Expected (kWh)]]="","",expected_production[[#This Row],[Base Expected (kWh)]]*expected_production[[#This Row],[Degradation Factor]])</f>
        <v>38395.345335109872</v>
      </c>
    </row>
    <row r="855" spans="1:7" ht="15" hidden="1" customHeight="1" x14ac:dyDescent="0.3">
      <c r="A855" t="s">
        <v>113</v>
      </c>
      <c r="B855" s="2">
        <v>46023</v>
      </c>
      <c r="C855" s="52">
        <v>39600.81</v>
      </c>
      <c r="D855" s="48">
        <f>_xlfn.XLOOKUP(expected_production[[#This Row],[Site Name]],Table1[[Site Name ]],Table1[Commisioned Date],"")</f>
        <v>43700</v>
      </c>
      <c r="E855" s="47">
        <f>IF(ISNUMBER(expected_production[[#This Row],[Commissioned Date]]),MAX(0,(expected_production[[#This Row],[Date]]-expected_production[[#This Row],[Commissioned Date]])/365.25),"")</f>
        <v>6.3600273785078709</v>
      </c>
      <c r="F855" s="49">
        <f>IF(expected_production[[#This Row],[Age (yrs)]]="",1,(1-DegradationRate)^expected_production[[#This Row],[Age (yrs)]])</f>
        <v>0.95630656435651262</v>
      </c>
      <c r="G855" s="52">
        <f>IF(expected_production[[#This Row],[Base Expected (kWh)]]="","",expected_production[[#This Row],[Base Expected (kWh)]]*expected_production[[#This Row],[Degradation Factor]])</f>
        <v>37870.514556835027</v>
      </c>
    </row>
    <row r="856" spans="1:7" ht="15" hidden="1" customHeight="1" x14ac:dyDescent="0.3">
      <c r="A856" t="s">
        <v>113</v>
      </c>
      <c r="B856" s="2">
        <v>46054</v>
      </c>
      <c r="C856" s="52">
        <v>33064.92</v>
      </c>
      <c r="D856" s="48">
        <f>_xlfn.XLOOKUP(expected_production[[#This Row],[Site Name]],Table1[[Site Name ]],Table1[Commisioned Date],"")</f>
        <v>43700</v>
      </c>
      <c r="E856" s="47">
        <f>IF(ISNUMBER(expected_production[[#This Row],[Commissioned Date]]),MAX(0,(expected_production[[#This Row],[Date]]-expected_production[[#This Row],[Commissioned Date]])/365.25),"")</f>
        <v>6.4449007529089668</v>
      </c>
      <c r="F856" s="49">
        <f>IF(expected_production[[#This Row],[Age (yrs)]]="",1,(1-DegradationRate)^expected_production[[#This Row],[Age (yrs)]])</f>
        <v>0.95573658165997755</v>
      </c>
      <c r="G856" s="52">
        <f>IF(expected_production[[#This Row],[Base Expected (kWh)]]="","",expected_production[[#This Row],[Base Expected (kWh)]]*expected_production[[#This Row],[Degradation Factor]])</f>
        <v>31601.353613660624</v>
      </c>
    </row>
    <row r="857" spans="1:7" ht="15" hidden="1" customHeight="1" x14ac:dyDescent="0.3">
      <c r="A857" t="s">
        <v>113</v>
      </c>
      <c r="B857" s="2">
        <v>46082</v>
      </c>
      <c r="C857" s="52">
        <v>32219.55</v>
      </c>
      <c r="D857" s="48">
        <f>_xlfn.XLOOKUP(expected_production[[#This Row],[Site Name]],Table1[[Site Name ]],Table1[Commisioned Date],"")</f>
        <v>43700</v>
      </c>
      <c r="E857" s="47">
        <f>IF(ISNUMBER(expected_production[[#This Row],[Commissioned Date]]),MAX(0,(expected_production[[#This Row],[Date]]-expected_production[[#This Row],[Commissioned Date]])/365.25),"")</f>
        <v>6.5215605749486656</v>
      </c>
      <c r="F857" s="49">
        <f>IF(expected_production[[#This Row],[Age (yrs)]]="",1,(1-DegradationRate)^expected_production[[#This Row],[Age (yrs)]])</f>
        <v>0.95522205058486098</v>
      </c>
      <c r="G857" s="52">
        <f>IF(expected_production[[#This Row],[Base Expected (kWh)]]="","",expected_production[[#This Row],[Base Expected (kWh)]]*expected_production[[#This Row],[Degradation Factor]])</f>
        <v>30776.824619921455</v>
      </c>
    </row>
    <row r="858" spans="1:7" ht="15" hidden="1" customHeight="1" x14ac:dyDescent="0.3">
      <c r="A858" t="s">
        <v>113</v>
      </c>
      <c r="B858" s="2">
        <v>46113</v>
      </c>
      <c r="C858" s="52">
        <v>23614.38</v>
      </c>
      <c r="D858" s="48">
        <f>_xlfn.XLOOKUP(expected_production[[#This Row],[Site Name]],Table1[[Site Name ]],Table1[Commisioned Date],"")</f>
        <v>43700</v>
      </c>
      <c r="E858" s="47">
        <f>IF(ISNUMBER(expected_production[[#This Row],[Commissioned Date]]),MAX(0,(expected_production[[#This Row],[Date]]-expected_production[[#This Row],[Commissioned Date]])/365.25),"")</f>
        <v>6.6064339493497606</v>
      </c>
      <c r="F858" s="49">
        <f>IF(expected_production[[#This Row],[Age (yrs)]]="",1,(1-DegradationRate)^expected_production[[#This Row],[Age (yrs)]])</f>
        <v>0.95465271428573339</v>
      </c>
      <c r="G858" s="52">
        <f>IF(expected_production[[#This Row],[Base Expected (kWh)]]="","",expected_production[[#This Row],[Base Expected (kWh)]]*expected_production[[#This Row],[Degradation Factor]])</f>
        <v>22543.531963174737</v>
      </c>
    </row>
    <row r="859" spans="1:7" ht="15" hidden="1" customHeight="1" x14ac:dyDescent="0.3">
      <c r="A859" t="s">
        <v>113</v>
      </c>
      <c r="B859" s="2">
        <v>46143</v>
      </c>
      <c r="C859" s="52">
        <v>17952.57</v>
      </c>
      <c r="D859" s="48">
        <f>_xlfn.XLOOKUP(expected_production[[#This Row],[Site Name]],Table1[[Site Name ]],Table1[Commisioned Date],"")</f>
        <v>43700</v>
      </c>
      <c r="E859" s="47">
        <f>IF(ISNUMBER(expected_production[[#This Row],[Commissioned Date]]),MAX(0,(expected_production[[#This Row],[Date]]-expected_production[[#This Row],[Commissioned Date]])/365.25),"")</f>
        <v>6.6885694729637235</v>
      </c>
      <c r="F859" s="49">
        <f>IF(expected_production[[#This Row],[Age (yrs)]]="",1,(1-DegradationRate)^expected_production[[#This Row],[Age (yrs)]])</f>
        <v>0.95410206677139853</v>
      </c>
      <c r="G859" s="52">
        <f>IF(expected_production[[#This Row],[Base Expected (kWh)]]="","",expected_production[[#This Row],[Base Expected (kWh)]]*expected_production[[#This Row],[Degradation Factor]])</f>
        <v>17128.584140858206</v>
      </c>
    </row>
    <row r="860" spans="1:7" ht="15" hidden="1" customHeight="1" x14ac:dyDescent="0.3">
      <c r="A860" t="s">
        <v>113</v>
      </c>
      <c r="B860" s="2">
        <v>46174</v>
      </c>
      <c r="C860" s="52">
        <v>14925.6</v>
      </c>
      <c r="D860" s="48">
        <f>_xlfn.XLOOKUP(expected_production[[#This Row],[Site Name]],Table1[[Site Name ]],Table1[Commisioned Date],"")</f>
        <v>43700</v>
      </c>
      <c r="E860" s="47">
        <f>IF(ISNUMBER(expected_production[[#This Row],[Commissioned Date]]),MAX(0,(expected_production[[#This Row],[Date]]-expected_production[[#This Row],[Commissioned Date]])/365.25),"")</f>
        <v>6.7734428473648185</v>
      </c>
      <c r="F860" s="49">
        <f>IF(expected_production[[#This Row],[Age (yrs)]]="",1,(1-DegradationRate)^expected_production[[#This Row],[Age (yrs)]])</f>
        <v>0.95353339801071302</v>
      </c>
      <c r="G860" s="52">
        <f>IF(expected_production[[#This Row],[Base Expected (kWh)]]="","",expected_production[[#This Row],[Base Expected (kWh)]]*expected_production[[#This Row],[Degradation Factor]])</f>
        <v>14232.058085348699</v>
      </c>
    </row>
    <row r="861" spans="1:7" ht="15" hidden="1" customHeight="1" x14ac:dyDescent="0.3">
      <c r="A861" t="s">
        <v>113</v>
      </c>
      <c r="B861" s="2">
        <v>46204</v>
      </c>
      <c r="C861" s="52">
        <v>16774.830000000002</v>
      </c>
      <c r="D861" s="48">
        <f>_xlfn.XLOOKUP(expected_production[[#This Row],[Site Name]],Table1[[Site Name ]],Table1[Commisioned Date],"")</f>
        <v>43700</v>
      </c>
      <c r="E861" s="47">
        <f>IF(ISNUMBER(expected_production[[#This Row],[Commissioned Date]]),MAX(0,(expected_production[[#This Row],[Date]]-expected_production[[#This Row],[Commissioned Date]])/365.25),"")</f>
        <v>6.8555783709787814</v>
      </c>
      <c r="F861" s="49">
        <f>IF(expected_production[[#This Row],[Age (yrs)]]="",1,(1-DegradationRate)^expected_production[[#This Row],[Age (yrs)]])</f>
        <v>0.95298339612249461</v>
      </c>
      <c r="G861" s="52">
        <f>IF(expected_production[[#This Row],[Base Expected (kWh)]]="","",expected_production[[#This Row],[Base Expected (kWh)]]*expected_production[[#This Row],[Degradation Factor]])</f>
        <v>15986.134462777507</v>
      </c>
    </row>
    <row r="862" spans="1:7" ht="15" hidden="1" customHeight="1" x14ac:dyDescent="0.3">
      <c r="A862" t="s">
        <v>113</v>
      </c>
      <c r="B862" s="2">
        <v>46235</v>
      </c>
      <c r="C862" s="52">
        <v>20886.75</v>
      </c>
      <c r="D862" s="48">
        <f>_xlfn.XLOOKUP(expected_production[[#This Row],[Site Name]],Table1[[Site Name ]],Table1[Commisioned Date],"")</f>
        <v>43700</v>
      </c>
      <c r="E862" s="47">
        <f>IF(ISNUMBER(expected_production[[#This Row],[Commissioned Date]]),MAX(0,(expected_production[[#This Row],[Date]]-expected_production[[#This Row],[Commissioned Date]])/365.25),"")</f>
        <v>6.9404517453798764</v>
      </c>
      <c r="F862" s="49">
        <f>IF(expected_production[[#This Row],[Age (yrs)]]="",1,(1-DegradationRate)^expected_production[[#This Row],[Age (yrs)]])</f>
        <v>0.95241539411757214</v>
      </c>
      <c r="G862" s="52">
        <f>IF(expected_production[[#This Row],[Base Expected (kWh)]]="","",expected_production[[#This Row],[Base Expected (kWh)]]*expected_production[[#This Row],[Degradation Factor]])</f>
        <v>19892.862233085201</v>
      </c>
    </row>
    <row r="863" spans="1:7" ht="15" hidden="1" customHeight="1" x14ac:dyDescent="0.3">
      <c r="A863" t="s">
        <v>113</v>
      </c>
      <c r="B863" s="2">
        <v>46266</v>
      </c>
      <c r="C863" s="52">
        <v>26689.95</v>
      </c>
      <c r="D863" s="48">
        <f>_xlfn.XLOOKUP(expected_production[[#This Row],[Site Name]],Table1[[Site Name ]],Table1[Commisioned Date],"")</f>
        <v>43700</v>
      </c>
      <c r="E863" s="47">
        <f>IF(ISNUMBER(expected_production[[#This Row],[Commissioned Date]]),MAX(0,(expected_production[[#This Row],[Date]]-expected_production[[#This Row],[Commissioned Date]])/365.25),"")</f>
        <v>7.0253251197809723</v>
      </c>
      <c r="F863" s="49">
        <f>IF(expected_production[[#This Row],[Age (yrs)]]="",1,(1-DegradationRate)^expected_production[[#This Row],[Age (yrs)]])</f>
        <v>0.95184773065608996</v>
      </c>
      <c r="G863" s="52">
        <f>IF(expected_production[[#This Row],[Base Expected (kWh)]]="","",expected_production[[#This Row],[Base Expected (kWh)]]*expected_production[[#This Row],[Degradation Factor]])</f>
        <v>25404.76833882451</v>
      </c>
    </row>
    <row r="864" spans="1:7" ht="15" hidden="1" customHeight="1" x14ac:dyDescent="0.3">
      <c r="A864" t="s">
        <v>113</v>
      </c>
      <c r="B864" s="2">
        <v>46296</v>
      </c>
      <c r="C864" s="52">
        <v>33024.69</v>
      </c>
      <c r="D864" s="48">
        <f>_xlfn.XLOOKUP(expected_production[[#This Row],[Site Name]],Table1[[Site Name ]],Table1[Commisioned Date],"")</f>
        <v>43700</v>
      </c>
      <c r="E864" s="47">
        <f>IF(ISNUMBER(expected_production[[#This Row],[Commissioned Date]]),MAX(0,(expected_production[[#This Row],[Date]]-expected_production[[#This Row],[Commissioned Date]])/365.25),"")</f>
        <v>7.1074606433949352</v>
      </c>
      <c r="F864" s="49">
        <f>IF(expected_production[[#This Row],[Age (yrs)]]="",1,(1-DegradationRate)^expected_production[[#This Row],[Age (yrs)]])</f>
        <v>0.95129870106756242</v>
      </c>
      <c r="G864" s="52">
        <f>IF(expected_production[[#This Row],[Base Expected (kWh)]]="","",expected_production[[#This Row],[Base Expected (kWh)]]*expected_production[[#This Row],[Degradation Factor]])</f>
        <v>31416.344700158919</v>
      </c>
    </row>
    <row r="865" spans="1:7" ht="15" hidden="1" customHeight="1" x14ac:dyDescent="0.3">
      <c r="A865" t="s">
        <v>113</v>
      </c>
      <c r="B865" s="2">
        <v>46327</v>
      </c>
      <c r="C865" s="52">
        <v>37111.769999999997</v>
      </c>
      <c r="D865" s="48">
        <f>_xlfn.XLOOKUP(expected_production[[#This Row],[Site Name]],Table1[[Site Name ]],Table1[Commisioned Date],"")</f>
        <v>43700</v>
      </c>
      <c r="E865" s="47">
        <f>IF(ISNUMBER(expected_production[[#This Row],[Commissioned Date]]),MAX(0,(expected_production[[#This Row],[Date]]-expected_production[[#This Row],[Commissioned Date]])/365.25),"")</f>
        <v>7.1923340177960302</v>
      </c>
      <c r="F865" s="49">
        <f>IF(expected_production[[#This Row],[Age (yrs)]]="",1,(1-DegradationRate)^expected_production[[#This Row],[Age (yrs)]])</f>
        <v>0.95073170318314471</v>
      </c>
      <c r="G865" s="52">
        <f>IF(expected_production[[#This Row],[Base Expected (kWh)]]="","",expected_production[[#This Row],[Base Expected (kWh)]]*expected_production[[#This Row],[Degradation Factor]])</f>
        <v>35283.336300241128</v>
      </c>
    </row>
    <row r="866" spans="1:7" ht="15" hidden="1" customHeight="1" x14ac:dyDescent="0.3">
      <c r="A866" t="s">
        <v>113</v>
      </c>
      <c r="B866" s="2">
        <v>46357</v>
      </c>
      <c r="C866" s="52">
        <v>40125.69</v>
      </c>
      <c r="D866" s="48">
        <f>_xlfn.XLOOKUP(expected_production[[#This Row],[Site Name]],Table1[[Site Name ]],Table1[Commisioned Date],"")</f>
        <v>43700</v>
      </c>
      <c r="E866" s="47">
        <f>IF(ISNUMBER(expected_production[[#This Row],[Commissioned Date]]),MAX(0,(expected_production[[#This Row],[Date]]-expected_production[[#This Row],[Commissioned Date]])/365.25),"")</f>
        <v>7.2744695414099931</v>
      </c>
      <c r="F866" s="49">
        <f>IF(expected_production[[#This Row],[Age (yrs)]]="",1,(1-DegradationRate)^expected_production[[#This Row],[Age (yrs)]])</f>
        <v>0.95018331732373951</v>
      </c>
      <c r="G866" s="52">
        <f>IF(expected_production[[#This Row],[Base Expected (kWh)]]="","",expected_production[[#This Row],[Base Expected (kWh)]]*expected_production[[#This Row],[Degradation Factor]])</f>
        <v>38126.761234104</v>
      </c>
    </row>
    <row r="867" spans="1:7" ht="15" hidden="1" customHeight="1" x14ac:dyDescent="0.3">
      <c r="A867" t="s">
        <v>114</v>
      </c>
      <c r="B867" s="2">
        <v>45292</v>
      </c>
      <c r="C867" s="52">
        <v>29391.3</v>
      </c>
      <c r="D867" s="48">
        <f>_xlfn.XLOOKUP(expected_production[[#This Row],[Site Name]],Table1[[Site Name ]],Table1[Commisioned Date],"")</f>
        <v>45056</v>
      </c>
      <c r="E867" s="47">
        <f>IF(ISNUMBER(expected_production[[#This Row],[Commissioned Date]]),MAX(0,(expected_production[[#This Row],[Date]]-expected_production[[#This Row],[Commissioned Date]])/365.25),"")</f>
        <v>0.6461327857631759</v>
      </c>
      <c r="F867" s="49">
        <f>IF(expected_production[[#This Row],[Age (yrs)]]="",1,(1-DegradationRate)^expected_production[[#This Row],[Age (yrs)]])</f>
        <v>0.99547145092255762</v>
      </c>
      <c r="G867" s="52">
        <f>IF(expected_production[[#This Row],[Base Expected (kWh)]]="","",expected_production[[#This Row],[Base Expected (kWh)]]*expected_production[[#This Row],[Degradation Factor]])</f>
        <v>29258.200055500169</v>
      </c>
    </row>
    <row r="868" spans="1:7" ht="15" hidden="1" customHeight="1" x14ac:dyDescent="0.3">
      <c r="A868" t="s">
        <v>114</v>
      </c>
      <c r="B868" s="2">
        <v>45323</v>
      </c>
      <c r="C868" s="52">
        <v>25677</v>
      </c>
      <c r="D868" s="48">
        <f>_xlfn.XLOOKUP(expected_production[[#This Row],[Site Name]],Table1[[Site Name ]],Table1[Commisioned Date],"")</f>
        <v>45056</v>
      </c>
      <c r="E868" s="47">
        <f>IF(ISNUMBER(expected_production[[#This Row],[Commissioned Date]]),MAX(0,(expected_production[[#This Row],[Date]]-expected_production[[#This Row],[Commissioned Date]])/365.25),"")</f>
        <v>0.731006160164271</v>
      </c>
      <c r="F868" s="49">
        <f>IF(expected_production[[#This Row],[Age (yrs)]]="",1,(1-DegradationRate)^expected_production[[#This Row],[Age (yrs)]])</f>
        <v>0.9948781249713734</v>
      </c>
      <c r="G868" s="52">
        <f>IF(expected_production[[#This Row],[Base Expected (kWh)]]="","",expected_production[[#This Row],[Base Expected (kWh)]]*expected_production[[#This Row],[Degradation Factor]])</f>
        <v>25545.485614889956</v>
      </c>
    </row>
    <row r="869" spans="1:7" ht="15" hidden="1" customHeight="1" x14ac:dyDescent="0.3">
      <c r="A869" t="s">
        <v>114</v>
      </c>
      <c r="B869" s="2">
        <v>45352</v>
      </c>
      <c r="C869" s="52">
        <v>24204.6</v>
      </c>
      <c r="D869" s="48">
        <f>_xlfn.XLOOKUP(expected_production[[#This Row],[Site Name]],Table1[[Site Name ]],Table1[Commisioned Date],"")</f>
        <v>45056</v>
      </c>
      <c r="E869" s="47">
        <f>IF(ISNUMBER(expected_production[[#This Row],[Commissioned Date]]),MAX(0,(expected_production[[#This Row],[Date]]-expected_production[[#This Row],[Commissioned Date]])/365.25),"")</f>
        <v>0.81040383299110197</v>
      </c>
      <c r="F869" s="49">
        <f>IF(expected_production[[#This Row],[Age (yrs)]]="",1,(1-DegradationRate)^expected_production[[#This Row],[Age (yrs)]])</f>
        <v>0.99432339826809335</v>
      </c>
      <c r="G869" s="52">
        <f>IF(expected_production[[#This Row],[Base Expected (kWh)]]="","",expected_production[[#This Row],[Base Expected (kWh)]]*expected_production[[#This Row],[Degradation Factor]])</f>
        <v>24067.20012571989</v>
      </c>
    </row>
    <row r="870" spans="1:7" ht="15" hidden="1" customHeight="1" x14ac:dyDescent="0.3">
      <c r="A870" t="s">
        <v>114</v>
      </c>
      <c r="B870" s="2">
        <v>45383</v>
      </c>
      <c r="C870" s="52">
        <v>21550.5</v>
      </c>
      <c r="D870" s="48">
        <f>_xlfn.XLOOKUP(expected_production[[#This Row],[Site Name]],Table1[[Site Name ]],Table1[Commisioned Date],"")</f>
        <v>45056</v>
      </c>
      <c r="E870" s="47">
        <f>IF(ISNUMBER(expected_production[[#This Row],[Commissioned Date]]),MAX(0,(expected_production[[#This Row],[Date]]-expected_production[[#This Row],[Commissioned Date]])/365.25),"")</f>
        <v>0.89527720739219707</v>
      </c>
      <c r="F870" s="49">
        <f>IF(expected_production[[#This Row],[Age (yrs)]]="",1,(1-DegradationRate)^expected_production[[#This Row],[Age (yrs)]])</f>
        <v>0.99373075658508436</v>
      </c>
      <c r="G870" s="52">
        <f>IF(expected_production[[#This Row],[Base Expected (kWh)]]="","",expected_production[[#This Row],[Base Expected (kWh)]]*expected_production[[#This Row],[Degradation Factor]])</f>
        <v>21415.39466978686</v>
      </c>
    </row>
    <row r="871" spans="1:7" ht="15" hidden="1" customHeight="1" x14ac:dyDescent="0.3">
      <c r="A871" t="s">
        <v>114</v>
      </c>
      <c r="B871" s="2">
        <v>45413</v>
      </c>
      <c r="C871" s="52">
        <v>19301.400000000001</v>
      </c>
      <c r="D871" s="48">
        <f>_xlfn.XLOOKUP(expected_production[[#This Row],[Site Name]],Table1[[Site Name ]],Table1[Commisioned Date],"")</f>
        <v>45056</v>
      </c>
      <c r="E871" s="47">
        <f>IF(ISNUMBER(expected_production[[#This Row],[Commissioned Date]]),MAX(0,(expected_production[[#This Row],[Date]]-expected_production[[#This Row],[Commissioned Date]])/365.25),"")</f>
        <v>0.97741273100616022</v>
      </c>
      <c r="F871" s="49">
        <f>IF(expected_production[[#This Row],[Age (yrs)]]="",1,(1-DegradationRate)^expected_production[[#This Row],[Age (yrs)]])</f>
        <v>0.99315756869922456</v>
      </c>
      <c r="G871" s="52">
        <f>IF(expected_production[[#This Row],[Base Expected (kWh)]]="","",expected_production[[#This Row],[Base Expected (kWh)]]*expected_production[[#This Row],[Degradation Factor]])</f>
        <v>19169.331496491213</v>
      </c>
    </row>
    <row r="872" spans="1:7" ht="15" hidden="1" customHeight="1" x14ac:dyDescent="0.3">
      <c r="A872" t="s">
        <v>114</v>
      </c>
      <c r="B872" s="2">
        <v>45444</v>
      </c>
      <c r="C872" s="52">
        <v>17076.599999999999</v>
      </c>
      <c r="D872" s="48">
        <f>_xlfn.XLOOKUP(expected_production[[#This Row],[Site Name]],Table1[[Site Name ]],Table1[Commisioned Date],"")</f>
        <v>45056</v>
      </c>
      <c r="E872" s="47">
        <f>IF(ISNUMBER(expected_production[[#This Row],[Commissioned Date]]),MAX(0,(expected_production[[#This Row],[Date]]-expected_production[[#This Row],[Commissioned Date]])/365.25),"")</f>
        <v>1.0622861054072552</v>
      </c>
      <c r="F872" s="49">
        <f>IF(expected_production[[#This Row],[Age (yrs)]]="",1,(1-DegradationRate)^expected_production[[#This Row],[Age (yrs)]])</f>
        <v>0.99256562187987762</v>
      </c>
      <c r="G872" s="52">
        <f>IF(expected_production[[#This Row],[Base Expected (kWh)]]="","",expected_production[[#This Row],[Base Expected (kWh)]]*expected_production[[#This Row],[Degradation Factor]])</f>
        <v>16949.646098593916</v>
      </c>
    </row>
    <row r="873" spans="1:7" ht="15" hidden="1" customHeight="1" x14ac:dyDescent="0.3">
      <c r="A873" t="s">
        <v>114</v>
      </c>
      <c r="B873" s="2">
        <v>45474</v>
      </c>
      <c r="C873" s="52">
        <v>19010.7</v>
      </c>
      <c r="D873" s="48">
        <f>_xlfn.XLOOKUP(expected_production[[#This Row],[Site Name]],Table1[[Site Name ]],Table1[Commisioned Date],"")</f>
        <v>45056</v>
      </c>
      <c r="E873" s="47">
        <f>IF(ISNUMBER(expected_production[[#This Row],[Commissioned Date]]),MAX(0,(expected_production[[#This Row],[Date]]-expected_production[[#This Row],[Commissioned Date]])/365.25),"")</f>
        <v>1.1444216290212184</v>
      </c>
      <c r="F873" s="49">
        <f>IF(expected_production[[#This Row],[Age (yrs)]]="",1,(1-DegradationRate)^expected_production[[#This Row],[Age (yrs)]])</f>
        <v>0.99199310604838875</v>
      </c>
      <c r="G873" s="52">
        <f>IF(expected_production[[#This Row],[Base Expected (kWh)]]="","",expected_production[[#This Row],[Base Expected (kWh)]]*expected_production[[#This Row],[Degradation Factor]])</f>
        <v>18858.483341154104</v>
      </c>
    </row>
    <row r="874" spans="1:7" ht="15" hidden="1" customHeight="1" x14ac:dyDescent="0.3">
      <c r="A874" t="s">
        <v>114</v>
      </c>
      <c r="B874" s="2">
        <v>45505</v>
      </c>
      <c r="C874" s="52">
        <v>22169.7</v>
      </c>
      <c r="D874" s="48">
        <f>_xlfn.XLOOKUP(expected_production[[#This Row],[Site Name]],Table1[[Site Name ]],Table1[Commisioned Date],"")</f>
        <v>45056</v>
      </c>
      <c r="E874" s="47">
        <f>IF(ISNUMBER(expected_production[[#This Row],[Commissioned Date]]),MAX(0,(expected_production[[#This Row],[Date]]-expected_production[[#This Row],[Commissioned Date]])/365.25),"")</f>
        <v>1.2292950034223136</v>
      </c>
      <c r="F874" s="49">
        <f>IF(expected_production[[#This Row],[Age (yrs)]]="",1,(1-DegradationRate)^expected_production[[#This Row],[Age (yrs)]])</f>
        <v>0.99140185327798647</v>
      </c>
      <c r="G874" s="52">
        <f>IF(expected_production[[#This Row],[Base Expected (kWh)]]="","",expected_production[[#This Row],[Base Expected (kWh)]]*expected_production[[#This Row],[Degradation Factor]])</f>
        <v>21979.081666616978</v>
      </c>
    </row>
    <row r="875" spans="1:7" ht="15" hidden="1" customHeight="1" x14ac:dyDescent="0.3">
      <c r="A875" t="s">
        <v>114</v>
      </c>
      <c r="B875" s="2">
        <v>45536</v>
      </c>
      <c r="C875" s="52">
        <v>24661.8</v>
      </c>
      <c r="D875" s="48">
        <f>_xlfn.XLOOKUP(expected_production[[#This Row],[Site Name]],Table1[[Site Name ]],Table1[Commisioned Date],"")</f>
        <v>45056</v>
      </c>
      <c r="E875" s="47">
        <f>IF(ISNUMBER(expected_production[[#This Row],[Commissioned Date]]),MAX(0,(expected_production[[#This Row],[Date]]-expected_production[[#This Row],[Commissioned Date]])/365.25),"")</f>
        <v>1.3141683778234086</v>
      </c>
      <c r="F875" s="49">
        <f>IF(expected_production[[#This Row],[Age (yrs)]]="",1,(1-DegradationRate)^expected_production[[#This Row],[Age (yrs)]])</f>
        <v>0.99081095290906396</v>
      </c>
      <c r="G875" s="52">
        <f>IF(expected_production[[#This Row],[Base Expected (kWh)]]="","",expected_production[[#This Row],[Base Expected (kWh)]]*expected_production[[#This Row],[Degradation Factor]])</f>
        <v>24435.181558452754</v>
      </c>
    </row>
    <row r="876" spans="1:7" ht="15" hidden="1" customHeight="1" x14ac:dyDescent="0.3">
      <c r="A876" t="s">
        <v>114</v>
      </c>
      <c r="B876" s="2">
        <v>45566</v>
      </c>
      <c r="C876" s="52">
        <v>27450.9</v>
      </c>
      <c r="D876" s="48">
        <f>_xlfn.XLOOKUP(expected_production[[#This Row],[Site Name]],Table1[[Site Name ]],Table1[Commisioned Date],"")</f>
        <v>45056</v>
      </c>
      <c r="E876" s="47">
        <f>IF(ISNUMBER(expected_production[[#This Row],[Commissioned Date]]),MAX(0,(expected_production[[#This Row],[Date]]-expected_production[[#This Row],[Commissioned Date]])/365.25),"")</f>
        <v>1.3963039014373717</v>
      </c>
      <c r="F876" s="49">
        <f>IF(expected_production[[#This Row],[Age (yrs)]]="",1,(1-DegradationRate)^expected_production[[#This Row],[Age (yrs)]])</f>
        <v>0.9902394491776747</v>
      </c>
      <c r="G876" s="52">
        <f>IF(expected_production[[#This Row],[Base Expected (kWh)]]="","",expected_production[[#This Row],[Base Expected (kWh)]]*expected_production[[#This Row],[Degradation Factor]])</f>
        <v>27182.964095431431</v>
      </c>
    </row>
    <row r="877" spans="1:7" ht="15" hidden="1" customHeight="1" x14ac:dyDescent="0.3">
      <c r="A877" t="s">
        <v>114</v>
      </c>
      <c r="B877" s="2">
        <v>45597</v>
      </c>
      <c r="C877" s="52">
        <v>28825.200000000001</v>
      </c>
      <c r="D877" s="48">
        <f>_xlfn.XLOOKUP(expected_production[[#This Row],[Site Name]],Table1[[Site Name ]],Table1[Commisioned Date],"")</f>
        <v>45056</v>
      </c>
      <c r="E877" s="47">
        <f>IF(ISNUMBER(expected_production[[#This Row],[Commissioned Date]]),MAX(0,(expected_production[[#This Row],[Date]]-expected_production[[#This Row],[Commissioned Date]])/365.25),"")</f>
        <v>1.4811772758384667</v>
      </c>
      <c r="F877" s="49">
        <f>IF(expected_production[[#This Row],[Age (yrs)]]="",1,(1-DegradationRate)^expected_production[[#This Row],[Age (yrs)]])</f>
        <v>0.98964924163074908</v>
      </c>
      <c r="G877" s="52">
        <f>IF(expected_production[[#This Row],[Base Expected (kWh)]]="","",expected_production[[#This Row],[Base Expected (kWh)]]*expected_production[[#This Row],[Degradation Factor]])</f>
        <v>28526.837319854669</v>
      </c>
    </row>
    <row r="878" spans="1:7" ht="15" hidden="1" customHeight="1" x14ac:dyDescent="0.3">
      <c r="A878" t="s">
        <v>114</v>
      </c>
      <c r="B878" s="2">
        <v>45627</v>
      </c>
      <c r="C878" s="52">
        <v>28327.5</v>
      </c>
      <c r="D878" s="48">
        <f>_xlfn.XLOOKUP(expected_production[[#This Row],[Site Name]],Table1[[Site Name ]],Table1[Commisioned Date],"")</f>
        <v>45056</v>
      </c>
      <c r="E878" s="47">
        <f>IF(ISNUMBER(expected_production[[#This Row],[Commissioned Date]]),MAX(0,(expected_production[[#This Row],[Date]]-expected_production[[#This Row],[Commissioned Date]])/365.25),"")</f>
        <v>1.5633127994524298</v>
      </c>
      <c r="F878" s="49">
        <f>IF(expected_production[[#This Row],[Age (yrs)]]="",1,(1-DegradationRate)^expected_production[[#This Row],[Age (yrs)]])</f>
        <v>0.98907840797908431</v>
      </c>
      <c r="G878" s="52">
        <f>IF(expected_production[[#This Row],[Base Expected (kWh)]]="","",expected_production[[#This Row],[Base Expected (kWh)]]*expected_production[[#This Row],[Degradation Factor]])</f>
        <v>28018.118602027509</v>
      </c>
    </row>
    <row r="879" spans="1:7" ht="15" hidden="1" customHeight="1" x14ac:dyDescent="0.3">
      <c r="A879" t="s">
        <v>114</v>
      </c>
      <c r="B879" s="2">
        <v>45658</v>
      </c>
      <c r="C879" s="52">
        <v>29391.3</v>
      </c>
      <c r="D879" s="48">
        <f>_xlfn.XLOOKUP(expected_production[[#This Row],[Site Name]],Table1[[Site Name ]],Table1[Commisioned Date],"")</f>
        <v>45056</v>
      </c>
      <c r="E879" s="47">
        <f>IF(ISNUMBER(expected_production[[#This Row],[Commissioned Date]]),MAX(0,(expected_production[[#This Row],[Date]]-expected_production[[#This Row],[Commissioned Date]])/365.25),"")</f>
        <v>1.6481861738535251</v>
      </c>
      <c r="F879" s="49">
        <f>IF(expected_production[[#This Row],[Age (yrs)]]="",1,(1-DegradationRate)^expected_production[[#This Row],[Age (yrs)]])</f>
        <v>0.98848889244183202</v>
      </c>
      <c r="G879" s="52">
        <f>IF(expected_production[[#This Row],[Base Expected (kWh)]]="","",expected_production[[#This Row],[Base Expected (kWh)]]*expected_production[[#This Row],[Degradation Factor]])</f>
        <v>29052.973584425617</v>
      </c>
    </row>
    <row r="880" spans="1:7" ht="15" hidden="1" customHeight="1" x14ac:dyDescent="0.3">
      <c r="A880" t="s">
        <v>114</v>
      </c>
      <c r="B880" s="2">
        <v>45689</v>
      </c>
      <c r="C880" s="52">
        <v>25677</v>
      </c>
      <c r="D880" s="48">
        <f>_xlfn.XLOOKUP(expected_production[[#This Row],[Site Name]],Table1[[Site Name ]],Table1[Commisioned Date],"")</f>
        <v>45056</v>
      </c>
      <c r="E880" s="47">
        <f>IF(ISNUMBER(expected_production[[#This Row],[Commissioned Date]]),MAX(0,(expected_production[[#This Row],[Date]]-expected_production[[#This Row],[Commissioned Date]])/365.25),"")</f>
        <v>1.7330595482546201</v>
      </c>
      <c r="F880" s="49">
        <f>IF(expected_production[[#This Row],[Age (yrs)]]="",1,(1-DegradationRate)^expected_production[[#This Row],[Age (yrs)]])</f>
        <v>0.98789972827062489</v>
      </c>
      <c r="G880" s="52">
        <f>IF(expected_production[[#This Row],[Base Expected (kWh)]]="","",expected_production[[#This Row],[Base Expected (kWh)]]*expected_production[[#This Row],[Degradation Factor]])</f>
        <v>25366.301322804837</v>
      </c>
    </row>
    <row r="881" spans="1:7" ht="15" hidden="1" customHeight="1" x14ac:dyDescent="0.3">
      <c r="A881" t="s">
        <v>114</v>
      </c>
      <c r="B881" s="2">
        <v>45717</v>
      </c>
      <c r="C881" s="52">
        <v>24204.6</v>
      </c>
      <c r="D881" s="48">
        <f>_xlfn.XLOOKUP(expected_production[[#This Row],[Site Name]],Table1[[Site Name ]],Table1[Commisioned Date],"")</f>
        <v>45056</v>
      </c>
      <c r="E881" s="47">
        <f>IF(ISNUMBER(expected_production[[#This Row],[Commissioned Date]]),MAX(0,(expected_production[[#This Row],[Date]]-expected_production[[#This Row],[Commissioned Date]])/365.25),"")</f>
        <v>1.8097193702943191</v>
      </c>
      <c r="F881" s="49">
        <f>IF(expected_production[[#This Row],[Age (yrs)]]="",1,(1-DegradationRate)^expected_production[[#This Row],[Age (yrs)]])</f>
        <v>0.98736788181936574</v>
      </c>
      <c r="G881" s="52">
        <f>IF(expected_production[[#This Row],[Base Expected (kWh)]]="","",expected_production[[#This Row],[Base Expected (kWh)]]*expected_production[[#This Row],[Degradation Factor]])</f>
        <v>23898.844632285018</v>
      </c>
    </row>
    <row r="882" spans="1:7" ht="15" hidden="1" customHeight="1" x14ac:dyDescent="0.3">
      <c r="A882" t="s">
        <v>114</v>
      </c>
      <c r="B882" s="2">
        <v>45748</v>
      </c>
      <c r="C882" s="52">
        <v>21550.5</v>
      </c>
      <c r="D882" s="48">
        <f>_xlfn.XLOOKUP(expected_production[[#This Row],[Site Name]],Table1[[Site Name ]],Table1[Commisioned Date],"")</f>
        <v>45056</v>
      </c>
      <c r="E882" s="47">
        <f>IF(ISNUMBER(expected_production[[#This Row],[Commissioned Date]]),MAX(0,(expected_production[[#This Row],[Date]]-expected_production[[#This Row],[Commissioned Date]])/365.25),"")</f>
        <v>1.8945927446954141</v>
      </c>
      <c r="F882" s="49">
        <f>IF(expected_production[[#This Row],[Age (yrs)]]="",1,(1-DegradationRate)^expected_production[[#This Row],[Age (yrs)]])</f>
        <v>0.98677938579860458</v>
      </c>
      <c r="G882" s="52">
        <f>IF(expected_production[[#This Row],[Base Expected (kWh)]]="","",expected_production[[#This Row],[Base Expected (kWh)]]*expected_production[[#This Row],[Degradation Factor]])</f>
        <v>21265.589153652829</v>
      </c>
    </row>
    <row r="883" spans="1:7" ht="15" hidden="1" customHeight="1" x14ac:dyDescent="0.3">
      <c r="A883" t="s">
        <v>114</v>
      </c>
      <c r="B883" s="2">
        <v>45778</v>
      </c>
      <c r="C883" s="52">
        <v>19301.400000000001</v>
      </c>
      <c r="D883" s="48">
        <f>_xlfn.XLOOKUP(expected_production[[#This Row],[Site Name]],Table1[[Site Name ]],Table1[Commisioned Date],"")</f>
        <v>45056</v>
      </c>
      <c r="E883" s="47">
        <f>IF(ISNUMBER(expected_production[[#This Row],[Commissioned Date]]),MAX(0,(expected_production[[#This Row],[Date]]-expected_production[[#This Row],[Commissioned Date]])/365.25),"")</f>
        <v>1.9767282683093772</v>
      </c>
      <c r="F883" s="49">
        <f>IF(expected_production[[#This Row],[Age (yrs)]]="",1,(1-DegradationRate)^expected_production[[#This Row],[Age (yrs)]])</f>
        <v>0.98621020749129373</v>
      </c>
      <c r="G883" s="52">
        <f>IF(expected_production[[#This Row],[Base Expected (kWh)]]="","",expected_production[[#This Row],[Base Expected (kWh)]]*expected_production[[#This Row],[Degradation Factor]])</f>
        <v>19035.237698872457</v>
      </c>
    </row>
    <row r="884" spans="1:7" ht="15" hidden="1" customHeight="1" x14ac:dyDescent="0.3">
      <c r="A884" t="s">
        <v>114</v>
      </c>
      <c r="B884" s="2">
        <v>45809</v>
      </c>
      <c r="C884" s="52">
        <v>17076.599999999999</v>
      </c>
      <c r="D884" s="48">
        <f>_xlfn.XLOOKUP(expected_production[[#This Row],[Site Name]],Table1[[Site Name ]],Table1[Commisioned Date],"")</f>
        <v>45056</v>
      </c>
      <c r="E884" s="47">
        <f>IF(ISNUMBER(expected_production[[#This Row],[Commissioned Date]]),MAX(0,(expected_production[[#This Row],[Date]]-expected_production[[#This Row],[Commissioned Date]])/365.25),"")</f>
        <v>2.0616016427104724</v>
      </c>
      <c r="F884" s="49">
        <f>IF(expected_production[[#This Row],[Age (yrs)]]="",1,(1-DegradationRate)^expected_production[[#This Row],[Age (yrs)]])</f>
        <v>0.98562240147346658</v>
      </c>
      <c r="G884" s="52">
        <f>IF(expected_production[[#This Row],[Base Expected (kWh)]]="","",expected_production[[#This Row],[Base Expected (kWh)]]*expected_production[[#This Row],[Degradation Factor]])</f>
        <v>16831.079501001797</v>
      </c>
    </row>
    <row r="885" spans="1:7" ht="15" hidden="1" customHeight="1" x14ac:dyDescent="0.3">
      <c r="A885" t="s">
        <v>114</v>
      </c>
      <c r="B885" s="2">
        <v>45839</v>
      </c>
      <c r="C885" s="52">
        <v>19010.7</v>
      </c>
      <c r="D885" s="48">
        <f>_xlfn.XLOOKUP(expected_production[[#This Row],[Site Name]],Table1[[Site Name ]],Table1[Commisioned Date],"")</f>
        <v>45056</v>
      </c>
      <c r="E885" s="47">
        <f>IF(ISNUMBER(expected_production[[#This Row],[Commissioned Date]]),MAX(0,(expected_production[[#This Row],[Date]]-expected_production[[#This Row],[Commissioned Date]])/365.25),"")</f>
        <v>2.1437371663244353</v>
      </c>
      <c r="F885" s="49">
        <f>IF(expected_production[[#This Row],[Age (yrs)]]="",1,(1-DegradationRate)^expected_production[[#This Row],[Age (yrs)]])</f>
        <v>0.98505389051935466</v>
      </c>
      <c r="G885" s="52">
        <f>IF(expected_production[[#This Row],[Base Expected (kWh)]]="","",expected_production[[#This Row],[Base Expected (kWh)]]*expected_production[[#This Row],[Degradation Factor]])</f>
        <v>18726.563996496297</v>
      </c>
    </row>
    <row r="886" spans="1:7" ht="15" hidden="1" customHeight="1" x14ac:dyDescent="0.3">
      <c r="A886" t="s">
        <v>114</v>
      </c>
      <c r="B886" s="2">
        <v>45870</v>
      </c>
      <c r="C886" s="52">
        <v>22169.7</v>
      </c>
      <c r="D886" s="48">
        <f>_xlfn.XLOOKUP(expected_production[[#This Row],[Site Name]],Table1[[Site Name ]],Table1[Commisioned Date],"")</f>
        <v>45056</v>
      </c>
      <c r="E886" s="47">
        <f>IF(ISNUMBER(expected_production[[#This Row],[Commissioned Date]]),MAX(0,(expected_production[[#This Row],[Date]]-expected_production[[#This Row],[Commissioned Date]])/365.25),"")</f>
        <v>2.2286105407255303</v>
      </c>
      <c r="F886" s="49">
        <f>IF(expected_production[[#This Row],[Age (yrs)]]="",1,(1-DegradationRate)^expected_production[[#This Row],[Age (yrs)]])</f>
        <v>0.98446677369544322</v>
      </c>
      <c r="G886" s="52">
        <f>IF(expected_production[[#This Row],[Base Expected (kWh)]]="","",expected_production[[#This Row],[Base Expected (kWh)]]*expected_production[[#This Row],[Degradation Factor]])</f>
        <v>21825.333032795868</v>
      </c>
    </row>
    <row r="887" spans="1:7" ht="15" hidden="1" customHeight="1" x14ac:dyDescent="0.3">
      <c r="A887" t="s">
        <v>114</v>
      </c>
      <c r="B887" s="2">
        <v>45901</v>
      </c>
      <c r="C887" s="52">
        <v>24661.8</v>
      </c>
      <c r="D887" s="48">
        <f>_xlfn.XLOOKUP(expected_production[[#This Row],[Site Name]],Table1[[Site Name ]],Table1[Commisioned Date],"")</f>
        <v>45056</v>
      </c>
      <c r="E887" s="47">
        <f>IF(ISNUMBER(expected_production[[#This Row],[Commissioned Date]]),MAX(0,(expected_production[[#This Row],[Date]]-expected_production[[#This Row],[Commissioned Date]])/365.25),"")</f>
        <v>2.3134839151266258</v>
      </c>
      <c r="F887" s="49">
        <f>IF(expected_production[[#This Row],[Age (yrs)]]="",1,(1-DegradationRate)^expected_production[[#This Row],[Age (yrs)]])</f>
        <v>0.98388000680788379</v>
      </c>
      <c r="G887" s="52">
        <f>IF(expected_production[[#This Row],[Base Expected (kWh)]]="","",expected_production[[#This Row],[Base Expected (kWh)]]*expected_production[[#This Row],[Degradation Factor]])</f>
        <v>24264.251951894668</v>
      </c>
    </row>
    <row r="888" spans="1:7" ht="15" hidden="1" customHeight="1" x14ac:dyDescent="0.3">
      <c r="A888" t="s">
        <v>114</v>
      </c>
      <c r="B888" s="2">
        <v>45931</v>
      </c>
      <c r="C888" s="52">
        <v>27450.9</v>
      </c>
      <c r="D888" s="48">
        <f>_xlfn.XLOOKUP(expected_production[[#This Row],[Site Name]],Table1[[Site Name ]],Table1[Commisioned Date],"")</f>
        <v>45056</v>
      </c>
      <c r="E888" s="47">
        <f>IF(ISNUMBER(expected_production[[#This Row],[Commissioned Date]]),MAX(0,(expected_production[[#This Row],[Date]]-expected_production[[#This Row],[Commissioned Date]])/365.25),"")</f>
        <v>2.3956194387405887</v>
      </c>
      <c r="F888" s="49">
        <f>IF(expected_production[[#This Row],[Age (yrs)]]="",1,(1-DegradationRate)^expected_production[[#This Row],[Age (yrs)]])</f>
        <v>0.98331250087400301</v>
      </c>
      <c r="G888" s="52">
        <f>IF(expected_production[[#This Row],[Base Expected (kWh)]]="","",expected_production[[#This Row],[Base Expected (kWh)]]*expected_production[[#This Row],[Degradation Factor]])</f>
        <v>26992.813130242172</v>
      </c>
    </row>
    <row r="889" spans="1:7" ht="15" hidden="1" customHeight="1" x14ac:dyDescent="0.3">
      <c r="A889" t="s">
        <v>114</v>
      </c>
      <c r="B889" s="2">
        <v>45962</v>
      </c>
      <c r="C889" s="52">
        <v>28825.200000000001</v>
      </c>
      <c r="D889" s="48">
        <f>_xlfn.XLOOKUP(expected_production[[#This Row],[Site Name]],Table1[[Site Name ]],Table1[Commisioned Date],"")</f>
        <v>45056</v>
      </c>
      <c r="E889" s="47">
        <f>IF(ISNUMBER(expected_production[[#This Row],[Commissioned Date]]),MAX(0,(expected_production[[#This Row],[Date]]-expected_production[[#This Row],[Commissioned Date]])/365.25),"")</f>
        <v>2.4804928131416837</v>
      </c>
      <c r="F889" s="49">
        <f>IF(expected_production[[#This Row],[Age (yrs)]]="",1,(1-DegradationRate)^expected_production[[#This Row],[Age (yrs)]])</f>
        <v>0.98272642196199433</v>
      </c>
      <c r="G889" s="52">
        <f>IF(expected_production[[#This Row],[Base Expected (kWh)]]="","",expected_production[[#This Row],[Base Expected (kWh)]]*expected_production[[#This Row],[Degradation Factor]])</f>
        <v>28327.285658338878</v>
      </c>
    </row>
    <row r="890" spans="1:7" ht="15" hidden="1" customHeight="1" x14ac:dyDescent="0.3">
      <c r="A890" t="s">
        <v>114</v>
      </c>
      <c r="B890" s="2">
        <v>45992</v>
      </c>
      <c r="C890" s="52">
        <v>28327.5</v>
      </c>
      <c r="D890" s="48">
        <f>_xlfn.XLOOKUP(expected_production[[#This Row],[Site Name]],Table1[[Site Name ]],Table1[Commisioned Date],"")</f>
        <v>45056</v>
      </c>
      <c r="E890" s="47">
        <f>IF(ISNUMBER(expected_production[[#This Row],[Commissioned Date]]),MAX(0,(expected_production[[#This Row],[Date]]-expected_production[[#This Row],[Commissioned Date]])/365.25),"")</f>
        <v>2.5626283367556466</v>
      </c>
      <c r="F890" s="49">
        <f>IF(expected_production[[#This Row],[Age (yrs)]]="",1,(1-DegradationRate)^expected_production[[#This Row],[Age (yrs)]])</f>
        <v>0.98215958142047921</v>
      </c>
      <c r="G890" s="52">
        <f>IF(expected_production[[#This Row],[Base Expected (kWh)]]="","",expected_production[[#This Row],[Base Expected (kWh)]]*expected_production[[#This Row],[Degradation Factor]])</f>
        <v>27822.125542688624</v>
      </c>
    </row>
    <row r="891" spans="1:7" ht="15" hidden="1" customHeight="1" x14ac:dyDescent="0.3">
      <c r="A891" t="s">
        <v>114</v>
      </c>
      <c r="B891" s="2">
        <v>46023</v>
      </c>
      <c r="C891" s="52">
        <v>29391.3</v>
      </c>
      <c r="D891" s="48">
        <f>_xlfn.XLOOKUP(expected_production[[#This Row],[Site Name]],Table1[[Site Name ]],Table1[Commisioned Date],"")</f>
        <v>45056</v>
      </c>
      <c r="E891" s="47">
        <f>IF(ISNUMBER(expected_production[[#This Row],[Commissioned Date]]),MAX(0,(expected_production[[#This Row],[Date]]-expected_production[[#This Row],[Commissioned Date]])/365.25),"")</f>
        <v>2.647501711156742</v>
      </c>
      <c r="F891" s="49">
        <f>IF(expected_production[[#This Row],[Age (yrs)]]="",1,(1-DegradationRate)^expected_production[[#This Row],[Age (yrs)]])</f>
        <v>0.98157418967737997</v>
      </c>
      <c r="G891" s="52">
        <f>IF(expected_production[[#This Row],[Base Expected (kWh)]]="","",expected_production[[#This Row],[Base Expected (kWh)]]*expected_production[[#This Row],[Degradation Factor]])</f>
        <v>28849.741481064779</v>
      </c>
    </row>
    <row r="892" spans="1:7" ht="15" hidden="1" customHeight="1" x14ac:dyDescent="0.3">
      <c r="A892" t="s">
        <v>114</v>
      </c>
      <c r="B892" s="2">
        <v>46054</v>
      </c>
      <c r="C892" s="52">
        <v>25677</v>
      </c>
      <c r="D892" s="48">
        <f>_xlfn.XLOOKUP(expected_production[[#This Row],[Site Name]],Table1[[Site Name ]],Table1[Commisioned Date],"")</f>
        <v>45056</v>
      </c>
      <c r="E892" s="47">
        <f>IF(ISNUMBER(expected_production[[#This Row],[Commissioned Date]]),MAX(0,(expected_production[[#This Row],[Date]]-expected_production[[#This Row],[Commissioned Date]])/365.25),"")</f>
        <v>2.732375085557837</v>
      </c>
      <c r="F892" s="49">
        <f>IF(expected_production[[#This Row],[Age (yrs)]]="",1,(1-DegradationRate)^expected_production[[#This Row],[Age (yrs)]])</f>
        <v>0.98098914684244132</v>
      </c>
      <c r="G892" s="52">
        <f>IF(expected_production[[#This Row],[Base Expected (kWh)]]="","",expected_production[[#This Row],[Base Expected (kWh)]]*expected_production[[#This Row],[Degradation Factor]])</f>
        <v>25188.858323473367</v>
      </c>
    </row>
    <row r="893" spans="1:7" ht="15" hidden="1" customHeight="1" x14ac:dyDescent="0.3">
      <c r="A893" t="s">
        <v>114</v>
      </c>
      <c r="B893" s="2">
        <v>46082</v>
      </c>
      <c r="C893" s="52">
        <v>24204.6</v>
      </c>
      <c r="D893" s="48">
        <f>_xlfn.XLOOKUP(expected_production[[#This Row],[Site Name]],Table1[[Site Name ]],Table1[Commisioned Date],"")</f>
        <v>45056</v>
      </c>
      <c r="E893" s="47">
        <f>IF(ISNUMBER(expected_production[[#This Row],[Commissioned Date]]),MAX(0,(expected_production[[#This Row],[Date]]-expected_production[[#This Row],[Commissioned Date]])/365.25),"")</f>
        <v>2.8090349075975358</v>
      </c>
      <c r="F893" s="49">
        <f>IF(expected_production[[#This Row],[Age (yrs)]]="",1,(1-DegradationRate)^expected_production[[#This Row],[Age (yrs)]])</f>
        <v>0.98046102077707109</v>
      </c>
      <c r="G893" s="52">
        <f>IF(expected_production[[#This Row],[Base Expected (kWh)]]="","",expected_production[[#This Row],[Base Expected (kWh)]]*expected_production[[#This Row],[Degradation Factor]])</f>
        <v>23731.666823500695</v>
      </c>
    </row>
    <row r="894" spans="1:7" ht="15" hidden="1" customHeight="1" x14ac:dyDescent="0.3">
      <c r="A894" t="s">
        <v>114</v>
      </c>
      <c r="B894" s="2">
        <v>46113</v>
      </c>
      <c r="C894" s="52">
        <v>21550.5</v>
      </c>
      <c r="D894" s="48">
        <f>_xlfn.XLOOKUP(expected_production[[#This Row],[Site Name]],Table1[[Site Name ]],Table1[Commisioned Date],"")</f>
        <v>45056</v>
      </c>
      <c r="E894" s="47">
        <f>IF(ISNUMBER(expected_production[[#This Row],[Commissioned Date]]),MAX(0,(expected_production[[#This Row],[Date]]-expected_production[[#This Row],[Commissioned Date]])/365.25),"")</f>
        <v>2.8939082819986313</v>
      </c>
      <c r="F894" s="49">
        <f>IF(expected_production[[#This Row],[Age (yrs)]]="",1,(1-DegradationRate)^expected_production[[#This Row],[Age (yrs)]])</f>
        <v>0.97987664141871533</v>
      </c>
      <c r="G894" s="52">
        <f>IF(expected_production[[#This Row],[Base Expected (kWh)]]="","",expected_production[[#This Row],[Base Expected (kWh)]]*expected_production[[#This Row],[Degradation Factor]])</f>
        <v>21116.831560894025</v>
      </c>
    </row>
    <row r="895" spans="1:7" ht="15" hidden="1" customHeight="1" x14ac:dyDescent="0.3">
      <c r="A895" t="s">
        <v>114</v>
      </c>
      <c r="B895" s="2">
        <v>46143</v>
      </c>
      <c r="C895" s="52">
        <v>19301.400000000001</v>
      </c>
      <c r="D895" s="48">
        <f>_xlfn.XLOOKUP(expected_production[[#This Row],[Site Name]],Table1[[Site Name ]],Table1[Commisioned Date],"")</f>
        <v>45056</v>
      </c>
      <c r="E895" s="47">
        <f>IF(ISNUMBER(expected_production[[#This Row],[Commissioned Date]]),MAX(0,(expected_production[[#This Row],[Date]]-expected_production[[#This Row],[Commissioned Date]])/365.25),"")</f>
        <v>2.9760438056125942</v>
      </c>
      <c r="F895" s="49">
        <f>IF(expected_production[[#This Row],[Age (yrs)]]="",1,(1-DegradationRate)^expected_production[[#This Row],[Age (yrs)]])</f>
        <v>0.97931144464204689</v>
      </c>
      <c r="G895" s="52">
        <f>IF(expected_production[[#This Row],[Base Expected (kWh)]]="","",expected_production[[#This Row],[Base Expected (kWh)]]*expected_production[[#This Row],[Degradation Factor]])</f>
        <v>18902.081917614007</v>
      </c>
    </row>
    <row r="896" spans="1:7" ht="15" hidden="1" customHeight="1" x14ac:dyDescent="0.3">
      <c r="A896" t="s">
        <v>114</v>
      </c>
      <c r="B896" s="2">
        <v>46174</v>
      </c>
      <c r="C896" s="52">
        <v>17076.599999999999</v>
      </c>
      <c r="D896" s="48">
        <f>_xlfn.XLOOKUP(expected_production[[#This Row],[Site Name]],Table1[[Site Name ]],Table1[Commisioned Date],"")</f>
        <v>45056</v>
      </c>
      <c r="E896" s="47">
        <f>IF(ISNUMBER(expected_production[[#This Row],[Commissioned Date]]),MAX(0,(expected_production[[#This Row],[Date]]-expected_production[[#This Row],[Commissioned Date]])/365.25),"")</f>
        <v>3.0609171800136892</v>
      </c>
      <c r="F896" s="49">
        <f>IF(expected_production[[#This Row],[Age (yrs)]]="",1,(1-DegradationRate)^expected_production[[#This Row],[Age (yrs)]])</f>
        <v>0.97872775045989902</v>
      </c>
      <c r="G896" s="52">
        <f>IF(expected_production[[#This Row],[Base Expected (kWh)]]="","",expected_production[[#This Row],[Base Expected (kWh)]]*expected_production[[#This Row],[Degradation Factor]])</f>
        <v>16713.342303503508</v>
      </c>
    </row>
    <row r="897" spans="1:7" ht="15" hidden="1" customHeight="1" x14ac:dyDescent="0.3">
      <c r="A897" t="s">
        <v>114</v>
      </c>
      <c r="B897" s="2">
        <v>46204</v>
      </c>
      <c r="C897" s="52">
        <v>19010.7</v>
      </c>
      <c r="D897" s="48">
        <f>_xlfn.XLOOKUP(expected_production[[#This Row],[Site Name]],Table1[[Site Name ]],Table1[Commisioned Date],"")</f>
        <v>45056</v>
      </c>
      <c r="E897" s="47">
        <f>IF(ISNUMBER(expected_production[[#This Row],[Commissioned Date]]),MAX(0,(expected_production[[#This Row],[Date]]-expected_production[[#This Row],[Commissioned Date]])/365.25),"")</f>
        <v>3.1430527036276521</v>
      </c>
      <c r="F897" s="49">
        <f>IF(expected_production[[#This Row],[Age (yrs)]]="",1,(1-DegradationRate)^expected_production[[#This Row],[Age (yrs)]])</f>
        <v>0.97816321636814341</v>
      </c>
      <c r="G897" s="52">
        <f>IF(expected_production[[#This Row],[Base Expected (kWh)]]="","",expected_production[[#This Row],[Base Expected (kWh)]]*expected_production[[#This Row],[Degradation Factor]])</f>
        <v>18595.567457409863</v>
      </c>
    </row>
    <row r="898" spans="1:7" ht="15" hidden="1" customHeight="1" x14ac:dyDescent="0.3">
      <c r="A898" t="s">
        <v>114</v>
      </c>
      <c r="B898" s="2">
        <v>46235</v>
      </c>
      <c r="C898" s="52">
        <v>22169.7</v>
      </c>
      <c r="D898" s="48">
        <f>_xlfn.XLOOKUP(expected_production[[#This Row],[Site Name]],Table1[[Site Name ]],Table1[Commisioned Date],"")</f>
        <v>45056</v>
      </c>
      <c r="E898" s="47">
        <f>IF(ISNUMBER(expected_production[[#This Row],[Commissioned Date]]),MAX(0,(expected_production[[#This Row],[Date]]-expected_production[[#This Row],[Commissioned Date]])/365.25),"")</f>
        <v>3.2279260780287475</v>
      </c>
      <c r="F898" s="49">
        <f>IF(expected_production[[#This Row],[Age (yrs)]]="",1,(1-DegradationRate)^expected_production[[#This Row],[Age (yrs)]])</f>
        <v>0.97758020655884426</v>
      </c>
      <c r="G898" s="52">
        <f>IF(expected_production[[#This Row],[Base Expected (kWh)]]="","",expected_production[[#This Row],[Base Expected (kWh)]]*expected_production[[#This Row],[Degradation Factor]])</f>
        <v>21672.659905347609</v>
      </c>
    </row>
    <row r="899" spans="1:7" ht="15" hidden="1" customHeight="1" x14ac:dyDescent="0.3">
      <c r="A899" t="s">
        <v>114</v>
      </c>
      <c r="B899" s="2">
        <v>46266</v>
      </c>
      <c r="C899" s="52">
        <v>24661.8</v>
      </c>
      <c r="D899" s="48">
        <f>_xlfn.XLOOKUP(expected_production[[#This Row],[Site Name]],Table1[[Site Name ]],Table1[Commisioned Date],"")</f>
        <v>45056</v>
      </c>
      <c r="E899" s="47">
        <f>IF(ISNUMBER(expected_production[[#This Row],[Commissioned Date]]),MAX(0,(expected_production[[#This Row],[Date]]-expected_production[[#This Row],[Commissioned Date]])/365.25),"")</f>
        <v>3.3127994524298425</v>
      </c>
      <c r="F899" s="49">
        <f>IF(expected_production[[#This Row],[Age (yrs)]]="",1,(1-DegradationRate)^expected_production[[#This Row],[Age (yrs)]])</f>
        <v>0.97699754423801344</v>
      </c>
      <c r="G899" s="52">
        <f>IF(expected_production[[#This Row],[Base Expected (kWh)]]="","",expected_production[[#This Row],[Base Expected (kWh)]]*expected_production[[#This Row],[Degradation Factor]])</f>
        <v>24094.51803648904</v>
      </c>
    </row>
    <row r="900" spans="1:7" ht="15" hidden="1" customHeight="1" x14ac:dyDescent="0.3">
      <c r="A900" t="s">
        <v>114</v>
      </c>
      <c r="B900" s="2">
        <v>46296</v>
      </c>
      <c r="C900" s="52">
        <v>27450.9</v>
      </c>
      <c r="D900" s="48">
        <f>_xlfn.XLOOKUP(expected_production[[#This Row],[Site Name]],Table1[[Site Name ]],Table1[Commisioned Date],"")</f>
        <v>45056</v>
      </c>
      <c r="E900" s="47">
        <f>IF(ISNUMBER(expected_production[[#This Row],[Commissioned Date]]),MAX(0,(expected_production[[#This Row],[Date]]-expected_production[[#This Row],[Commissioned Date]])/365.25),"")</f>
        <v>3.3949349760438055</v>
      </c>
      <c r="F900" s="49">
        <f>IF(expected_production[[#This Row],[Age (yrs)]]="",1,(1-DegradationRate)^expected_production[[#This Row],[Age (yrs)]])</f>
        <v>0.97643400813614578</v>
      </c>
      <c r="G900" s="52">
        <f>IF(expected_production[[#This Row],[Base Expected (kWh)]]="","",expected_production[[#This Row],[Base Expected (kWh)]]*expected_production[[#This Row],[Degradation Factor]])</f>
        <v>26803.992313944527</v>
      </c>
    </row>
    <row r="901" spans="1:7" ht="15" hidden="1" customHeight="1" x14ac:dyDescent="0.3">
      <c r="A901" t="s">
        <v>114</v>
      </c>
      <c r="B901" s="2">
        <v>46327</v>
      </c>
      <c r="C901" s="52">
        <v>28825.200000000001</v>
      </c>
      <c r="D901" s="48">
        <f>_xlfn.XLOOKUP(expected_production[[#This Row],[Site Name]],Table1[[Site Name ]],Table1[Commisioned Date],"")</f>
        <v>45056</v>
      </c>
      <c r="E901" s="47">
        <f>IF(ISNUMBER(expected_production[[#This Row],[Commissioned Date]]),MAX(0,(expected_production[[#This Row],[Date]]-expected_production[[#This Row],[Commissioned Date]])/365.25),"")</f>
        <v>3.4798083504449009</v>
      </c>
      <c r="F901" s="49">
        <f>IF(expected_production[[#This Row],[Age (yrs)]]="",1,(1-DegradationRate)^expected_production[[#This Row],[Age (yrs)]])</f>
        <v>0.97585202897832146</v>
      </c>
      <c r="G901" s="52">
        <f>IF(expected_production[[#This Row],[Base Expected (kWh)]]="","",expected_production[[#This Row],[Base Expected (kWh)]]*expected_production[[#This Row],[Degradation Factor]])</f>
        <v>28129.129905705911</v>
      </c>
    </row>
    <row r="902" spans="1:7" ht="15" hidden="1" customHeight="1" x14ac:dyDescent="0.3">
      <c r="A902" t="s">
        <v>114</v>
      </c>
      <c r="B902" s="2">
        <v>46357</v>
      </c>
      <c r="C902" s="52">
        <v>28327.5</v>
      </c>
      <c r="D902" s="48">
        <f>_xlfn.XLOOKUP(expected_production[[#This Row],[Site Name]],Table1[[Site Name ]],Table1[Commisioned Date],"")</f>
        <v>45056</v>
      </c>
      <c r="E902" s="47">
        <f>IF(ISNUMBER(expected_production[[#This Row],[Commissioned Date]]),MAX(0,(expected_production[[#This Row],[Date]]-expected_production[[#This Row],[Commissioned Date]])/365.25),"")</f>
        <v>3.5619438740588638</v>
      </c>
      <c r="F902" s="49">
        <f>IF(expected_production[[#This Row],[Age (yrs)]]="",1,(1-DegradationRate)^expected_production[[#This Row],[Age (yrs)]])</f>
        <v>0.97528915361424984</v>
      </c>
      <c r="G902" s="52">
        <f>IF(expected_production[[#This Row],[Base Expected (kWh)]]="","",expected_production[[#This Row],[Base Expected (kWh)]]*expected_production[[#This Row],[Degradation Factor]])</f>
        <v>27627.503499007664</v>
      </c>
    </row>
    <row r="903" spans="1:7" ht="15" hidden="1" customHeight="1" x14ac:dyDescent="0.3">
      <c r="A903" t="s">
        <v>117</v>
      </c>
      <c r="B903" s="2">
        <v>45292</v>
      </c>
      <c r="C903" s="52">
        <v>30214.799999999999</v>
      </c>
      <c r="D903" s="48">
        <f>_xlfn.XLOOKUP(expected_production[[#This Row],[Site Name]],Table1[[Site Name ]],Table1[Commisioned Date],"")</f>
        <v>45463</v>
      </c>
      <c r="E903" s="47">
        <f>IF(ISNUMBER(expected_production[[#This Row],[Commissioned Date]]),MAX(0,(expected_production[[#This Row],[Date]]-expected_production[[#This Row],[Commissioned Date]])/365.25),"")</f>
        <v>0</v>
      </c>
      <c r="F903" s="49">
        <f>IF(expected_production[[#This Row],[Age (yrs)]]="",1,(1-DegradationRate)^expected_production[[#This Row],[Age (yrs)]])</f>
        <v>1</v>
      </c>
      <c r="G903" s="52">
        <f>IF(expected_production[[#This Row],[Base Expected (kWh)]]="","",expected_production[[#This Row],[Base Expected (kWh)]]*expected_production[[#This Row],[Degradation Factor]])</f>
        <v>30214.799999999999</v>
      </c>
    </row>
    <row r="904" spans="1:7" ht="15" hidden="1" customHeight="1" x14ac:dyDescent="0.3">
      <c r="A904" t="s">
        <v>117</v>
      </c>
      <c r="B904" s="2">
        <v>45323</v>
      </c>
      <c r="C904" s="52">
        <v>26381.7</v>
      </c>
      <c r="D904" s="48">
        <f>_xlfn.XLOOKUP(expected_production[[#This Row],[Site Name]],Table1[[Site Name ]],Table1[Commisioned Date],"")</f>
        <v>45463</v>
      </c>
      <c r="E904" s="47">
        <f>IF(ISNUMBER(expected_production[[#This Row],[Commissioned Date]]),MAX(0,(expected_production[[#This Row],[Date]]-expected_production[[#This Row],[Commissioned Date]])/365.25),"")</f>
        <v>0</v>
      </c>
      <c r="F904" s="49">
        <f>IF(expected_production[[#This Row],[Age (yrs)]]="",1,(1-DegradationRate)^expected_production[[#This Row],[Age (yrs)]])</f>
        <v>1</v>
      </c>
      <c r="G904" s="52">
        <f>IF(expected_production[[#This Row],[Base Expected (kWh)]]="","",expected_production[[#This Row],[Base Expected (kWh)]]*expected_production[[#This Row],[Degradation Factor]])</f>
        <v>26381.7</v>
      </c>
    </row>
    <row r="905" spans="1:7" ht="15" hidden="1" customHeight="1" x14ac:dyDescent="0.3">
      <c r="A905" t="s">
        <v>117</v>
      </c>
      <c r="B905" s="2">
        <v>45352</v>
      </c>
      <c r="C905" s="52">
        <v>27566.1</v>
      </c>
      <c r="D905" s="48">
        <f>_xlfn.XLOOKUP(expected_production[[#This Row],[Site Name]],Table1[[Site Name ]],Table1[Commisioned Date],"")</f>
        <v>45463</v>
      </c>
      <c r="E905" s="47">
        <f>IF(ISNUMBER(expected_production[[#This Row],[Commissioned Date]]),MAX(0,(expected_production[[#This Row],[Date]]-expected_production[[#This Row],[Commissioned Date]])/365.25),"")</f>
        <v>0</v>
      </c>
      <c r="F905" s="49">
        <f>IF(expected_production[[#This Row],[Age (yrs)]]="",1,(1-DegradationRate)^expected_production[[#This Row],[Age (yrs)]])</f>
        <v>1</v>
      </c>
      <c r="G905" s="52">
        <f>IF(expected_production[[#This Row],[Base Expected (kWh)]]="","",expected_production[[#This Row],[Base Expected (kWh)]]*expected_production[[#This Row],[Degradation Factor]])</f>
        <v>27566.1</v>
      </c>
    </row>
    <row r="906" spans="1:7" ht="15" hidden="1" customHeight="1" x14ac:dyDescent="0.3">
      <c r="A906" t="s">
        <v>117</v>
      </c>
      <c r="B906" s="2">
        <v>45383</v>
      </c>
      <c r="C906" s="52">
        <v>23747.4</v>
      </c>
      <c r="D906" s="48">
        <f>_xlfn.XLOOKUP(expected_production[[#This Row],[Site Name]],Table1[[Site Name ]],Table1[Commisioned Date],"")</f>
        <v>45463</v>
      </c>
      <c r="E906" s="47">
        <f>IF(ISNUMBER(expected_production[[#This Row],[Commissioned Date]]),MAX(0,(expected_production[[#This Row],[Date]]-expected_production[[#This Row],[Commissioned Date]])/365.25),"")</f>
        <v>0</v>
      </c>
      <c r="F906" s="49">
        <f>IF(expected_production[[#This Row],[Age (yrs)]]="",1,(1-DegradationRate)^expected_production[[#This Row],[Age (yrs)]])</f>
        <v>1</v>
      </c>
      <c r="G906" s="52">
        <f>IF(expected_production[[#This Row],[Base Expected (kWh)]]="","",expected_production[[#This Row],[Base Expected (kWh)]]*expected_production[[#This Row],[Degradation Factor]])</f>
        <v>23747.4</v>
      </c>
    </row>
    <row r="907" spans="1:7" ht="15" hidden="1" customHeight="1" x14ac:dyDescent="0.3">
      <c r="A907" t="s">
        <v>117</v>
      </c>
      <c r="B907" s="2">
        <v>45413</v>
      </c>
      <c r="C907" s="52">
        <v>22569.3</v>
      </c>
      <c r="D907" s="48">
        <f>_xlfn.XLOOKUP(expected_production[[#This Row],[Site Name]],Table1[[Site Name ]],Table1[Commisioned Date],"")</f>
        <v>45463</v>
      </c>
      <c r="E907" s="47">
        <f>IF(ISNUMBER(expected_production[[#This Row],[Commissioned Date]]),MAX(0,(expected_production[[#This Row],[Date]]-expected_production[[#This Row],[Commissioned Date]])/365.25),"")</f>
        <v>0</v>
      </c>
      <c r="F907" s="49">
        <f>IF(expected_production[[#This Row],[Age (yrs)]]="",1,(1-DegradationRate)^expected_production[[#This Row],[Age (yrs)]])</f>
        <v>1</v>
      </c>
      <c r="G907" s="52">
        <f>IF(expected_production[[#This Row],[Base Expected (kWh)]]="","",expected_production[[#This Row],[Base Expected (kWh)]]*expected_production[[#This Row],[Degradation Factor]])</f>
        <v>22569.3</v>
      </c>
    </row>
    <row r="908" spans="1:7" ht="15" hidden="1" customHeight="1" x14ac:dyDescent="0.3">
      <c r="A908" t="s">
        <v>117</v>
      </c>
      <c r="B908" s="2">
        <v>45444</v>
      </c>
      <c r="C908" s="52">
        <v>20228.400000000001</v>
      </c>
      <c r="D908" s="48">
        <f>_xlfn.XLOOKUP(expected_production[[#This Row],[Site Name]],Table1[[Site Name ]],Table1[Commisioned Date],"")</f>
        <v>45463</v>
      </c>
      <c r="E908" s="47">
        <f>IF(ISNUMBER(expected_production[[#This Row],[Commissioned Date]]),MAX(0,(expected_production[[#This Row],[Date]]-expected_production[[#This Row],[Commissioned Date]])/365.25),"")</f>
        <v>0</v>
      </c>
      <c r="F908" s="49">
        <f>IF(expected_production[[#This Row],[Age (yrs)]]="",1,(1-DegradationRate)^expected_production[[#This Row],[Age (yrs)]])</f>
        <v>1</v>
      </c>
      <c r="G908" s="52">
        <f>IF(expected_production[[#This Row],[Base Expected (kWh)]]="","",expected_production[[#This Row],[Base Expected (kWh)]]*expected_production[[#This Row],[Degradation Factor]])</f>
        <v>20228.400000000001</v>
      </c>
    </row>
    <row r="909" spans="1:7" ht="15" hidden="1" customHeight="1" x14ac:dyDescent="0.3">
      <c r="A909" t="s">
        <v>117</v>
      </c>
      <c r="B909" s="2">
        <v>45474</v>
      </c>
      <c r="C909" s="52">
        <v>22354.2</v>
      </c>
      <c r="D909" s="48">
        <f>_xlfn.XLOOKUP(expected_production[[#This Row],[Site Name]],Table1[[Site Name ]],Table1[Commisioned Date],"")</f>
        <v>45463</v>
      </c>
      <c r="E909" s="47">
        <f>IF(ISNUMBER(expected_production[[#This Row],[Commissioned Date]]),MAX(0,(expected_production[[#This Row],[Date]]-expected_production[[#This Row],[Commissioned Date]])/365.25),"")</f>
        <v>3.0116358658453114E-2</v>
      </c>
      <c r="F909" s="49">
        <f>IF(expected_production[[#This Row],[Age (yrs)]]="",1,(1-DegradationRate)^expected_production[[#This Row],[Age (yrs)]])</f>
        <v>0.99978846655347597</v>
      </c>
      <c r="G909" s="52">
        <f>IF(expected_production[[#This Row],[Base Expected (kWh)]]="","",expected_production[[#This Row],[Base Expected (kWh)]]*expected_production[[#This Row],[Degradation Factor]])</f>
        <v>22349.471339029715</v>
      </c>
    </row>
    <row r="910" spans="1:7" ht="15" hidden="1" customHeight="1" x14ac:dyDescent="0.3">
      <c r="A910" t="s">
        <v>117</v>
      </c>
      <c r="B910" s="2">
        <v>45505</v>
      </c>
      <c r="C910" s="52">
        <v>26968.5</v>
      </c>
      <c r="D910" s="48">
        <f>_xlfn.XLOOKUP(expected_production[[#This Row],[Site Name]],Table1[[Site Name ]],Table1[Commisioned Date],"")</f>
        <v>45463</v>
      </c>
      <c r="E910" s="47">
        <f>IF(ISNUMBER(expected_production[[#This Row],[Commissioned Date]]),MAX(0,(expected_production[[#This Row],[Date]]-expected_production[[#This Row],[Commissioned Date]])/365.25),"")</f>
        <v>0.11498973305954825</v>
      </c>
      <c r="F910" s="49">
        <f>IF(expected_production[[#This Row],[Age (yrs)]]="",1,(1-DegradationRate)^expected_production[[#This Row],[Age (yrs)]])</f>
        <v>0.99919256755270491</v>
      </c>
      <c r="G910" s="52">
        <f>IF(expected_production[[#This Row],[Base Expected (kWh)]]="","",expected_production[[#This Row],[Base Expected (kWh)]]*expected_production[[#This Row],[Degradation Factor]])</f>
        <v>26946.724758045122</v>
      </c>
    </row>
    <row r="911" spans="1:7" ht="15" hidden="1" customHeight="1" x14ac:dyDescent="0.3">
      <c r="A911" t="s">
        <v>117</v>
      </c>
      <c r="B911" s="2">
        <v>45536</v>
      </c>
      <c r="C911" s="52">
        <v>28840.5</v>
      </c>
      <c r="D911" s="48">
        <f>_xlfn.XLOOKUP(expected_production[[#This Row],[Site Name]],Table1[[Site Name ]],Table1[Commisioned Date],"")</f>
        <v>45463</v>
      </c>
      <c r="E911" s="47">
        <f>IF(ISNUMBER(expected_production[[#This Row],[Commissioned Date]]),MAX(0,(expected_production[[#This Row],[Date]]-expected_production[[#This Row],[Commissioned Date]])/365.25),"")</f>
        <v>0.1998631074606434</v>
      </c>
      <c r="F911" s="49">
        <f>IF(expected_production[[#This Row],[Age (yrs)]]="",1,(1-DegradationRate)^expected_production[[#This Row],[Age (yrs)]])</f>
        <v>0.99859702372268344</v>
      </c>
      <c r="G911" s="52">
        <f>IF(expected_production[[#This Row],[Base Expected (kWh)]]="","",expected_production[[#This Row],[Base Expected (kWh)]]*expected_production[[#This Row],[Degradation Factor]])</f>
        <v>28800.037462674052</v>
      </c>
    </row>
    <row r="912" spans="1:7" ht="15" hidden="1" customHeight="1" x14ac:dyDescent="0.3">
      <c r="A912" t="s">
        <v>117</v>
      </c>
      <c r="B912" s="2">
        <v>45566</v>
      </c>
      <c r="C912" s="52">
        <v>30258</v>
      </c>
      <c r="D912" s="48">
        <f>_xlfn.XLOOKUP(expected_production[[#This Row],[Site Name]],Table1[[Site Name ]],Table1[Commisioned Date],"")</f>
        <v>45463</v>
      </c>
      <c r="E912" s="47">
        <f>IF(ISNUMBER(expected_production[[#This Row],[Commissioned Date]]),MAX(0,(expected_production[[#This Row],[Date]]-expected_production[[#This Row],[Commissioned Date]])/365.25),"")</f>
        <v>0.28199863107460643</v>
      </c>
      <c r="F912" s="49">
        <f>IF(expected_production[[#This Row],[Age (yrs)]]="",1,(1-DegradationRate)^expected_production[[#This Row],[Age (yrs)]])</f>
        <v>0.99802102895442202</v>
      </c>
      <c r="G912" s="52">
        <f>IF(expected_production[[#This Row],[Base Expected (kWh)]]="","",expected_production[[#This Row],[Base Expected (kWh)]]*expected_production[[#This Row],[Degradation Factor]])</f>
        <v>30198.120294102901</v>
      </c>
    </row>
    <row r="913" spans="1:7" ht="15" hidden="1" customHeight="1" x14ac:dyDescent="0.3">
      <c r="A913" t="s">
        <v>117</v>
      </c>
      <c r="B913" s="2">
        <v>45597</v>
      </c>
      <c r="C913" s="52">
        <v>29380.5</v>
      </c>
      <c r="D913" s="48">
        <f>_xlfn.XLOOKUP(expected_production[[#This Row],[Site Name]],Table1[[Site Name ]],Table1[Commisioned Date],"")</f>
        <v>45463</v>
      </c>
      <c r="E913" s="47">
        <f>IF(ISNUMBER(expected_production[[#This Row],[Commissioned Date]]),MAX(0,(expected_production[[#This Row],[Date]]-expected_production[[#This Row],[Commissioned Date]])/365.25),"")</f>
        <v>0.36687200547570159</v>
      </c>
      <c r="F913" s="49">
        <f>IF(expected_production[[#This Row],[Age (yrs)]]="",1,(1-DegradationRate)^expected_production[[#This Row],[Age (yrs)]])</f>
        <v>0.99742618339078737</v>
      </c>
      <c r="G913" s="52">
        <f>IF(expected_production[[#This Row],[Base Expected (kWh)]]="","",expected_production[[#This Row],[Base Expected (kWh)]]*expected_production[[#This Row],[Degradation Factor]])</f>
        <v>29304.879981113027</v>
      </c>
    </row>
    <row r="914" spans="1:7" ht="15" hidden="1" customHeight="1" x14ac:dyDescent="0.3">
      <c r="A914" t="s">
        <v>117</v>
      </c>
      <c r="B914" s="2">
        <v>45627</v>
      </c>
      <c r="C914" s="52">
        <v>31219.200000000001</v>
      </c>
      <c r="D914" s="48">
        <f>_xlfn.XLOOKUP(expected_production[[#This Row],[Site Name]],Table1[[Site Name ]],Table1[Commisioned Date],"")</f>
        <v>45463</v>
      </c>
      <c r="E914" s="47">
        <f>IF(ISNUMBER(expected_production[[#This Row],[Commissioned Date]]),MAX(0,(expected_production[[#This Row],[Date]]-expected_production[[#This Row],[Commissioned Date]])/365.25),"")</f>
        <v>0.44900752908966463</v>
      </c>
      <c r="F914" s="49">
        <f>IF(expected_production[[#This Row],[Age (yrs)]]="",1,(1-DegradationRate)^expected_production[[#This Row],[Age (yrs)]])</f>
        <v>0.99685086396792522</v>
      </c>
      <c r="G914" s="52">
        <f>IF(expected_production[[#This Row],[Base Expected (kWh)]]="","",expected_production[[#This Row],[Base Expected (kWh)]]*expected_production[[#This Row],[Degradation Factor]])</f>
        <v>31120.88649238745</v>
      </c>
    </row>
    <row r="915" spans="1:7" ht="15" hidden="1" customHeight="1" x14ac:dyDescent="0.3">
      <c r="A915" t="s">
        <v>117</v>
      </c>
      <c r="B915" s="2">
        <v>45658</v>
      </c>
      <c r="C915" s="52">
        <v>30214.799999999999</v>
      </c>
      <c r="D915" s="48">
        <f>_xlfn.XLOOKUP(expected_production[[#This Row],[Site Name]],Table1[[Site Name ]],Table1[Commisioned Date],"")</f>
        <v>45463</v>
      </c>
      <c r="E915" s="47">
        <f>IF(ISNUMBER(expected_production[[#This Row],[Commissioned Date]]),MAX(0,(expected_production[[#This Row],[Date]]-expected_production[[#This Row],[Commissioned Date]])/365.25),"")</f>
        <v>0.53388090349075978</v>
      </c>
      <c r="F915" s="49">
        <f>IF(expected_production[[#This Row],[Age (yrs)]]="",1,(1-DegradationRate)^expected_production[[#This Row],[Age (yrs)]])</f>
        <v>0.99625671585197029</v>
      </c>
      <c r="G915" s="52">
        <f>IF(expected_production[[#This Row],[Base Expected (kWh)]]="","",expected_production[[#This Row],[Base Expected (kWh)]]*expected_production[[#This Row],[Degradation Factor]])</f>
        <v>30101.697418124109</v>
      </c>
    </row>
    <row r="916" spans="1:7" ht="15" hidden="1" customHeight="1" x14ac:dyDescent="0.3">
      <c r="A916" t="s">
        <v>117</v>
      </c>
      <c r="B916" s="2">
        <v>45689</v>
      </c>
      <c r="C916" s="52">
        <v>26381.7</v>
      </c>
      <c r="D916" s="48">
        <f>_xlfn.XLOOKUP(expected_production[[#This Row],[Site Name]],Table1[[Site Name ]],Table1[Commisioned Date],"")</f>
        <v>45463</v>
      </c>
      <c r="E916" s="47">
        <f>IF(ISNUMBER(expected_production[[#This Row],[Commissioned Date]]),MAX(0,(expected_production[[#This Row],[Date]]-expected_production[[#This Row],[Commissioned Date]])/365.25),"")</f>
        <v>0.61875427789185489</v>
      </c>
      <c r="F916" s="49">
        <f>IF(expected_production[[#This Row],[Age (yrs)]]="",1,(1-DegradationRate)^expected_production[[#This Row],[Age (yrs)]])</f>
        <v>0.99566292186319361</v>
      </c>
      <c r="G916" s="52">
        <f>IF(expected_production[[#This Row],[Base Expected (kWh)]]="","",expected_production[[#This Row],[Base Expected (kWh)]]*expected_production[[#This Row],[Degradation Factor]])</f>
        <v>26267.280505718216</v>
      </c>
    </row>
    <row r="917" spans="1:7" ht="15" hidden="1" customHeight="1" x14ac:dyDescent="0.3">
      <c r="A917" t="s">
        <v>117</v>
      </c>
      <c r="B917" s="2">
        <v>45717</v>
      </c>
      <c r="C917" s="52">
        <v>27566.1</v>
      </c>
      <c r="D917" s="48">
        <f>_xlfn.XLOOKUP(expected_production[[#This Row],[Site Name]],Table1[[Site Name ]],Table1[Commisioned Date],"")</f>
        <v>45463</v>
      </c>
      <c r="E917" s="47">
        <f>IF(ISNUMBER(expected_production[[#This Row],[Commissioned Date]]),MAX(0,(expected_production[[#This Row],[Date]]-expected_production[[#This Row],[Commissioned Date]])/365.25),"")</f>
        <v>0.69541409993155368</v>
      </c>
      <c r="F917" s="49">
        <f>IF(expected_production[[#This Row],[Age (yrs)]]="",1,(1-DegradationRate)^expected_production[[#This Row],[Age (yrs)]])</f>
        <v>0.99512689601311044</v>
      </c>
      <c r="G917" s="52">
        <f>IF(expected_production[[#This Row],[Base Expected (kWh)]]="","",expected_production[[#This Row],[Base Expected (kWh)]]*expected_production[[#This Row],[Degradation Factor]])</f>
        <v>27431.767528187003</v>
      </c>
    </row>
    <row r="918" spans="1:7" ht="15" hidden="1" customHeight="1" x14ac:dyDescent="0.3">
      <c r="A918" t="s">
        <v>117</v>
      </c>
      <c r="B918" s="2">
        <v>45748</v>
      </c>
      <c r="C918" s="52">
        <v>23747.4</v>
      </c>
      <c r="D918" s="48">
        <f>_xlfn.XLOOKUP(expected_production[[#This Row],[Site Name]],Table1[[Site Name ]],Table1[Commisioned Date],"")</f>
        <v>45463</v>
      </c>
      <c r="E918" s="47">
        <f>IF(ISNUMBER(expected_production[[#This Row],[Commissioned Date]]),MAX(0,(expected_production[[#This Row],[Date]]-expected_production[[#This Row],[Commissioned Date]])/365.25),"")</f>
        <v>0.78028747433264889</v>
      </c>
      <c r="F918" s="49">
        <f>IF(expected_production[[#This Row],[Age (yrs)]]="",1,(1-DegradationRate)^expected_production[[#This Row],[Age (yrs)]])</f>
        <v>0.99453377542529364</v>
      </c>
      <c r="G918" s="52">
        <f>IF(expected_production[[#This Row],[Base Expected (kWh)]]="","",expected_production[[#This Row],[Base Expected (kWh)]]*expected_production[[#This Row],[Degradation Factor]])</f>
        <v>23617.59137853462</v>
      </c>
    </row>
    <row r="919" spans="1:7" ht="15" hidden="1" customHeight="1" x14ac:dyDescent="0.3">
      <c r="A919" t="s">
        <v>117</v>
      </c>
      <c r="B919" s="2">
        <v>45778</v>
      </c>
      <c r="C919" s="52">
        <v>22569.3</v>
      </c>
      <c r="D919" s="48">
        <f>_xlfn.XLOOKUP(expected_production[[#This Row],[Site Name]],Table1[[Site Name ]],Table1[Commisioned Date],"")</f>
        <v>45463</v>
      </c>
      <c r="E919" s="47">
        <f>IF(ISNUMBER(expected_production[[#This Row],[Commissioned Date]]),MAX(0,(expected_production[[#This Row],[Date]]-expected_production[[#This Row],[Commissioned Date]])/365.25),"")</f>
        <v>0.86242299794661192</v>
      </c>
      <c r="F919" s="49">
        <f>IF(expected_production[[#This Row],[Age (yrs)]]="",1,(1-DegradationRate)^expected_production[[#This Row],[Age (yrs)]])</f>
        <v>0.99396012435494629</v>
      </c>
      <c r="G919" s="52">
        <f>IF(expected_production[[#This Row],[Base Expected (kWh)]]="","",expected_production[[#This Row],[Base Expected (kWh)]]*expected_production[[#This Row],[Degradation Factor]])</f>
        <v>22432.98423460409</v>
      </c>
    </row>
    <row r="920" spans="1:7" ht="15" hidden="1" customHeight="1" x14ac:dyDescent="0.3">
      <c r="A920" t="s">
        <v>117</v>
      </c>
      <c r="B920" s="2">
        <v>45809</v>
      </c>
      <c r="C920" s="52">
        <v>20228.400000000001</v>
      </c>
      <c r="D920" s="48">
        <f>_xlfn.XLOOKUP(expected_production[[#This Row],[Site Name]],Table1[[Site Name ]],Table1[Commisioned Date],"")</f>
        <v>45463</v>
      </c>
      <c r="E920" s="47">
        <f>IF(ISNUMBER(expected_production[[#This Row],[Commissioned Date]]),MAX(0,(expected_production[[#This Row],[Date]]-expected_production[[#This Row],[Commissioned Date]])/365.25),"")</f>
        <v>0.94729637234770703</v>
      </c>
      <c r="F920" s="49">
        <f>IF(expected_production[[#This Row],[Age (yrs)]]="",1,(1-DegradationRate)^expected_production[[#This Row],[Age (yrs)]])</f>
        <v>0.99336769919230039</v>
      </c>
      <c r="G920" s="52">
        <f>IF(expected_production[[#This Row],[Base Expected (kWh)]]="","",expected_production[[#This Row],[Base Expected (kWh)]]*expected_production[[#This Row],[Degradation Factor]])</f>
        <v>20094.239166341529</v>
      </c>
    </row>
    <row r="921" spans="1:7" ht="15" hidden="1" customHeight="1" x14ac:dyDescent="0.3">
      <c r="A921" t="s">
        <v>117</v>
      </c>
      <c r="B921" s="2">
        <v>45839</v>
      </c>
      <c r="C921" s="52">
        <v>22354.2</v>
      </c>
      <c r="D921" s="48">
        <f>_xlfn.XLOOKUP(expected_production[[#This Row],[Site Name]],Table1[[Site Name ]],Table1[Commisioned Date],"")</f>
        <v>45463</v>
      </c>
      <c r="E921" s="47">
        <f>IF(ISNUMBER(expected_production[[#This Row],[Commissioned Date]]),MAX(0,(expected_production[[#This Row],[Date]]-expected_production[[#This Row],[Commissioned Date]])/365.25),"")</f>
        <v>1.0294318959616702</v>
      </c>
      <c r="F921" s="49">
        <f>IF(expected_production[[#This Row],[Age (yrs)]]="",1,(1-DegradationRate)^expected_production[[#This Row],[Age (yrs)]])</f>
        <v>0.99279472071940089</v>
      </c>
      <c r="G921" s="52">
        <f>IF(expected_production[[#This Row],[Base Expected (kWh)]]="","",expected_production[[#This Row],[Base Expected (kWh)]]*expected_production[[#This Row],[Degradation Factor]])</f>
        <v>22193.131745905634</v>
      </c>
    </row>
    <row r="922" spans="1:7" ht="15" hidden="1" customHeight="1" x14ac:dyDescent="0.3">
      <c r="A922" t="s">
        <v>117</v>
      </c>
      <c r="B922" s="2">
        <v>45870</v>
      </c>
      <c r="C922" s="52">
        <v>26968.5</v>
      </c>
      <c r="D922" s="48">
        <f>_xlfn.XLOOKUP(expected_production[[#This Row],[Site Name]],Table1[[Site Name ]],Table1[Commisioned Date],"")</f>
        <v>45463</v>
      </c>
      <c r="E922" s="47">
        <f>IF(ISNUMBER(expected_production[[#This Row],[Commissioned Date]]),MAX(0,(expected_production[[#This Row],[Date]]-expected_production[[#This Row],[Commissioned Date]])/365.25),"")</f>
        <v>1.1143052703627652</v>
      </c>
      <c r="F922" s="49">
        <f>IF(expected_production[[#This Row],[Age (yrs)]]="",1,(1-DegradationRate)^expected_production[[#This Row],[Age (yrs)]])</f>
        <v>0.99220299016655011</v>
      </c>
      <c r="G922" s="52">
        <f>IF(expected_production[[#This Row],[Base Expected (kWh)]]="","",expected_production[[#This Row],[Base Expected (kWh)]]*expected_production[[#This Row],[Degradation Factor]])</f>
        <v>26758.226340306606</v>
      </c>
    </row>
    <row r="923" spans="1:7" ht="15" hidden="1" customHeight="1" x14ac:dyDescent="0.3">
      <c r="A923" t="s">
        <v>117</v>
      </c>
      <c r="B923" s="2">
        <v>45901</v>
      </c>
      <c r="C923" s="52">
        <v>28840.5</v>
      </c>
      <c r="D923" s="48">
        <f>_xlfn.XLOOKUP(expected_production[[#This Row],[Site Name]],Table1[[Site Name ]],Table1[Commisioned Date],"")</f>
        <v>45463</v>
      </c>
      <c r="E923" s="47">
        <f>IF(ISNUMBER(expected_production[[#This Row],[Commissioned Date]]),MAX(0,(expected_production[[#This Row],[Date]]-expected_production[[#This Row],[Commissioned Date]])/365.25),"")</f>
        <v>1.1991786447638604</v>
      </c>
      <c r="F923" s="49">
        <f>IF(expected_production[[#This Row],[Age (yrs)]]="",1,(1-DegradationRate)^expected_production[[#This Row],[Age (yrs)]])</f>
        <v>0.99161161229994954</v>
      </c>
      <c r="G923" s="52">
        <f>IF(expected_production[[#This Row],[Base Expected (kWh)]]="","",expected_production[[#This Row],[Base Expected (kWh)]]*expected_production[[#This Row],[Degradation Factor]])</f>
        <v>28598.574704536695</v>
      </c>
    </row>
    <row r="924" spans="1:7" ht="15" hidden="1" customHeight="1" x14ac:dyDescent="0.3">
      <c r="A924" t="s">
        <v>117</v>
      </c>
      <c r="B924" s="2">
        <v>45931</v>
      </c>
      <c r="C924" s="52">
        <v>30258</v>
      </c>
      <c r="D924" s="48">
        <f>_xlfn.XLOOKUP(expected_production[[#This Row],[Site Name]],Table1[[Site Name ]],Table1[Commisioned Date],"")</f>
        <v>45463</v>
      </c>
      <c r="E924" s="47">
        <f>IF(ISNUMBER(expected_production[[#This Row],[Commissioned Date]]),MAX(0,(expected_production[[#This Row],[Date]]-expected_production[[#This Row],[Commissioned Date]])/365.25),"")</f>
        <v>1.2813141683778233</v>
      </c>
      <c r="F924" s="49">
        <f>IF(expected_production[[#This Row],[Age (yrs)]]="",1,(1-DegradationRate)^expected_production[[#This Row],[Age (yrs)]])</f>
        <v>0.99103964674501255</v>
      </c>
      <c r="G924" s="52">
        <f>IF(expected_production[[#This Row],[Base Expected (kWh)]]="","",expected_production[[#This Row],[Base Expected (kWh)]]*expected_production[[#This Row],[Degradation Factor]])</f>
        <v>29986.877631210591</v>
      </c>
    </row>
    <row r="925" spans="1:7" ht="15" hidden="1" customHeight="1" x14ac:dyDescent="0.3">
      <c r="A925" t="s">
        <v>117</v>
      </c>
      <c r="B925" s="2">
        <v>45962</v>
      </c>
      <c r="C925" s="52">
        <v>29380.5</v>
      </c>
      <c r="D925" s="48">
        <f>_xlfn.XLOOKUP(expected_production[[#This Row],[Site Name]],Table1[[Site Name ]],Table1[Commisioned Date],"")</f>
        <v>45463</v>
      </c>
      <c r="E925" s="47">
        <f>IF(ISNUMBER(expected_production[[#This Row],[Commissioned Date]]),MAX(0,(expected_production[[#This Row],[Date]]-expected_production[[#This Row],[Commissioned Date]])/365.25),"")</f>
        <v>1.3661875427789185</v>
      </c>
      <c r="F925" s="49">
        <f>IF(expected_production[[#This Row],[Age (yrs)]]="",1,(1-DegradationRate)^expected_production[[#This Row],[Age (yrs)]])</f>
        <v>0.9904489622602678</v>
      </c>
      <c r="G925" s="52">
        <f>IF(expected_production[[#This Row],[Base Expected (kWh)]]="","",expected_production[[#This Row],[Base Expected (kWh)]]*expected_production[[#This Row],[Degradation Factor]])</f>
        <v>29099.8857356878</v>
      </c>
    </row>
    <row r="926" spans="1:7" ht="15" hidden="1" customHeight="1" x14ac:dyDescent="0.3">
      <c r="A926" t="s">
        <v>117</v>
      </c>
      <c r="B926" s="2">
        <v>45992</v>
      </c>
      <c r="C926" s="52">
        <v>31219.200000000001</v>
      </c>
      <c r="D926" s="48">
        <f>_xlfn.XLOOKUP(expected_production[[#This Row],[Site Name]],Table1[[Site Name ]],Table1[Commisioned Date],"")</f>
        <v>45463</v>
      </c>
      <c r="E926" s="47">
        <f>IF(ISNUMBER(expected_production[[#This Row],[Commissioned Date]]),MAX(0,(expected_production[[#This Row],[Date]]-expected_production[[#This Row],[Commissioned Date]])/365.25),"")</f>
        <v>1.4483230663928817</v>
      </c>
      <c r="F926" s="49">
        <f>IF(expected_production[[#This Row],[Age (yrs)]]="",1,(1-DegradationRate)^expected_production[[#This Row],[Age (yrs)]])</f>
        <v>0.98987766732653659</v>
      </c>
      <c r="G926" s="52">
        <f>IF(expected_production[[#This Row],[Base Expected (kWh)]]="","",expected_production[[#This Row],[Base Expected (kWh)]]*expected_production[[#This Row],[Degradation Factor]])</f>
        <v>30903.188871800612</v>
      </c>
    </row>
    <row r="927" spans="1:7" ht="15" hidden="1" customHeight="1" x14ac:dyDescent="0.3">
      <c r="A927" t="s">
        <v>117</v>
      </c>
      <c r="B927" s="2">
        <v>46023</v>
      </c>
      <c r="C927" s="52">
        <v>30214.799999999999</v>
      </c>
      <c r="D927" s="48">
        <f>_xlfn.XLOOKUP(expected_production[[#This Row],[Site Name]],Table1[[Site Name ]],Table1[Commisioned Date],"")</f>
        <v>45463</v>
      </c>
      <c r="E927" s="47">
        <f>IF(ISNUMBER(expected_production[[#This Row],[Commissioned Date]]),MAX(0,(expected_production[[#This Row],[Date]]-expected_production[[#This Row],[Commissioned Date]])/365.25),"")</f>
        <v>1.5331964407939767</v>
      </c>
      <c r="F927" s="49">
        <f>IF(expected_production[[#This Row],[Age (yrs)]]="",1,(1-DegradationRate)^expected_production[[#This Row],[Age (yrs)]])</f>
        <v>0.98928767541066776</v>
      </c>
      <c r="G927" s="52">
        <f>IF(expected_production[[#This Row],[Base Expected (kWh)]]="","",expected_production[[#This Row],[Base Expected (kWh)]]*expected_production[[#This Row],[Degradation Factor]])</f>
        <v>29891.129254998243</v>
      </c>
    </row>
    <row r="928" spans="1:7" ht="15" hidden="1" customHeight="1" x14ac:dyDescent="0.3">
      <c r="A928" t="s">
        <v>117</v>
      </c>
      <c r="B928" s="2">
        <v>46054</v>
      </c>
      <c r="C928" s="52">
        <v>26381.7</v>
      </c>
      <c r="D928" s="48">
        <f>_xlfn.XLOOKUP(expected_production[[#This Row],[Site Name]],Table1[[Site Name ]],Table1[Commisioned Date],"")</f>
        <v>45463</v>
      </c>
      <c r="E928" s="47">
        <f>IF(ISNUMBER(expected_production[[#This Row],[Commissioned Date]]),MAX(0,(expected_production[[#This Row],[Date]]-expected_production[[#This Row],[Commissioned Date]])/365.25),"")</f>
        <v>1.6180698151950719</v>
      </c>
      <c r="F928" s="49">
        <f>IF(expected_production[[#This Row],[Age (yrs)]]="",1,(1-DegradationRate)^expected_production[[#This Row],[Age (yrs)]])</f>
        <v>0.98869803514477772</v>
      </c>
      <c r="G928" s="52">
        <f>IF(expected_production[[#This Row],[Base Expected (kWh)]]="","",expected_production[[#This Row],[Base Expected (kWh)]]*expected_production[[#This Row],[Degradation Factor]])</f>
        <v>26083.534953778984</v>
      </c>
    </row>
    <row r="929" spans="1:7" ht="15" hidden="1" customHeight="1" x14ac:dyDescent="0.3">
      <c r="A929" t="s">
        <v>117</v>
      </c>
      <c r="B929" s="2">
        <v>46082</v>
      </c>
      <c r="C929" s="52">
        <v>27566.1</v>
      </c>
      <c r="D929" s="48">
        <f>_xlfn.XLOOKUP(expected_production[[#This Row],[Site Name]],Table1[[Site Name ]],Table1[Commisioned Date],"")</f>
        <v>45463</v>
      </c>
      <c r="E929" s="47">
        <f>IF(ISNUMBER(expected_production[[#This Row],[Commissioned Date]]),MAX(0,(expected_production[[#This Row],[Date]]-expected_production[[#This Row],[Commissioned Date]])/365.25),"")</f>
        <v>1.6947296372347707</v>
      </c>
      <c r="F929" s="49">
        <f>IF(expected_production[[#This Row],[Age (yrs)]]="",1,(1-DegradationRate)^expected_production[[#This Row],[Age (yrs)]])</f>
        <v>0.98816575891642089</v>
      </c>
      <c r="G929" s="52">
        <f>IF(expected_production[[#This Row],[Base Expected (kWh)]]="","",expected_production[[#This Row],[Base Expected (kWh)]]*expected_production[[#This Row],[Degradation Factor]])</f>
        <v>27239.876126865947</v>
      </c>
    </row>
    <row r="930" spans="1:7" ht="15" hidden="1" customHeight="1" x14ac:dyDescent="0.3">
      <c r="A930" t="s">
        <v>117</v>
      </c>
      <c r="B930" s="2">
        <v>46113</v>
      </c>
      <c r="C930" s="52">
        <v>23747.4</v>
      </c>
      <c r="D930" s="48">
        <f>_xlfn.XLOOKUP(expected_production[[#This Row],[Site Name]],Table1[[Site Name ]],Table1[Commisioned Date],"")</f>
        <v>45463</v>
      </c>
      <c r="E930" s="47">
        <f>IF(ISNUMBER(expected_production[[#This Row],[Commissioned Date]]),MAX(0,(expected_production[[#This Row],[Date]]-expected_production[[#This Row],[Commissioned Date]])/365.25),"")</f>
        <v>1.7796030116358659</v>
      </c>
      <c r="F930" s="49">
        <f>IF(expected_production[[#This Row],[Age (yrs)]]="",1,(1-DegradationRate)^expected_production[[#This Row],[Age (yrs)]])</f>
        <v>0.98757678734089915</v>
      </c>
      <c r="G930" s="52">
        <f>IF(expected_production[[#This Row],[Base Expected (kWh)]]="","",expected_production[[#This Row],[Base Expected (kWh)]]*expected_production[[#This Row],[Degradation Factor]])</f>
        <v>23452.380999699271</v>
      </c>
    </row>
    <row r="931" spans="1:7" ht="15" hidden="1" customHeight="1" x14ac:dyDescent="0.3">
      <c r="A931" t="s">
        <v>117</v>
      </c>
      <c r="B931" s="2">
        <v>46143</v>
      </c>
      <c r="C931" s="52">
        <v>22569.3</v>
      </c>
      <c r="D931" s="48">
        <f>_xlfn.XLOOKUP(expected_production[[#This Row],[Site Name]],Table1[[Site Name ]],Table1[Commisioned Date],"")</f>
        <v>45463</v>
      </c>
      <c r="E931" s="47">
        <f>IF(ISNUMBER(expected_production[[#This Row],[Commissioned Date]]),MAX(0,(expected_production[[#This Row],[Date]]-expected_production[[#This Row],[Commissioned Date]])/365.25),"")</f>
        <v>1.8617385352498288</v>
      </c>
      <c r="F931" s="49">
        <f>IF(expected_production[[#This Row],[Age (yrs)]]="",1,(1-DegradationRate)^expected_production[[#This Row],[Age (yrs)]])</f>
        <v>0.98700714908918052</v>
      </c>
      <c r="G931" s="52">
        <f>IF(expected_production[[#This Row],[Base Expected (kWh)]]="","",expected_production[[#This Row],[Base Expected (kWh)]]*expected_production[[#This Row],[Degradation Factor]])</f>
        <v>22276.060449938443</v>
      </c>
    </row>
    <row r="932" spans="1:7" ht="15" hidden="1" customHeight="1" x14ac:dyDescent="0.3">
      <c r="A932" t="s">
        <v>117</v>
      </c>
      <c r="B932" s="2">
        <v>46174</v>
      </c>
      <c r="C932" s="52">
        <v>20228.400000000001</v>
      </c>
      <c r="D932" s="48">
        <f>_xlfn.XLOOKUP(expected_production[[#This Row],[Site Name]],Table1[[Site Name ]],Table1[Commisioned Date],"")</f>
        <v>45463</v>
      </c>
      <c r="E932" s="47">
        <f>IF(ISNUMBER(expected_production[[#This Row],[Commissioned Date]]),MAX(0,(expected_production[[#This Row],[Date]]-expected_production[[#This Row],[Commissioned Date]])/365.25),"")</f>
        <v>1.946611909650924</v>
      </c>
      <c r="F932" s="49">
        <f>IF(expected_production[[#This Row],[Age (yrs)]]="",1,(1-DegradationRate)^expected_production[[#This Row],[Age (yrs)]])</f>
        <v>0.98641886807417378</v>
      </c>
      <c r="G932" s="52">
        <f>IF(expected_production[[#This Row],[Base Expected (kWh)]]="","",expected_production[[#This Row],[Base Expected (kWh)]]*expected_production[[#This Row],[Degradation Factor]])</f>
        <v>19953.675430951618</v>
      </c>
    </row>
    <row r="933" spans="1:7" ht="15" hidden="1" customHeight="1" x14ac:dyDescent="0.3">
      <c r="A933" t="s">
        <v>117</v>
      </c>
      <c r="B933" s="2">
        <v>46204</v>
      </c>
      <c r="C933" s="52">
        <v>22354.2</v>
      </c>
      <c r="D933" s="48">
        <f>_xlfn.XLOOKUP(expected_production[[#This Row],[Site Name]],Table1[[Site Name ]],Table1[Commisioned Date],"")</f>
        <v>45463</v>
      </c>
      <c r="E933" s="47">
        <f>IF(ISNUMBER(expected_production[[#This Row],[Commissioned Date]]),MAX(0,(expected_production[[#This Row],[Date]]-expected_production[[#This Row],[Commissioned Date]])/365.25),"")</f>
        <v>2.0287474332648872</v>
      </c>
      <c r="F933" s="49">
        <f>IF(expected_production[[#This Row],[Age (yrs)]]="",1,(1-DegradationRate)^expected_production[[#This Row],[Age (yrs)]])</f>
        <v>0.98584989771493226</v>
      </c>
      <c r="G933" s="52">
        <f>IF(expected_production[[#This Row],[Base Expected (kWh)]]="","",expected_production[[#This Row],[Base Expected (kWh)]]*expected_production[[#This Row],[Degradation Factor]])</f>
        <v>22037.88578349914</v>
      </c>
    </row>
    <row r="934" spans="1:7" ht="15" hidden="1" customHeight="1" x14ac:dyDescent="0.3">
      <c r="A934" t="s">
        <v>117</v>
      </c>
      <c r="B934" s="2">
        <v>46235</v>
      </c>
      <c r="C934" s="52">
        <v>26968.5</v>
      </c>
      <c r="D934" s="48">
        <f>_xlfn.XLOOKUP(expected_production[[#This Row],[Site Name]],Table1[[Site Name ]],Table1[Commisioned Date],"")</f>
        <v>45463</v>
      </c>
      <c r="E934" s="47">
        <f>IF(ISNUMBER(expected_production[[#This Row],[Commissioned Date]]),MAX(0,(expected_production[[#This Row],[Date]]-expected_production[[#This Row],[Commissioned Date]])/365.25),"")</f>
        <v>2.1136208076659821</v>
      </c>
      <c r="F934" s="49">
        <f>IF(expected_production[[#This Row],[Age (yrs)]]="",1,(1-DegradationRate)^expected_production[[#This Row],[Age (yrs)]])</f>
        <v>0.9852623064507684</v>
      </c>
      <c r="G934" s="52">
        <f>IF(expected_production[[#This Row],[Base Expected (kWh)]]="","",expected_production[[#This Row],[Base Expected (kWh)]]*expected_production[[#This Row],[Degradation Factor]])</f>
        <v>26571.046511517547</v>
      </c>
    </row>
    <row r="935" spans="1:7" ht="15" hidden="1" customHeight="1" x14ac:dyDescent="0.3">
      <c r="A935" t="s">
        <v>117</v>
      </c>
      <c r="B935" s="2">
        <v>46266</v>
      </c>
      <c r="C935" s="52">
        <v>28840.5</v>
      </c>
      <c r="D935" s="48">
        <f>_xlfn.XLOOKUP(expected_production[[#This Row],[Site Name]],Table1[[Site Name ]],Table1[Commisioned Date],"")</f>
        <v>45463</v>
      </c>
      <c r="E935" s="47">
        <f>IF(ISNUMBER(expected_production[[#This Row],[Commissioned Date]]),MAX(0,(expected_production[[#This Row],[Date]]-expected_production[[#This Row],[Commissioned Date]])/365.25),"")</f>
        <v>2.1984941820670771</v>
      </c>
      <c r="F935" s="49">
        <f>IF(expected_production[[#This Row],[Age (yrs)]]="",1,(1-DegradationRate)^expected_production[[#This Row],[Age (yrs)]])</f>
        <v>0.9846750654057348</v>
      </c>
      <c r="G935" s="52">
        <f>IF(expected_production[[#This Row],[Base Expected (kWh)]]="","",expected_production[[#This Row],[Base Expected (kWh)]]*expected_production[[#This Row],[Degradation Factor]])</f>
        <v>28398.521223834094</v>
      </c>
    </row>
    <row r="936" spans="1:7" ht="15" hidden="1" customHeight="1" x14ac:dyDescent="0.3">
      <c r="A936" t="s">
        <v>117</v>
      </c>
      <c r="B936" s="2">
        <v>46296</v>
      </c>
      <c r="C936" s="52">
        <v>30258</v>
      </c>
      <c r="D936" s="48">
        <f>_xlfn.XLOOKUP(expected_production[[#This Row],[Site Name]],Table1[[Site Name ]],Table1[Commisioned Date],"")</f>
        <v>45463</v>
      </c>
      <c r="E936" s="47">
        <f>IF(ISNUMBER(expected_production[[#This Row],[Commissioned Date]]),MAX(0,(expected_production[[#This Row],[Date]]-expected_production[[#This Row],[Commissioned Date]])/365.25),"")</f>
        <v>2.2806297056810405</v>
      </c>
      <c r="F936" s="49">
        <f>IF(expected_production[[#This Row],[Age (yrs)]]="",1,(1-DegradationRate)^expected_production[[#This Row],[Age (yrs)]])</f>
        <v>0.9841071008788661</v>
      </c>
      <c r="G936" s="52">
        <f>IF(expected_production[[#This Row],[Base Expected (kWh)]]="","",expected_production[[#This Row],[Base Expected (kWh)]]*expected_production[[#This Row],[Degradation Factor]])</f>
        <v>29777.112658392729</v>
      </c>
    </row>
    <row r="937" spans="1:7" ht="15" hidden="1" customHeight="1" x14ac:dyDescent="0.3">
      <c r="A937" t="s">
        <v>117</v>
      </c>
      <c r="B937" s="2">
        <v>46327</v>
      </c>
      <c r="C937" s="52">
        <v>29380.5</v>
      </c>
      <c r="D937" s="48">
        <f>_xlfn.XLOOKUP(expected_production[[#This Row],[Site Name]],Table1[[Site Name ]],Table1[Commisioned Date],"")</f>
        <v>45463</v>
      </c>
      <c r="E937" s="47">
        <f>IF(ISNUMBER(expected_production[[#This Row],[Commissioned Date]]),MAX(0,(expected_production[[#This Row],[Date]]-expected_production[[#This Row],[Commissioned Date]])/365.25),"")</f>
        <v>2.3655030800821355</v>
      </c>
      <c r="F937" s="49">
        <f>IF(expected_production[[#This Row],[Age (yrs)]]="",1,(1-DegradationRate)^expected_production[[#This Row],[Age (yrs)]])</f>
        <v>0.98352054836532588</v>
      </c>
      <c r="G937" s="52">
        <f>IF(expected_production[[#This Row],[Base Expected (kWh)]]="","",expected_production[[#This Row],[Base Expected (kWh)]]*expected_production[[#This Row],[Degradation Factor]])</f>
        <v>28896.325471247455</v>
      </c>
    </row>
    <row r="938" spans="1:7" ht="15" hidden="1" customHeight="1" x14ac:dyDescent="0.3">
      <c r="A938" t="s">
        <v>117</v>
      </c>
      <c r="B938" s="2">
        <v>46357</v>
      </c>
      <c r="C938" s="52">
        <v>31219.200000000001</v>
      </c>
      <c r="D938" s="48">
        <f>_xlfn.XLOOKUP(expected_production[[#This Row],[Site Name]],Table1[[Site Name ]],Table1[Commisioned Date],"")</f>
        <v>45463</v>
      </c>
      <c r="E938" s="47">
        <f>IF(ISNUMBER(expected_production[[#This Row],[Commissioned Date]]),MAX(0,(expected_production[[#This Row],[Date]]-expected_production[[#This Row],[Commissioned Date]])/365.25),"")</f>
        <v>2.4476386036960984</v>
      </c>
      <c r="F938" s="49">
        <f>IF(expected_production[[#This Row],[Age (yrs)]]="",1,(1-DegradationRate)^expected_production[[#This Row],[Age (yrs)]])</f>
        <v>0.9829532497685165</v>
      </c>
      <c r="G938" s="52">
        <f>IF(expected_production[[#This Row],[Base Expected (kWh)]]="","",expected_production[[#This Row],[Base Expected (kWh)]]*expected_production[[#This Row],[Degradation Factor]])</f>
        <v>30687.014095173272</v>
      </c>
    </row>
    <row r="939" spans="1:7" ht="15" hidden="1" customHeight="1" x14ac:dyDescent="0.3">
      <c r="A939" t="s">
        <v>225</v>
      </c>
      <c r="B939" s="2">
        <v>45292</v>
      </c>
      <c r="C939" s="52">
        <v>7573.5</v>
      </c>
      <c r="D939" s="48">
        <f>_xlfn.XLOOKUP(expected_production[[#This Row],[Site Name]],Table1[[Site Name ]],Table1[Commisioned Date],"")</f>
        <v>45934</v>
      </c>
      <c r="E939" s="47">
        <f>IF(ISNUMBER(expected_production[[#This Row],[Commissioned Date]]),MAX(0,(expected_production[[#This Row],[Date]]-expected_production[[#This Row],[Commissioned Date]])/365.25),"")</f>
        <v>0</v>
      </c>
      <c r="F939" s="49">
        <f>IF(expected_production[[#This Row],[Age (yrs)]]="",1,(1-DegradationRate)^expected_production[[#This Row],[Age (yrs)]])</f>
        <v>1</v>
      </c>
      <c r="G939" s="52">
        <f>IF(expected_production[[#This Row],[Base Expected (kWh)]]="","",expected_production[[#This Row],[Base Expected (kWh)]]*expected_production[[#This Row],[Degradation Factor]])</f>
        <v>7573.5</v>
      </c>
    </row>
    <row r="940" spans="1:7" ht="15" hidden="1" customHeight="1" x14ac:dyDescent="0.3">
      <c r="A940" t="s">
        <v>225</v>
      </c>
      <c r="B940" s="2">
        <v>45323</v>
      </c>
      <c r="C940" s="52">
        <v>6513.75</v>
      </c>
      <c r="D940" s="48">
        <f>_xlfn.XLOOKUP(expected_production[[#This Row],[Site Name]],Table1[[Site Name ]],Table1[Commisioned Date],"")</f>
        <v>45934</v>
      </c>
      <c r="E940" s="47">
        <f>IF(ISNUMBER(expected_production[[#This Row],[Commissioned Date]]),MAX(0,(expected_production[[#This Row],[Date]]-expected_production[[#This Row],[Commissioned Date]])/365.25),"")</f>
        <v>0</v>
      </c>
      <c r="F940" s="49">
        <f>IF(expected_production[[#This Row],[Age (yrs)]]="",1,(1-DegradationRate)^expected_production[[#This Row],[Age (yrs)]])</f>
        <v>1</v>
      </c>
      <c r="G940" s="52">
        <f>IF(expected_production[[#This Row],[Base Expected (kWh)]]="","",expected_production[[#This Row],[Base Expected (kWh)]]*expected_production[[#This Row],[Degradation Factor]])</f>
        <v>6513.75</v>
      </c>
    </row>
    <row r="941" spans="1:7" ht="15" hidden="1" customHeight="1" x14ac:dyDescent="0.3">
      <c r="A941" t="s">
        <v>225</v>
      </c>
      <c r="B941" s="2">
        <v>45352</v>
      </c>
      <c r="C941" s="52">
        <v>6841.35</v>
      </c>
      <c r="D941" s="48">
        <f>_xlfn.XLOOKUP(expected_production[[#This Row],[Site Name]],Table1[[Site Name ]],Table1[Commisioned Date],"")</f>
        <v>45934</v>
      </c>
      <c r="E941" s="47">
        <f>IF(ISNUMBER(expected_production[[#This Row],[Commissioned Date]]),MAX(0,(expected_production[[#This Row],[Date]]-expected_production[[#This Row],[Commissioned Date]])/365.25),"")</f>
        <v>0</v>
      </c>
      <c r="F941" s="49">
        <f>IF(expected_production[[#This Row],[Age (yrs)]]="",1,(1-DegradationRate)^expected_production[[#This Row],[Age (yrs)]])</f>
        <v>1</v>
      </c>
      <c r="G941" s="52">
        <f>IF(expected_production[[#This Row],[Base Expected (kWh)]]="","",expected_production[[#This Row],[Base Expected (kWh)]]*expected_production[[#This Row],[Degradation Factor]])</f>
        <v>6841.35</v>
      </c>
    </row>
    <row r="942" spans="1:7" ht="15" hidden="1" customHeight="1" x14ac:dyDescent="0.3">
      <c r="A942" t="s">
        <v>225</v>
      </c>
      <c r="B942" s="2">
        <v>45383</v>
      </c>
      <c r="C942" s="52">
        <v>618.29999999999995</v>
      </c>
      <c r="D942" s="48">
        <f>_xlfn.XLOOKUP(expected_production[[#This Row],[Site Name]],Table1[[Site Name ]],Table1[Commisioned Date],"")</f>
        <v>45934</v>
      </c>
      <c r="E942" s="47">
        <f>IF(ISNUMBER(expected_production[[#This Row],[Commissioned Date]]),MAX(0,(expected_production[[#This Row],[Date]]-expected_production[[#This Row],[Commissioned Date]])/365.25),"")</f>
        <v>0</v>
      </c>
      <c r="F942" s="49">
        <f>IF(expected_production[[#This Row],[Age (yrs)]]="",1,(1-DegradationRate)^expected_production[[#This Row],[Age (yrs)]])</f>
        <v>1</v>
      </c>
      <c r="G942" s="52">
        <f>IF(expected_production[[#This Row],[Base Expected (kWh)]]="","",expected_production[[#This Row],[Base Expected (kWh)]]*expected_production[[#This Row],[Degradation Factor]])</f>
        <v>618.29999999999995</v>
      </c>
    </row>
    <row r="943" spans="1:7" ht="15" hidden="1" customHeight="1" x14ac:dyDescent="0.3">
      <c r="A943" t="s">
        <v>225</v>
      </c>
      <c r="B943" s="2">
        <v>45413</v>
      </c>
      <c r="C943" s="52">
        <v>5924.7</v>
      </c>
      <c r="D943" s="48">
        <f>_xlfn.XLOOKUP(expected_production[[#This Row],[Site Name]],Table1[[Site Name ]],Table1[Commisioned Date],"")</f>
        <v>45934</v>
      </c>
      <c r="E943" s="47">
        <f>IF(ISNUMBER(expected_production[[#This Row],[Commissioned Date]]),MAX(0,(expected_production[[#This Row],[Date]]-expected_production[[#This Row],[Commissioned Date]])/365.25),"")</f>
        <v>0</v>
      </c>
      <c r="F943" s="49">
        <f>IF(expected_production[[#This Row],[Age (yrs)]]="",1,(1-DegradationRate)^expected_production[[#This Row],[Age (yrs)]])</f>
        <v>1</v>
      </c>
      <c r="G943" s="52">
        <f>IF(expected_production[[#This Row],[Base Expected (kWh)]]="","",expected_production[[#This Row],[Base Expected (kWh)]]*expected_production[[#This Row],[Degradation Factor]])</f>
        <v>5924.7</v>
      </c>
    </row>
    <row r="944" spans="1:7" ht="15" hidden="1" customHeight="1" x14ac:dyDescent="0.3">
      <c r="A944" t="s">
        <v>225</v>
      </c>
      <c r="B944" s="2">
        <v>45444</v>
      </c>
      <c r="C944" s="52">
        <v>5295.6</v>
      </c>
      <c r="D944" s="48">
        <f>_xlfn.XLOOKUP(expected_production[[#This Row],[Site Name]],Table1[[Site Name ]],Table1[Commisioned Date],"")</f>
        <v>45934</v>
      </c>
      <c r="E944" s="47">
        <f>IF(ISNUMBER(expected_production[[#This Row],[Commissioned Date]]),MAX(0,(expected_production[[#This Row],[Date]]-expected_production[[#This Row],[Commissioned Date]])/365.25),"")</f>
        <v>0</v>
      </c>
      <c r="F944" s="49">
        <f>IF(expected_production[[#This Row],[Age (yrs)]]="",1,(1-DegradationRate)^expected_production[[#This Row],[Age (yrs)]])</f>
        <v>1</v>
      </c>
      <c r="G944" s="52">
        <f>IF(expected_production[[#This Row],[Base Expected (kWh)]]="","",expected_production[[#This Row],[Base Expected (kWh)]]*expected_production[[#This Row],[Degradation Factor]])</f>
        <v>5295.6</v>
      </c>
    </row>
    <row r="945" spans="1:7" ht="15" hidden="1" customHeight="1" x14ac:dyDescent="0.3">
      <c r="A945" t="s">
        <v>225</v>
      </c>
      <c r="B945" s="2">
        <v>45474</v>
      </c>
      <c r="C945" s="52">
        <v>5785.2</v>
      </c>
      <c r="D945" s="48">
        <f>_xlfn.XLOOKUP(expected_production[[#This Row],[Site Name]],Table1[[Site Name ]],Table1[Commisioned Date],"")</f>
        <v>45934</v>
      </c>
      <c r="E945" s="47">
        <f>IF(ISNUMBER(expected_production[[#This Row],[Commissioned Date]]),MAX(0,(expected_production[[#This Row],[Date]]-expected_production[[#This Row],[Commissioned Date]])/365.25),"")</f>
        <v>0</v>
      </c>
      <c r="F945" s="49">
        <f>IF(expected_production[[#This Row],[Age (yrs)]]="",1,(1-DegradationRate)^expected_production[[#This Row],[Age (yrs)]])</f>
        <v>1</v>
      </c>
      <c r="G945" s="52">
        <f>IF(expected_production[[#This Row],[Base Expected (kWh)]]="","",expected_production[[#This Row],[Base Expected (kWh)]]*expected_production[[#This Row],[Degradation Factor]])</f>
        <v>5785.2</v>
      </c>
    </row>
    <row r="946" spans="1:7" ht="15" hidden="1" customHeight="1" x14ac:dyDescent="0.3">
      <c r="A946" t="s">
        <v>225</v>
      </c>
      <c r="B946" s="2">
        <v>45505</v>
      </c>
      <c r="C946" s="52">
        <v>6585.3</v>
      </c>
      <c r="D946" s="48">
        <f>_xlfn.XLOOKUP(expected_production[[#This Row],[Site Name]],Table1[[Site Name ]],Table1[Commisioned Date],"")</f>
        <v>45934</v>
      </c>
      <c r="E946" s="47">
        <f>IF(ISNUMBER(expected_production[[#This Row],[Commissioned Date]]),MAX(0,(expected_production[[#This Row],[Date]]-expected_production[[#This Row],[Commissioned Date]])/365.25),"")</f>
        <v>0</v>
      </c>
      <c r="F946" s="49">
        <f>IF(expected_production[[#This Row],[Age (yrs)]]="",1,(1-DegradationRate)^expected_production[[#This Row],[Age (yrs)]])</f>
        <v>1</v>
      </c>
      <c r="G946" s="52">
        <f>IF(expected_production[[#This Row],[Base Expected (kWh)]]="","",expected_production[[#This Row],[Base Expected (kWh)]]*expected_production[[#This Row],[Degradation Factor]])</f>
        <v>6585.3</v>
      </c>
    </row>
    <row r="947" spans="1:7" ht="15" hidden="1" customHeight="1" x14ac:dyDescent="0.3">
      <c r="A947" t="s">
        <v>225</v>
      </c>
      <c r="B947" s="2">
        <v>45536</v>
      </c>
      <c r="C947" s="52">
        <v>7018.65</v>
      </c>
      <c r="D947" s="48">
        <f>_xlfn.XLOOKUP(expected_production[[#This Row],[Site Name]],Table1[[Site Name ]],Table1[Commisioned Date],"")</f>
        <v>45934</v>
      </c>
      <c r="E947" s="47">
        <f>IF(ISNUMBER(expected_production[[#This Row],[Commissioned Date]]),MAX(0,(expected_production[[#This Row],[Date]]-expected_production[[#This Row],[Commissioned Date]])/365.25),"")</f>
        <v>0</v>
      </c>
      <c r="F947" s="49">
        <f>IF(expected_production[[#This Row],[Age (yrs)]]="",1,(1-DegradationRate)^expected_production[[#This Row],[Age (yrs)]])</f>
        <v>1</v>
      </c>
      <c r="G947" s="52">
        <f>IF(expected_production[[#This Row],[Base Expected (kWh)]]="","",expected_production[[#This Row],[Base Expected (kWh)]]*expected_production[[#This Row],[Degradation Factor]])</f>
        <v>7018.65</v>
      </c>
    </row>
    <row r="948" spans="1:7" ht="15" hidden="1" customHeight="1" x14ac:dyDescent="0.3">
      <c r="A948" t="s">
        <v>225</v>
      </c>
      <c r="B948" s="2">
        <v>45566</v>
      </c>
      <c r="C948" s="52">
        <v>7479.45</v>
      </c>
      <c r="D948" s="48">
        <f>_xlfn.XLOOKUP(expected_production[[#This Row],[Site Name]],Table1[[Site Name ]],Table1[Commisioned Date],"")</f>
        <v>45934</v>
      </c>
      <c r="E948" s="47">
        <f>IF(ISNUMBER(expected_production[[#This Row],[Commissioned Date]]),MAX(0,(expected_production[[#This Row],[Date]]-expected_production[[#This Row],[Commissioned Date]])/365.25),"")</f>
        <v>0</v>
      </c>
      <c r="F948" s="49">
        <f>IF(expected_production[[#This Row],[Age (yrs)]]="",1,(1-DegradationRate)^expected_production[[#This Row],[Age (yrs)]])</f>
        <v>1</v>
      </c>
      <c r="G948" s="52">
        <f>IF(expected_production[[#This Row],[Base Expected (kWh)]]="","",expected_production[[#This Row],[Base Expected (kWh)]]*expected_production[[#This Row],[Degradation Factor]])</f>
        <v>7479.45</v>
      </c>
    </row>
    <row r="949" spans="1:7" ht="15" hidden="1" customHeight="1" x14ac:dyDescent="0.3">
      <c r="A949" t="s">
        <v>225</v>
      </c>
      <c r="B949" s="2">
        <v>45597</v>
      </c>
      <c r="C949" s="52">
        <v>7552.8</v>
      </c>
      <c r="D949" s="48">
        <f>_xlfn.XLOOKUP(expected_production[[#This Row],[Site Name]],Table1[[Site Name ]],Table1[Commisioned Date],"")</f>
        <v>45934</v>
      </c>
      <c r="E949" s="47">
        <f>IF(ISNUMBER(expected_production[[#This Row],[Commissioned Date]]),MAX(0,(expected_production[[#This Row],[Date]]-expected_production[[#This Row],[Commissioned Date]])/365.25),"")</f>
        <v>0</v>
      </c>
      <c r="F949" s="49">
        <f>IF(expected_production[[#This Row],[Age (yrs)]]="",1,(1-DegradationRate)^expected_production[[#This Row],[Age (yrs)]])</f>
        <v>1</v>
      </c>
      <c r="G949" s="52">
        <f>IF(expected_production[[#This Row],[Base Expected (kWh)]]="","",expected_production[[#This Row],[Base Expected (kWh)]]*expected_production[[#This Row],[Degradation Factor]])</f>
        <v>7552.8</v>
      </c>
    </row>
    <row r="950" spans="1:7" ht="15" hidden="1" customHeight="1" x14ac:dyDescent="0.3">
      <c r="A950" t="s">
        <v>225</v>
      </c>
      <c r="B950" s="2">
        <v>45627</v>
      </c>
      <c r="C950" s="52">
        <v>7415.1</v>
      </c>
      <c r="D950" s="48">
        <f>_xlfn.XLOOKUP(expected_production[[#This Row],[Site Name]],Table1[[Site Name ]],Table1[Commisioned Date],"")</f>
        <v>45934</v>
      </c>
      <c r="E950" s="47">
        <f>IF(ISNUMBER(expected_production[[#This Row],[Commissioned Date]]),MAX(0,(expected_production[[#This Row],[Date]]-expected_production[[#This Row],[Commissioned Date]])/365.25),"")</f>
        <v>0</v>
      </c>
      <c r="F950" s="49">
        <f>IF(expected_production[[#This Row],[Age (yrs)]]="",1,(1-DegradationRate)^expected_production[[#This Row],[Age (yrs)]])</f>
        <v>1</v>
      </c>
      <c r="G950" s="52">
        <f>IF(expected_production[[#This Row],[Base Expected (kWh)]]="","",expected_production[[#This Row],[Base Expected (kWh)]]*expected_production[[#This Row],[Degradation Factor]])</f>
        <v>7415.1</v>
      </c>
    </row>
    <row r="951" spans="1:7" ht="15" hidden="1" customHeight="1" x14ac:dyDescent="0.3">
      <c r="A951" t="s">
        <v>225</v>
      </c>
      <c r="B951" s="2">
        <v>45658</v>
      </c>
      <c r="C951" s="52">
        <v>7573.5</v>
      </c>
      <c r="D951" s="48">
        <f>_xlfn.XLOOKUP(expected_production[[#This Row],[Site Name]],Table1[[Site Name ]],Table1[Commisioned Date],"")</f>
        <v>45934</v>
      </c>
      <c r="E951" s="47">
        <f>IF(ISNUMBER(expected_production[[#This Row],[Commissioned Date]]),MAX(0,(expected_production[[#This Row],[Date]]-expected_production[[#This Row],[Commissioned Date]])/365.25),"")</f>
        <v>0</v>
      </c>
      <c r="F951" s="49">
        <f>IF(expected_production[[#This Row],[Age (yrs)]]="",1,(1-DegradationRate)^expected_production[[#This Row],[Age (yrs)]])</f>
        <v>1</v>
      </c>
      <c r="G951" s="52">
        <f>IF(expected_production[[#This Row],[Base Expected (kWh)]]="","",expected_production[[#This Row],[Base Expected (kWh)]]*expected_production[[#This Row],[Degradation Factor]])</f>
        <v>7573.5</v>
      </c>
    </row>
    <row r="952" spans="1:7" ht="15" hidden="1" customHeight="1" x14ac:dyDescent="0.3">
      <c r="A952" t="s">
        <v>225</v>
      </c>
      <c r="B952" s="2">
        <v>45689</v>
      </c>
      <c r="C952" s="52">
        <v>6513.75</v>
      </c>
      <c r="D952" s="48">
        <f>_xlfn.XLOOKUP(expected_production[[#This Row],[Site Name]],Table1[[Site Name ]],Table1[Commisioned Date],"")</f>
        <v>45934</v>
      </c>
      <c r="E952" s="47">
        <f>IF(ISNUMBER(expected_production[[#This Row],[Commissioned Date]]),MAX(0,(expected_production[[#This Row],[Date]]-expected_production[[#This Row],[Commissioned Date]])/365.25),"")</f>
        <v>0</v>
      </c>
      <c r="F952" s="49">
        <f>IF(expected_production[[#This Row],[Age (yrs)]]="",1,(1-DegradationRate)^expected_production[[#This Row],[Age (yrs)]])</f>
        <v>1</v>
      </c>
      <c r="G952" s="52">
        <f>IF(expected_production[[#This Row],[Base Expected (kWh)]]="","",expected_production[[#This Row],[Base Expected (kWh)]]*expected_production[[#This Row],[Degradation Factor]])</f>
        <v>6513.75</v>
      </c>
    </row>
    <row r="953" spans="1:7" ht="15" hidden="1" customHeight="1" x14ac:dyDescent="0.3">
      <c r="A953" t="s">
        <v>225</v>
      </c>
      <c r="B953" s="2">
        <v>45717</v>
      </c>
      <c r="C953" s="52">
        <v>6841.35</v>
      </c>
      <c r="D953" s="48">
        <f>_xlfn.XLOOKUP(expected_production[[#This Row],[Site Name]],Table1[[Site Name ]],Table1[Commisioned Date],"")</f>
        <v>45934</v>
      </c>
      <c r="E953" s="47">
        <f>IF(ISNUMBER(expected_production[[#This Row],[Commissioned Date]]),MAX(0,(expected_production[[#This Row],[Date]]-expected_production[[#This Row],[Commissioned Date]])/365.25),"")</f>
        <v>0</v>
      </c>
      <c r="F953" s="49">
        <f>IF(expected_production[[#This Row],[Age (yrs)]]="",1,(1-DegradationRate)^expected_production[[#This Row],[Age (yrs)]])</f>
        <v>1</v>
      </c>
      <c r="G953" s="52">
        <f>IF(expected_production[[#This Row],[Base Expected (kWh)]]="","",expected_production[[#This Row],[Base Expected (kWh)]]*expected_production[[#This Row],[Degradation Factor]])</f>
        <v>6841.35</v>
      </c>
    </row>
    <row r="954" spans="1:7" ht="15" hidden="1" customHeight="1" x14ac:dyDescent="0.3">
      <c r="A954" t="s">
        <v>225</v>
      </c>
      <c r="B954" s="2">
        <v>45748</v>
      </c>
      <c r="C954" s="52">
        <v>618.29999999999995</v>
      </c>
      <c r="D954" s="48">
        <f>_xlfn.XLOOKUP(expected_production[[#This Row],[Site Name]],Table1[[Site Name ]],Table1[Commisioned Date],"")</f>
        <v>45934</v>
      </c>
      <c r="E954" s="47">
        <f>IF(ISNUMBER(expected_production[[#This Row],[Commissioned Date]]),MAX(0,(expected_production[[#This Row],[Date]]-expected_production[[#This Row],[Commissioned Date]])/365.25),"")</f>
        <v>0</v>
      </c>
      <c r="F954" s="49">
        <f>IF(expected_production[[#This Row],[Age (yrs)]]="",1,(1-DegradationRate)^expected_production[[#This Row],[Age (yrs)]])</f>
        <v>1</v>
      </c>
      <c r="G954" s="52">
        <f>IF(expected_production[[#This Row],[Base Expected (kWh)]]="","",expected_production[[#This Row],[Base Expected (kWh)]]*expected_production[[#This Row],[Degradation Factor]])</f>
        <v>618.29999999999995</v>
      </c>
    </row>
    <row r="955" spans="1:7" ht="15" hidden="1" customHeight="1" x14ac:dyDescent="0.3">
      <c r="A955" t="s">
        <v>225</v>
      </c>
      <c r="B955" s="2">
        <v>45778</v>
      </c>
      <c r="C955" s="52">
        <v>5924.7</v>
      </c>
      <c r="D955" s="48">
        <f>_xlfn.XLOOKUP(expected_production[[#This Row],[Site Name]],Table1[[Site Name ]],Table1[Commisioned Date],"")</f>
        <v>45934</v>
      </c>
      <c r="E955" s="47">
        <f>IF(ISNUMBER(expected_production[[#This Row],[Commissioned Date]]),MAX(0,(expected_production[[#This Row],[Date]]-expected_production[[#This Row],[Commissioned Date]])/365.25),"")</f>
        <v>0</v>
      </c>
      <c r="F955" s="49">
        <f>IF(expected_production[[#This Row],[Age (yrs)]]="",1,(1-DegradationRate)^expected_production[[#This Row],[Age (yrs)]])</f>
        <v>1</v>
      </c>
      <c r="G955" s="52">
        <f>IF(expected_production[[#This Row],[Base Expected (kWh)]]="","",expected_production[[#This Row],[Base Expected (kWh)]]*expected_production[[#This Row],[Degradation Factor]])</f>
        <v>5924.7</v>
      </c>
    </row>
    <row r="956" spans="1:7" ht="15" hidden="1" customHeight="1" x14ac:dyDescent="0.3">
      <c r="A956" t="s">
        <v>225</v>
      </c>
      <c r="B956" s="2">
        <v>45809</v>
      </c>
      <c r="C956" s="52">
        <v>5295.6</v>
      </c>
      <c r="D956" s="48">
        <f>_xlfn.XLOOKUP(expected_production[[#This Row],[Site Name]],Table1[[Site Name ]],Table1[Commisioned Date],"")</f>
        <v>45934</v>
      </c>
      <c r="E956" s="47">
        <f>IF(ISNUMBER(expected_production[[#This Row],[Commissioned Date]]),MAX(0,(expected_production[[#This Row],[Date]]-expected_production[[#This Row],[Commissioned Date]])/365.25),"")</f>
        <v>0</v>
      </c>
      <c r="F956" s="49">
        <f>IF(expected_production[[#This Row],[Age (yrs)]]="",1,(1-DegradationRate)^expected_production[[#This Row],[Age (yrs)]])</f>
        <v>1</v>
      </c>
      <c r="G956" s="52">
        <f>IF(expected_production[[#This Row],[Base Expected (kWh)]]="","",expected_production[[#This Row],[Base Expected (kWh)]]*expected_production[[#This Row],[Degradation Factor]])</f>
        <v>5295.6</v>
      </c>
    </row>
    <row r="957" spans="1:7" ht="15" hidden="1" customHeight="1" x14ac:dyDescent="0.3">
      <c r="A957" t="s">
        <v>225</v>
      </c>
      <c r="B957" s="2">
        <v>45839</v>
      </c>
      <c r="C957" s="52">
        <v>5785.2</v>
      </c>
      <c r="D957" s="48">
        <f>_xlfn.XLOOKUP(expected_production[[#This Row],[Site Name]],Table1[[Site Name ]],Table1[Commisioned Date],"")</f>
        <v>45934</v>
      </c>
      <c r="E957" s="47">
        <f>IF(ISNUMBER(expected_production[[#This Row],[Commissioned Date]]),MAX(0,(expected_production[[#This Row],[Date]]-expected_production[[#This Row],[Commissioned Date]])/365.25),"")</f>
        <v>0</v>
      </c>
      <c r="F957" s="49">
        <f>IF(expected_production[[#This Row],[Age (yrs)]]="",1,(1-DegradationRate)^expected_production[[#This Row],[Age (yrs)]])</f>
        <v>1</v>
      </c>
      <c r="G957" s="52">
        <f>IF(expected_production[[#This Row],[Base Expected (kWh)]]="","",expected_production[[#This Row],[Base Expected (kWh)]]*expected_production[[#This Row],[Degradation Factor]])</f>
        <v>5785.2</v>
      </c>
    </row>
    <row r="958" spans="1:7" ht="15" hidden="1" customHeight="1" x14ac:dyDescent="0.3">
      <c r="A958" t="s">
        <v>225</v>
      </c>
      <c r="B958" s="2">
        <v>45870</v>
      </c>
      <c r="C958" s="52">
        <v>6585.3</v>
      </c>
      <c r="D958" s="48">
        <f>_xlfn.XLOOKUP(expected_production[[#This Row],[Site Name]],Table1[[Site Name ]],Table1[Commisioned Date],"")</f>
        <v>45934</v>
      </c>
      <c r="E958" s="47">
        <f>IF(ISNUMBER(expected_production[[#This Row],[Commissioned Date]]),MAX(0,(expected_production[[#This Row],[Date]]-expected_production[[#This Row],[Commissioned Date]])/365.25),"")</f>
        <v>0</v>
      </c>
      <c r="F958" s="49">
        <f>IF(expected_production[[#This Row],[Age (yrs)]]="",1,(1-DegradationRate)^expected_production[[#This Row],[Age (yrs)]])</f>
        <v>1</v>
      </c>
      <c r="G958" s="52">
        <f>IF(expected_production[[#This Row],[Base Expected (kWh)]]="","",expected_production[[#This Row],[Base Expected (kWh)]]*expected_production[[#This Row],[Degradation Factor]])</f>
        <v>6585.3</v>
      </c>
    </row>
    <row r="959" spans="1:7" ht="15" hidden="1" customHeight="1" x14ac:dyDescent="0.3">
      <c r="A959" t="s">
        <v>225</v>
      </c>
      <c r="B959" s="2">
        <v>45901</v>
      </c>
      <c r="C959" s="52">
        <v>7018.65</v>
      </c>
      <c r="D959" s="48">
        <f>_xlfn.XLOOKUP(expected_production[[#This Row],[Site Name]],Table1[[Site Name ]],Table1[Commisioned Date],"")</f>
        <v>45934</v>
      </c>
      <c r="E959" s="47">
        <f>IF(ISNUMBER(expected_production[[#This Row],[Commissioned Date]]),MAX(0,(expected_production[[#This Row],[Date]]-expected_production[[#This Row],[Commissioned Date]])/365.25),"")</f>
        <v>0</v>
      </c>
      <c r="F959" s="49">
        <f>IF(expected_production[[#This Row],[Age (yrs)]]="",1,(1-DegradationRate)^expected_production[[#This Row],[Age (yrs)]])</f>
        <v>1</v>
      </c>
      <c r="G959" s="52">
        <f>IF(expected_production[[#This Row],[Base Expected (kWh)]]="","",expected_production[[#This Row],[Base Expected (kWh)]]*expected_production[[#This Row],[Degradation Factor]])</f>
        <v>7018.65</v>
      </c>
    </row>
    <row r="960" spans="1:7" ht="15" hidden="1" customHeight="1" x14ac:dyDescent="0.3">
      <c r="A960" t="s">
        <v>225</v>
      </c>
      <c r="B960" s="2">
        <v>45931</v>
      </c>
      <c r="C960" s="52">
        <v>7479.45</v>
      </c>
      <c r="D960" s="48">
        <f>_xlfn.XLOOKUP(expected_production[[#This Row],[Site Name]],Table1[[Site Name ]],Table1[Commisioned Date],"")</f>
        <v>45934</v>
      </c>
      <c r="E960" s="47">
        <f>IF(ISNUMBER(expected_production[[#This Row],[Commissioned Date]]),MAX(0,(expected_production[[#This Row],[Date]]-expected_production[[#This Row],[Commissioned Date]])/365.25),"")</f>
        <v>0</v>
      </c>
      <c r="F960" s="49">
        <f>IF(expected_production[[#This Row],[Age (yrs)]]="",1,(1-DegradationRate)^expected_production[[#This Row],[Age (yrs)]])</f>
        <v>1</v>
      </c>
      <c r="G960" s="52">
        <f>IF(expected_production[[#This Row],[Base Expected (kWh)]]="","",expected_production[[#This Row],[Base Expected (kWh)]]*expected_production[[#This Row],[Degradation Factor]])</f>
        <v>7479.45</v>
      </c>
    </row>
    <row r="961" spans="1:7" ht="15" hidden="1" customHeight="1" x14ac:dyDescent="0.3">
      <c r="A961" t="s">
        <v>225</v>
      </c>
      <c r="B961" s="2">
        <v>45962</v>
      </c>
      <c r="C961" s="52">
        <v>7552.8</v>
      </c>
      <c r="D961" s="48">
        <f>_xlfn.XLOOKUP(expected_production[[#This Row],[Site Name]],Table1[[Site Name ]],Table1[Commisioned Date],"")</f>
        <v>45934</v>
      </c>
      <c r="E961" s="47">
        <f>IF(ISNUMBER(expected_production[[#This Row],[Commissioned Date]]),MAX(0,(expected_production[[#This Row],[Date]]-expected_production[[#This Row],[Commissioned Date]])/365.25),"")</f>
        <v>7.665982203969883E-2</v>
      </c>
      <c r="F961" s="49">
        <f>IF(expected_production[[#This Row],[Age (yrs)]]="",1,(1-DegradationRate)^expected_production[[#This Row],[Age (yrs)]])</f>
        <v>0.99946163923722275</v>
      </c>
      <c r="G961" s="52">
        <f>IF(expected_production[[#This Row],[Base Expected (kWh)]]="","",expected_production[[#This Row],[Base Expected (kWh)]]*expected_production[[#This Row],[Degradation Factor]])</f>
        <v>7548.7338688308964</v>
      </c>
    </row>
    <row r="962" spans="1:7" ht="15" hidden="1" customHeight="1" x14ac:dyDescent="0.3">
      <c r="A962" t="s">
        <v>225</v>
      </c>
      <c r="B962" s="2">
        <v>45992</v>
      </c>
      <c r="C962" s="52">
        <v>7415.1</v>
      </c>
      <c r="D962" s="48">
        <f>_xlfn.XLOOKUP(expected_production[[#This Row],[Site Name]],Table1[[Site Name ]],Table1[Commisioned Date],"")</f>
        <v>45934</v>
      </c>
      <c r="E962" s="47">
        <f>IF(ISNUMBER(expected_production[[#This Row],[Commissioned Date]]),MAX(0,(expected_production[[#This Row],[Date]]-expected_production[[#This Row],[Commissioned Date]])/365.25),"")</f>
        <v>0.15879534565366188</v>
      </c>
      <c r="F962" s="49">
        <f>IF(expected_production[[#This Row],[Age (yrs)]]="",1,(1-DegradationRate)^expected_production[[#This Row],[Age (yrs)]])</f>
        <v>0.99888514575526499</v>
      </c>
      <c r="G962" s="52">
        <f>IF(expected_production[[#This Row],[Base Expected (kWh)]]="","",expected_production[[#This Row],[Base Expected (kWh)]]*expected_production[[#This Row],[Degradation Factor]])</f>
        <v>7406.8332442898654</v>
      </c>
    </row>
    <row r="963" spans="1:7" ht="15" hidden="1" customHeight="1" x14ac:dyDescent="0.3">
      <c r="A963" t="s">
        <v>225</v>
      </c>
      <c r="B963" s="2">
        <v>46023</v>
      </c>
      <c r="C963" s="52">
        <v>7573.5</v>
      </c>
      <c r="D963" s="48">
        <f>_xlfn.XLOOKUP(expected_production[[#This Row],[Site Name]],Table1[[Site Name ]],Table1[Commisioned Date],"")</f>
        <v>45934</v>
      </c>
      <c r="E963" s="47">
        <f>IF(ISNUMBER(expected_production[[#This Row],[Commissioned Date]]),MAX(0,(expected_production[[#This Row],[Date]]-expected_production[[#This Row],[Commissioned Date]])/365.25),"")</f>
        <v>0.24366872005475701</v>
      </c>
      <c r="F963" s="49">
        <f>IF(expected_production[[#This Row],[Age (yrs)]]="",1,(1-DegradationRate)^expected_production[[#This Row],[Age (yrs)]])</f>
        <v>0.99828978515634492</v>
      </c>
      <c r="G963" s="52">
        <f>IF(expected_production[[#This Row],[Base Expected (kWh)]]="","",expected_production[[#This Row],[Base Expected (kWh)]]*expected_production[[#This Row],[Degradation Factor]])</f>
        <v>7560.547687881578</v>
      </c>
    </row>
    <row r="964" spans="1:7" ht="15" hidden="1" customHeight="1" x14ac:dyDescent="0.3">
      <c r="A964" t="s">
        <v>225</v>
      </c>
      <c r="B964" s="2">
        <v>46054</v>
      </c>
      <c r="C964" s="52">
        <v>6513.75</v>
      </c>
      <c r="D964" s="48">
        <f>_xlfn.XLOOKUP(expected_production[[#This Row],[Site Name]],Table1[[Site Name ]],Table1[Commisioned Date],"")</f>
        <v>45934</v>
      </c>
      <c r="E964" s="47">
        <f>IF(ISNUMBER(expected_production[[#This Row],[Commissioned Date]]),MAX(0,(expected_production[[#This Row],[Date]]-expected_production[[#This Row],[Commissioned Date]])/365.25),"")</f>
        <v>0.32854209445585214</v>
      </c>
      <c r="F964" s="49">
        <f>IF(expected_production[[#This Row],[Age (yrs)]]="",1,(1-DegradationRate)^expected_production[[#This Row],[Age (yrs)]])</f>
        <v>0.99769477940727358</v>
      </c>
      <c r="G964" s="52">
        <f>IF(expected_production[[#This Row],[Base Expected (kWh)]]="","",expected_production[[#This Row],[Base Expected (kWh)]]*expected_production[[#This Row],[Degradation Factor]])</f>
        <v>6498.7343693641287</v>
      </c>
    </row>
    <row r="965" spans="1:7" ht="15" hidden="1" customHeight="1" x14ac:dyDescent="0.3">
      <c r="A965" t="s">
        <v>225</v>
      </c>
      <c r="B965" s="2">
        <v>46082</v>
      </c>
      <c r="C965" s="52">
        <v>6841.35</v>
      </c>
      <c r="D965" s="48">
        <f>_xlfn.XLOOKUP(expected_production[[#This Row],[Site Name]],Table1[[Site Name ]],Table1[Commisioned Date],"")</f>
        <v>45934</v>
      </c>
      <c r="E965" s="47">
        <f>IF(ISNUMBER(expected_production[[#This Row],[Commissioned Date]]),MAX(0,(expected_production[[#This Row],[Date]]-expected_production[[#This Row],[Commissioned Date]])/365.25),"")</f>
        <v>0.40520191649555098</v>
      </c>
      <c r="F965" s="49">
        <f>IF(expected_production[[#This Row],[Age (yrs)]]="",1,(1-DegradationRate)^expected_production[[#This Row],[Age (yrs)]])</f>
        <v>0.99715765968481296</v>
      </c>
      <c r="G965" s="52">
        <f>IF(expected_production[[#This Row],[Base Expected (kWh)]]="","",expected_production[[#This Row],[Base Expected (kWh)]]*expected_production[[#This Row],[Degradation Factor]])</f>
        <v>6821.9045550846959</v>
      </c>
    </row>
    <row r="966" spans="1:7" ht="15" hidden="1" customHeight="1" x14ac:dyDescent="0.3">
      <c r="A966" t="s">
        <v>225</v>
      </c>
      <c r="B966" s="2">
        <v>46113</v>
      </c>
      <c r="C966" s="52">
        <v>6183</v>
      </c>
      <c r="D966" s="48">
        <f>_xlfn.XLOOKUP(expected_production[[#This Row],[Site Name]],Table1[[Site Name ]],Table1[Commisioned Date],"")</f>
        <v>45934</v>
      </c>
      <c r="E966" s="47">
        <f>IF(ISNUMBER(expected_production[[#This Row],[Commissioned Date]]),MAX(0,(expected_production[[#This Row],[Date]]-expected_production[[#This Row],[Commissioned Date]])/365.25),"")</f>
        <v>0.49007529089664614</v>
      </c>
      <c r="F966" s="49">
        <f>IF(expected_production[[#This Row],[Age (yrs)]]="",1,(1-DegradationRate)^expected_production[[#This Row],[Age (yrs)]])</f>
        <v>0.99656332871091635</v>
      </c>
      <c r="G966" s="52">
        <f>IF(expected_production[[#This Row],[Base Expected (kWh)]]="","",expected_production[[#This Row],[Base Expected (kWh)]]*expected_production[[#This Row],[Degradation Factor]])</f>
        <v>6161.7510614195962</v>
      </c>
    </row>
    <row r="967" spans="1:7" ht="15" hidden="1" customHeight="1" x14ac:dyDescent="0.3">
      <c r="A967" t="s">
        <v>225</v>
      </c>
      <c r="B967" s="2">
        <v>46143</v>
      </c>
      <c r="C967" s="52">
        <v>5924.7</v>
      </c>
      <c r="D967" s="48">
        <f>_xlfn.XLOOKUP(expected_production[[#This Row],[Site Name]],Table1[[Site Name ]],Table1[Commisioned Date],"")</f>
        <v>45934</v>
      </c>
      <c r="E967" s="47">
        <f>IF(ISNUMBER(expected_production[[#This Row],[Commissioned Date]]),MAX(0,(expected_production[[#This Row],[Date]]-expected_production[[#This Row],[Commissioned Date]])/365.25),"")</f>
        <v>0.57221081451060918</v>
      </c>
      <c r="F967" s="49">
        <f>IF(expected_production[[#This Row],[Age (yrs)]]="",1,(1-DegradationRate)^expected_production[[#This Row],[Age (yrs)]])</f>
        <v>0.99598850698609409</v>
      </c>
      <c r="G967" s="52">
        <f>IF(expected_production[[#This Row],[Base Expected (kWh)]]="","",expected_production[[#This Row],[Base Expected (kWh)]]*expected_production[[#This Row],[Degradation Factor]])</f>
        <v>5900.9331073405119</v>
      </c>
    </row>
    <row r="968" spans="1:7" ht="15" hidden="1" customHeight="1" x14ac:dyDescent="0.3">
      <c r="A968" t="s">
        <v>225</v>
      </c>
      <c r="B968" s="2">
        <v>46174</v>
      </c>
      <c r="C968" s="52">
        <v>5295.6</v>
      </c>
      <c r="D968" s="48">
        <f>_xlfn.XLOOKUP(expected_production[[#This Row],[Site Name]],Table1[[Site Name ]],Table1[Commisioned Date],"")</f>
        <v>45934</v>
      </c>
      <c r="E968" s="47">
        <f>IF(ISNUMBER(expected_production[[#This Row],[Commissioned Date]]),MAX(0,(expected_production[[#This Row],[Date]]-expected_production[[#This Row],[Commissioned Date]])/365.25),"")</f>
        <v>0.65708418891170428</v>
      </c>
      <c r="F968" s="49">
        <f>IF(expected_production[[#This Row],[Age (yrs)]]="",1,(1-DegradationRate)^expected_production[[#This Row],[Age (yrs)]])</f>
        <v>0.99539487285652817</v>
      </c>
      <c r="G968" s="52">
        <f>IF(expected_production[[#This Row],[Base Expected (kWh)]]="","",expected_production[[#This Row],[Base Expected (kWh)]]*expected_production[[#This Row],[Degradation Factor]])</f>
        <v>5271.2130886990308</v>
      </c>
    </row>
    <row r="969" spans="1:7" ht="15" hidden="1" customHeight="1" x14ac:dyDescent="0.3">
      <c r="A969" t="s">
        <v>225</v>
      </c>
      <c r="B969" s="2">
        <v>46204</v>
      </c>
      <c r="C969" s="52">
        <v>5785.2</v>
      </c>
      <c r="D969" s="48">
        <f>_xlfn.XLOOKUP(expected_production[[#This Row],[Site Name]],Table1[[Site Name ]],Table1[Commisioned Date],"")</f>
        <v>45934</v>
      </c>
      <c r="E969" s="47">
        <f>IF(ISNUMBER(expected_production[[#This Row],[Commissioned Date]]),MAX(0,(expected_production[[#This Row],[Date]]-expected_production[[#This Row],[Commissioned Date]])/365.25),"")</f>
        <v>0.73921971252566732</v>
      </c>
      <c r="F969" s="49">
        <f>IF(expected_production[[#This Row],[Age (yrs)]]="",1,(1-DegradationRate)^expected_production[[#This Row],[Age (yrs)]])</f>
        <v>0.99482072510172903</v>
      </c>
      <c r="G969" s="52">
        <f>IF(expected_production[[#This Row],[Base Expected (kWh)]]="","",expected_production[[#This Row],[Base Expected (kWh)]]*expected_production[[#This Row],[Degradation Factor]])</f>
        <v>5755.2368588585223</v>
      </c>
    </row>
    <row r="970" spans="1:7" ht="15" hidden="1" customHeight="1" x14ac:dyDescent="0.3">
      <c r="A970" t="s">
        <v>225</v>
      </c>
      <c r="B970" s="2">
        <v>46235</v>
      </c>
      <c r="C970" s="52">
        <v>6585.3</v>
      </c>
      <c r="D970" s="48">
        <f>_xlfn.XLOOKUP(expected_production[[#This Row],[Site Name]],Table1[[Site Name ]],Table1[Commisioned Date],"")</f>
        <v>45934</v>
      </c>
      <c r="E970" s="47">
        <f>IF(ISNUMBER(expected_production[[#This Row],[Commissioned Date]]),MAX(0,(expected_production[[#This Row],[Date]]-expected_production[[#This Row],[Commissioned Date]])/365.25),"")</f>
        <v>0.82409308692676253</v>
      </c>
      <c r="F970" s="49">
        <f>IF(expected_production[[#This Row],[Age (yrs)]]="",1,(1-DegradationRate)^expected_production[[#This Row],[Age (yrs)]])</f>
        <v>0.99422778699945413</v>
      </c>
      <c r="G970" s="52">
        <f>IF(expected_production[[#This Row],[Base Expected (kWh)]]="","",expected_production[[#This Row],[Base Expected (kWh)]]*expected_production[[#This Row],[Degradation Factor]])</f>
        <v>6547.2882457275055</v>
      </c>
    </row>
    <row r="971" spans="1:7" ht="15" hidden="1" customHeight="1" x14ac:dyDescent="0.3">
      <c r="A971" t="s">
        <v>225</v>
      </c>
      <c r="B971" s="2">
        <v>46266</v>
      </c>
      <c r="C971" s="52">
        <v>7018.65</v>
      </c>
      <c r="D971" s="48">
        <f>_xlfn.XLOOKUP(expected_production[[#This Row],[Site Name]],Table1[[Site Name ]],Table1[Commisioned Date],"")</f>
        <v>45934</v>
      </c>
      <c r="E971" s="47">
        <f>IF(ISNUMBER(expected_production[[#This Row],[Commissioned Date]]),MAX(0,(expected_production[[#This Row],[Date]]-expected_production[[#This Row],[Commissioned Date]])/365.25),"")</f>
        <v>0.90896646132785763</v>
      </c>
      <c r="F971" s="49">
        <f>IF(expected_production[[#This Row],[Age (yrs)]]="",1,(1-DegradationRate)^expected_production[[#This Row],[Age (yrs)]])</f>
        <v>0.99363520230315916</v>
      </c>
      <c r="G971" s="52">
        <f>IF(expected_production[[#This Row],[Base Expected (kWh)]]="","",expected_production[[#This Row],[Base Expected (kWh)]]*expected_production[[#This Row],[Degradation Factor]])</f>
        <v>6973.9777126450681</v>
      </c>
    </row>
    <row r="972" spans="1:7" ht="15" hidden="1" customHeight="1" x14ac:dyDescent="0.3">
      <c r="A972" t="s">
        <v>225</v>
      </c>
      <c r="B972" s="2">
        <v>46296</v>
      </c>
      <c r="C972" s="52">
        <v>7479.45</v>
      </c>
      <c r="D972" s="48">
        <f>_xlfn.XLOOKUP(expected_production[[#This Row],[Site Name]],Table1[[Site Name ]],Table1[Commisioned Date],"")</f>
        <v>45934</v>
      </c>
      <c r="E972" s="47">
        <f>IF(ISNUMBER(expected_production[[#This Row],[Commissioned Date]]),MAX(0,(expected_production[[#This Row],[Date]]-expected_production[[#This Row],[Commissioned Date]])/365.25),"")</f>
        <v>0.99110198494182067</v>
      </c>
      <c r="F972" s="49">
        <f>IF(expected_production[[#This Row],[Age (yrs)]]="",1,(1-DegradationRate)^expected_production[[#This Row],[Age (yrs)]])</f>
        <v>0.99306206953339249</v>
      </c>
      <c r="G972" s="52">
        <f>IF(expected_production[[#This Row],[Base Expected (kWh)]]="","",expected_production[[#This Row],[Base Expected (kWh)]]*expected_production[[#This Row],[Degradation Factor]])</f>
        <v>7427.5580959715326</v>
      </c>
    </row>
    <row r="973" spans="1:7" ht="15" hidden="1" customHeight="1" x14ac:dyDescent="0.3">
      <c r="A973" t="s">
        <v>225</v>
      </c>
      <c r="B973" s="2">
        <v>46327</v>
      </c>
      <c r="C973" s="52">
        <v>7552.8</v>
      </c>
      <c r="D973" s="48">
        <f>_xlfn.XLOOKUP(expected_production[[#This Row],[Site Name]],Table1[[Site Name ]],Table1[Commisioned Date],"")</f>
        <v>45934</v>
      </c>
      <c r="E973" s="47">
        <f>IF(ISNUMBER(expected_production[[#This Row],[Commissioned Date]]),MAX(0,(expected_production[[#This Row],[Date]]-expected_production[[#This Row],[Commissioned Date]])/365.25),"")</f>
        <v>1.0759753593429158</v>
      </c>
      <c r="F973" s="49">
        <f>IF(expected_production[[#This Row],[Age (yrs)]]="",1,(1-DegradationRate)^expected_production[[#This Row],[Age (yrs)]])</f>
        <v>0.99247017963394357</v>
      </c>
      <c r="G973" s="52">
        <f>IF(expected_production[[#This Row],[Base Expected (kWh)]]="","",expected_production[[#This Row],[Base Expected (kWh)]]*expected_production[[#This Row],[Degradation Factor]])</f>
        <v>7495.9287727392493</v>
      </c>
    </row>
    <row r="974" spans="1:7" ht="15" hidden="1" customHeight="1" x14ac:dyDescent="0.3">
      <c r="A974" t="s">
        <v>225</v>
      </c>
      <c r="B974" s="2">
        <v>46357</v>
      </c>
      <c r="C974" s="52">
        <v>7415.1</v>
      </c>
      <c r="D974" s="48">
        <f>_xlfn.XLOOKUP(expected_production[[#This Row],[Site Name]],Table1[[Site Name ]],Table1[Commisioned Date],"")</f>
        <v>45934</v>
      </c>
      <c r="E974" s="47">
        <f>IF(ISNUMBER(expected_production[[#This Row],[Commissioned Date]]),MAX(0,(expected_production[[#This Row],[Date]]-expected_production[[#This Row],[Commissioned Date]])/365.25),"")</f>
        <v>1.1581108829568789</v>
      </c>
      <c r="F974" s="49">
        <f>IF(expected_production[[#This Row],[Age (yrs)]]="",1,(1-DegradationRate)^expected_production[[#This Row],[Age (yrs)]])</f>
        <v>0.99189771885392486</v>
      </c>
      <c r="G974" s="52">
        <f>IF(expected_production[[#This Row],[Base Expected (kWh)]]="","",expected_production[[#This Row],[Base Expected (kWh)]]*expected_production[[#This Row],[Degradation Factor]])</f>
        <v>7355.0207750737382</v>
      </c>
    </row>
    <row r="975" spans="1:7" ht="15" hidden="1" customHeight="1" x14ac:dyDescent="0.3">
      <c r="A975" t="s">
        <v>223</v>
      </c>
      <c r="B975" s="2">
        <v>45292</v>
      </c>
      <c r="C975" s="52">
        <v>7573.5</v>
      </c>
      <c r="D975" s="48">
        <f>_xlfn.XLOOKUP(expected_production[[#This Row],[Site Name]],Table1[[Site Name ]],Table1[Commisioned Date],"")</f>
        <v>45934</v>
      </c>
      <c r="E975" s="47">
        <f>IF(ISNUMBER(expected_production[[#This Row],[Commissioned Date]]),MAX(0,(expected_production[[#This Row],[Date]]-expected_production[[#This Row],[Commissioned Date]])/365.25),"")</f>
        <v>0</v>
      </c>
      <c r="F975" s="49">
        <f>IF(expected_production[[#This Row],[Age (yrs)]]="",1,(1-DegradationRate)^expected_production[[#This Row],[Age (yrs)]])</f>
        <v>1</v>
      </c>
      <c r="G975" s="52">
        <f>IF(expected_production[[#This Row],[Base Expected (kWh)]]="","",expected_production[[#This Row],[Base Expected (kWh)]]*expected_production[[#This Row],[Degradation Factor]])</f>
        <v>7573.5</v>
      </c>
    </row>
    <row r="976" spans="1:7" ht="15" hidden="1" customHeight="1" x14ac:dyDescent="0.3">
      <c r="A976" t="s">
        <v>223</v>
      </c>
      <c r="B976" s="2">
        <v>45323</v>
      </c>
      <c r="C976" s="52">
        <v>6513.75</v>
      </c>
      <c r="D976" s="48">
        <f>_xlfn.XLOOKUP(expected_production[[#This Row],[Site Name]],Table1[[Site Name ]],Table1[Commisioned Date],"")</f>
        <v>45934</v>
      </c>
      <c r="E976" s="47">
        <f>IF(ISNUMBER(expected_production[[#This Row],[Commissioned Date]]),MAX(0,(expected_production[[#This Row],[Date]]-expected_production[[#This Row],[Commissioned Date]])/365.25),"")</f>
        <v>0</v>
      </c>
      <c r="F976" s="49">
        <f>IF(expected_production[[#This Row],[Age (yrs)]]="",1,(1-DegradationRate)^expected_production[[#This Row],[Age (yrs)]])</f>
        <v>1</v>
      </c>
      <c r="G976" s="52">
        <f>IF(expected_production[[#This Row],[Base Expected (kWh)]]="","",expected_production[[#This Row],[Base Expected (kWh)]]*expected_production[[#This Row],[Degradation Factor]])</f>
        <v>6513.75</v>
      </c>
    </row>
    <row r="977" spans="1:7" ht="15" hidden="1" customHeight="1" x14ac:dyDescent="0.3">
      <c r="A977" t="s">
        <v>223</v>
      </c>
      <c r="B977" s="2">
        <v>45352</v>
      </c>
      <c r="C977" s="52">
        <v>6841.35</v>
      </c>
      <c r="D977" s="48">
        <f>_xlfn.XLOOKUP(expected_production[[#This Row],[Site Name]],Table1[[Site Name ]],Table1[Commisioned Date],"")</f>
        <v>45934</v>
      </c>
      <c r="E977" s="47">
        <f>IF(ISNUMBER(expected_production[[#This Row],[Commissioned Date]]),MAX(0,(expected_production[[#This Row],[Date]]-expected_production[[#This Row],[Commissioned Date]])/365.25),"")</f>
        <v>0</v>
      </c>
      <c r="F977" s="49">
        <f>IF(expected_production[[#This Row],[Age (yrs)]]="",1,(1-DegradationRate)^expected_production[[#This Row],[Age (yrs)]])</f>
        <v>1</v>
      </c>
      <c r="G977" s="52">
        <f>IF(expected_production[[#This Row],[Base Expected (kWh)]]="","",expected_production[[#This Row],[Base Expected (kWh)]]*expected_production[[#This Row],[Degradation Factor]])</f>
        <v>6841.35</v>
      </c>
    </row>
    <row r="978" spans="1:7" ht="15" hidden="1" customHeight="1" x14ac:dyDescent="0.3">
      <c r="A978" t="s">
        <v>223</v>
      </c>
      <c r="B978" s="2">
        <v>45383</v>
      </c>
      <c r="C978" s="52">
        <v>618.29999999999995</v>
      </c>
      <c r="D978" s="48">
        <f>_xlfn.XLOOKUP(expected_production[[#This Row],[Site Name]],Table1[[Site Name ]],Table1[Commisioned Date],"")</f>
        <v>45934</v>
      </c>
      <c r="E978" s="47">
        <f>IF(ISNUMBER(expected_production[[#This Row],[Commissioned Date]]),MAX(0,(expected_production[[#This Row],[Date]]-expected_production[[#This Row],[Commissioned Date]])/365.25),"")</f>
        <v>0</v>
      </c>
      <c r="F978" s="49">
        <f>IF(expected_production[[#This Row],[Age (yrs)]]="",1,(1-DegradationRate)^expected_production[[#This Row],[Age (yrs)]])</f>
        <v>1</v>
      </c>
      <c r="G978" s="52">
        <f>IF(expected_production[[#This Row],[Base Expected (kWh)]]="","",expected_production[[#This Row],[Base Expected (kWh)]]*expected_production[[#This Row],[Degradation Factor]])</f>
        <v>618.29999999999995</v>
      </c>
    </row>
    <row r="979" spans="1:7" ht="15" hidden="1" customHeight="1" x14ac:dyDescent="0.3">
      <c r="A979" t="s">
        <v>223</v>
      </c>
      <c r="B979" s="2">
        <v>45413</v>
      </c>
      <c r="C979" s="52">
        <v>5924.7</v>
      </c>
      <c r="D979" s="48">
        <f>_xlfn.XLOOKUP(expected_production[[#This Row],[Site Name]],Table1[[Site Name ]],Table1[Commisioned Date],"")</f>
        <v>45934</v>
      </c>
      <c r="E979" s="47">
        <f>IF(ISNUMBER(expected_production[[#This Row],[Commissioned Date]]),MAX(0,(expected_production[[#This Row],[Date]]-expected_production[[#This Row],[Commissioned Date]])/365.25),"")</f>
        <v>0</v>
      </c>
      <c r="F979" s="49">
        <f>IF(expected_production[[#This Row],[Age (yrs)]]="",1,(1-DegradationRate)^expected_production[[#This Row],[Age (yrs)]])</f>
        <v>1</v>
      </c>
      <c r="G979" s="52">
        <f>IF(expected_production[[#This Row],[Base Expected (kWh)]]="","",expected_production[[#This Row],[Base Expected (kWh)]]*expected_production[[#This Row],[Degradation Factor]])</f>
        <v>5924.7</v>
      </c>
    </row>
    <row r="980" spans="1:7" ht="15" hidden="1" customHeight="1" x14ac:dyDescent="0.3">
      <c r="A980" t="s">
        <v>223</v>
      </c>
      <c r="B980" s="2">
        <v>45444</v>
      </c>
      <c r="C980" s="52">
        <v>5295.6</v>
      </c>
      <c r="D980" s="48">
        <f>_xlfn.XLOOKUP(expected_production[[#This Row],[Site Name]],Table1[[Site Name ]],Table1[Commisioned Date],"")</f>
        <v>45934</v>
      </c>
      <c r="E980" s="47">
        <f>IF(ISNUMBER(expected_production[[#This Row],[Commissioned Date]]),MAX(0,(expected_production[[#This Row],[Date]]-expected_production[[#This Row],[Commissioned Date]])/365.25),"")</f>
        <v>0</v>
      </c>
      <c r="F980" s="49">
        <f>IF(expected_production[[#This Row],[Age (yrs)]]="",1,(1-DegradationRate)^expected_production[[#This Row],[Age (yrs)]])</f>
        <v>1</v>
      </c>
      <c r="G980" s="52">
        <f>IF(expected_production[[#This Row],[Base Expected (kWh)]]="","",expected_production[[#This Row],[Base Expected (kWh)]]*expected_production[[#This Row],[Degradation Factor]])</f>
        <v>5295.6</v>
      </c>
    </row>
    <row r="981" spans="1:7" ht="15" hidden="1" customHeight="1" x14ac:dyDescent="0.3">
      <c r="A981" t="s">
        <v>223</v>
      </c>
      <c r="B981" s="2">
        <v>45474</v>
      </c>
      <c r="C981" s="52">
        <v>5785.2</v>
      </c>
      <c r="D981" s="48">
        <f>_xlfn.XLOOKUP(expected_production[[#This Row],[Site Name]],Table1[[Site Name ]],Table1[Commisioned Date],"")</f>
        <v>45934</v>
      </c>
      <c r="E981" s="47">
        <f>IF(ISNUMBER(expected_production[[#This Row],[Commissioned Date]]),MAX(0,(expected_production[[#This Row],[Date]]-expected_production[[#This Row],[Commissioned Date]])/365.25),"")</f>
        <v>0</v>
      </c>
      <c r="F981" s="49">
        <f>IF(expected_production[[#This Row],[Age (yrs)]]="",1,(1-DegradationRate)^expected_production[[#This Row],[Age (yrs)]])</f>
        <v>1</v>
      </c>
      <c r="G981" s="52">
        <f>IF(expected_production[[#This Row],[Base Expected (kWh)]]="","",expected_production[[#This Row],[Base Expected (kWh)]]*expected_production[[#This Row],[Degradation Factor]])</f>
        <v>5785.2</v>
      </c>
    </row>
    <row r="982" spans="1:7" ht="15" hidden="1" customHeight="1" x14ac:dyDescent="0.3">
      <c r="A982" t="s">
        <v>223</v>
      </c>
      <c r="B982" s="2">
        <v>45505</v>
      </c>
      <c r="C982" s="52">
        <v>6585.3</v>
      </c>
      <c r="D982" s="48">
        <f>_xlfn.XLOOKUP(expected_production[[#This Row],[Site Name]],Table1[[Site Name ]],Table1[Commisioned Date],"")</f>
        <v>45934</v>
      </c>
      <c r="E982" s="47">
        <f>IF(ISNUMBER(expected_production[[#This Row],[Commissioned Date]]),MAX(0,(expected_production[[#This Row],[Date]]-expected_production[[#This Row],[Commissioned Date]])/365.25),"")</f>
        <v>0</v>
      </c>
      <c r="F982" s="49">
        <f>IF(expected_production[[#This Row],[Age (yrs)]]="",1,(1-DegradationRate)^expected_production[[#This Row],[Age (yrs)]])</f>
        <v>1</v>
      </c>
      <c r="G982" s="52">
        <f>IF(expected_production[[#This Row],[Base Expected (kWh)]]="","",expected_production[[#This Row],[Base Expected (kWh)]]*expected_production[[#This Row],[Degradation Factor]])</f>
        <v>6585.3</v>
      </c>
    </row>
    <row r="983" spans="1:7" ht="15" hidden="1" customHeight="1" x14ac:dyDescent="0.3">
      <c r="A983" t="s">
        <v>223</v>
      </c>
      <c r="B983" s="2">
        <v>45536</v>
      </c>
      <c r="C983" s="52">
        <v>7018.65</v>
      </c>
      <c r="D983" s="48">
        <f>_xlfn.XLOOKUP(expected_production[[#This Row],[Site Name]],Table1[[Site Name ]],Table1[Commisioned Date],"")</f>
        <v>45934</v>
      </c>
      <c r="E983" s="47">
        <f>IF(ISNUMBER(expected_production[[#This Row],[Commissioned Date]]),MAX(0,(expected_production[[#This Row],[Date]]-expected_production[[#This Row],[Commissioned Date]])/365.25),"")</f>
        <v>0</v>
      </c>
      <c r="F983" s="49">
        <f>IF(expected_production[[#This Row],[Age (yrs)]]="",1,(1-DegradationRate)^expected_production[[#This Row],[Age (yrs)]])</f>
        <v>1</v>
      </c>
      <c r="G983" s="52">
        <f>IF(expected_production[[#This Row],[Base Expected (kWh)]]="","",expected_production[[#This Row],[Base Expected (kWh)]]*expected_production[[#This Row],[Degradation Factor]])</f>
        <v>7018.65</v>
      </c>
    </row>
    <row r="984" spans="1:7" ht="15" hidden="1" customHeight="1" x14ac:dyDescent="0.3">
      <c r="A984" t="s">
        <v>223</v>
      </c>
      <c r="B984" s="2">
        <v>45566</v>
      </c>
      <c r="C984" s="52">
        <v>7479.45</v>
      </c>
      <c r="D984" s="48">
        <f>_xlfn.XLOOKUP(expected_production[[#This Row],[Site Name]],Table1[[Site Name ]],Table1[Commisioned Date],"")</f>
        <v>45934</v>
      </c>
      <c r="E984" s="47">
        <f>IF(ISNUMBER(expected_production[[#This Row],[Commissioned Date]]),MAX(0,(expected_production[[#This Row],[Date]]-expected_production[[#This Row],[Commissioned Date]])/365.25),"")</f>
        <v>0</v>
      </c>
      <c r="F984" s="49">
        <f>IF(expected_production[[#This Row],[Age (yrs)]]="",1,(1-DegradationRate)^expected_production[[#This Row],[Age (yrs)]])</f>
        <v>1</v>
      </c>
      <c r="G984" s="52">
        <f>IF(expected_production[[#This Row],[Base Expected (kWh)]]="","",expected_production[[#This Row],[Base Expected (kWh)]]*expected_production[[#This Row],[Degradation Factor]])</f>
        <v>7479.45</v>
      </c>
    </row>
    <row r="985" spans="1:7" ht="15" hidden="1" customHeight="1" x14ac:dyDescent="0.3">
      <c r="A985" t="s">
        <v>223</v>
      </c>
      <c r="B985" s="2">
        <v>45597</v>
      </c>
      <c r="C985" s="52">
        <v>7552.8</v>
      </c>
      <c r="D985" s="48">
        <f>_xlfn.XLOOKUP(expected_production[[#This Row],[Site Name]],Table1[[Site Name ]],Table1[Commisioned Date],"")</f>
        <v>45934</v>
      </c>
      <c r="E985" s="47">
        <f>IF(ISNUMBER(expected_production[[#This Row],[Commissioned Date]]),MAX(0,(expected_production[[#This Row],[Date]]-expected_production[[#This Row],[Commissioned Date]])/365.25),"")</f>
        <v>0</v>
      </c>
      <c r="F985" s="49">
        <f>IF(expected_production[[#This Row],[Age (yrs)]]="",1,(1-DegradationRate)^expected_production[[#This Row],[Age (yrs)]])</f>
        <v>1</v>
      </c>
      <c r="G985" s="52">
        <f>IF(expected_production[[#This Row],[Base Expected (kWh)]]="","",expected_production[[#This Row],[Base Expected (kWh)]]*expected_production[[#This Row],[Degradation Factor]])</f>
        <v>7552.8</v>
      </c>
    </row>
    <row r="986" spans="1:7" ht="15" hidden="1" customHeight="1" x14ac:dyDescent="0.3">
      <c r="A986" t="s">
        <v>223</v>
      </c>
      <c r="B986" s="2">
        <v>45627</v>
      </c>
      <c r="C986" s="52">
        <v>7415.1</v>
      </c>
      <c r="D986" s="48">
        <f>_xlfn.XLOOKUP(expected_production[[#This Row],[Site Name]],Table1[[Site Name ]],Table1[Commisioned Date],"")</f>
        <v>45934</v>
      </c>
      <c r="E986" s="47">
        <f>IF(ISNUMBER(expected_production[[#This Row],[Commissioned Date]]),MAX(0,(expected_production[[#This Row],[Date]]-expected_production[[#This Row],[Commissioned Date]])/365.25),"")</f>
        <v>0</v>
      </c>
      <c r="F986" s="49">
        <f>IF(expected_production[[#This Row],[Age (yrs)]]="",1,(1-DegradationRate)^expected_production[[#This Row],[Age (yrs)]])</f>
        <v>1</v>
      </c>
      <c r="G986" s="52">
        <f>IF(expected_production[[#This Row],[Base Expected (kWh)]]="","",expected_production[[#This Row],[Base Expected (kWh)]]*expected_production[[#This Row],[Degradation Factor]])</f>
        <v>7415.1</v>
      </c>
    </row>
    <row r="987" spans="1:7" ht="15" hidden="1" customHeight="1" x14ac:dyDescent="0.3">
      <c r="A987" t="s">
        <v>223</v>
      </c>
      <c r="B987" s="2">
        <v>45658</v>
      </c>
      <c r="C987" s="52">
        <v>7573.5</v>
      </c>
      <c r="D987" s="48">
        <f>_xlfn.XLOOKUP(expected_production[[#This Row],[Site Name]],Table1[[Site Name ]],Table1[Commisioned Date],"")</f>
        <v>45934</v>
      </c>
      <c r="E987" s="47">
        <f>IF(ISNUMBER(expected_production[[#This Row],[Commissioned Date]]),MAX(0,(expected_production[[#This Row],[Date]]-expected_production[[#This Row],[Commissioned Date]])/365.25),"")</f>
        <v>0</v>
      </c>
      <c r="F987" s="49">
        <f>IF(expected_production[[#This Row],[Age (yrs)]]="",1,(1-DegradationRate)^expected_production[[#This Row],[Age (yrs)]])</f>
        <v>1</v>
      </c>
      <c r="G987" s="52">
        <f>IF(expected_production[[#This Row],[Base Expected (kWh)]]="","",expected_production[[#This Row],[Base Expected (kWh)]]*expected_production[[#This Row],[Degradation Factor]])</f>
        <v>7573.5</v>
      </c>
    </row>
    <row r="988" spans="1:7" ht="15" hidden="1" customHeight="1" x14ac:dyDescent="0.3">
      <c r="A988" t="s">
        <v>223</v>
      </c>
      <c r="B988" s="2">
        <v>45689</v>
      </c>
      <c r="C988" s="52">
        <v>6513.75</v>
      </c>
      <c r="D988" s="48">
        <f>_xlfn.XLOOKUP(expected_production[[#This Row],[Site Name]],Table1[[Site Name ]],Table1[Commisioned Date],"")</f>
        <v>45934</v>
      </c>
      <c r="E988" s="47">
        <f>IF(ISNUMBER(expected_production[[#This Row],[Commissioned Date]]),MAX(0,(expected_production[[#This Row],[Date]]-expected_production[[#This Row],[Commissioned Date]])/365.25),"")</f>
        <v>0</v>
      </c>
      <c r="F988" s="49">
        <f>IF(expected_production[[#This Row],[Age (yrs)]]="",1,(1-DegradationRate)^expected_production[[#This Row],[Age (yrs)]])</f>
        <v>1</v>
      </c>
      <c r="G988" s="52">
        <f>IF(expected_production[[#This Row],[Base Expected (kWh)]]="","",expected_production[[#This Row],[Base Expected (kWh)]]*expected_production[[#This Row],[Degradation Factor]])</f>
        <v>6513.75</v>
      </c>
    </row>
    <row r="989" spans="1:7" ht="15" hidden="1" customHeight="1" x14ac:dyDescent="0.3">
      <c r="A989" t="s">
        <v>223</v>
      </c>
      <c r="B989" s="2">
        <v>45717</v>
      </c>
      <c r="C989" s="52">
        <v>6841.35</v>
      </c>
      <c r="D989" s="48">
        <f>_xlfn.XLOOKUP(expected_production[[#This Row],[Site Name]],Table1[[Site Name ]],Table1[Commisioned Date],"")</f>
        <v>45934</v>
      </c>
      <c r="E989" s="47">
        <f>IF(ISNUMBER(expected_production[[#This Row],[Commissioned Date]]),MAX(0,(expected_production[[#This Row],[Date]]-expected_production[[#This Row],[Commissioned Date]])/365.25),"")</f>
        <v>0</v>
      </c>
      <c r="F989" s="49">
        <f>IF(expected_production[[#This Row],[Age (yrs)]]="",1,(1-DegradationRate)^expected_production[[#This Row],[Age (yrs)]])</f>
        <v>1</v>
      </c>
      <c r="G989" s="52">
        <f>IF(expected_production[[#This Row],[Base Expected (kWh)]]="","",expected_production[[#This Row],[Base Expected (kWh)]]*expected_production[[#This Row],[Degradation Factor]])</f>
        <v>6841.35</v>
      </c>
    </row>
    <row r="990" spans="1:7" ht="15" hidden="1" customHeight="1" x14ac:dyDescent="0.3">
      <c r="A990" t="s">
        <v>223</v>
      </c>
      <c r="B990" s="2">
        <v>45748</v>
      </c>
      <c r="C990" s="52">
        <v>618.29999999999995</v>
      </c>
      <c r="D990" s="48">
        <f>_xlfn.XLOOKUP(expected_production[[#This Row],[Site Name]],Table1[[Site Name ]],Table1[Commisioned Date],"")</f>
        <v>45934</v>
      </c>
      <c r="E990" s="47">
        <f>IF(ISNUMBER(expected_production[[#This Row],[Commissioned Date]]),MAX(0,(expected_production[[#This Row],[Date]]-expected_production[[#This Row],[Commissioned Date]])/365.25),"")</f>
        <v>0</v>
      </c>
      <c r="F990" s="49">
        <f>IF(expected_production[[#This Row],[Age (yrs)]]="",1,(1-DegradationRate)^expected_production[[#This Row],[Age (yrs)]])</f>
        <v>1</v>
      </c>
      <c r="G990" s="52">
        <f>IF(expected_production[[#This Row],[Base Expected (kWh)]]="","",expected_production[[#This Row],[Base Expected (kWh)]]*expected_production[[#This Row],[Degradation Factor]])</f>
        <v>618.29999999999995</v>
      </c>
    </row>
    <row r="991" spans="1:7" ht="15" hidden="1" customHeight="1" x14ac:dyDescent="0.3">
      <c r="A991" t="s">
        <v>223</v>
      </c>
      <c r="B991" s="2">
        <v>45778</v>
      </c>
      <c r="C991" s="52">
        <v>5924.7</v>
      </c>
      <c r="D991" s="48">
        <f>_xlfn.XLOOKUP(expected_production[[#This Row],[Site Name]],Table1[[Site Name ]],Table1[Commisioned Date],"")</f>
        <v>45934</v>
      </c>
      <c r="E991" s="47">
        <f>IF(ISNUMBER(expected_production[[#This Row],[Commissioned Date]]),MAX(0,(expected_production[[#This Row],[Date]]-expected_production[[#This Row],[Commissioned Date]])/365.25),"")</f>
        <v>0</v>
      </c>
      <c r="F991" s="49">
        <f>IF(expected_production[[#This Row],[Age (yrs)]]="",1,(1-DegradationRate)^expected_production[[#This Row],[Age (yrs)]])</f>
        <v>1</v>
      </c>
      <c r="G991" s="52">
        <f>IF(expected_production[[#This Row],[Base Expected (kWh)]]="","",expected_production[[#This Row],[Base Expected (kWh)]]*expected_production[[#This Row],[Degradation Factor]])</f>
        <v>5924.7</v>
      </c>
    </row>
    <row r="992" spans="1:7" ht="15" hidden="1" customHeight="1" x14ac:dyDescent="0.3">
      <c r="A992" t="s">
        <v>223</v>
      </c>
      <c r="B992" s="2">
        <v>45809</v>
      </c>
      <c r="C992" s="52">
        <v>5295.6</v>
      </c>
      <c r="D992" s="48">
        <f>_xlfn.XLOOKUP(expected_production[[#This Row],[Site Name]],Table1[[Site Name ]],Table1[Commisioned Date],"")</f>
        <v>45934</v>
      </c>
      <c r="E992" s="47">
        <f>IF(ISNUMBER(expected_production[[#This Row],[Commissioned Date]]),MAX(0,(expected_production[[#This Row],[Date]]-expected_production[[#This Row],[Commissioned Date]])/365.25),"")</f>
        <v>0</v>
      </c>
      <c r="F992" s="49">
        <f>IF(expected_production[[#This Row],[Age (yrs)]]="",1,(1-DegradationRate)^expected_production[[#This Row],[Age (yrs)]])</f>
        <v>1</v>
      </c>
      <c r="G992" s="52">
        <f>IF(expected_production[[#This Row],[Base Expected (kWh)]]="","",expected_production[[#This Row],[Base Expected (kWh)]]*expected_production[[#This Row],[Degradation Factor]])</f>
        <v>5295.6</v>
      </c>
    </row>
    <row r="993" spans="1:7" ht="15" hidden="1" customHeight="1" x14ac:dyDescent="0.3">
      <c r="A993" t="s">
        <v>223</v>
      </c>
      <c r="B993" s="2">
        <v>45839</v>
      </c>
      <c r="C993" s="52">
        <v>5785.2</v>
      </c>
      <c r="D993" s="48">
        <f>_xlfn.XLOOKUP(expected_production[[#This Row],[Site Name]],Table1[[Site Name ]],Table1[Commisioned Date],"")</f>
        <v>45934</v>
      </c>
      <c r="E993" s="47">
        <f>IF(ISNUMBER(expected_production[[#This Row],[Commissioned Date]]),MAX(0,(expected_production[[#This Row],[Date]]-expected_production[[#This Row],[Commissioned Date]])/365.25),"")</f>
        <v>0</v>
      </c>
      <c r="F993" s="49">
        <f>IF(expected_production[[#This Row],[Age (yrs)]]="",1,(1-DegradationRate)^expected_production[[#This Row],[Age (yrs)]])</f>
        <v>1</v>
      </c>
      <c r="G993" s="52">
        <f>IF(expected_production[[#This Row],[Base Expected (kWh)]]="","",expected_production[[#This Row],[Base Expected (kWh)]]*expected_production[[#This Row],[Degradation Factor]])</f>
        <v>5785.2</v>
      </c>
    </row>
    <row r="994" spans="1:7" ht="15" hidden="1" customHeight="1" x14ac:dyDescent="0.3">
      <c r="A994" t="s">
        <v>223</v>
      </c>
      <c r="B994" s="2">
        <v>45870</v>
      </c>
      <c r="C994" s="52">
        <v>6585.3</v>
      </c>
      <c r="D994" s="48">
        <f>_xlfn.XLOOKUP(expected_production[[#This Row],[Site Name]],Table1[[Site Name ]],Table1[Commisioned Date],"")</f>
        <v>45934</v>
      </c>
      <c r="E994" s="47">
        <f>IF(ISNUMBER(expected_production[[#This Row],[Commissioned Date]]),MAX(0,(expected_production[[#This Row],[Date]]-expected_production[[#This Row],[Commissioned Date]])/365.25),"")</f>
        <v>0</v>
      </c>
      <c r="F994" s="49">
        <f>IF(expected_production[[#This Row],[Age (yrs)]]="",1,(1-DegradationRate)^expected_production[[#This Row],[Age (yrs)]])</f>
        <v>1</v>
      </c>
      <c r="G994" s="52">
        <f>IF(expected_production[[#This Row],[Base Expected (kWh)]]="","",expected_production[[#This Row],[Base Expected (kWh)]]*expected_production[[#This Row],[Degradation Factor]])</f>
        <v>6585.3</v>
      </c>
    </row>
    <row r="995" spans="1:7" ht="15" hidden="1" customHeight="1" x14ac:dyDescent="0.3">
      <c r="A995" t="s">
        <v>223</v>
      </c>
      <c r="B995" s="2">
        <v>45901</v>
      </c>
      <c r="C995" s="52">
        <v>7018.65</v>
      </c>
      <c r="D995" s="48">
        <f>_xlfn.XLOOKUP(expected_production[[#This Row],[Site Name]],Table1[[Site Name ]],Table1[Commisioned Date],"")</f>
        <v>45934</v>
      </c>
      <c r="E995" s="47">
        <f>IF(ISNUMBER(expected_production[[#This Row],[Commissioned Date]]),MAX(0,(expected_production[[#This Row],[Date]]-expected_production[[#This Row],[Commissioned Date]])/365.25),"")</f>
        <v>0</v>
      </c>
      <c r="F995" s="49">
        <f>IF(expected_production[[#This Row],[Age (yrs)]]="",1,(1-DegradationRate)^expected_production[[#This Row],[Age (yrs)]])</f>
        <v>1</v>
      </c>
      <c r="G995" s="52">
        <f>IF(expected_production[[#This Row],[Base Expected (kWh)]]="","",expected_production[[#This Row],[Base Expected (kWh)]]*expected_production[[#This Row],[Degradation Factor]])</f>
        <v>7018.65</v>
      </c>
    </row>
    <row r="996" spans="1:7" ht="15" hidden="1" customHeight="1" x14ac:dyDescent="0.3">
      <c r="A996" t="s">
        <v>223</v>
      </c>
      <c r="B996" s="2">
        <v>45931</v>
      </c>
      <c r="C996" s="52">
        <v>7479.45</v>
      </c>
      <c r="D996" s="48">
        <f>_xlfn.XLOOKUP(expected_production[[#This Row],[Site Name]],Table1[[Site Name ]],Table1[Commisioned Date],"")</f>
        <v>45934</v>
      </c>
      <c r="E996" s="47">
        <f>IF(ISNUMBER(expected_production[[#This Row],[Commissioned Date]]),MAX(0,(expected_production[[#This Row],[Date]]-expected_production[[#This Row],[Commissioned Date]])/365.25),"")</f>
        <v>0</v>
      </c>
      <c r="F996" s="49">
        <f>IF(expected_production[[#This Row],[Age (yrs)]]="",1,(1-DegradationRate)^expected_production[[#This Row],[Age (yrs)]])</f>
        <v>1</v>
      </c>
      <c r="G996" s="52">
        <f>IF(expected_production[[#This Row],[Base Expected (kWh)]]="","",expected_production[[#This Row],[Base Expected (kWh)]]*expected_production[[#This Row],[Degradation Factor]])</f>
        <v>7479.45</v>
      </c>
    </row>
    <row r="997" spans="1:7" ht="15" hidden="1" customHeight="1" x14ac:dyDescent="0.3">
      <c r="A997" t="s">
        <v>223</v>
      </c>
      <c r="B997" s="2">
        <v>45962</v>
      </c>
      <c r="C997" s="52">
        <v>7552.8</v>
      </c>
      <c r="D997" s="48">
        <f>_xlfn.XLOOKUP(expected_production[[#This Row],[Site Name]],Table1[[Site Name ]],Table1[Commisioned Date],"")</f>
        <v>45934</v>
      </c>
      <c r="E997" s="47">
        <f>IF(ISNUMBER(expected_production[[#This Row],[Commissioned Date]]),MAX(0,(expected_production[[#This Row],[Date]]-expected_production[[#This Row],[Commissioned Date]])/365.25),"")</f>
        <v>7.665982203969883E-2</v>
      </c>
      <c r="F997" s="49">
        <f>IF(expected_production[[#This Row],[Age (yrs)]]="",1,(1-DegradationRate)^expected_production[[#This Row],[Age (yrs)]])</f>
        <v>0.99946163923722275</v>
      </c>
      <c r="G997" s="52">
        <f>IF(expected_production[[#This Row],[Base Expected (kWh)]]="","",expected_production[[#This Row],[Base Expected (kWh)]]*expected_production[[#This Row],[Degradation Factor]])</f>
        <v>7548.7338688308964</v>
      </c>
    </row>
    <row r="998" spans="1:7" ht="15" hidden="1" customHeight="1" x14ac:dyDescent="0.3">
      <c r="A998" t="s">
        <v>223</v>
      </c>
      <c r="B998" s="2">
        <v>45992</v>
      </c>
      <c r="C998" s="52">
        <v>7415.1</v>
      </c>
      <c r="D998" s="48">
        <f>_xlfn.XLOOKUP(expected_production[[#This Row],[Site Name]],Table1[[Site Name ]],Table1[Commisioned Date],"")</f>
        <v>45934</v>
      </c>
      <c r="E998" s="47">
        <f>IF(ISNUMBER(expected_production[[#This Row],[Commissioned Date]]),MAX(0,(expected_production[[#This Row],[Date]]-expected_production[[#This Row],[Commissioned Date]])/365.25),"")</f>
        <v>0.15879534565366188</v>
      </c>
      <c r="F998" s="49">
        <f>IF(expected_production[[#This Row],[Age (yrs)]]="",1,(1-DegradationRate)^expected_production[[#This Row],[Age (yrs)]])</f>
        <v>0.99888514575526499</v>
      </c>
      <c r="G998" s="52">
        <f>IF(expected_production[[#This Row],[Base Expected (kWh)]]="","",expected_production[[#This Row],[Base Expected (kWh)]]*expected_production[[#This Row],[Degradation Factor]])</f>
        <v>7406.8332442898654</v>
      </c>
    </row>
    <row r="999" spans="1:7" ht="15" hidden="1" customHeight="1" x14ac:dyDescent="0.3">
      <c r="A999" t="s">
        <v>223</v>
      </c>
      <c r="B999" s="2">
        <v>46023</v>
      </c>
      <c r="C999" s="52">
        <v>7573.5</v>
      </c>
      <c r="D999" s="48">
        <f>_xlfn.XLOOKUP(expected_production[[#This Row],[Site Name]],Table1[[Site Name ]],Table1[Commisioned Date],"")</f>
        <v>45934</v>
      </c>
      <c r="E999" s="47">
        <f>IF(ISNUMBER(expected_production[[#This Row],[Commissioned Date]]),MAX(0,(expected_production[[#This Row],[Date]]-expected_production[[#This Row],[Commissioned Date]])/365.25),"")</f>
        <v>0.24366872005475701</v>
      </c>
      <c r="F999" s="49">
        <f>IF(expected_production[[#This Row],[Age (yrs)]]="",1,(1-DegradationRate)^expected_production[[#This Row],[Age (yrs)]])</f>
        <v>0.99828978515634492</v>
      </c>
      <c r="G999" s="52">
        <f>IF(expected_production[[#This Row],[Base Expected (kWh)]]="","",expected_production[[#This Row],[Base Expected (kWh)]]*expected_production[[#This Row],[Degradation Factor]])</f>
        <v>7560.547687881578</v>
      </c>
    </row>
    <row r="1000" spans="1:7" ht="15" hidden="1" customHeight="1" x14ac:dyDescent="0.3">
      <c r="A1000" t="s">
        <v>223</v>
      </c>
      <c r="B1000" s="2">
        <v>46054</v>
      </c>
      <c r="C1000" s="52">
        <v>6513.75</v>
      </c>
      <c r="D1000" s="48">
        <f>_xlfn.XLOOKUP(expected_production[[#This Row],[Site Name]],Table1[[Site Name ]],Table1[Commisioned Date],"")</f>
        <v>45934</v>
      </c>
      <c r="E1000" s="47">
        <f>IF(ISNUMBER(expected_production[[#This Row],[Commissioned Date]]),MAX(0,(expected_production[[#This Row],[Date]]-expected_production[[#This Row],[Commissioned Date]])/365.25),"")</f>
        <v>0.32854209445585214</v>
      </c>
      <c r="F1000" s="49">
        <f>IF(expected_production[[#This Row],[Age (yrs)]]="",1,(1-DegradationRate)^expected_production[[#This Row],[Age (yrs)]])</f>
        <v>0.99769477940727358</v>
      </c>
      <c r="G1000" s="52">
        <f>IF(expected_production[[#This Row],[Base Expected (kWh)]]="","",expected_production[[#This Row],[Base Expected (kWh)]]*expected_production[[#This Row],[Degradation Factor]])</f>
        <v>6498.7343693641287</v>
      </c>
    </row>
    <row r="1001" spans="1:7" ht="15" hidden="1" customHeight="1" x14ac:dyDescent="0.3">
      <c r="A1001" t="s">
        <v>223</v>
      </c>
      <c r="B1001" s="2">
        <v>46082</v>
      </c>
      <c r="C1001" s="52">
        <v>6841.35</v>
      </c>
      <c r="D1001" s="48">
        <f>_xlfn.XLOOKUP(expected_production[[#This Row],[Site Name]],Table1[[Site Name ]],Table1[Commisioned Date],"")</f>
        <v>45934</v>
      </c>
      <c r="E1001" s="47">
        <f>IF(ISNUMBER(expected_production[[#This Row],[Commissioned Date]]),MAX(0,(expected_production[[#This Row],[Date]]-expected_production[[#This Row],[Commissioned Date]])/365.25),"")</f>
        <v>0.40520191649555098</v>
      </c>
      <c r="F1001" s="49">
        <f>IF(expected_production[[#This Row],[Age (yrs)]]="",1,(1-DegradationRate)^expected_production[[#This Row],[Age (yrs)]])</f>
        <v>0.99715765968481296</v>
      </c>
      <c r="G1001" s="52">
        <f>IF(expected_production[[#This Row],[Base Expected (kWh)]]="","",expected_production[[#This Row],[Base Expected (kWh)]]*expected_production[[#This Row],[Degradation Factor]])</f>
        <v>6821.9045550846959</v>
      </c>
    </row>
    <row r="1002" spans="1:7" ht="15" hidden="1" customHeight="1" x14ac:dyDescent="0.3">
      <c r="A1002" t="s">
        <v>223</v>
      </c>
      <c r="B1002" s="2">
        <v>46113</v>
      </c>
      <c r="C1002" s="52">
        <v>6183</v>
      </c>
      <c r="D1002" s="48">
        <f>_xlfn.XLOOKUP(expected_production[[#This Row],[Site Name]],Table1[[Site Name ]],Table1[Commisioned Date],"")</f>
        <v>45934</v>
      </c>
      <c r="E1002" s="47">
        <f>IF(ISNUMBER(expected_production[[#This Row],[Commissioned Date]]),MAX(0,(expected_production[[#This Row],[Date]]-expected_production[[#This Row],[Commissioned Date]])/365.25),"")</f>
        <v>0.49007529089664614</v>
      </c>
      <c r="F1002" s="49">
        <f>IF(expected_production[[#This Row],[Age (yrs)]]="",1,(1-DegradationRate)^expected_production[[#This Row],[Age (yrs)]])</f>
        <v>0.99656332871091635</v>
      </c>
      <c r="G1002" s="52">
        <f>IF(expected_production[[#This Row],[Base Expected (kWh)]]="","",expected_production[[#This Row],[Base Expected (kWh)]]*expected_production[[#This Row],[Degradation Factor]])</f>
        <v>6161.7510614195962</v>
      </c>
    </row>
    <row r="1003" spans="1:7" ht="15" hidden="1" customHeight="1" x14ac:dyDescent="0.3">
      <c r="A1003" t="s">
        <v>223</v>
      </c>
      <c r="B1003" s="2">
        <v>46143</v>
      </c>
      <c r="C1003" s="52">
        <v>5924.7</v>
      </c>
      <c r="D1003" s="48">
        <f>_xlfn.XLOOKUP(expected_production[[#This Row],[Site Name]],Table1[[Site Name ]],Table1[Commisioned Date],"")</f>
        <v>45934</v>
      </c>
      <c r="E1003" s="47">
        <f>IF(ISNUMBER(expected_production[[#This Row],[Commissioned Date]]),MAX(0,(expected_production[[#This Row],[Date]]-expected_production[[#This Row],[Commissioned Date]])/365.25),"")</f>
        <v>0.57221081451060918</v>
      </c>
      <c r="F1003" s="49">
        <f>IF(expected_production[[#This Row],[Age (yrs)]]="",1,(1-DegradationRate)^expected_production[[#This Row],[Age (yrs)]])</f>
        <v>0.99598850698609409</v>
      </c>
      <c r="G1003" s="52">
        <f>IF(expected_production[[#This Row],[Base Expected (kWh)]]="","",expected_production[[#This Row],[Base Expected (kWh)]]*expected_production[[#This Row],[Degradation Factor]])</f>
        <v>5900.9331073405119</v>
      </c>
    </row>
    <row r="1004" spans="1:7" ht="15" hidden="1" customHeight="1" x14ac:dyDescent="0.3">
      <c r="A1004" t="s">
        <v>223</v>
      </c>
      <c r="B1004" s="2">
        <v>46174</v>
      </c>
      <c r="C1004" s="52">
        <v>5295.6</v>
      </c>
      <c r="D1004" s="48">
        <f>_xlfn.XLOOKUP(expected_production[[#This Row],[Site Name]],Table1[[Site Name ]],Table1[Commisioned Date],"")</f>
        <v>45934</v>
      </c>
      <c r="E1004" s="47">
        <f>IF(ISNUMBER(expected_production[[#This Row],[Commissioned Date]]),MAX(0,(expected_production[[#This Row],[Date]]-expected_production[[#This Row],[Commissioned Date]])/365.25),"")</f>
        <v>0.65708418891170428</v>
      </c>
      <c r="F1004" s="49">
        <f>IF(expected_production[[#This Row],[Age (yrs)]]="",1,(1-DegradationRate)^expected_production[[#This Row],[Age (yrs)]])</f>
        <v>0.99539487285652817</v>
      </c>
      <c r="G1004" s="52">
        <f>IF(expected_production[[#This Row],[Base Expected (kWh)]]="","",expected_production[[#This Row],[Base Expected (kWh)]]*expected_production[[#This Row],[Degradation Factor]])</f>
        <v>5271.2130886990308</v>
      </c>
    </row>
    <row r="1005" spans="1:7" ht="15" hidden="1" customHeight="1" x14ac:dyDescent="0.3">
      <c r="A1005" t="s">
        <v>223</v>
      </c>
      <c r="B1005" s="2">
        <v>46204</v>
      </c>
      <c r="C1005" s="52">
        <v>5785.2</v>
      </c>
      <c r="D1005" s="48">
        <f>_xlfn.XLOOKUP(expected_production[[#This Row],[Site Name]],Table1[[Site Name ]],Table1[Commisioned Date],"")</f>
        <v>45934</v>
      </c>
      <c r="E1005" s="47">
        <f>IF(ISNUMBER(expected_production[[#This Row],[Commissioned Date]]),MAX(0,(expected_production[[#This Row],[Date]]-expected_production[[#This Row],[Commissioned Date]])/365.25),"")</f>
        <v>0.73921971252566732</v>
      </c>
      <c r="F1005" s="49">
        <f>IF(expected_production[[#This Row],[Age (yrs)]]="",1,(1-DegradationRate)^expected_production[[#This Row],[Age (yrs)]])</f>
        <v>0.99482072510172903</v>
      </c>
      <c r="G1005" s="52">
        <f>IF(expected_production[[#This Row],[Base Expected (kWh)]]="","",expected_production[[#This Row],[Base Expected (kWh)]]*expected_production[[#This Row],[Degradation Factor]])</f>
        <v>5755.2368588585223</v>
      </c>
    </row>
    <row r="1006" spans="1:7" ht="15" hidden="1" customHeight="1" x14ac:dyDescent="0.3">
      <c r="A1006" t="s">
        <v>223</v>
      </c>
      <c r="B1006" s="2">
        <v>46235</v>
      </c>
      <c r="C1006" s="52">
        <v>6585.3</v>
      </c>
      <c r="D1006" s="48">
        <f>_xlfn.XLOOKUP(expected_production[[#This Row],[Site Name]],Table1[[Site Name ]],Table1[Commisioned Date],"")</f>
        <v>45934</v>
      </c>
      <c r="E1006" s="47">
        <f>IF(ISNUMBER(expected_production[[#This Row],[Commissioned Date]]),MAX(0,(expected_production[[#This Row],[Date]]-expected_production[[#This Row],[Commissioned Date]])/365.25),"")</f>
        <v>0.82409308692676253</v>
      </c>
      <c r="F1006" s="49">
        <f>IF(expected_production[[#This Row],[Age (yrs)]]="",1,(1-DegradationRate)^expected_production[[#This Row],[Age (yrs)]])</f>
        <v>0.99422778699945413</v>
      </c>
      <c r="G1006" s="52">
        <f>IF(expected_production[[#This Row],[Base Expected (kWh)]]="","",expected_production[[#This Row],[Base Expected (kWh)]]*expected_production[[#This Row],[Degradation Factor]])</f>
        <v>6547.2882457275055</v>
      </c>
    </row>
    <row r="1007" spans="1:7" ht="15" hidden="1" customHeight="1" x14ac:dyDescent="0.3">
      <c r="A1007" t="s">
        <v>223</v>
      </c>
      <c r="B1007" s="2">
        <v>46266</v>
      </c>
      <c r="C1007" s="52">
        <v>7018.65</v>
      </c>
      <c r="D1007" s="48">
        <f>_xlfn.XLOOKUP(expected_production[[#This Row],[Site Name]],Table1[[Site Name ]],Table1[Commisioned Date],"")</f>
        <v>45934</v>
      </c>
      <c r="E1007" s="47">
        <f>IF(ISNUMBER(expected_production[[#This Row],[Commissioned Date]]),MAX(0,(expected_production[[#This Row],[Date]]-expected_production[[#This Row],[Commissioned Date]])/365.25),"")</f>
        <v>0.90896646132785763</v>
      </c>
      <c r="F1007" s="49">
        <f>IF(expected_production[[#This Row],[Age (yrs)]]="",1,(1-DegradationRate)^expected_production[[#This Row],[Age (yrs)]])</f>
        <v>0.99363520230315916</v>
      </c>
      <c r="G1007" s="52">
        <f>IF(expected_production[[#This Row],[Base Expected (kWh)]]="","",expected_production[[#This Row],[Base Expected (kWh)]]*expected_production[[#This Row],[Degradation Factor]])</f>
        <v>6973.9777126450681</v>
      </c>
    </row>
    <row r="1008" spans="1:7" ht="15" hidden="1" customHeight="1" x14ac:dyDescent="0.3">
      <c r="A1008" t="s">
        <v>223</v>
      </c>
      <c r="B1008" s="2">
        <v>46296</v>
      </c>
      <c r="C1008" s="52">
        <v>7479.45</v>
      </c>
      <c r="D1008" s="48">
        <f>_xlfn.XLOOKUP(expected_production[[#This Row],[Site Name]],Table1[[Site Name ]],Table1[Commisioned Date],"")</f>
        <v>45934</v>
      </c>
      <c r="E1008" s="47">
        <f>IF(ISNUMBER(expected_production[[#This Row],[Commissioned Date]]),MAX(0,(expected_production[[#This Row],[Date]]-expected_production[[#This Row],[Commissioned Date]])/365.25),"")</f>
        <v>0.99110198494182067</v>
      </c>
      <c r="F1008" s="49">
        <f>IF(expected_production[[#This Row],[Age (yrs)]]="",1,(1-DegradationRate)^expected_production[[#This Row],[Age (yrs)]])</f>
        <v>0.99306206953339249</v>
      </c>
      <c r="G1008" s="52">
        <f>IF(expected_production[[#This Row],[Base Expected (kWh)]]="","",expected_production[[#This Row],[Base Expected (kWh)]]*expected_production[[#This Row],[Degradation Factor]])</f>
        <v>7427.5580959715326</v>
      </c>
    </row>
    <row r="1009" spans="1:7" ht="15" hidden="1" customHeight="1" x14ac:dyDescent="0.3">
      <c r="A1009" t="s">
        <v>223</v>
      </c>
      <c r="B1009" s="2">
        <v>46327</v>
      </c>
      <c r="C1009" s="52">
        <v>7552.8</v>
      </c>
      <c r="D1009" s="48">
        <f>_xlfn.XLOOKUP(expected_production[[#This Row],[Site Name]],Table1[[Site Name ]],Table1[Commisioned Date],"")</f>
        <v>45934</v>
      </c>
      <c r="E1009" s="47">
        <f>IF(ISNUMBER(expected_production[[#This Row],[Commissioned Date]]),MAX(0,(expected_production[[#This Row],[Date]]-expected_production[[#This Row],[Commissioned Date]])/365.25),"")</f>
        <v>1.0759753593429158</v>
      </c>
      <c r="F1009" s="49">
        <f>IF(expected_production[[#This Row],[Age (yrs)]]="",1,(1-DegradationRate)^expected_production[[#This Row],[Age (yrs)]])</f>
        <v>0.99247017963394357</v>
      </c>
      <c r="G1009" s="52">
        <f>IF(expected_production[[#This Row],[Base Expected (kWh)]]="","",expected_production[[#This Row],[Base Expected (kWh)]]*expected_production[[#This Row],[Degradation Factor]])</f>
        <v>7495.9287727392493</v>
      </c>
    </row>
    <row r="1010" spans="1:7" ht="15" hidden="1" customHeight="1" x14ac:dyDescent="0.3">
      <c r="A1010" t="s">
        <v>223</v>
      </c>
      <c r="B1010" s="2">
        <v>46357</v>
      </c>
      <c r="C1010" s="52">
        <v>7415.1</v>
      </c>
      <c r="D1010" s="48">
        <f>_xlfn.XLOOKUP(expected_production[[#This Row],[Site Name]],Table1[[Site Name ]],Table1[Commisioned Date],"")</f>
        <v>45934</v>
      </c>
      <c r="E1010" s="47">
        <f>IF(ISNUMBER(expected_production[[#This Row],[Commissioned Date]]),MAX(0,(expected_production[[#This Row],[Date]]-expected_production[[#This Row],[Commissioned Date]])/365.25),"")</f>
        <v>1.1581108829568789</v>
      </c>
      <c r="F1010" s="49">
        <f>IF(expected_production[[#This Row],[Age (yrs)]]="",1,(1-DegradationRate)^expected_production[[#This Row],[Age (yrs)]])</f>
        <v>0.99189771885392486</v>
      </c>
      <c r="G1010" s="52">
        <f>IF(expected_production[[#This Row],[Base Expected (kWh)]]="","",expected_production[[#This Row],[Base Expected (kWh)]]*expected_production[[#This Row],[Degradation Factor]])</f>
        <v>7355.0207750737382</v>
      </c>
    </row>
    <row r="1011" spans="1:7" ht="15" hidden="1" customHeight="1" x14ac:dyDescent="0.3">
      <c r="A1011" t="s">
        <v>120</v>
      </c>
      <c r="B1011" s="2">
        <v>45292</v>
      </c>
      <c r="C1011" s="52">
        <v>12213</v>
      </c>
      <c r="D1011" s="48" t="str">
        <f>_xlfn.XLOOKUP(expected_production[[#This Row],[Site Name]],Table1[[Site Name ]],Table1[Commisioned Date],"")</f>
        <v>2022/16/12</v>
      </c>
      <c r="E1011" s="47" t="str">
        <f>IF(ISNUMBER(expected_production[[#This Row],[Commissioned Date]]),MAX(0,(expected_production[[#This Row],[Date]]-expected_production[[#This Row],[Commissioned Date]])/365.25),"")</f>
        <v/>
      </c>
      <c r="F1011" s="49">
        <f>IF(expected_production[[#This Row],[Age (yrs)]]="",1,(1-DegradationRate)^expected_production[[#This Row],[Age (yrs)]])</f>
        <v>1</v>
      </c>
      <c r="G1011" s="52">
        <f>IF(expected_production[[#This Row],[Base Expected (kWh)]]="","",expected_production[[#This Row],[Base Expected (kWh)]]*expected_production[[#This Row],[Degradation Factor]])</f>
        <v>12213</v>
      </c>
    </row>
    <row r="1012" spans="1:7" ht="15" hidden="1" customHeight="1" x14ac:dyDescent="0.3">
      <c r="A1012" t="s">
        <v>120</v>
      </c>
      <c r="B1012" s="2">
        <v>45323</v>
      </c>
      <c r="C1012" s="52">
        <v>10570.5</v>
      </c>
      <c r="D1012" s="48" t="str">
        <f>_xlfn.XLOOKUP(expected_production[[#This Row],[Site Name]],Table1[[Site Name ]],Table1[Commisioned Date],"")</f>
        <v>2022/16/12</v>
      </c>
      <c r="E1012" s="47" t="str">
        <f>IF(ISNUMBER(expected_production[[#This Row],[Commissioned Date]]),MAX(0,(expected_production[[#This Row],[Date]]-expected_production[[#This Row],[Commissioned Date]])/365.25),"")</f>
        <v/>
      </c>
      <c r="F1012" s="49">
        <f>IF(expected_production[[#This Row],[Age (yrs)]]="",1,(1-DegradationRate)^expected_production[[#This Row],[Age (yrs)]])</f>
        <v>1</v>
      </c>
      <c r="G1012" s="52">
        <f>IF(expected_production[[#This Row],[Base Expected (kWh)]]="","",expected_production[[#This Row],[Base Expected (kWh)]]*expected_production[[#This Row],[Degradation Factor]])</f>
        <v>10570.5</v>
      </c>
    </row>
    <row r="1013" spans="1:7" ht="15" hidden="1" customHeight="1" x14ac:dyDescent="0.3">
      <c r="A1013" t="s">
        <v>120</v>
      </c>
      <c r="B1013" s="2">
        <v>45352</v>
      </c>
      <c r="C1013" s="52">
        <v>10619.1</v>
      </c>
      <c r="D1013" s="48" t="str">
        <f>_xlfn.XLOOKUP(expected_production[[#This Row],[Site Name]],Table1[[Site Name ]],Table1[Commisioned Date],"")</f>
        <v>2022/16/12</v>
      </c>
      <c r="E1013" s="47" t="str">
        <f>IF(ISNUMBER(expected_production[[#This Row],[Commissioned Date]]),MAX(0,(expected_production[[#This Row],[Date]]-expected_production[[#This Row],[Commissioned Date]])/365.25),"")</f>
        <v/>
      </c>
      <c r="F1013" s="49">
        <f>IF(expected_production[[#This Row],[Age (yrs)]]="",1,(1-DegradationRate)^expected_production[[#This Row],[Age (yrs)]])</f>
        <v>1</v>
      </c>
      <c r="G1013" s="52">
        <f>IF(expected_production[[#This Row],[Base Expected (kWh)]]="","",expected_production[[#This Row],[Base Expected (kWh)]]*expected_production[[#This Row],[Degradation Factor]])</f>
        <v>10619.1</v>
      </c>
    </row>
    <row r="1014" spans="1:7" ht="15" hidden="1" customHeight="1" x14ac:dyDescent="0.3">
      <c r="A1014" t="s">
        <v>120</v>
      </c>
      <c r="B1014" s="2">
        <v>45383</v>
      </c>
      <c r="C1014" s="52">
        <v>9139.5</v>
      </c>
      <c r="D1014" s="48" t="str">
        <f>_xlfn.XLOOKUP(expected_production[[#This Row],[Site Name]],Table1[[Site Name ]],Table1[Commisioned Date],"")</f>
        <v>2022/16/12</v>
      </c>
      <c r="E1014" s="47" t="str">
        <f>IF(ISNUMBER(expected_production[[#This Row],[Commissioned Date]]),MAX(0,(expected_production[[#This Row],[Date]]-expected_production[[#This Row],[Commissioned Date]])/365.25),"")</f>
        <v/>
      </c>
      <c r="F1014" s="49">
        <f>IF(expected_production[[#This Row],[Age (yrs)]]="",1,(1-DegradationRate)^expected_production[[#This Row],[Age (yrs)]])</f>
        <v>1</v>
      </c>
      <c r="G1014" s="52">
        <f>IF(expected_production[[#This Row],[Base Expected (kWh)]]="","",expected_production[[#This Row],[Base Expected (kWh)]]*expected_production[[#This Row],[Degradation Factor]])</f>
        <v>9139.5</v>
      </c>
    </row>
    <row r="1015" spans="1:7" ht="15" hidden="1" customHeight="1" x14ac:dyDescent="0.3">
      <c r="A1015" t="s">
        <v>120</v>
      </c>
      <c r="B1015" s="2">
        <v>45413</v>
      </c>
      <c r="C1015" s="52">
        <v>8593.2000000000007</v>
      </c>
      <c r="D1015" s="48" t="str">
        <f>_xlfn.XLOOKUP(expected_production[[#This Row],[Site Name]],Table1[[Site Name ]],Table1[Commisioned Date],"")</f>
        <v>2022/16/12</v>
      </c>
      <c r="E1015" s="47" t="str">
        <f>IF(ISNUMBER(expected_production[[#This Row],[Commissioned Date]]),MAX(0,(expected_production[[#This Row],[Date]]-expected_production[[#This Row],[Commissioned Date]])/365.25),"")</f>
        <v/>
      </c>
      <c r="F1015" s="49">
        <f>IF(expected_production[[#This Row],[Age (yrs)]]="",1,(1-DegradationRate)^expected_production[[#This Row],[Age (yrs)]])</f>
        <v>1</v>
      </c>
      <c r="G1015" s="52">
        <f>IF(expected_production[[#This Row],[Base Expected (kWh)]]="","",expected_production[[#This Row],[Base Expected (kWh)]]*expected_production[[#This Row],[Degradation Factor]])</f>
        <v>8593.2000000000007</v>
      </c>
    </row>
    <row r="1016" spans="1:7" ht="15" hidden="1" customHeight="1" x14ac:dyDescent="0.3">
      <c r="A1016" t="s">
        <v>120</v>
      </c>
      <c r="B1016" s="2">
        <v>45444</v>
      </c>
      <c r="C1016" s="52">
        <v>7680.6</v>
      </c>
      <c r="D1016" s="48" t="str">
        <f>_xlfn.XLOOKUP(expected_production[[#This Row],[Site Name]],Table1[[Site Name ]],Table1[Commisioned Date],"")</f>
        <v>2022/16/12</v>
      </c>
      <c r="E1016" s="47" t="str">
        <f>IF(ISNUMBER(expected_production[[#This Row],[Commissioned Date]]),MAX(0,(expected_production[[#This Row],[Date]]-expected_production[[#This Row],[Commissioned Date]])/365.25),"")</f>
        <v/>
      </c>
      <c r="F1016" s="49">
        <f>IF(expected_production[[#This Row],[Age (yrs)]]="",1,(1-DegradationRate)^expected_production[[#This Row],[Age (yrs)]])</f>
        <v>1</v>
      </c>
      <c r="G1016" s="52">
        <f>IF(expected_production[[#This Row],[Base Expected (kWh)]]="","",expected_production[[#This Row],[Base Expected (kWh)]]*expected_production[[#This Row],[Degradation Factor]])</f>
        <v>7680.6</v>
      </c>
    </row>
    <row r="1017" spans="1:7" ht="15" hidden="1" customHeight="1" x14ac:dyDescent="0.3">
      <c r="A1017" t="s">
        <v>120</v>
      </c>
      <c r="B1017" s="2">
        <v>45474</v>
      </c>
      <c r="C1017" s="52">
        <v>8550.9</v>
      </c>
      <c r="D1017" s="48" t="str">
        <f>_xlfn.XLOOKUP(expected_production[[#This Row],[Site Name]],Table1[[Site Name ]],Table1[Commisioned Date],"")</f>
        <v>2022/16/12</v>
      </c>
      <c r="E1017" s="47" t="str">
        <f>IF(ISNUMBER(expected_production[[#This Row],[Commissioned Date]]),MAX(0,(expected_production[[#This Row],[Date]]-expected_production[[#This Row],[Commissioned Date]])/365.25),"")</f>
        <v/>
      </c>
      <c r="F1017" s="49">
        <f>IF(expected_production[[#This Row],[Age (yrs)]]="",1,(1-DegradationRate)^expected_production[[#This Row],[Age (yrs)]])</f>
        <v>1</v>
      </c>
      <c r="G1017" s="52">
        <f>IF(expected_production[[#This Row],[Base Expected (kWh)]]="","",expected_production[[#This Row],[Base Expected (kWh)]]*expected_production[[#This Row],[Degradation Factor]])</f>
        <v>8550.9</v>
      </c>
    </row>
    <row r="1018" spans="1:7" ht="15" hidden="1" customHeight="1" x14ac:dyDescent="0.3">
      <c r="A1018" t="s">
        <v>120</v>
      </c>
      <c r="B1018" s="2">
        <v>45505</v>
      </c>
      <c r="C1018" s="52">
        <v>9997.2000000000007</v>
      </c>
      <c r="D1018" s="48" t="str">
        <f>_xlfn.XLOOKUP(expected_production[[#This Row],[Site Name]],Table1[[Site Name ]],Table1[Commisioned Date],"")</f>
        <v>2022/16/12</v>
      </c>
      <c r="E1018" s="47" t="str">
        <f>IF(ISNUMBER(expected_production[[#This Row],[Commissioned Date]]),MAX(0,(expected_production[[#This Row],[Date]]-expected_production[[#This Row],[Commissioned Date]])/365.25),"")</f>
        <v/>
      </c>
      <c r="F1018" s="49">
        <f>IF(expected_production[[#This Row],[Age (yrs)]]="",1,(1-DegradationRate)^expected_production[[#This Row],[Age (yrs)]])</f>
        <v>1</v>
      </c>
      <c r="G1018" s="52">
        <f>IF(expected_production[[#This Row],[Base Expected (kWh)]]="","",expected_production[[#This Row],[Base Expected (kWh)]]*expected_production[[#This Row],[Degradation Factor]])</f>
        <v>9997.2000000000007</v>
      </c>
    </row>
    <row r="1019" spans="1:7" ht="15" hidden="1" customHeight="1" x14ac:dyDescent="0.3">
      <c r="A1019" t="s">
        <v>120</v>
      </c>
      <c r="B1019" s="2">
        <v>45536</v>
      </c>
      <c r="C1019" s="52">
        <v>10701.9</v>
      </c>
      <c r="D1019" s="48" t="str">
        <f>_xlfn.XLOOKUP(expected_production[[#This Row],[Site Name]],Table1[[Site Name ]],Table1[Commisioned Date],"")</f>
        <v>2022/16/12</v>
      </c>
      <c r="E1019" s="47" t="str">
        <f>IF(ISNUMBER(expected_production[[#This Row],[Commissioned Date]]),MAX(0,(expected_production[[#This Row],[Date]]-expected_production[[#This Row],[Commissioned Date]])/365.25),"")</f>
        <v/>
      </c>
      <c r="F1019" s="49">
        <f>IF(expected_production[[#This Row],[Age (yrs)]]="",1,(1-DegradationRate)^expected_production[[#This Row],[Age (yrs)]])</f>
        <v>1</v>
      </c>
      <c r="G1019" s="52">
        <f>IF(expected_production[[#This Row],[Base Expected (kWh)]]="","",expected_production[[#This Row],[Base Expected (kWh)]]*expected_production[[#This Row],[Degradation Factor]])</f>
        <v>10701.9</v>
      </c>
    </row>
    <row r="1020" spans="1:7" ht="15" hidden="1" customHeight="1" x14ac:dyDescent="0.3">
      <c r="A1020" t="s">
        <v>120</v>
      </c>
      <c r="B1020" s="2">
        <v>45566</v>
      </c>
      <c r="C1020" s="52">
        <v>11834.1</v>
      </c>
      <c r="D1020" s="48" t="str">
        <f>_xlfn.XLOOKUP(expected_production[[#This Row],[Site Name]],Table1[[Site Name ]],Table1[Commisioned Date],"")</f>
        <v>2022/16/12</v>
      </c>
      <c r="E1020" s="47" t="str">
        <f>IF(ISNUMBER(expected_production[[#This Row],[Commissioned Date]]),MAX(0,(expected_production[[#This Row],[Date]]-expected_production[[#This Row],[Commissioned Date]])/365.25),"")</f>
        <v/>
      </c>
      <c r="F1020" s="49">
        <f>IF(expected_production[[#This Row],[Age (yrs)]]="",1,(1-DegradationRate)^expected_production[[#This Row],[Age (yrs)]])</f>
        <v>1</v>
      </c>
      <c r="G1020" s="52">
        <f>IF(expected_production[[#This Row],[Base Expected (kWh)]]="","",expected_production[[#This Row],[Base Expected (kWh)]]*expected_production[[#This Row],[Degradation Factor]])</f>
        <v>11834.1</v>
      </c>
    </row>
    <row r="1021" spans="1:7" ht="15" hidden="1" customHeight="1" x14ac:dyDescent="0.3">
      <c r="A1021" t="s">
        <v>120</v>
      </c>
      <c r="B1021" s="2">
        <v>45597</v>
      </c>
      <c r="C1021" s="52">
        <v>12129.3</v>
      </c>
      <c r="D1021" s="48" t="str">
        <f>_xlfn.XLOOKUP(expected_production[[#This Row],[Site Name]],Table1[[Site Name ]],Table1[Commisioned Date],"")</f>
        <v>2022/16/12</v>
      </c>
      <c r="E1021" s="47" t="str">
        <f>IF(ISNUMBER(expected_production[[#This Row],[Commissioned Date]]),MAX(0,(expected_production[[#This Row],[Date]]-expected_production[[#This Row],[Commissioned Date]])/365.25),"")</f>
        <v/>
      </c>
      <c r="F1021" s="49">
        <f>IF(expected_production[[#This Row],[Age (yrs)]]="",1,(1-DegradationRate)^expected_production[[#This Row],[Age (yrs)]])</f>
        <v>1</v>
      </c>
      <c r="G1021" s="52">
        <f>IF(expected_production[[#This Row],[Base Expected (kWh)]]="","",expected_production[[#This Row],[Base Expected (kWh)]]*expected_production[[#This Row],[Degradation Factor]])</f>
        <v>12129.3</v>
      </c>
    </row>
    <row r="1022" spans="1:7" ht="15" hidden="1" customHeight="1" x14ac:dyDescent="0.3">
      <c r="A1022" t="s">
        <v>120</v>
      </c>
      <c r="B1022" s="2">
        <v>45627</v>
      </c>
      <c r="C1022" s="52">
        <v>12998.7</v>
      </c>
      <c r="D1022" s="48" t="str">
        <f>_xlfn.XLOOKUP(expected_production[[#This Row],[Site Name]],Table1[[Site Name ]],Table1[Commisioned Date],"")</f>
        <v>2022/16/12</v>
      </c>
      <c r="E1022" s="47" t="str">
        <f>IF(ISNUMBER(expected_production[[#This Row],[Commissioned Date]]),MAX(0,(expected_production[[#This Row],[Date]]-expected_production[[#This Row],[Commissioned Date]])/365.25),"")</f>
        <v/>
      </c>
      <c r="F1022" s="49">
        <f>IF(expected_production[[#This Row],[Age (yrs)]]="",1,(1-DegradationRate)^expected_production[[#This Row],[Age (yrs)]])</f>
        <v>1</v>
      </c>
      <c r="G1022" s="52">
        <f>IF(expected_production[[#This Row],[Base Expected (kWh)]]="","",expected_production[[#This Row],[Base Expected (kWh)]]*expected_production[[#This Row],[Degradation Factor]])</f>
        <v>12998.7</v>
      </c>
    </row>
    <row r="1023" spans="1:7" ht="15" hidden="1" customHeight="1" x14ac:dyDescent="0.3">
      <c r="A1023" t="s">
        <v>120</v>
      </c>
      <c r="B1023" s="2">
        <v>45658</v>
      </c>
      <c r="C1023" s="52">
        <v>12213</v>
      </c>
      <c r="D1023" s="48" t="str">
        <f>_xlfn.XLOOKUP(expected_production[[#This Row],[Site Name]],Table1[[Site Name ]],Table1[Commisioned Date],"")</f>
        <v>2022/16/12</v>
      </c>
      <c r="E1023" s="47" t="str">
        <f>IF(ISNUMBER(expected_production[[#This Row],[Commissioned Date]]),MAX(0,(expected_production[[#This Row],[Date]]-expected_production[[#This Row],[Commissioned Date]])/365.25),"")</f>
        <v/>
      </c>
      <c r="F1023" s="49">
        <f>IF(expected_production[[#This Row],[Age (yrs)]]="",1,(1-DegradationRate)^expected_production[[#This Row],[Age (yrs)]])</f>
        <v>1</v>
      </c>
      <c r="G1023" s="52">
        <f>IF(expected_production[[#This Row],[Base Expected (kWh)]]="","",expected_production[[#This Row],[Base Expected (kWh)]]*expected_production[[#This Row],[Degradation Factor]])</f>
        <v>12213</v>
      </c>
    </row>
    <row r="1024" spans="1:7" ht="15" hidden="1" customHeight="1" x14ac:dyDescent="0.3">
      <c r="A1024" t="s">
        <v>120</v>
      </c>
      <c r="B1024" s="2">
        <v>45689</v>
      </c>
      <c r="C1024" s="52">
        <v>10570.5</v>
      </c>
      <c r="D1024" s="48" t="str">
        <f>_xlfn.XLOOKUP(expected_production[[#This Row],[Site Name]],Table1[[Site Name ]],Table1[Commisioned Date],"")</f>
        <v>2022/16/12</v>
      </c>
      <c r="E1024" s="47" t="str">
        <f>IF(ISNUMBER(expected_production[[#This Row],[Commissioned Date]]),MAX(0,(expected_production[[#This Row],[Date]]-expected_production[[#This Row],[Commissioned Date]])/365.25),"")</f>
        <v/>
      </c>
      <c r="F1024" s="49">
        <f>IF(expected_production[[#This Row],[Age (yrs)]]="",1,(1-DegradationRate)^expected_production[[#This Row],[Age (yrs)]])</f>
        <v>1</v>
      </c>
      <c r="G1024" s="52">
        <f>IF(expected_production[[#This Row],[Base Expected (kWh)]]="","",expected_production[[#This Row],[Base Expected (kWh)]]*expected_production[[#This Row],[Degradation Factor]])</f>
        <v>10570.5</v>
      </c>
    </row>
    <row r="1025" spans="1:7" ht="15" hidden="1" customHeight="1" x14ac:dyDescent="0.3">
      <c r="A1025" t="s">
        <v>120</v>
      </c>
      <c r="B1025" s="2">
        <v>45717</v>
      </c>
      <c r="C1025" s="52">
        <v>10619.1</v>
      </c>
      <c r="D1025" s="48" t="str">
        <f>_xlfn.XLOOKUP(expected_production[[#This Row],[Site Name]],Table1[[Site Name ]],Table1[Commisioned Date],"")</f>
        <v>2022/16/12</v>
      </c>
      <c r="E1025" s="47" t="str">
        <f>IF(ISNUMBER(expected_production[[#This Row],[Commissioned Date]]),MAX(0,(expected_production[[#This Row],[Date]]-expected_production[[#This Row],[Commissioned Date]])/365.25),"")</f>
        <v/>
      </c>
      <c r="F1025" s="49">
        <f>IF(expected_production[[#This Row],[Age (yrs)]]="",1,(1-DegradationRate)^expected_production[[#This Row],[Age (yrs)]])</f>
        <v>1</v>
      </c>
      <c r="G1025" s="52">
        <f>IF(expected_production[[#This Row],[Base Expected (kWh)]]="","",expected_production[[#This Row],[Base Expected (kWh)]]*expected_production[[#This Row],[Degradation Factor]])</f>
        <v>10619.1</v>
      </c>
    </row>
    <row r="1026" spans="1:7" ht="15" hidden="1" customHeight="1" x14ac:dyDescent="0.3">
      <c r="A1026" t="s">
        <v>120</v>
      </c>
      <c r="B1026" s="2">
        <v>45748</v>
      </c>
      <c r="C1026" s="52">
        <v>9139.5</v>
      </c>
      <c r="D1026" s="48" t="str">
        <f>_xlfn.XLOOKUP(expected_production[[#This Row],[Site Name]],Table1[[Site Name ]],Table1[Commisioned Date],"")</f>
        <v>2022/16/12</v>
      </c>
      <c r="E1026" s="47" t="str">
        <f>IF(ISNUMBER(expected_production[[#This Row],[Commissioned Date]]),MAX(0,(expected_production[[#This Row],[Date]]-expected_production[[#This Row],[Commissioned Date]])/365.25),"")</f>
        <v/>
      </c>
      <c r="F1026" s="49">
        <f>IF(expected_production[[#This Row],[Age (yrs)]]="",1,(1-DegradationRate)^expected_production[[#This Row],[Age (yrs)]])</f>
        <v>1</v>
      </c>
      <c r="G1026" s="52">
        <f>IF(expected_production[[#This Row],[Base Expected (kWh)]]="","",expected_production[[#This Row],[Base Expected (kWh)]]*expected_production[[#This Row],[Degradation Factor]])</f>
        <v>9139.5</v>
      </c>
    </row>
    <row r="1027" spans="1:7" ht="15" hidden="1" customHeight="1" x14ac:dyDescent="0.3">
      <c r="A1027" t="s">
        <v>120</v>
      </c>
      <c r="B1027" s="2">
        <v>45778</v>
      </c>
      <c r="C1027" s="52">
        <v>8593.2000000000007</v>
      </c>
      <c r="D1027" s="48" t="str">
        <f>_xlfn.XLOOKUP(expected_production[[#This Row],[Site Name]],Table1[[Site Name ]],Table1[Commisioned Date],"")</f>
        <v>2022/16/12</v>
      </c>
      <c r="E1027" s="47" t="str">
        <f>IF(ISNUMBER(expected_production[[#This Row],[Commissioned Date]]),MAX(0,(expected_production[[#This Row],[Date]]-expected_production[[#This Row],[Commissioned Date]])/365.25),"")</f>
        <v/>
      </c>
      <c r="F1027" s="49">
        <f>IF(expected_production[[#This Row],[Age (yrs)]]="",1,(1-DegradationRate)^expected_production[[#This Row],[Age (yrs)]])</f>
        <v>1</v>
      </c>
      <c r="G1027" s="52">
        <f>IF(expected_production[[#This Row],[Base Expected (kWh)]]="","",expected_production[[#This Row],[Base Expected (kWh)]]*expected_production[[#This Row],[Degradation Factor]])</f>
        <v>8593.2000000000007</v>
      </c>
    </row>
    <row r="1028" spans="1:7" ht="15" hidden="1" customHeight="1" x14ac:dyDescent="0.3">
      <c r="A1028" t="s">
        <v>120</v>
      </c>
      <c r="B1028" s="2">
        <v>45809</v>
      </c>
      <c r="C1028" s="52">
        <v>7680.6</v>
      </c>
      <c r="D1028" s="48" t="str">
        <f>_xlfn.XLOOKUP(expected_production[[#This Row],[Site Name]],Table1[[Site Name ]],Table1[Commisioned Date],"")</f>
        <v>2022/16/12</v>
      </c>
      <c r="E1028" s="47" t="str">
        <f>IF(ISNUMBER(expected_production[[#This Row],[Commissioned Date]]),MAX(0,(expected_production[[#This Row],[Date]]-expected_production[[#This Row],[Commissioned Date]])/365.25),"")</f>
        <v/>
      </c>
      <c r="F1028" s="49">
        <f>IF(expected_production[[#This Row],[Age (yrs)]]="",1,(1-DegradationRate)^expected_production[[#This Row],[Age (yrs)]])</f>
        <v>1</v>
      </c>
      <c r="G1028" s="52">
        <f>IF(expected_production[[#This Row],[Base Expected (kWh)]]="","",expected_production[[#This Row],[Base Expected (kWh)]]*expected_production[[#This Row],[Degradation Factor]])</f>
        <v>7680.6</v>
      </c>
    </row>
    <row r="1029" spans="1:7" ht="15" hidden="1" customHeight="1" x14ac:dyDescent="0.3">
      <c r="A1029" t="s">
        <v>120</v>
      </c>
      <c r="B1029" s="2">
        <v>45839</v>
      </c>
      <c r="C1029" s="52">
        <v>8550.9</v>
      </c>
      <c r="D1029" s="48" t="str">
        <f>_xlfn.XLOOKUP(expected_production[[#This Row],[Site Name]],Table1[[Site Name ]],Table1[Commisioned Date],"")</f>
        <v>2022/16/12</v>
      </c>
      <c r="E1029" s="47" t="str">
        <f>IF(ISNUMBER(expected_production[[#This Row],[Commissioned Date]]),MAX(0,(expected_production[[#This Row],[Date]]-expected_production[[#This Row],[Commissioned Date]])/365.25),"")</f>
        <v/>
      </c>
      <c r="F1029" s="49">
        <f>IF(expected_production[[#This Row],[Age (yrs)]]="",1,(1-DegradationRate)^expected_production[[#This Row],[Age (yrs)]])</f>
        <v>1</v>
      </c>
      <c r="G1029" s="52">
        <f>IF(expected_production[[#This Row],[Base Expected (kWh)]]="","",expected_production[[#This Row],[Base Expected (kWh)]]*expected_production[[#This Row],[Degradation Factor]])</f>
        <v>8550.9</v>
      </c>
    </row>
    <row r="1030" spans="1:7" ht="15" hidden="1" customHeight="1" x14ac:dyDescent="0.3">
      <c r="A1030" t="s">
        <v>120</v>
      </c>
      <c r="B1030" s="2">
        <v>45870</v>
      </c>
      <c r="C1030" s="52">
        <v>9997.2000000000007</v>
      </c>
      <c r="D1030" s="48" t="str">
        <f>_xlfn.XLOOKUP(expected_production[[#This Row],[Site Name]],Table1[[Site Name ]],Table1[Commisioned Date],"")</f>
        <v>2022/16/12</v>
      </c>
      <c r="E1030" s="47" t="str">
        <f>IF(ISNUMBER(expected_production[[#This Row],[Commissioned Date]]),MAX(0,(expected_production[[#This Row],[Date]]-expected_production[[#This Row],[Commissioned Date]])/365.25),"")</f>
        <v/>
      </c>
      <c r="F1030" s="49">
        <f>IF(expected_production[[#This Row],[Age (yrs)]]="",1,(1-DegradationRate)^expected_production[[#This Row],[Age (yrs)]])</f>
        <v>1</v>
      </c>
      <c r="G1030" s="52">
        <f>IF(expected_production[[#This Row],[Base Expected (kWh)]]="","",expected_production[[#This Row],[Base Expected (kWh)]]*expected_production[[#This Row],[Degradation Factor]])</f>
        <v>9997.2000000000007</v>
      </c>
    </row>
    <row r="1031" spans="1:7" ht="15" hidden="1" customHeight="1" x14ac:dyDescent="0.3">
      <c r="A1031" t="s">
        <v>120</v>
      </c>
      <c r="B1031" s="2">
        <v>45901</v>
      </c>
      <c r="C1031" s="52">
        <v>10701.9</v>
      </c>
      <c r="D1031" s="48" t="str">
        <f>_xlfn.XLOOKUP(expected_production[[#This Row],[Site Name]],Table1[[Site Name ]],Table1[Commisioned Date],"")</f>
        <v>2022/16/12</v>
      </c>
      <c r="E1031" s="47" t="str">
        <f>IF(ISNUMBER(expected_production[[#This Row],[Commissioned Date]]),MAX(0,(expected_production[[#This Row],[Date]]-expected_production[[#This Row],[Commissioned Date]])/365.25),"")</f>
        <v/>
      </c>
      <c r="F1031" s="49">
        <f>IF(expected_production[[#This Row],[Age (yrs)]]="",1,(1-DegradationRate)^expected_production[[#This Row],[Age (yrs)]])</f>
        <v>1</v>
      </c>
      <c r="G1031" s="52">
        <f>IF(expected_production[[#This Row],[Base Expected (kWh)]]="","",expected_production[[#This Row],[Base Expected (kWh)]]*expected_production[[#This Row],[Degradation Factor]])</f>
        <v>10701.9</v>
      </c>
    </row>
    <row r="1032" spans="1:7" ht="15" hidden="1" customHeight="1" x14ac:dyDescent="0.3">
      <c r="A1032" t="s">
        <v>120</v>
      </c>
      <c r="B1032" s="2">
        <v>45931</v>
      </c>
      <c r="C1032" s="52">
        <v>11834.1</v>
      </c>
      <c r="D1032" s="48" t="str">
        <f>_xlfn.XLOOKUP(expected_production[[#This Row],[Site Name]],Table1[[Site Name ]],Table1[Commisioned Date],"")</f>
        <v>2022/16/12</v>
      </c>
      <c r="E1032" s="47" t="str">
        <f>IF(ISNUMBER(expected_production[[#This Row],[Commissioned Date]]),MAX(0,(expected_production[[#This Row],[Date]]-expected_production[[#This Row],[Commissioned Date]])/365.25),"")</f>
        <v/>
      </c>
      <c r="F1032" s="49">
        <f>IF(expected_production[[#This Row],[Age (yrs)]]="",1,(1-DegradationRate)^expected_production[[#This Row],[Age (yrs)]])</f>
        <v>1</v>
      </c>
      <c r="G1032" s="52">
        <f>IF(expected_production[[#This Row],[Base Expected (kWh)]]="","",expected_production[[#This Row],[Base Expected (kWh)]]*expected_production[[#This Row],[Degradation Factor]])</f>
        <v>11834.1</v>
      </c>
    </row>
    <row r="1033" spans="1:7" ht="15" hidden="1" customHeight="1" x14ac:dyDescent="0.3">
      <c r="A1033" t="s">
        <v>120</v>
      </c>
      <c r="B1033" s="2">
        <v>45962</v>
      </c>
      <c r="C1033" s="52">
        <v>12129.3</v>
      </c>
      <c r="D1033" s="48" t="str">
        <f>_xlfn.XLOOKUP(expected_production[[#This Row],[Site Name]],Table1[[Site Name ]],Table1[Commisioned Date],"")</f>
        <v>2022/16/12</v>
      </c>
      <c r="E1033" s="47" t="str">
        <f>IF(ISNUMBER(expected_production[[#This Row],[Commissioned Date]]),MAX(0,(expected_production[[#This Row],[Date]]-expected_production[[#This Row],[Commissioned Date]])/365.25),"")</f>
        <v/>
      </c>
      <c r="F1033" s="49">
        <f>IF(expected_production[[#This Row],[Age (yrs)]]="",1,(1-DegradationRate)^expected_production[[#This Row],[Age (yrs)]])</f>
        <v>1</v>
      </c>
      <c r="G1033" s="52">
        <f>IF(expected_production[[#This Row],[Base Expected (kWh)]]="","",expected_production[[#This Row],[Base Expected (kWh)]]*expected_production[[#This Row],[Degradation Factor]])</f>
        <v>12129.3</v>
      </c>
    </row>
    <row r="1034" spans="1:7" ht="15" hidden="1" customHeight="1" x14ac:dyDescent="0.3">
      <c r="A1034" t="s">
        <v>120</v>
      </c>
      <c r="B1034" s="2">
        <v>45992</v>
      </c>
      <c r="C1034" s="52">
        <v>12998.7</v>
      </c>
      <c r="D1034" s="48" t="str">
        <f>_xlfn.XLOOKUP(expected_production[[#This Row],[Site Name]],Table1[[Site Name ]],Table1[Commisioned Date],"")</f>
        <v>2022/16/12</v>
      </c>
      <c r="E1034" s="47" t="str">
        <f>IF(ISNUMBER(expected_production[[#This Row],[Commissioned Date]]),MAX(0,(expected_production[[#This Row],[Date]]-expected_production[[#This Row],[Commissioned Date]])/365.25),"")</f>
        <v/>
      </c>
      <c r="F1034" s="49">
        <f>IF(expected_production[[#This Row],[Age (yrs)]]="",1,(1-DegradationRate)^expected_production[[#This Row],[Age (yrs)]])</f>
        <v>1</v>
      </c>
      <c r="G1034" s="52">
        <f>IF(expected_production[[#This Row],[Base Expected (kWh)]]="","",expected_production[[#This Row],[Base Expected (kWh)]]*expected_production[[#This Row],[Degradation Factor]])</f>
        <v>12998.7</v>
      </c>
    </row>
    <row r="1035" spans="1:7" ht="15" hidden="1" customHeight="1" x14ac:dyDescent="0.3">
      <c r="A1035" t="s">
        <v>120</v>
      </c>
      <c r="B1035" s="2">
        <v>46023</v>
      </c>
      <c r="C1035" s="52">
        <v>12213</v>
      </c>
      <c r="D1035" s="48" t="str">
        <f>_xlfn.XLOOKUP(expected_production[[#This Row],[Site Name]],Table1[[Site Name ]],Table1[Commisioned Date],"")</f>
        <v>2022/16/12</v>
      </c>
      <c r="E1035" s="47" t="str">
        <f>IF(ISNUMBER(expected_production[[#This Row],[Commissioned Date]]),MAX(0,(expected_production[[#This Row],[Date]]-expected_production[[#This Row],[Commissioned Date]])/365.25),"")</f>
        <v/>
      </c>
      <c r="F1035" s="49">
        <f>IF(expected_production[[#This Row],[Age (yrs)]]="",1,(1-DegradationRate)^expected_production[[#This Row],[Age (yrs)]])</f>
        <v>1</v>
      </c>
      <c r="G1035" s="52">
        <f>IF(expected_production[[#This Row],[Base Expected (kWh)]]="","",expected_production[[#This Row],[Base Expected (kWh)]]*expected_production[[#This Row],[Degradation Factor]])</f>
        <v>12213</v>
      </c>
    </row>
    <row r="1036" spans="1:7" ht="15" hidden="1" customHeight="1" x14ac:dyDescent="0.3">
      <c r="A1036" t="s">
        <v>120</v>
      </c>
      <c r="B1036" s="2">
        <v>46054</v>
      </c>
      <c r="C1036" s="52">
        <v>10570.5</v>
      </c>
      <c r="D1036" s="48" t="str">
        <f>_xlfn.XLOOKUP(expected_production[[#This Row],[Site Name]],Table1[[Site Name ]],Table1[Commisioned Date],"")</f>
        <v>2022/16/12</v>
      </c>
      <c r="E1036" s="47" t="str">
        <f>IF(ISNUMBER(expected_production[[#This Row],[Commissioned Date]]),MAX(0,(expected_production[[#This Row],[Date]]-expected_production[[#This Row],[Commissioned Date]])/365.25),"")</f>
        <v/>
      </c>
      <c r="F1036" s="49">
        <f>IF(expected_production[[#This Row],[Age (yrs)]]="",1,(1-DegradationRate)^expected_production[[#This Row],[Age (yrs)]])</f>
        <v>1</v>
      </c>
      <c r="G1036" s="52">
        <f>IF(expected_production[[#This Row],[Base Expected (kWh)]]="","",expected_production[[#This Row],[Base Expected (kWh)]]*expected_production[[#This Row],[Degradation Factor]])</f>
        <v>10570.5</v>
      </c>
    </row>
    <row r="1037" spans="1:7" ht="15" hidden="1" customHeight="1" x14ac:dyDescent="0.3">
      <c r="A1037" t="s">
        <v>120</v>
      </c>
      <c r="B1037" s="2">
        <v>46082</v>
      </c>
      <c r="C1037" s="52">
        <v>10619.1</v>
      </c>
      <c r="D1037" s="48" t="str">
        <f>_xlfn.XLOOKUP(expected_production[[#This Row],[Site Name]],Table1[[Site Name ]],Table1[Commisioned Date],"")</f>
        <v>2022/16/12</v>
      </c>
      <c r="E1037" s="47" t="str">
        <f>IF(ISNUMBER(expected_production[[#This Row],[Commissioned Date]]),MAX(0,(expected_production[[#This Row],[Date]]-expected_production[[#This Row],[Commissioned Date]])/365.25),"")</f>
        <v/>
      </c>
      <c r="F1037" s="49">
        <f>IF(expected_production[[#This Row],[Age (yrs)]]="",1,(1-DegradationRate)^expected_production[[#This Row],[Age (yrs)]])</f>
        <v>1</v>
      </c>
      <c r="G1037" s="52">
        <f>IF(expected_production[[#This Row],[Base Expected (kWh)]]="","",expected_production[[#This Row],[Base Expected (kWh)]]*expected_production[[#This Row],[Degradation Factor]])</f>
        <v>10619.1</v>
      </c>
    </row>
    <row r="1038" spans="1:7" ht="15" hidden="1" customHeight="1" x14ac:dyDescent="0.3">
      <c r="A1038" t="s">
        <v>120</v>
      </c>
      <c r="B1038" s="2">
        <v>46113</v>
      </c>
      <c r="C1038" s="52">
        <v>9139.5</v>
      </c>
      <c r="D1038" s="48" t="str">
        <f>_xlfn.XLOOKUP(expected_production[[#This Row],[Site Name]],Table1[[Site Name ]],Table1[Commisioned Date],"")</f>
        <v>2022/16/12</v>
      </c>
      <c r="E1038" s="47" t="str">
        <f>IF(ISNUMBER(expected_production[[#This Row],[Commissioned Date]]),MAX(0,(expected_production[[#This Row],[Date]]-expected_production[[#This Row],[Commissioned Date]])/365.25),"")</f>
        <v/>
      </c>
      <c r="F1038" s="49">
        <f>IF(expected_production[[#This Row],[Age (yrs)]]="",1,(1-DegradationRate)^expected_production[[#This Row],[Age (yrs)]])</f>
        <v>1</v>
      </c>
      <c r="G1038" s="52">
        <f>IF(expected_production[[#This Row],[Base Expected (kWh)]]="","",expected_production[[#This Row],[Base Expected (kWh)]]*expected_production[[#This Row],[Degradation Factor]])</f>
        <v>9139.5</v>
      </c>
    </row>
    <row r="1039" spans="1:7" ht="15" hidden="1" customHeight="1" x14ac:dyDescent="0.3">
      <c r="A1039" t="s">
        <v>120</v>
      </c>
      <c r="B1039" s="2">
        <v>46143</v>
      </c>
      <c r="C1039" s="52">
        <v>8593.2000000000007</v>
      </c>
      <c r="D1039" s="48" t="str">
        <f>_xlfn.XLOOKUP(expected_production[[#This Row],[Site Name]],Table1[[Site Name ]],Table1[Commisioned Date],"")</f>
        <v>2022/16/12</v>
      </c>
      <c r="E1039" s="47" t="str">
        <f>IF(ISNUMBER(expected_production[[#This Row],[Commissioned Date]]),MAX(0,(expected_production[[#This Row],[Date]]-expected_production[[#This Row],[Commissioned Date]])/365.25),"")</f>
        <v/>
      </c>
      <c r="F1039" s="49">
        <f>IF(expected_production[[#This Row],[Age (yrs)]]="",1,(1-DegradationRate)^expected_production[[#This Row],[Age (yrs)]])</f>
        <v>1</v>
      </c>
      <c r="G1039" s="52">
        <f>IF(expected_production[[#This Row],[Base Expected (kWh)]]="","",expected_production[[#This Row],[Base Expected (kWh)]]*expected_production[[#This Row],[Degradation Factor]])</f>
        <v>8593.2000000000007</v>
      </c>
    </row>
    <row r="1040" spans="1:7" ht="15" hidden="1" customHeight="1" x14ac:dyDescent="0.3">
      <c r="A1040" t="s">
        <v>120</v>
      </c>
      <c r="B1040" s="2">
        <v>46174</v>
      </c>
      <c r="C1040" s="52">
        <v>7680.6</v>
      </c>
      <c r="D1040" s="48" t="str">
        <f>_xlfn.XLOOKUP(expected_production[[#This Row],[Site Name]],Table1[[Site Name ]],Table1[Commisioned Date],"")</f>
        <v>2022/16/12</v>
      </c>
      <c r="E1040" s="47" t="str">
        <f>IF(ISNUMBER(expected_production[[#This Row],[Commissioned Date]]),MAX(0,(expected_production[[#This Row],[Date]]-expected_production[[#This Row],[Commissioned Date]])/365.25),"")</f>
        <v/>
      </c>
      <c r="F1040" s="49">
        <f>IF(expected_production[[#This Row],[Age (yrs)]]="",1,(1-DegradationRate)^expected_production[[#This Row],[Age (yrs)]])</f>
        <v>1</v>
      </c>
      <c r="G1040" s="52">
        <f>IF(expected_production[[#This Row],[Base Expected (kWh)]]="","",expected_production[[#This Row],[Base Expected (kWh)]]*expected_production[[#This Row],[Degradation Factor]])</f>
        <v>7680.6</v>
      </c>
    </row>
    <row r="1041" spans="1:7" ht="15" hidden="1" customHeight="1" x14ac:dyDescent="0.3">
      <c r="A1041" t="s">
        <v>120</v>
      </c>
      <c r="B1041" s="2">
        <v>46204</v>
      </c>
      <c r="C1041" s="52">
        <v>8550.9</v>
      </c>
      <c r="D1041" s="48" t="str">
        <f>_xlfn.XLOOKUP(expected_production[[#This Row],[Site Name]],Table1[[Site Name ]],Table1[Commisioned Date],"")</f>
        <v>2022/16/12</v>
      </c>
      <c r="E1041" s="47" t="str">
        <f>IF(ISNUMBER(expected_production[[#This Row],[Commissioned Date]]),MAX(0,(expected_production[[#This Row],[Date]]-expected_production[[#This Row],[Commissioned Date]])/365.25),"")</f>
        <v/>
      </c>
      <c r="F1041" s="49">
        <f>IF(expected_production[[#This Row],[Age (yrs)]]="",1,(1-DegradationRate)^expected_production[[#This Row],[Age (yrs)]])</f>
        <v>1</v>
      </c>
      <c r="G1041" s="52">
        <f>IF(expected_production[[#This Row],[Base Expected (kWh)]]="","",expected_production[[#This Row],[Base Expected (kWh)]]*expected_production[[#This Row],[Degradation Factor]])</f>
        <v>8550.9</v>
      </c>
    </row>
    <row r="1042" spans="1:7" ht="15" hidden="1" customHeight="1" x14ac:dyDescent="0.3">
      <c r="A1042" t="s">
        <v>120</v>
      </c>
      <c r="B1042" s="2">
        <v>46235</v>
      </c>
      <c r="C1042" s="52">
        <v>9997.2000000000007</v>
      </c>
      <c r="D1042" s="48" t="str">
        <f>_xlfn.XLOOKUP(expected_production[[#This Row],[Site Name]],Table1[[Site Name ]],Table1[Commisioned Date],"")</f>
        <v>2022/16/12</v>
      </c>
      <c r="E1042" s="47" t="str">
        <f>IF(ISNUMBER(expected_production[[#This Row],[Commissioned Date]]),MAX(0,(expected_production[[#This Row],[Date]]-expected_production[[#This Row],[Commissioned Date]])/365.25),"")</f>
        <v/>
      </c>
      <c r="F1042" s="49">
        <f>IF(expected_production[[#This Row],[Age (yrs)]]="",1,(1-DegradationRate)^expected_production[[#This Row],[Age (yrs)]])</f>
        <v>1</v>
      </c>
      <c r="G1042" s="52">
        <f>IF(expected_production[[#This Row],[Base Expected (kWh)]]="","",expected_production[[#This Row],[Base Expected (kWh)]]*expected_production[[#This Row],[Degradation Factor]])</f>
        <v>9997.2000000000007</v>
      </c>
    </row>
    <row r="1043" spans="1:7" ht="15" hidden="1" customHeight="1" x14ac:dyDescent="0.3">
      <c r="A1043" t="s">
        <v>120</v>
      </c>
      <c r="B1043" s="2">
        <v>46266</v>
      </c>
      <c r="C1043" s="52">
        <v>10701.9</v>
      </c>
      <c r="D1043" s="48" t="str">
        <f>_xlfn.XLOOKUP(expected_production[[#This Row],[Site Name]],Table1[[Site Name ]],Table1[Commisioned Date],"")</f>
        <v>2022/16/12</v>
      </c>
      <c r="E1043" s="47" t="str">
        <f>IF(ISNUMBER(expected_production[[#This Row],[Commissioned Date]]),MAX(0,(expected_production[[#This Row],[Date]]-expected_production[[#This Row],[Commissioned Date]])/365.25),"")</f>
        <v/>
      </c>
      <c r="F1043" s="49">
        <f>IF(expected_production[[#This Row],[Age (yrs)]]="",1,(1-DegradationRate)^expected_production[[#This Row],[Age (yrs)]])</f>
        <v>1</v>
      </c>
      <c r="G1043" s="52">
        <f>IF(expected_production[[#This Row],[Base Expected (kWh)]]="","",expected_production[[#This Row],[Base Expected (kWh)]]*expected_production[[#This Row],[Degradation Factor]])</f>
        <v>10701.9</v>
      </c>
    </row>
    <row r="1044" spans="1:7" ht="15" hidden="1" customHeight="1" x14ac:dyDescent="0.3">
      <c r="A1044" t="s">
        <v>120</v>
      </c>
      <c r="B1044" s="2">
        <v>46296</v>
      </c>
      <c r="C1044" s="52">
        <v>11834.1</v>
      </c>
      <c r="D1044" s="48" t="str">
        <f>_xlfn.XLOOKUP(expected_production[[#This Row],[Site Name]],Table1[[Site Name ]],Table1[Commisioned Date],"")</f>
        <v>2022/16/12</v>
      </c>
      <c r="E1044" s="47" t="str">
        <f>IF(ISNUMBER(expected_production[[#This Row],[Commissioned Date]]),MAX(0,(expected_production[[#This Row],[Date]]-expected_production[[#This Row],[Commissioned Date]])/365.25),"")</f>
        <v/>
      </c>
      <c r="F1044" s="49">
        <f>IF(expected_production[[#This Row],[Age (yrs)]]="",1,(1-DegradationRate)^expected_production[[#This Row],[Age (yrs)]])</f>
        <v>1</v>
      </c>
      <c r="G1044" s="52">
        <f>IF(expected_production[[#This Row],[Base Expected (kWh)]]="","",expected_production[[#This Row],[Base Expected (kWh)]]*expected_production[[#This Row],[Degradation Factor]])</f>
        <v>11834.1</v>
      </c>
    </row>
    <row r="1045" spans="1:7" ht="15" hidden="1" customHeight="1" x14ac:dyDescent="0.3">
      <c r="A1045" t="s">
        <v>120</v>
      </c>
      <c r="B1045" s="2">
        <v>46327</v>
      </c>
      <c r="C1045" s="52">
        <v>12129.3</v>
      </c>
      <c r="D1045" s="48" t="str">
        <f>_xlfn.XLOOKUP(expected_production[[#This Row],[Site Name]],Table1[[Site Name ]],Table1[Commisioned Date],"")</f>
        <v>2022/16/12</v>
      </c>
      <c r="E1045" s="47" t="str">
        <f>IF(ISNUMBER(expected_production[[#This Row],[Commissioned Date]]),MAX(0,(expected_production[[#This Row],[Date]]-expected_production[[#This Row],[Commissioned Date]])/365.25),"")</f>
        <v/>
      </c>
      <c r="F1045" s="49">
        <f>IF(expected_production[[#This Row],[Age (yrs)]]="",1,(1-DegradationRate)^expected_production[[#This Row],[Age (yrs)]])</f>
        <v>1</v>
      </c>
      <c r="G1045" s="52">
        <f>IF(expected_production[[#This Row],[Base Expected (kWh)]]="","",expected_production[[#This Row],[Base Expected (kWh)]]*expected_production[[#This Row],[Degradation Factor]])</f>
        <v>12129.3</v>
      </c>
    </row>
    <row r="1046" spans="1:7" ht="15" hidden="1" customHeight="1" x14ac:dyDescent="0.3">
      <c r="A1046" t="s">
        <v>120</v>
      </c>
      <c r="B1046" s="2">
        <v>46357</v>
      </c>
      <c r="C1046" s="52">
        <v>12998.7</v>
      </c>
      <c r="D1046" s="48" t="str">
        <f>_xlfn.XLOOKUP(expected_production[[#This Row],[Site Name]],Table1[[Site Name ]],Table1[Commisioned Date],"")</f>
        <v>2022/16/12</v>
      </c>
      <c r="E1046" s="47" t="str">
        <f>IF(ISNUMBER(expected_production[[#This Row],[Commissioned Date]]),MAX(0,(expected_production[[#This Row],[Date]]-expected_production[[#This Row],[Commissioned Date]])/365.25),"")</f>
        <v/>
      </c>
      <c r="F1046" s="49">
        <f>IF(expected_production[[#This Row],[Age (yrs)]]="",1,(1-DegradationRate)^expected_production[[#This Row],[Age (yrs)]])</f>
        <v>1</v>
      </c>
      <c r="G1046" s="52">
        <f>IF(expected_production[[#This Row],[Base Expected (kWh)]]="","",expected_production[[#This Row],[Base Expected (kWh)]]*expected_production[[#This Row],[Degradation Factor]])</f>
        <v>12998.7</v>
      </c>
    </row>
    <row r="1047" spans="1:7" ht="15" hidden="1" customHeight="1" x14ac:dyDescent="0.3">
      <c r="A1047" t="s">
        <v>236</v>
      </c>
      <c r="B1047" s="2">
        <v>45292</v>
      </c>
      <c r="C1047" s="52" cm="1">
        <f t="array" ref="C1047">IFERROR(INDEX('Expected Production'!$C$2:$N$79,MATCH($A1047,'Expected Production'!$A$2:$A$79,0),MONTH($B1047)),"")</f>
        <v>16602.939455286778</v>
      </c>
      <c r="D1047" s="48">
        <f>_xlfn.XLOOKUP(expected_production[[#This Row],[Site Name]],Table1[[Site Name ]],Table1[Commisioned Date],"")</f>
        <v>45050</v>
      </c>
      <c r="E1047" s="47">
        <f>IF(ISNUMBER(expected_production[[#This Row],[Commissioned Date]]),MAX(0,(expected_production[[#This Row],[Date]]-expected_production[[#This Row],[Commissioned Date]])/365.25),"")</f>
        <v>0.66255989048596853</v>
      </c>
      <c r="F1047" s="49">
        <f>IF(expected_production[[#This Row],[Age (yrs)]]="",1,(1-DegradationRate)^expected_production[[#This Row],[Age (yrs)]])</f>
        <v>0.99535658603262078</v>
      </c>
      <c r="G1047" s="52">
        <f>IF(expected_production[[#This Row],[Base Expected (kWh)]]="","",expected_production[[#This Row],[Base Expected (kWh)]]*expected_production[[#This Row],[Degradation Factor]])</f>
        <v>16525.845134320549</v>
      </c>
    </row>
    <row r="1048" spans="1:7" ht="15" hidden="1" customHeight="1" x14ac:dyDescent="0.3">
      <c r="A1048" t="s">
        <v>236</v>
      </c>
      <c r="B1048" s="2">
        <v>45323</v>
      </c>
      <c r="C1048" s="52" cm="1">
        <f t="array" ref="C1048">IFERROR(INDEX('Expected Production'!$C$2:$N$79,MATCH($A1048,'Expected Production'!$A$2:$A$79,0),MONTH($B1048)),"")</f>
        <v>14966.051031447027</v>
      </c>
      <c r="D1048" s="48">
        <f>_xlfn.XLOOKUP(expected_production[[#This Row],[Site Name]],Table1[[Site Name ]],Table1[Commisioned Date],"")</f>
        <v>45050</v>
      </c>
      <c r="E1048" s="47">
        <f>IF(ISNUMBER(expected_production[[#This Row],[Commissioned Date]]),MAX(0,(expected_production[[#This Row],[Date]]-expected_production[[#This Row],[Commissioned Date]])/365.25),"")</f>
        <v>0.74743326488706363</v>
      </c>
      <c r="F1048" s="49">
        <f>IF(expected_production[[#This Row],[Age (yrs)]]="",1,(1-DegradationRate)^expected_production[[#This Row],[Age (yrs)]])</f>
        <v>0.99476332854379179</v>
      </c>
      <c r="G1048" s="52">
        <f>IF(expected_production[[#This Row],[Base Expected (kWh)]]="","",expected_production[[#This Row],[Base Expected (kWh)]]*expected_production[[#This Row],[Degradation Factor]])</f>
        <v>14887.678739198493</v>
      </c>
    </row>
    <row r="1049" spans="1:7" ht="15" hidden="1" customHeight="1" x14ac:dyDescent="0.3">
      <c r="A1049" t="s">
        <v>236</v>
      </c>
      <c r="B1049" s="2">
        <v>45352</v>
      </c>
      <c r="C1049" s="52" cm="1">
        <f t="array" ref="C1049">IFERROR(INDEX('Expected Production'!$C$2:$N$79,MATCH($A1049,'Expected Production'!$A$2:$A$79,0),MONTH($B1049)),"")</f>
        <v>16335.485545927229</v>
      </c>
      <c r="D1049" s="48">
        <f>_xlfn.XLOOKUP(expected_production[[#This Row],[Site Name]],Table1[[Site Name ]],Table1[Commisioned Date],"")</f>
        <v>45050</v>
      </c>
      <c r="E1049" s="47">
        <f>IF(ISNUMBER(expected_production[[#This Row],[Commissioned Date]]),MAX(0,(expected_production[[#This Row],[Date]]-expected_production[[#This Row],[Commissioned Date]])/365.25),"")</f>
        <v>0.8268309377138946</v>
      </c>
      <c r="F1049" s="49">
        <f>IF(expected_production[[#This Row],[Age (yrs)]]="",1,(1-DegradationRate)^expected_production[[#This Row],[Age (yrs)]])</f>
        <v>0.99420866584899903</v>
      </c>
      <c r="G1049" s="52">
        <f>IF(expected_production[[#This Row],[Base Expected (kWh)]]="","",expected_production[[#This Row],[Base Expected (kWh)]]*expected_production[[#This Row],[Degradation Factor]])</f>
        <v>16240.881290611918</v>
      </c>
    </row>
    <row r="1050" spans="1:7" ht="15" hidden="1" customHeight="1" x14ac:dyDescent="0.3">
      <c r="A1050" t="s">
        <v>236</v>
      </c>
      <c r="B1050" s="2">
        <v>45383</v>
      </c>
      <c r="C1050" s="52" cm="1">
        <f t="array" ref="C1050">IFERROR(INDEX('Expected Production'!$C$2:$N$79,MATCH($A1050,'Expected Production'!$A$2:$A$79,0),MONTH($B1050)),"")</f>
        <v>15100.35078692115</v>
      </c>
      <c r="D1050" s="48">
        <f>_xlfn.XLOOKUP(expected_production[[#This Row],[Site Name]],Table1[[Site Name ]],Table1[Commisioned Date],"")</f>
        <v>45050</v>
      </c>
      <c r="E1050" s="47">
        <f>IF(ISNUMBER(expected_production[[#This Row],[Commissioned Date]]),MAX(0,(expected_production[[#This Row],[Date]]-expected_production[[#This Row],[Commissioned Date]])/365.25),"")</f>
        <v>0.9117043121149897</v>
      </c>
      <c r="F1050" s="49">
        <f>IF(expected_production[[#This Row],[Age (yrs)]]="",1,(1-DegradationRate)^expected_production[[#This Row],[Age (yrs)]])</f>
        <v>0.99361609254938932</v>
      </c>
      <c r="G1050" s="52">
        <f>IF(expected_production[[#This Row],[Base Expected (kWh)]]="","",expected_production[[#This Row],[Base Expected (kWh)]]*expected_production[[#This Row],[Degradation Factor]])</f>
        <v>15003.951545025689</v>
      </c>
    </row>
    <row r="1051" spans="1:7" ht="15" hidden="1" customHeight="1" x14ac:dyDescent="0.3">
      <c r="A1051" t="s">
        <v>236</v>
      </c>
      <c r="B1051" s="2">
        <v>45413</v>
      </c>
      <c r="C1051" s="52" cm="1">
        <f t="array" ref="C1051">IFERROR(INDEX('Expected Production'!$C$2:$N$79,MATCH($A1051,'Expected Production'!$A$2:$A$79,0),MONTH($B1051)),"")</f>
        <v>15271.045423635958</v>
      </c>
      <c r="D1051" s="48">
        <f>_xlfn.XLOOKUP(expected_production[[#This Row],[Site Name]],Table1[[Site Name ]],Table1[Commisioned Date],"")</f>
        <v>45050</v>
      </c>
      <c r="E1051" s="47">
        <f>IF(ISNUMBER(expected_production[[#This Row],[Commissioned Date]]),MAX(0,(expected_production[[#This Row],[Date]]-expected_production[[#This Row],[Commissioned Date]])/365.25),"")</f>
        <v>0.99383983572895274</v>
      </c>
      <c r="F1051" s="49">
        <f>IF(expected_production[[#This Row],[Age (yrs)]]="",1,(1-DegradationRate)^expected_production[[#This Row],[Age (yrs)]])</f>
        <v>0.99304297080220527</v>
      </c>
      <c r="G1051" s="52">
        <f>IF(expected_production[[#This Row],[Base Expected (kWh)]]="","",expected_production[[#This Row],[Base Expected (kWh)]]*expected_production[[#This Row],[Degradation Factor]])</f>
        <v>15164.804314742873</v>
      </c>
    </row>
    <row r="1052" spans="1:7" ht="15" hidden="1" customHeight="1" x14ac:dyDescent="0.3">
      <c r="A1052" t="s">
        <v>236</v>
      </c>
      <c r="B1052" s="2">
        <v>45444</v>
      </c>
      <c r="C1052" s="52" cm="1">
        <f t="array" ref="C1052">IFERROR(INDEX('Expected Production'!$C$2:$N$79,MATCH($A1052,'Expected Production'!$A$2:$A$79,0),MONTH($B1052)),"")</f>
        <v>14168.00734012575</v>
      </c>
      <c r="D1052" s="48">
        <f>_xlfn.XLOOKUP(expected_production[[#This Row],[Site Name]],Table1[[Site Name ]],Table1[Commisioned Date],"")</f>
        <v>45050</v>
      </c>
      <c r="E1052" s="47">
        <f>IF(ISNUMBER(expected_production[[#This Row],[Commissioned Date]]),MAX(0,(expected_production[[#This Row],[Date]]-expected_production[[#This Row],[Commissioned Date]])/365.25),"")</f>
        <v>1.0787132101300478</v>
      </c>
      <c r="F1052" s="49">
        <f>IF(expected_production[[#This Row],[Age (yrs)]]="",1,(1-DegradationRate)^expected_production[[#This Row],[Age (yrs)]])</f>
        <v>0.99245109228607908</v>
      </c>
      <c r="G1052" s="52">
        <f>IF(expected_production[[#This Row],[Base Expected (kWh)]]="","",expected_production[[#This Row],[Base Expected (kWh)]]*expected_production[[#This Row],[Degradation Factor]])</f>
        <v>14061.054360224987</v>
      </c>
    </row>
    <row r="1053" spans="1:7" ht="15" hidden="1" customHeight="1" x14ac:dyDescent="0.3">
      <c r="A1053" t="s">
        <v>236</v>
      </c>
      <c r="B1053" s="2">
        <v>45474</v>
      </c>
      <c r="C1053" s="52" cm="1">
        <f t="array" ref="C1053">IFERROR(INDEX('Expected Production'!$C$2:$N$79,MATCH($A1053,'Expected Production'!$A$2:$A$79,0),MONTH($B1053)),"")</f>
        <v>15171.289962220802</v>
      </c>
      <c r="D1053" s="48">
        <f>_xlfn.XLOOKUP(expected_production[[#This Row],[Site Name]],Table1[[Site Name ]],Table1[Commisioned Date],"")</f>
        <v>45050</v>
      </c>
      <c r="E1053" s="47">
        <f>IF(ISNUMBER(expected_production[[#This Row],[Commissioned Date]]),MAX(0,(expected_production[[#This Row],[Date]]-expected_production[[#This Row],[Commissioned Date]])/365.25),"")</f>
        <v>1.160848733744011</v>
      </c>
      <c r="F1053" s="49">
        <f>IF(expected_production[[#This Row],[Age (yrs)]]="",1,(1-DegradationRate)^expected_production[[#This Row],[Age (yrs)]])</f>
        <v>0.99187864251571922</v>
      </c>
      <c r="G1053" s="52">
        <f>IF(expected_production[[#This Row],[Base Expected (kWh)]]="","",expected_production[[#This Row],[Base Expected (kWh)]]*expected_production[[#This Row],[Degradation Factor]])</f>
        <v>15048.078492939927</v>
      </c>
    </row>
    <row r="1054" spans="1:7" ht="15" hidden="1" customHeight="1" x14ac:dyDescent="0.3">
      <c r="A1054" t="s">
        <v>236</v>
      </c>
      <c r="B1054" s="2">
        <v>45505</v>
      </c>
      <c r="C1054" s="52" cm="1">
        <f t="array" ref="C1054">IFERROR(INDEX('Expected Production'!$C$2:$N$79,MATCH($A1054,'Expected Production'!$A$2:$A$79,0),MONTH($B1054)),"")</f>
        <v>16365.447433631431</v>
      </c>
      <c r="D1054" s="48">
        <f>_xlfn.XLOOKUP(expected_production[[#This Row],[Site Name]],Table1[[Site Name ]],Table1[Commisioned Date],"")</f>
        <v>45050</v>
      </c>
      <c r="E1054" s="47">
        <f>IF(ISNUMBER(expected_production[[#This Row],[Commissioned Date]]),MAX(0,(expected_production[[#This Row],[Date]]-expected_production[[#This Row],[Commissioned Date]])/365.25),"")</f>
        <v>1.2457221081451062</v>
      </c>
      <c r="F1054" s="49">
        <f>IF(expected_production[[#This Row],[Age (yrs)]]="",1,(1-DegradationRate)^expected_production[[#This Row],[Age (yrs)]])</f>
        <v>0.99128745796845308</v>
      </c>
      <c r="G1054" s="52">
        <f>IF(expected_production[[#This Row],[Base Expected (kWh)]]="","",expected_production[[#This Row],[Base Expected (kWh)]]*expected_production[[#This Row],[Degradation Factor]])</f>
        <v>16222.862785000845</v>
      </c>
    </row>
    <row r="1055" spans="1:7" ht="15" hidden="1" customHeight="1" x14ac:dyDescent="0.3">
      <c r="A1055" t="s">
        <v>236</v>
      </c>
      <c r="B1055" s="2">
        <v>45536</v>
      </c>
      <c r="C1055" s="52" cm="1">
        <f t="array" ref="C1055">IFERROR(INDEX('Expected Production'!$C$2:$N$79,MATCH($A1055,'Expected Production'!$A$2:$A$79,0),MONTH($B1055)),"")</f>
        <v>16283.93347443618</v>
      </c>
      <c r="D1055" s="48">
        <f>_xlfn.XLOOKUP(expected_production[[#This Row],[Site Name]],Table1[[Site Name ]],Table1[Commisioned Date],"")</f>
        <v>45050</v>
      </c>
      <c r="E1055" s="47">
        <f>IF(ISNUMBER(expected_production[[#This Row],[Commissioned Date]]),MAX(0,(expected_production[[#This Row],[Date]]-expected_production[[#This Row],[Commissioned Date]])/365.25),"")</f>
        <v>1.3305954825462012</v>
      </c>
      <c r="F1055" s="49">
        <f>IF(expected_production[[#This Row],[Age (yrs)]]="",1,(1-DegradationRate)^expected_production[[#This Row],[Age (yrs)]])</f>
        <v>0.99069662578200413</v>
      </c>
      <c r="G1055" s="52">
        <f>IF(expected_production[[#This Row],[Base Expected (kWh)]]="","",expected_production[[#This Row],[Base Expected (kWh)]]*expected_production[[#This Row],[Degradation Factor]])</f>
        <v>16132.437947582552</v>
      </c>
    </row>
    <row r="1056" spans="1:7" ht="15" hidden="1" customHeight="1" x14ac:dyDescent="0.3">
      <c r="A1056" t="s">
        <v>236</v>
      </c>
      <c r="B1056" s="2">
        <v>45566</v>
      </c>
      <c r="C1056" s="52" cm="1">
        <f t="array" ref="C1056">IFERROR(INDEX('Expected Production'!$C$2:$N$79,MATCH($A1056,'Expected Production'!$A$2:$A$79,0),MONTH($B1056)),"")</f>
        <v>15891.080252714639</v>
      </c>
      <c r="D1056" s="48">
        <f>_xlfn.XLOOKUP(expected_production[[#This Row],[Site Name]],Table1[[Site Name ]],Table1[Commisioned Date],"")</f>
        <v>45050</v>
      </c>
      <c r="E1056" s="47">
        <f>IF(ISNUMBER(expected_production[[#This Row],[Commissioned Date]]),MAX(0,(expected_production[[#This Row],[Date]]-expected_production[[#This Row],[Commissioned Date]])/365.25),"")</f>
        <v>1.4127310061601643</v>
      </c>
      <c r="F1056" s="49">
        <f>IF(expected_production[[#This Row],[Age (yrs)]]="",1,(1-DegradationRate)^expected_production[[#This Row],[Age (yrs)]])</f>
        <v>0.9901251879949603</v>
      </c>
      <c r="G1056" s="52">
        <f>IF(expected_production[[#This Row],[Base Expected (kWh)]]="","",expected_production[[#This Row],[Base Expected (kWh)]]*expected_production[[#This Row],[Degradation Factor]])</f>
        <v>15734.158822662082</v>
      </c>
    </row>
    <row r="1057" spans="1:7" ht="15" hidden="1" customHeight="1" x14ac:dyDescent="0.3">
      <c r="A1057" t="s">
        <v>236</v>
      </c>
      <c r="B1057" s="2">
        <v>45597</v>
      </c>
      <c r="C1057" s="52" cm="1">
        <f t="array" ref="C1057">IFERROR(INDEX('Expected Production'!$C$2:$N$79,MATCH($A1057,'Expected Production'!$A$2:$A$79,0),MONTH($B1057)),"")</f>
        <v>15343.218323723426</v>
      </c>
      <c r="D1057" s="48">
        <f>_xlfn.XLOOKUP(expected_production[[#This Row],[Site Name]],Table1[[Site Name ]],Table1[Commisioned Date],"")</f>
        <v>45050</v>
      </c>
      <c r="E1057" s="47">
        <f>IF(ISNUMBER(expected_production[[#This Row],[Commissioned Date]]),MAX(0,(expected_production[[#This Row],[Date]]-expected_production[[#This Row],[Commissioned Date]])/365.25),"")</f>
        <v>1.4976043805612593</v>
      </c>
      <c r="F1057" s="49">
        <f>IF(expected_production[[#This Row],[Age (yrs)]]="",1,(1-DegradationRate)^expected_production[[#This Row],[Age (yrs)]])</f>
        <v>0.98953504855056518</v>
      </c>
      <c r="G1057" s="52">
        <f>IF(expected_production[[#This Row],[Base Expected (kWh)]]="","",expected_production[[#This Row],[Base Expected (kWh)]]*expected_production[[#This Row],[Degradation Factor]])</f>
        <v>15182.652288887581</v>
      </c>
    </row>
    <row r="1058" spans="1:7" ht="15" hidden="1" customHeight="1" x14ac:dyDescent="0.3">
      <c r="A1058" t="s">
        <v>236</v>
      </c>
      <c r="B1058" s="2">
        <v>45627</v>
      </c>
      <c r="C1058" s="52" cm="1">
        <f t="array" ref="C1058">IFERROR(INDEX('Expected Production'!$C$2:$N$79,MATCH($A1058,'Expected Production'!$A$2:$A$79,0),MONTH($B1058)),"")</f>
        <v>16261.638305056289</v>
      </c>
      <c r="D1058" s="48">
        <f>_xlfn.XLOOKUP(expected_production[[#This Row],[Site Name]],Table1[[Site Name ]],Table1[Commisioned Date],"")</f>
        <v>45050</v>
      </c>
      <c r="E1058" s="47">
        <f>IF(ISNUMBER(expected_production[[#This Row],[Commissioned Date]]),MAX(0,(expected_production[[#This Row],[Date]]-expected_production[[#This Row],[Commissioned Date]])/365.25),"")</f>
        <v>1.5797399041752225</v>
      </c>
      <c r="F1058" s="49">
        <f>IF(expected_production[[#This Row],[Age (yrs)]]="",1,(1-DegradationRate)^expected_production[[#This Row],[Age (yrs)]])</f>
        <v>0.98896428076592713</v>
      </c>
      <c r="G1058" s="52">
        <f>IF(expected_production[[#This Row],[Base Expected (kWh)]]="","",expected_production[[#This Row],[Base Expected (kWh)]]*expected_production[[#This Row],[Degradation Factor]])</f>
        <v>16082.179430435643</v>
      </c>
    </row>
    <row r="1059" spans="1:7" ht="15" hidden="1" customHeight="1" x14ac:dyDescent="0.3">
      <c r="A1059" t="s">
        <v>236</v>
      </c>
      <c r="B1059" s="2">
        <v>45658</v>
      </c>
      <c r="C1059" s="52" cm="1">
        <f t="array" ref="C1059">IFERROR(INDEX('Expected Production'!$C$2:$N$79,MATCH($A1059,'Expected Production'!$A$2:$A$79,0),MONTH($B1059)),"")</f>
        <v>16602.939455286778</v>
      </c>
      <c r="D1059" s="48">
        <f>_xlfn.XLOOKUP(expected_production[[#This Row],[Site Name]],Table1[[Site Name ]],Table1[Commisioned Date],"")</f>
        <v>45050</v>
      </c>
      <c r="E1059" s="47">
        <f>IF(ISNUMBER(expected_production[[#This Row],[Commissioned Date]]),MAX(0,(expected_production[[#This Row],[Date]]-expected_production[[#This Row],[Commissioned Date]])/365.25),"")</f>
        <v>1.6646132785763177</v>
      </c>
      <c r="F1059" s="49">
        <f>IF(expected_production[[#This Row],[Age (yrs)]]="",1,(1-DegradationRate)^expected_production[[#This Row],[Age (yrs)]])</f>
        <v>0.98837483325135611</v>
      </c>
      <c r="G1059" s="52">
        <f>IF(expected_production[[#This Row],[Base Expected (kWh)]]="","",expected_production[[#This Row],[Base Expected (kWh)]]*expected_production[[#This Row],[Degradation Factor]])</f>
        <v>16409.92751560143</v>
      </c>
    </row>
    <row r="1060" spans="1:7" ht="15" hidden="1" customHeight="1" x14ac:dyDescent="0.3">
      <c r="A1060" t="s">
        <v>236</v>
      </c>
      <c r="B1060" s="2">
        <v>45689</v>
      </c>
      <c r="C1060" s="52" cm="1">
        <f t="array" ref="C1060">IFERROR(INDEX('Expected Production'!$C$2:$N$79,MATCH($A1060,'Expected Production'!$A$2:$A$79,0),MONTH($B1060)),"")</f>
        <v>14966.051031447027</v>
      </c>
      <c r="D1060" s="48">
        <f>_xlfn.XLOOKUP(expected_production[[#This Row],[Site Name]],Table1[[Site Name ]],Table1[Commisioned Date],"")</f>
        <v>45050</v>
      </c>
      <c r="E1060" s="47">
        <f>IF(ISNUMBER(expected_production[[#This Row],[Commissioned Date]]),MAX(0,(expected_production[[#This Row],[Date]]-expected_production[[#This Row],[Commissioned Date]])/365.25),"")</f>
        <v>1.7494866529774127</v>
      </c>
      <c r="F1060" s="49">
        <f>IF(expected_production[[#This Row],[Age (yrs)]]="",1,(1-DegradationRate)^expected_production[[#This Row],[Age (yrs)]])</f>
        <v>0.98778573706228712</v>
      </c>
      <c r="G1060" s="52">
        <f>IF(expected_production[[#This Row],[Base Expected (kWh)]]="","",expected_production[[#This Row],[Base Expected (kWh)]]*expected_production[[#This Row],[Degradation Factor]])</f>
        <v>14783.251749009703</v>
      </c>
    </row>
    <row r="1061" spans="1:7" ht="15" hidden="1" customHeight="1" x14ac:dyDescent="0.3">
      <c r="A1061" t="s">
        <v>236</v>
      </c>
      <c r="B1061" s="2">
        <v>45717</v>
      </c>
      <c r="C1061" s="52" cm="1">
        <f t="array" ref="C1061">IFERROR(INDEX('Expected Production'!$C$2:$N$79,MATCH($A1061,'Expected Production'!$A$2:$A$79,0),MONTH($B1061)),"")</f>
        <v>16335.485545927229</v>
      </c>
      <c r="D1061" s="48">
        <f>_xlfn.XLOOKUP(expected_production[[#This Row],[Site Name]],Table1[[Site Name ]],Table1[Commisioned Date],"")</f>
        <v>45050</v>
      </c>
      <c r="E1061" s="47">
        <f>IF(ISNUMBER(expected_production[[#This Row],[Commissioned Date]]),MAX(0,(expected_production[[#This Row],[Date]]-expected_production[[#This Row],[Commissioned Date]])/365.25),"")</f>
        <v>1.8261464750171115</v>
      </c>
      <c r="F1061" s="49">
        <f>IF(expected_production[[#This Row],[Age (yrs)]]="",1,(1-DegradationRate)^expected_production[[#This Row],[Age (yrs)]])</f>
        <v>0.9872539519794219</v>
      </c>
      <c r="G1061" s="52">
        <f>IF(expected_production[[#This Row],[Base Expected (kWh)]]="","",expected_production[[#This Row],[Base Expected (kWh)]]*expected_production[[#This Row],[Degradation Factor]])</f>
        <v>16127.272662719381</v>
      </c>
    </row>
    <row r="1062" spans="1:7" ht="15" hidden="1" customHeight="1" x14ac:dyDescent="0.3">
      <c r="A1062" t="s">
        <v>236</v>
      </c>
      <c r="B1062" s="2">
        <v>45748</v>
      </c>
      <c r="C1062" s="52" cm="1">
        <f t="array" ref="C1062">IFERROR(INDEX('Expected Production'!$C$2:$N$79,MATCH($A1062,'Expected Production'!$A$2:$A$79,0),MONTH($B1062)),"")</f>
        <v>15100.35078692115</v>
      </c>
      <c r="D1062" s="48">
        <f>_xlfn.XLOOKUP(expected_production[[#This Row],[Site Name]],Table1[[Site Name ]],Table1[Commisioned Date],"")</f>
        <v>45050</v>
      </c>
      <c r="E1062" s="47">
        <f>IF(ISNUMBER(expected_production[[#This Row],[Commissioned Date]]),MAX(0,(expected_production[[#This Row],[Date]]-expected_production[[#This Row],[Commissioned Date]])/365.25),"")</f>
        <v>1.9110198494182067</v>
      </c>
      <c r="F1062" s="49">
        <f>IF(expected_production[[#This Row],[Age (yrs)]]="",1,(1-DegradationRate)^expected_production[[#This Row],[Age (yrs)]])</f>
        <v>0.98666552386370265</v>
      </c>
      <c r="G1062" s="52">
        <f>IF(expected_production[[#This Row],[Base Expected (kWh)]]="","",expected_production[[#This Row],[Base Expected (kWh)]]*expected_production[[#This Row],[Degradation Factor]])</f>
        <v>14898.99551970323</v>
      </c>
    </row>
    <row r="1063" spans="1:7" ht="15" hidden="1" customHeight="1" x14ac:dyDescent="0.3">
      <c r="A1063" t="s">
        <v>236</v>
      </c>
      <c r="B1063" s="2">
        <v>45778</v>
      </c>
      <c r="C1063" s="52" cm="1">
        <f t="array" ref="C1063">IFERROR(INDEX('Expected Production'!$C$2:$N$79,MATCH($A1063,'Expected Production'!$A$2:$A$79,0),MONTH($B1063)),"")</f>
        <v>15271.045423635958</v>
      </c>
      <c r="D1063" s="48">
        <f>_xlfn.XLOOKUP(expected_production[[#This Row],[Site Name]],Table1[[Site Name ]],Table1[Commisioned Date],"")</f>
        <v>45050</v>
      </c>
      <c r="E1063" s="47">
        <f>IF(ISNUMBER(expected_production[[#This Row],[Commissioned Date]]),MAX(0,(expected_production[[#This Row],[Date]]-expected_production[[#This Row],[Commissioned Date]])/365.25),"")</f>
        <v>1.9931553730321698</v>
      </c>
      <c r="F1063" s="49">
        <f>IF(expected_production[[#This Row],[Age (yrs)]]="",1,(1-DegradationRate)^expected_production[[#This Row],[Age (yrs)]])</f>
        <v>0.98609641123241254</v>
      </c>
      <c r="G1063" s="52">
        <f>IF(expected_production[[#This Row],[Base Expected (kWh)]]="","",expected_production[[#This Row],[Base Expected (kWh)]]*expected_production[[#This Row],[Degradation Factor]])</f>
        <v>15058.723088014576</v>
      </c>
    </row>
    <row r="1064" spans="1:7" ht="15" hidden="1" customHeight="1" x14ac:dyDescent="0.3">
      <c r="A1064" t="s">
        <v>236</v>
      </c>
      <c r="B1064" s="2">
        <v>45809</v>
      </c>
      <c r="C1064" s="52" cm="1">
        <f t="array" ref="C1064">IFERROR(INDEX('Expected Production'!$C$2:$N$79,MATCH($A1064,'Expected Production'!$A$2:$A$79,0),MONTH($B1064)),"")</f>
        <v>14168.00734012575</v>
      </c>
      <c r="D1064" s="48">
        <f>_xlfn.XLOOKUP(expected_production[[#This Row],[Site Name]],Table1[[Site Name ]],Table1[Commisioned Date],"")</f>
        <v>45050</v>
      </c>
      <c r="E1064" s="47">
        <f>IF(ISNUMBER(expected_production[[#This Row],[Commissioned Date]]),MAX(0,(expected_production[[#This Row],[Date]]-expected_production[[#This Row],[Commissioned Date]])/365.25),"")</f>
        <v>2.0780287474332648</v>
      </c>
      <c r="F1064" s="49">
        <f>IF(expected_production[[#This Row],[Age (yrs)]]="",1,(1-DegradationRate)^expected_production[[#This Row],[Age (yrs)]])</f>
        <v>0.98550867304000966</v>
      </c>
      <c r="G1064" s="52">
        <f>IF(expected_production[[#This Row],[Base Expected (kWh)]]="","",expected_production[[#This Row],[Base Expected (kWh)]]*expected_production[[#This Row],[Degradation Factor]])</f>
        <v>13962.694113388445</v>
      </c>
    </row>
    <row r="1065" spans="1:7" ht="15" hidden="1" customHeight="1" x14ac:dyDescent="0.3">
      <c r="A1065" t="s">
        <v>236</v>
      </c>
      <c r="B1065" s="2">
        <v>45839</v>
      </c>
      <c r="C1065" s="52" cm="1">
        <f t="array" ref="C1065">IFERROR(INDEX('Expected Production'!$C$2:$N$79,MATCH($A1065,'Expected Production'!$A$2:$A$79,0),MONTH($B1065)),"")</f>
        <v>15171.289962220802</v>
      </c>
      <c r="D1065" s="48">
        <f>_xlfn.XLOOKUP(expected_production[[#This Row],[Site Name]],Table1[[Site Name ]],Table1[Commisioned Date],"")</f>
        <v>45050</v>
      </c>
      <c r="E1065" s="47">
        <f>IF(ISNUMBER(expected_production[[#This Row],[Commissioned Date]]),MAX(0,(expected_production[[#This Row],[Date]]-expected_production[[#This Row],[Commissioned Date]])/365.25),"")</f>
        <v>2.1601642710472277</v>
      </c>
      <c r="F1065" s="49">
        <f>IF(expected_production[[#This Row],[Age (yrs)]]="",1,(1-DegradationRate)^expected_production[[#This Row],[Age (yrs)]])</f>
        <v>0.98494022768491429</v>
      </c>
      <c r="G1065" s="52">
        <f>IF(expected_production[[#This Row],[Base Expected (kWh)]]="","",expected_production[[#This Row],[Base Expected (kWh)]]*expected_production[[#This Row],[Degradation Factor]])</f>
        <v>14942.813789663613</v>
      </c>
    </row>
    <row r="1066" spans="1:7" ht="15" hidden="1" customHeight="1" x14ac:dyDescent="0.3">
      <c r="A1066" t="s">
        <v>236</v>
      </c>
      <c r="B1066" s="2">
        <v>45870</v>
      </c>
      <c r="C1066" s="52" cm="1">
        <f t="array" ref="C1066">IFERROR(INDEX('Expected Production'!$C$2:$N$79,MATCH($A1066,'Expected Production'!$A$2:$A$79,0),MONTH($B1066)),"")</f>
        <v>16365.447433631431</v>
      </c>
      <c r="D1066" s="48">
        <f>_xlfn.XLOOKUP(expected_production[[#This Row],[Site Name]],Table1[[Site Name ]],Table1[Commisioned Date],"")</f>
        <v>45050</v>
      </c>
      <c r="E1066" s="47">
        <f>IF(ISNUMBER(expected_production[[#This Row],[Commissioned Date]]),MAX(0,(expected_production[[#This Row],[Date]]-expected_production[[#This Row],[Commissioned Date]])/365.25),"")</f>
        <v>2.2450376454483232</v>
      </c>
      <c r="F1066" s="49">
        <f>IF(expected_production[[#This Row],[Age (yrs)]]="",1,(1-DegradationRate)^expected_production[[#This Row],[Age (yrs)]])</f>
        <v>0.98435317860690286</v>
      </c>
      <c r="G1066" s="52">
        <f>IF(expected_production[[#This Row],[Base Expected (kWh)]]="","",expected_production[[#This Row],[Base Expected (kWh)]]*expected_production[[#This Row],[Degradation Factor]])</f>
        <v>16109.38020061928</v>
      </c>
    </row>
    <row r="1067" spans="1:7" ht="15" hidden="1" customHeight="1" x14ac:dyDescent="0.3">
      <c r="A1067" t="s">
        <v>236</v>
      </c>
      <c r="B1067" s="2">
        <v>45901</v>
      </c>
      <c r="C1067" s="52" cm="1">
        <f t="array" ref="C1067">IFERROR(INDEX('Expected Production'!$C$2:$N$79,MATCH($A1067,'Expected Production'!$A$2:$A$79,0),MONTH($B1067)),"")</f>
        <v>16283.93347443618</v>
      </c>
      <c r="D1067" s="48">
        <f>_xlfn.XLOOKUP(expected_production[[#This Row],[Site Name]],Table1[[Site Name ]],Table1[Commisioned Date],"")</f>
        <v>45050</v>
      </c>
      <c r="E1067" s="47">
        <f>IF(ISNUMBER(expected_production[[#This Row],[Commissioned Date]]),MAX(0,(expected_production[[#This Row],[Date]]-expected_production[[#This Row],[Commissioned Date]])/365.25),"")</f>
        <v>2.3299110198494182</v>
      </c>
      <c r="F1067" s="49">
        <f>IF(expected_production[[#This Row],[Age (yrs)]]="",1,(1-DegradationRate)^expected_production[[#This Row],[Age (yrs)]])</f>
        <v>0.98376647942486517</v>
      </c>
      <c r="G1067" s="52">
        <f>IF(expected_production[[#This Row],[Base Expected (kWh)]]="","",expected_production[[#This Row],[Base Expected (kWh)]]*expected_production[[#This Row],[Degradation Factor]])</f>
        <v>16019.587905334794</v>
      </c>
    </row>
    <row r="1068" spans="1:7" ht="15" hidden="1" customHeight="1" x14ac:dyDescent="0.3">
      <c r="A1068" t="s">
        <v>236</v>
      </c>
      <c r="B1068" s="2">
        <v>45931</v>
      </c>
      <c r="C1068" s="52" cm="1">
        <f t="array" ref="C1068">IFERROR(INDEX('Expected Production'!$C$2:$N$79,MATCH($A1068,'Expected Production'!$A$2:$A$79,0),MONTH($B1068)),"")</f>
        <v>15891.080252714639</v>
      </c>
      <c r="D1068" s="48">
        <f>_xlfn.XLOOKUP(expected_production[[#This Row],[Site Name]],Table1[[Site Name ]],Table1[Commisioned Date],"")</f>
        <v>45050</v>
      </c>
      <c r="E1068" s="47">
        <f>IF(ISNUMBER(expected_production[[#This Row],[Commissioned Date]]),MAX(0,(expected_production[[#This Row],[Date]]-expected_production[[#This Row],[Commissioned Date]])/365.25),"")</f>
        <v>2.4120465434633811</v>
      </c>
      <c r="F1068" s="49">
        <f>IF(expected_production[[#This Row],[Age (yrs)]]="",1,(1-DegradationRate)^expected_production[[#This Row],[Age (yrs)]])</f>
        <v>0.98319903897403416</v>
      </c>
      <c r="G1068" s="52">
        <f>IF(expected_production[[#This Row],[Base Expected (kWh)]]="","",expected_production[[#This Row],[Base Expected (kWh)]]*expected_production[[#This Row],[Degradation Factor]])</f>
        <v>15624.094832728284</v>
      </c>
    </row>
    <row r="1069" spans="1:7" ht="15" hidden="1" customHeight="1" x14ac:dyDescent="0.3">
      <c r="A1069" t="s">
        <v>236</v>
      </c>
      <c r="B1069" s="2">
        <v>45962</v>
      </c>
      <c r="C1069" s="52" cm="1">
        <f t="array" ref="C1069">IFERROR(INDEX('Expected Production'!$C$2:$N$79,MATCH($A1069,'Expected Production'!$A$2:$A$79,0),MONTH($B1069)),"")</f>
        <v>15343.218323723426</v>
      </c>
      <c r="D1069" s="48">
        <f>_xlfn.XLOOKUP(expected_production[[#This Row],[Site Name]],Table1[[Site Name ]],Table1[Commisioned Date],"")</f>
        <v>45050</v>
      </c>
      <c r="E1069" s="47">
        <f>IF(ISNUMBER(expected_production[[#This Row],[Commissioned Date]]),MAX(0,(expected_production[[#This Row],[Date]]-expected_production[[#This Row],[Commissioned Date]])/365.25),"")</f>
        <v>2.4969199178644765</v>
      </c>
      <c r="F1069" s="49">
        <f>IF(expected_production[[#This Row],[Age (yrs)]]="",1,(1-DegradationRate)^expected_production[[#This Row],[Age (yrs)]])</f>
        <v>0.9826130276881635</v>
      </c>
      <c r="G1069" s="52">
        <f>IF(expected_production[[#This Row],[Base Expected (kWh)]]="","",expected_production[[#This Row],[Base Expected (kWh)]]*expected_production[[#This Row],[Degradation Factor]])</f>
        <v>15076.446211554385</v>
      </c>
    </row>
    <row r="1070" spans="1:7" ht="15" hidden="1" customHeight="1" x14ac:dyDescent="0.3">
      <c r="A1070" t="s">
        <v>236</v>
      </c>
      <c r="B1070" s="2">
        <v>45992</v>
      </c>
      <c r="C1070" s="52" cm="1">
        <f t="array" ref="C1070">IFERROR(INDEX('Expected Production'!$C$2:$N$79,MATCH($A1070,'Expected Production'!$A$2:$A$79,0),MONTH($B1070)),"")</f>
        <v>16261.638305056289</v>
      </c>
      <c r="D1070" s="48">
        <f>_xlfn.XLOOKUP(expected_production[[#This Row],[Site Name]],Table1[[Site Name ]],Table1[Commisioned Date],"")</f>
        <v>45050</v>
      </c>
      <c r="E1070" s="47">
        <f>IF(ISNUMBER(expected_production[[#This Row],[Commissioned Date]]),MAX(0,(expected_production[[#This Row],[Date]]-expected_production[[#This Row],[Commissioned Date]])/365.25),"")</f>
        <v>2.5790554414784395</v>
      </c>
      <c r="F1070" s="49">
        <f>IF(expected_production[[#This Row],[Age (yrs)]]="",1,(1-DegradationRate)^expected_production[[#This Row],[Age (yrs)]])</f>
        <v>0.98204625255292033</v>
      </c>
      <c r="G1070" s="52">
        <f>IF(expected_production[[#This Row],[Base Expected (kWh)]]="","",expected_production[[#This Row],[Base Expected (kWh)]]*expected_production[[#This Row],[Degradation Factor]])</f>
        <v>15969.680957851551</v>
      </c>
    </row>
    <row r="1071" spans="1:7" ht="15" hidden="1" customHeight="1" x14ac:dyDescent="0.3">
      <c r="A1071" t="s">
        <v>236</v>
      </c>
      <c r="B1071" s="2">
        <v>46023</v>
      </c>
      <c r="C1071" s="52" cm="1">
        <f t="array" ref="C1071">IFERROR(INDEX('Expected Production'!$C$2:$N$79,MATCH($A1071,'Expected Production'!$A$2:$A$79,0),MONTH($B1071)),"")</f>
        <v>16602.939455286778</v>
      </c>
      <c r="D1071" s="48">
        <f>_xlfn.XLOOKUP(expected_production[[#This Row],[Site Name]],Table1[[Site Name ]],Table1[Commisioned Date],"")</f>
        <v>45050</v>
      </c>
      <c r="E1071" s="47">
        <f>IF(ISNUMBER(expected_production[[#This Row],[Commissioned Date]]),MAX(0,(expected_production[[#This Row],[Date]]-expected_production[[#This Row],[Commissioned Date]])/365.25),"")</f>
        <v>2.6639288158795345</v>
      </c>
      <c r="F1071" s="49">
        <f>IF(expected_production[[#This Row],[Age (yrs)]]="",1,(1-DegradationRate)^expected_production[[#This Row],[Age (yrs)]])</f>
        <v>0.98146092835666854</v>
      </c>
      <c r="G1071" s="52">
        <f>IF(expected_production[[#This Row],[Base Expected (kWh)]]="","",expected_production[[#This Row],[Base Expected (kWh)]]*expected_production[[#This Row],[Degradation Factor]])</f>
        <v>16295.136371235321</v>
      </c>
    </row>
    <row r="1072" spans="1:7" ht="15" hidden="1" customHeight="1" x14ac:dyDescent="0.3">
      <c r="A1072" t="s">
        <v>236</v>
      </c>
      <c r="B1072" s="2">
        <v>46054</v>
      </c>
      <c r="C1072" s="52" cm="1">
        <f t="array" ref="C1072">IFERROR(INDEX('Expected Production'!$C$2:$N$79,MATCH($A1072,'Expected Production'!$A$2:$A$79,0),MONTH($B1072)),"")</f>
        <v>14966.051031447027</v>
      </c>
      <c r="D1072" s="48">
        <f>_xlfn.XLOOKUP(expected_production[[#This Row],[Site Name]],Table1[[Site Name ]],Table1[Commisioned Date],"")</f>
        <v>45050</v>
      </c>
      <c r="E1072" s="47">
        <f>IF(ISNUMBER(expected_production[[#This Row],[Commissioned Date]]),MAX(0,(expected_production[[#This Row],[Date]]-expected_production[[#This Row],[Commissioned Date]])/365.25),"")</f>
        <v>2.7488021902806299</v>
      </c>
      <c r="F1072" s="49">
        <f>IF(expected_production[[#This Row],[Age (yrs)]]="",1,(1-DegradationRate)^expected_production[[#This Row],[Age (yrs)]])</f>
        <v>0.98087595302831754</v>
      </c>
      <c r="G1072" s="52">
        <f>IF(expected_production[[#This Row],[Base Expected (kWh)]]="","",expected_production[[#This Row],[Base Expected (kWh)]]*expected_production[[#This Row],[Degradation Factor]])</f>
        <v>14679.839568541038</v>
      </c>
    </row>
    <row r="1073" spans="1:7" ht="15" hidden="1" customHeight="1" x14ac:dyDescent="0.3">
      <c r="A1073" t="s">
        <v>236</v>
      </c>
      <c r="B1073" s="2">
        <v>46082</v>
      </c>
      <c r="C1073" s="52" cm="1">
        <f t="array" ref="C1073">IFERROR(INDEX('Expected Production'!$C$2:$N$79,MATCH($A1073,'Expected Production'!$A$2:$A$79,0),MONTH($B1073)),"")</f>
        <v>16335.485545927229</v>
      </c>
      <c r="D1073" s="48">
        <f>_xlfn.XLOOKUP(expected_production[[#This Row],[Site Name]],Table1[[Site Name ]],Table1[Commisioned Date],"")</f>
        <v>45050</v>
      </c>
      <c r="E1073" s="47">
        <f>IF(ISNUMBER(expected_production[[#This Row],[Commissioned Date]]),MAX(0,(expected_production[[#This Row],[Date]]-expected_production[[#This Row],[Commissioned Date]])/365.25),"")</f>
        <v>2.8254620123203287</v>
      </c>
      <c r="F1073" s="49">
        <f>IF(expected_production[[#This Row],[Age (yrs)]]="",1,(1-DegradationRate)^expected_production[[#This Row],[Age (yrs)]])</f>
        <v>0.9803478879020554</v>
      </c>
      <c r="G1073" s="52">
        <f>IF(expected_production[[#This Row],[Base Expected (kWh)]]="","",expected_production[[#This Row],[Base Expected (kWh)]]*expected_production[[#This Row],[Degradation Factor]])</f>
        <v>16014.458752804314</v>
      </c>
    </row>
    <row r="1074" spans="1:7" ht="15" hidden="1" customHeight="1" x14ac:dyDescent="0.3">
      <c r="A1074" t="s">
        <v>236</v>
      </c>
      <c r="B1074" s="2">
        <v>46113</v>
      </c>
      <c r="C1074" s="52" cm="1">
        <f t="array" ref="C1074">IFERROR(INDEX('Expected Production'!$C$2:$N$79,MATCH($A1074,'Expected Production'!$A$2:$A$79,0),MONTH($B1074)),"")</f>
        <v>15100.35078692115</v>
      </c>
      <c r="D1074" s="48">
        <f>_xlfn.XLOOKUP(expected_production[[#This Row],[Site Name]],Table1[[Site Name ]],Table1[Commisioned Date],"")</f>
        <v>45050</v>
      </c>
      <c r="E1074" s="47">
        <f>IF(ISNUMBER(expected_production[[#This Row],[Commissioned Date]]),MAX(0,(expected_production[[#This Row],[Date]]-expected_production[[#This Row],[Commissioned Date]])/365.25),"")</f>
        <v>2.9103353867214237</v>
      </c>
      <c r="F1074" s="49">
        <f>IF(expected_production[[#This Row],[Age (yrs)]]="",1,(1-DegradationRate)^expected_production[[#This Row],[Age (yrs)]])</f>
        <v>0.97976357597373054</v>
      </c>
      <c r="G1074" s="52">
        <f>IF(expected_production[[#This Row],[Base Expected (kWh)]]="","",expected_production[[#This Row],[Base Expected (kWh)]]*expected_production[[#This Row],[Degradation Factor]])</f>
        <v>14794.773685451602</v>
      </c>
    </row>
    <row r="1075" spans="1:7" ht="15" hidden="1" customHeight="1" x14ac:dyDescent="0.3">
      <c r="A1075" t="s">
        <v>236</v>
      </c>
      <c r="B1075" s="2">
        <v>46143</v>
      </c>
      <c r="C1075" s="52" cm="1">
        <f t="array" ref="C1075">IFERROR(INDEX('Expected Production'!$C$2:$N$79,MATCH($A1075,'Expected Production'!$A$2:$A$79,0),MONTH($B1075)),"")</f>
        <v>15271.045423635958</v>
      </c>
      <c r="D1075" s="48">
        <f>_xlfn.XLOOKUP(expected_production[[#This Row],[Site Name]],Table1[[Site Name ]],Table1[Commisioned Date],"")</f>
        <v>45050</v>
      </c>
      <c r="E1075" s="47">
        <f>IF(ISNUMBER(expected_production[[#This Row],[Commissioned Date]]),MAX(0,(expected_production[[#This Row],[Date]]-expected_production[[#This Row],[Commissioned Date]])/365.25),"")</f>
        <v>2.9924709103353866</v>
      </c>
      <c r="F1075" s="49">
        <f>IF(expected_production[[#This Row],[Age (yrs)]]="",1,(1-DegradationRate)^expected_production[[#This Row],[Age (yrs)]])</f>
        <v>0.97919844441366433</v>
      </c>
      <c r="G1075" s="52">
        <f>IF(expected_production[[#This Row],[Base Expected (kWh)]]="","",expected_production[[#This Row],[Base Expected (kWh)]]*expected_production[[#This Row],[Degradation Factor]])</f>
        <v>14953.383923394738</v>
      </c>
    </row>
    <row r="1076" spans="1:7" ht="15" hidden="1" customHeight="1" x14ac:dyDescent="0.3">
      <c r="A1076" t="s">
        <v>236</v>
      </c>
      <c r="B1076" s="2">
        <v>46174</v>
      </c>
      <c r="C1076" s="52" cm="1">
        <f t="array" ref="C1076">IFERROR(INDEX('Expected Production'!$C$2:$N$79,MATCH($A1076,'Expected Production'!$A$2:$A$79,0),MONTH($B1076)),"")</f>
        <v>14168.00734012575</v>
      </c>
      <c r="D1076" s="48">
        <f>_xlfn.XLOOKUP(expected_production[[#This Row],[Site Name]],Table1[[Site Name ]],Table1[Commisioned Date],"")</f>
        <v>45050</v>
      </c>
      <c r="E1076" s="47">
        <f>IF(ISNUMBER(expected_production[[#This Row],[Commissioned Date]]),MAX(0,(expected_production[[#This Row],[Date]]-expected_production[[#This Row],[Commissioned Date]])/365.25),"")</f>
        <v>3.077344284736482</v>
      </c>
      <c r="F1076" s="49">
        <f>IF(expected_production[[#This Row],[Age (yrs)]]="",1,(1-DegradationRate)^expected_production[[#This Row],[Age (yrs)]])</f>
        <v>0.97861481758248647</v>
      </c>
      <c r="G1076" s="52">
        <f>IF(expected_production[[#This Row],[Base Expected (kWh)]]="","",expected_production[[#This Row],[Base Expected (kWh)]]*expected_production[[#This Row],[Degradation Factor]])</f>
        <v>13865.02191866449</v>
      </c>
    </row>
    <row r="1077" spans="1:7" ht="15" hidden="1" customHeight="1" x14ac:dyDescent="0.3">
      <c r="A1077" t="s">
        <v>236</v>
      </c>
      <c r="B1077" s="2">
        <v>46204</v>
      </c>
      <c r="C1077" s="52" cm="1">
        <f t="array" ref="C1077">IFERROR(INDEX('Expected Production'!$C$2:$N$79,MATCH($A1077,'Expected Production'!$A$2:$A$79,0),MONTH($B1077)),"")</f>
        <v>15171.289962220802</v>
      </c>
      <c r="D1077" s="48">
        <f>_xlfn.XLOOKUP(expected_production[[#This Row],[Site Name]],Table1[[Site Name ]],Table1[Commisioned Date],"")</f>
        <v>45050</v>
      </c>
      <c r="E1077" s="47">
        <f>IF(ISNUMBER(expected_production[[#This Row],[Commissioned Date]]),MAX(0,(expected_production[[#This Row],[Date]]-expected_production[[#This Row],[Commissioned Date]])/365.25),"")</f>
        <v>3.159479808350445</v>
      </c>
      <c r="F1077" s="49">
        <f>IF(expected_production[[#This Row],[Age (yrs)]]="",1,(1-DegradationRate)^expected_production[[#This Row],[Age (yrs)]])</f>
        <v>0.97805034863086748</v>
      </c>
      <c r="G1077" s="52">
        <f>IF(expected_production[[#This Row],[Base Expected (kWh)]]="","",expected_production[[#This Row],[Base Expected (kWh)]]*expected_production[[#This Row],[Degradation Factor]])</f>
        <v>14838.285436730037</v>
      </c>
    </row>
    <row r="1078" spans="1:7" ht="15" hidden="1" customHeight="1" x14ac:dyDescent="0.3">
      <c r="A1078" t="s">
        <v>236</v>
      </c>
      <c r="B1078" s="2">
        <v>46235</v>
      </c>
      <c r="C1078" s="52" cm="1">
        <f t="array" ref="C1078">IFERROR(INDEX('Expected Production'!$C$2:$N$79,MATCH($A1078,'Expected Production'!$A$2:$A$79,0),MONTH($B1078)),"")</f>
        <v>16365.447433631431</v>
      </c>
      <c r="D1078" s="48">
        <f>_xlfn.XLOOKUP(expected_production[[#This Row],[Site Name]],Table1[[Site Name ]],Table1[Commisioned Date],"")</f>
        <v>45050</v>
      </c>
      <c r="E1078" s="47">
        <f>IF(ISNUMBER(expected_production[[#This Row],[Commissioned Date]]),MAX(0,(expected_production[[#This Row],[Date]]-expected_production[[#This Row],[Commissioned Date]])/365.25),"")</f>
        <v>3.2443531827515399</v>
      </c>
      <c r="F1078" s="49">
        <f>IF(expected_production[[#This Row],[Age (yrs)]]="",1,(1-DegradationRate)^expected_production[[#This Row],[Age (yrs)]])</f>
        <v>0.97746740609357052</v>
      </c>
      <c r="G1078" s="52">
        <f>IF(expected_production[[#This Row],[Base Expected (kWh)]]="","",expected_production[[#This Row],[Base Expected (kWh)]]*expected_production[[#This Row],[Degradation Factor]])</f>
        <v>15996.691452512396</v>
      </c>
    </row>
    <row r="1079" spans="1:7" ht="15" hidden="1" customHeight="1" x14ac:dyDescent="0.3">
      <c r="A1079" t="s">
        <v>236</v>
      </c>
      <c r="B1079" s="2">
        <v>46266</v>
      </c>
      <c r="C1079" s="52" cm="1">
        <f t="array" ref="C1079">IFERROR(INDEX('Expected Production'!$C$2:$N$79,MATCH($A1079,'Expected Production'!$A$2:$A$79,0),MONTH($B1079)),"")</f>
        <v>16283.93347443618</v>
      </c>
      <c r="D1079" s="48">
        <f>_xlfn.XLOOKUP(expected_production[[#This Row],[Site Name]],Table1[[Site Name ]],Table1[Commisioned Date],"")</f>
        <v>45050</v>
      </c>
      <c r="E1079" s="47">
        <f>IF(ISNUMBER(expected_production[[#This Row],[Commissioned Date]]),MAX(0,(expected_production[[#This Row],[Date]]-expected_production[[#This Row],[Commissioned Date]])/365.25),"")</f>
        <v>3.3292265571526354</v>
      </c>
      <c r="F1079" s="49">
        <f>IF(expected_production[[#This Row],[Age (yrs)]]="",1,(1-DegradationRate)^expected_production[[#This Row],[Age (yrs)]])</f>
        <v>0.97688481100464597</v>
      </c>
      <c r="G1079" s="52">
        <f>IF(expected_production[[#This Row],[Base Expected (kWh)]]="","",expected_production[[#This Row],[Base Expected (kWh)]]*expected_production[[#This Row],[Degradation Factor]])</f>
        <v>15907.527274586817</v>
      </c>
    </row>
    <row r="1080" spans="1:7" ht="15" hidden="1" customHeight="1" x14ac:dyDescent="0.3">
      <c r="A1080" t="s">
        <v>236</v>
      </c>
      <c r="B1080" s="2">
        <v>46296</v>
      </c>
      <c r="C1080" s="52" cm="1">
        <f t="array" ref="C1080">IFERROR(INDEX('Expected Production'!$C$2:$N$79,MATCH($A1080,'Expected Production'!$A$2:$A$79,0),MONTH($B1080)),"")</f>
        <v>15891.080252714639</v>
      </c>
      <c r="D1080" s="48">
        <f>_xlfn.XLOOKUP(expected_production[[#This Row],[Site Name]],Table1[[Site Name ]],Table1[Commisioned Date],"")</f>
        <v>45050</v>
      </c>
      <c r="E1080" s="47">
        <f>IF(ISNUMBER(expected_production[[#This Row],[Commissioned Date]]),MAX(0,(expected_production[[#This Row],[Date]]-expected_production[[#This Row],[Commissioned Date]])/365.25),"")</f>
        <v>3.4113620807665983</v>
      </c>
      <c r="F1080" s="49">
        <f>IF(expected_production[[#This Row],[Age (yrs)]]="",1,(1-DegradationRate)^expected_production[[#This Row],[Age (yrs)]])</f>
        <v>0.97632133992775949</v>
      </c>
      <c r="G1080" s="52">
        <f>IF(expected_production[[#This Row],[Base Expected (kWh)]]="","",expected_production[[#This Row],[Base Expected (kWh)]]*expected_production[[#This Row],[Degradation Factor]])</f>
        <v>15514.800765229915</v>
      </c>
    </row>
    <row r="1081" spans="1:7" ht="15" hidden="1" customHeight="1" x14ac:dyDescent="0.3">
      <c r="A1081" t="s">
        <v>236</v>
      </c>
      <c r="B1081" s="2">
        <v>46327</v>
      </c>
      <c r="C1081" s="52" cm="1">
        <f t="array" ref="C1081">IFERROR(INDEX('Expected Production'!$C$2:$N$79,MATCH($A1081,'Expected Production'!$A$2:$A$79,0),MONTH($B1081)),"")</f>
        <v>15343.218323723426</v>
      </c>
      <c r="D1081" s="48">
        <f>_xlfn.XLOOKUP(expected_production[[#This Row],[Site Name]],Table1[[Site Name ]],Table1[Commisioned Date],"")</f>
        <v>45050</v>
      </c>
      <c r="E1081" s="47">
        <f>IF(ISNUMBER(expected_production[[#This Row],[Commissioned Date]]),MAX(0,(expected_production[[#This Row],[Date]]-expected_production[[#This Row],[Commissioned Date]])/365.25),"")</f>
        <v>3.4962354551676933</v>
      </c>
      <c r="F1081" s="49">
        <f>IF(expected_production[[#This Row],[Age (yrs)]]="",1,(1-DegradationRate)^expected_production[[#This Row],[Age (yrs)]])</f>
        <v>0.97573942792301316</v>
      </c>
      <c r="G1081" s="52">
        <f>IF(expected_production[[#This Row],[Base Expected (kWh)]]="","",expected_production[[#This Row],[Base Expected (kWh)]]*expected_production[[#This Row],[Degradation Factor]])</f>
        <v>14970.983069687789</v>
      </c>
    </row>
    <row r="1082" spans="1:7" ht="15" hidden="1" customHeight="1" x14ac:dyDescent="0.3">
      <c r="A1082" t="s">
        <v>236</v>
      </c>
      <c r="B1082" s="2">
        <v>46357</v>
      </c>
      <c r="C1082" s="52" cm="1">
        <f t="array" ref="C1082">IFERROR(INDEX('Expected Production'!$C$2:$N$79,MATCH($A1082,'Expected Production'!$A$2:$A$79,0),MONTH($B1082)),"")</f>
        <v>16261.638305056289</v>
      </c>
      <c r="D1082" s="48">
        <f>_xlfn.XLOOKUP(expected_production[[#This Row],[Site Name]],Table1[[Site Name ]],Table1[Commisioned Date],"")</f>
        <v>45050</v>
      </c>
      <c r="E1082" s="47">
        <f>IF(ISNUMBER(expected_production[[#This Row],[Commissioned Date]]),MAX(0,(expected_production[[#This Row],[Date]]-expected_production[[#This Row],[Commissioned Date]])/365.25),"")</f>
        <v>3.5783709787816562</v>
      </c>
      <c r="F1082" s="49">
        <f>IF(expected_production[[#This Row],[Age (yrs)]]="",1,(1-DegradationRate)^expected_production[[#This Row],[Age (yrs)]])</f>
        <v>0.97517661750768181</v>
      </c>
      <c r="G1082" s="52">
        <f>IF(expected_production[[#This Row],[Base Expected (kWh)]]="","",expected_production[[#This Row],[Base Expected (kWh)]]*expected_production[[#This Row],[Degradation Factor]])</f>
        <v>15857.969437458143</v>
      </c>
    </row>
    <row r="1083" spans="1:7" ht="15" hidden="1" customHeight="1" x14ac:dyDescent="0.3">
      <c r="A1083" t="s">
        <v>122</v>
      </c>
      <c r="B1083" s="2">
        <v>45292</v>
      </c>
      <c r="C1083" s="52">
        <v>22241.7</v>
      </c>
      <c r="D1083" s="48">
        <f>_xlfn.XLOOKUP(expected_production[[#This Row],[Site Name]],Table1[[Site Name ]],Table1[Commisioned Date],"")</f>
        <v>44879</v>
      </c>
      <c r="E1083" s="47">
        <f>IF(ISNUMBER(expected_production[[#This Row],[Commissioned Date]]),MAX(0,(expected_production[[#This Row],[Date]]-expected_production[[#This Row],[Commissioned Date]])/365.25),"")</f>
        <v>1.1307323750855578</v>
      </c>
      <c r="F1083" s="49">
        <f>IF(expected_production[[#This Row],[Age (yrs)]]="",1,(1-DegradationRate)^expected_production[[#This Row],[Age (yrs)]])</f>
        <v>0.99208850241589208</v>
      </c>
      <c r="G1083" s="52">
        <f>IF(expected_production[[#This Row],[Base Expected (kWh)]]="","",expected_production[[#This Row],[Base Expected (kWh)]]*expected_production[[#This Row],[Degradation Factor]])</f>
        <v>22065.734844183549</v>
      </c>
    </row>
    <row r="1084" spans="1:7" ht="15" hidden="1" customHeight="1" x14ac:dyDescent="0.3">
      <c r="A1084" t="s">
        <v>122</v>
      </c>
      <c r="B1084" s="2">
        <v>45323</v>
      </c>
      <c r="C1084" s="52">
        <v>19450.8</v>
      </c>
      <c r="D1084" s="48">
        <f>_xlfn.XLOOKUP(expected_production[[#This Row],[Site Name]],Table1[[Site Name ]],Table1[Commisioned Date],"")</f>
        <v>44879</v>
      </c>
      <c r="E1084" s="47">
        <f>IF(ISNUMBER(expected_production[[#This Row],[Commissioned Date]]),MAX(0,(expected_production[[#This Row],[Date]]-expected_production[[#This Row],[Commissioned Date]])/365.25),"")</f>
        <v>1.215605749486653</v>
      </c>
      <c r="F1084" s="49">
        <f>IF(expected_production[[#This Row],[Age (yrs)]]="",1,(1-DegradationRate)^expected_production[[#This Row],[Age (yrs)]])</f>
        <v>0.99149719278686221</v>
      </c>
      <c r="G1084" s="52">
        <f>IF(expected_production[[#This Row],[Base Expected (kWh)]]="","",expected_production[[#This Row],[Base Expected (kWh)]]*expected_production[[#This Row],[Degradation Factor]])</f>
        <v>19285.413597458697</v>
      </c>
    </row>
    <row r="1085" spans="1:7" ht="15" hidden="1" customHeight="1" x14ac:dyDescent="0.3">
      <c r="A1085" t="s">
        <v>122</v>
      </c>
      <c r="B1085" s="2">
        <v>45352</v>
      </c>
      <c r="C1085" s="52">
        <v>19575</v>
      </c>
      <c r="D1085" s="48">
        <f>_xlfn.XLOOKUP(expected_production[[#This Row],[Site Name]],Table1[[Site Name ]],Table1[Commisioned Date],"")</f>
        <v>44879</v>
      </c>
      <c r="E1085" s="47">
        <f>IF(ISNUMBER(expected_production[[#This Row],[Commissioned Date]]),MAX(0,(expected_production[[#This Row],[Date]]-expected_production[[#This Row],[Commissioned Date]])/365.25),"")</f>
        <v>1.2950034223134839</v>
      </c>
      <c r="F1085" s="49">
        <f>IF(expected_production[[#This Row],[Age (yrs)]]="",1,(1-DegradationRate)^expected_production[[#This Row],[Age (yrs)]])</f>
        <v>0.99094435123244384</v>
      </c>
      <c r="G1085" s="52">
        <f>IF(expected_production[[#This Row],[Base Expected (kWh)]]="","",expected_production[[#This Row],[Base Expected (kWh)]]*expected_production[[#This Row],[Degradation Factor]])</f>
        <v>19397.735675375086</v>
      </c>
    </row>
    <row r="1086" spans="1:7" ht="15" hidden="1" customHeight="1" x14ac:dyDescent="0.3">
      <c r="A1086" t="s">
        <v>122</v>
      </c>
      <c r="B1086" s="2">
        <v>45383</v>
      </c>
      <c r="C1086" s="52">
        <v>15792.3</v>
      </c>
      <c r="D1086" s="48">
        <f>_xlfn.XLOOKUP(expected_production[[#This Row],[Site Name]],Table1[[Site Name ]],Table1[Commisioned Date],"")</f>
        <v>44879</v>
      </c>
      <c r="E1086" s="47">
        <f>IF(ISNUMBER(expected_production[[#This Row],[Commissioned Date]]),MAX(0,(expected_production[[#This Row],[Date]]-expected_production[[#This Row],[Commissioned Date]])/365.25),"")</f>
        <v>1.3798767967145791</v>
      </c>
      <c r="F1086" s="49">
        <f>IF(expected_production[[#This Row],[Age (yrs)]]="",1,(1-DegradationRate)^expected_production[[#This Row],[Age (yrs)]])</f>
        <v>0.99035372354621454</v>
      </c>
      <c r="G1086" s="52">
        <f>IF(expected_production[[#This Row],[Base Expected (kWh)]]="","",expected_production[[#This Row],[Base Expected (kWh)]]*expected_production[[#This Row],[Degradation Factor]])</f>
        <v>15639.963108358883</v>
      </c>
    </row>
    <row r="1087" spans="1:7" ht="15" hidden="1" customHeight="1" x14ac:dyDescent="0.3">
      <c r="A1087" t="s">
        <v>122</v>
      </c>
      <c r="B1087" s="2">
        <v>45413</v>
      </c>
      <c r="C1087" s="52">
        <v>13477.5</v>
      </c>
      <c r="D1087" s="48">
        <f>_xlfn.XLOOKUP(expected_production[[#This Row],[Site Name]],Table1[[Site Name ]],Table1[Commisioned Date],"")</f>
        <v>44879</v>
      </c>
      <c r="E1087" s="47">
        <f>IF(ISNUMBER(expected_production[[#This Row],[Commissioned Date]]),MAX(0,(expected_production[[#This Row],[Date]]-expected_production[[#This Row],[Commissioned Date]])/365.25),"")</f>
        <v>1.462012320328542</v>
      </c>
      <c r="F1087" s="49">
        <f>IF(expected_production[[#This Row],[Age (yrs)]]="",1,(1-DegradationRate)^expected_production[[#This Row],[Age (yrs)]])</f>
        <v>0.98978248354655562</v>
      </c>
      <c r="G1087" s="52">
        <f>IF(expected_production[[#This Row],[Base Expected (kWh)]]="","",expected_production[[#This Row],[Base Expected (kWh)]]*expected_production[[#This Row],[Degradation Factor]])</f>
        <v>13339.793421998704</v>
      </c>
    </row>
    <row r="1088" spans="1:7" ht="15" hidden="1" customHeight="1" x14ac:dyDescent="0.3">
      <c r="A1088" t="s">
        <v>122</v>
      </c>
      <c r="B1088" s="2">
        <v>45444</v>
      </c>
      <c r="C1088" s="52">
        <v>12124.8</v>
      </c>
      <c r="D1088" s="48">
        <f>_xlfn.XLOOKUP(expected_production[[#This Row],[Site Name]],Table1[[Site Name ]],Table1[Commisioned Date],"")</f>
        <v>44879</v>
      </c>
      <c r="E1088" s="47">
        <f>IF(ISNUMBER(expected_production[[#This Row],[Commissioned Date]]),MAX(0,(expected_production[[#This Row],[Date]]-expected_production[[#This Row],[Commissioned Date]])/365.25),"")</f>
        <v>1.5468856947296372</v>
      </c>
      <c r="F1088" s="49">
        <f>IF(expected_production[[#This Row],[Age (yrs)]]="",1,(1-DegradationRate)^expected_production[[#This Row],[Age (yrs)]])</f>
        <v>0.98919254836260684</v>
      </c>
      <c r="G1088" s="52">
        <f>IF(expected_production[[#This Row],[Base Expected (kWh)]]="","",expected_production[[#This Row],[Base Expected (kWh)]]*expected_production[[#This Row],[Degradation Factor]])</f>
        <v>11993.761810386935</v>
      </c>
    </row>
    <row r="1089" spans="1:7" ht="15" hidden="1" customHeight="1" x14ac:dyDescent="0.3">
      <c r="A1089" t="s">
        <v>122</v>
      </c>
      <c r="B1089" s="2">
        <v>45474</v>
      </c>
      <c r="C1089" s="52">
        <v>13099.5</v>
      </c>
      <c r="D1089" s="48">
        <f>_xlfn.XLOOKUP(expected_production[[#This Row],[Site Name]],Table1[[Site Name ]],Table1[Commisioned Date],"")</f>
        <v>44879</v>
      </c>
      <c r="E1089" s="47">
        <f>IF(ISNUMBER(expected_production[[#This Row],[Commissioned Date]]),MAX(0,(expected_production[[#This Row],[Date]]-expected_production[[#This Row],[Commissioned Date]])/365.25),"")</f>
        <v>1.6290212183436004</v>
      </c>
      <c r="F1089" s="49">
        <f>IF(expected_production[[#This Row],[Age (yrs)]]="",1,(1-DegradationRate)^expected_production[[#This Row],[Age (yrs)]])</f>
        <v>0.98862197813345076</v>
      </c>
      <c r="G1089" s="52">
        <f>IF(expected_production[[#This Row],[Base Expected (kWh)]]="","",expected_production[[#This Row],[Base Expected (kWh)]]*expected_production[[#This Row],[Degradation Factor]])</f>
        <v>12950.453602559139</v>
      </c>
    </row>
    <row r="1090" spans="1:7" ht="15" hidden="1" customHeight="1" x14ac:dyDescent="0.3">
      <c r="A1090" t="s">
        <v>122</v>
      </c>
      <c r="B1090" s="2">
        <v>45505</v>
      </c>
      <c r="C1090" s="52">
        <v>15450.3</v>
      </c>
      <c r="D1090" s="48">
        <f>_xlfn.XLOOKUP(expected_production[[#This Row],[Site Name]],Table1[[Site Name ]],Table1[Commisioned Date],"")</f>
        <v>44879</v>
      </c>
      <c r="E1090" s="47">
        <f>IF(ISNUMBER(expected_production[[#This Row],[Commissioned Date]]),MAX(0,(expected_production[[#This Row],[Date]]-expected_production[[#This Row],[Commissioned Date]])/365.25),"")</f>
        <v>1.7138945927446954</v>
      </c>
      <c r="F1090" s="49">
        <f>IF(expected_production[[#This Row],[Age (yrs)]]="",1,(1-DegradationRate)^expected_production[[#This Row],[Age (yrs)]])</f>
        <v>0.98803273463983365</v>
      </c>
      <c r="G1090" s="52">
        <f>IF(expected_production[[#This Row],[Base Expected (kWh)]]="","",expected_production[[#This Row],[Base Expected (kWh)]]*expected_production[[#This Row],[Degradation Factor]])</f>
        <v>15265.40216000582</v>
      </c>
    </row>
    <row r="1091" spans="1:7" ht="15" hidden="1" customHeight="1" x14ac:dyDescent="0.3">
      <c r="A1091" t="s">
        <v>122</v>
      </c>
      <c r="B1091" s="2">
        <v>45536</v>
      </c>
      <c r="C1091" s="52">
        <v>16583.400000000001</v>
      </c>
      <c r="D1091" s="48">
        <f>_xlfn.XLOOKUP(expected_production[[#This Row],[Site Name]],Table1[[Site Name ]],Table1[Commisioned Date],"")</f>
        <v>44879</v>
      </c>
      <c r="E1091" s="47">
        <f>IF(ISNUMBER(expected_production[[#This Row],[Commissioned Date]]),MAX(0,(expected_production[[#This Row],[Date]]-expected_production[[#This Row],[Commissioned Date]])/365.25),"")</f>
        <v>1.7987679671457906</v>
      </c>
      <c r="F1091" s="49">
        <f>IF(expected_production[[#This Row],[Age (yrs)]]="",1,(1-DegradationRate)^expected_production[[#This Row],[Age (yrs)]])</f>
        <v>0.98744384235011706</v>
      </c>
      <c r="G1091" s="52">
        <f>IF(expected_production[[#This Row],[Base Expected (kWh)]]="","",expected_production[[#This Row],[Base Expected (kWh)]]*expected_production[[#This Row],[Degradation Factor]])</f>
        <v>16375.176215228932</v>
      </c>
    </row>
    <row r="1092" spans="1:7" ht="15" hidden="1" customHeight="1" x14ac:dyDescent="0.3">
      <c r="A1092" t="s">
        <v>122</v>
      </c>
      <c r="B1092" s="2">
        <v>45566</v>
      </c>
      <c r="C1092" s="52">
        <v>19432.8</v>
      </c>
      <c r="D1092" s="48">
        <f>_xlfn.XLOOKUP(expected_production[[#This Row],[Site Name]],Table1[[Site Name ]],Table1[Commisioned Date],"")</f>
        <v>44879</v>
      </c>
      <c r="E1092" s="47">
        <f>IF(ISNUMBER(expected_production[[#This Row],[Commissioned Date]]),MAX(0,(expected_production[[#This Row],[Date]]-expected_production[[#This Row],[Commissioned Date]])/365.25),"")</f>
        <v>1.8809034907597535</v>
      </c>
      <c r="F1092" s="49">
        <f>IF(expected_production[[#This Row],[Age (yrs)]]="",1,(1-DegradationRate)^expected_production[[#This Row],[Age (yrs)]])</f>
        <v>0.98687428078160233</v>
      </c>
      <c r="G1092" s="52">
        <f>IF(expected_production[[#This Row],[Base Expected (kWh)]]="","",expected_production[[#This Row],[Base Expected (kWh)]]*expected_production[[#This Row],[Degradation Factor]])</f>
        <v>19177.730523572722</v>
      </c>
    </row>
    <row r="1093" spans="1:7" ht="15" hidden="1" customHeight="1" x14ac:dyDescent="0.3">
      <c r="A1093" t="s">
        <v>122</v>
      </c>
      <c r="B1093" s="2">
        <v>45597</v>
      </c>
      <c r="C1093" s="52">
        <v>20010.599999999999</v>
      </c>
      <c r="D1093" s="48">
        <f>_xlfn.XLOOKUP(expected_production[[#This Row],[Site Name]],Table1[[Site Name ]],Table1[Commisioned Date],"")</f>
        <v>44879</v>
      </c>
      <c r="E1093" s="47">
        <f>IF(ISNUMBER(expected_production[[#This Row],[Commissioned Date]]),MAX(0,(expected_production[[#This Row],[Date]]-expected_production[[#This Row],[Commissioned Date]])/365.25),"")</f>
        <v>1.9657768651608487</v>
      </c>
      <c r="F1093" s="49">
        <f>IF(expected_production[[#This Row],[Age (yrs)]]="",1,(1-DegradationRate)^expected_production[[#This Row],[Age (yrs)]])</f>
        <v>0.98628607895943921</v>
      </c>
      <c r="G1093" s="52">
        <f>IF(expected_production[[#This Row],[Base Expected (kWh)]]="","",expected_production[[#This Row],[Base Expected (kWh)]]*expected_production[[#This Row],[Degradation Factor]])</f>
        <v>19736.176211625752</v>
      </c>
    </row>
    <row r="1094" spans="1:7" ht="15" hidden="1" customHeight="1" x14ac:dyDescent="0.3">
      <c r="A1094" t="s">
        <v>122</v>
      </c>
      <c r="B1094" s="2">
        <v>45627</v>
      </c>
      <c r="C1094" s="52">
        <v>22485.599999999999</v>
      </c>
      <c r="D1094" s="48">
        <f>_xlfn.XLOOKUP(expected_production[[#This Row],[Site Name]],Table1[[Site Name ]],Table1[Commisioned Date],"")</f>
        <v>44879</v>
      </c>
      <c r="E1094" s="47">
        <f>IF(ISNUMBER(expected_production[[#This Row],[Commissioned Date]]),MAX(0,(expected_production[[#This Row],[Date]]-expected_production[[#This Row],[Commissioned Date]])/365.25),"")</f>
        <v>2.0479123887748116</v>
      </c>
      <c r="F1094" s="49">
        <f>IF(expected_production[[#This Row],[Age (yrs)]]="",1,(1-DegradationRate)^expected_production[[#This Row],[Age (yrs)]])</f>
        <v>0.98571718519349161</v>
      </c>
      <c r="G1094" s="52">
        <f>IF(expected_production[[#This Row],[Base Expected (kWh)]]="","",expected_production[[#This Row],[Base Expected (kWh)]]*expected_production[[#This Row],[Degradation Factor]])</f>
        <v>22164.442339386773</v>
      </c>
    </row>
    <row r="1095" spans="1:7" ht="15" hidden="1" customHeight="1" x14ac:dyDescent="0.3">
      <c r="A1095" t="s">
        <v>122</v>
      </c>
      <c r="B1095" s="2">
        <v>45658</v>
      </c>
      <c r="C1095" s="52">
        <v>22241.7</v>
      </c>
      <c r="D1095" s="48">
        <f>_xlfn.XLOOKUP(expected_production[[#This Row],[Site Name]],Table1[[Site Name ]],Table1[Commisioned Date],"")</f>
        <v>44879</v>
      </c>
      <c r="E1095" s="47">
        <f>IF(ISNUMBER(expected_production[[#This Row],[Commissioned Date]]),MAX(0,(expected_production[[#This Row],[Date]]-expected_production[[#This Row],[Commissioned Date]])/365.25),"")</f>
        <v>2.1327857631759071</v>
      </c>
      <c r="F1095" s="49">
        <f>IF(expected_production[[#This Row],[Age (yrs)]]="",1,(1-DegradationRate)^expected_production[[#This Row],[Age (yrs)]])</f>
        <v>0.98512967302931898</v>
      </c>
      <c r="G1095" s="52">
        <f>IF(expected_production[[#This Row],[Base Expected (kWh)]]="","",expected_production[[#This Row],[Base Expected (kWh)]]*expected_production[[#This Row],[Degradation Factor]])</f>
        <v>21910.958648616204</v>
      </c>
    </row>
    <row r="1096" spans="1:7" ht="15" hidden="1" customHeight="1" x14ac:dyDescent="0.3">
      <c r="A1096" t="s">
        <v>122</v>
      </c>
      <c r="B1096" s="2">
        <v>45689</v>
      </c>
      <c r="C1096" s="52">
        <v>19450.8</v>
      </c>
      <c r="D1096" s="48">
        <f>_xlfn.XLOOKUP(expected_production[[#This Row],[Site Name]],Table1[[Site Name ]],Table1[Commisioned Date],"")</f>
        <v>44879</v>
      </c>
      <c r="E1096" s="47">
        <f>IF(ISNUMBER(expected_production[[#This Row],[Commissioned Date]]),MAX(0,(expected_production[[#This Row],[Date]]-expected_production[[#This Row],[Commissioned Date]])/365.25),"")</f>
        <v>2.2176591375770021</v>
      </c>
      <c r="F1096" s="49">
        <f>IF(expected_production[[#This Row],[Age (yrs)]]="",1,(1-DegradationRate)^expected_production[[#This Row],[Age (yrs)]])</f>
        <v>0.98454251103713097</v>
      </c>
      <c r="G1096" s="52">
        <f>IF(expected_production[[#This Row],[Base Expected (kWh)]]="","",expected_production[[#This Row],[Base Expected (kWh)]]*expected_production[[#This Row],[Degradation Factor]])</f>
        <v>19150.139473681025</v>
      </c>
    </row>
    <row r="1097" spans="1:7" ht="15" hidden="1" customHeight="1" x14ac:dyDescent="0.3">
      <c r="A1097" t="s">
        <v>122</v>
      </c>
      <c r="B1097" s="2">
        <v>45717</v>
      </c>
      <c r="C1097" s="52">
        <v>19575</v>
      </c>
      <c r="D1097" s="48">
        <f>_xlfn.XLOOKUP(expected_production[[#This Row],[Site Name]],Table1[[Site Name ]],Table1[Commisioned Date],"")</f>
        <v>44879</v>
      </c>
      <c r="E1097" s="47">
        <f>IF(ISNUMBER(expected_production[[#This Row],[Commissioned Date]]),MAX(0,(expected_production[[#This Row],[Date]]-expected_production[[#This Row],[Commissioned Date]])/365.25),"")</f>
        <v>2.2943189596167008</v>
      </c>
      <c r="F1097" s="49">
        <f>IF(expected_production[[#This Row],[Age (yrs)]]="",1,(1-DegradationRate)^expected_production[[#This Row],[Age (yrs)]])</f>
        <v>0.98401247197990249</v>
      </c>
      <c r="G1097" s="52">
        <f>IF(expected_production[[#This Row],[Base Expected (kWh)]]="","",expected_production[[#This Row],[Base Expected (kWh)]]*expected_production[[#This Row],[Degradation Factor]])</f>
        <v>19262.04413900659</v>
      </c>
    </row>
    <row r="1098" spans="1:7" ht="15" hidden="1" customHeight="1" x14ac:dyDescent="0.3">
      <c r="A1098" t="s">
        <v>122</v>
      </c>
      <c r="B1098" s="2">
        <v>45748</v>
      </c>
      <c r="C1098" s="52">
        <v>15792.3</v>
      </c>
      <c r="D1098" s="48">
        <f>_xlfn.XLOOKUP(expected_production[[#This Row],[Site Name]],Table1[[Site Name ]],Table1[Commisioned Date],"")</f>
        <v>44879</v>
      </c>
      <c r="E1098" s="47">
        <f>IF(ISNUMBER(expected_production[[#This Row],[Commissioned Date]]),MAX(0,(expected_production[[#This Row],[Date]]-expected_production[[#This Row],[Commissioned Date]])/365.25),"")</f>
        <v>2.3791923340177958</v>
      </c>
      <c r="F1098" s="49">
        <f>IF(expected_production[[#This Row],[Age (yrs)]]="",1,(1-DegradationRate)^expected_production[[#This Row],[Age (yrs)]])</f>
        <v>0.98342597586755942</v>
      </c>
      <c r="G1098" s="52">
        <f>IF(expected_production[[#This Row],[Base Expected (kWh)]]="","",expected_production[[#This Row],[Base Expected (kWh)]]*expected_production[[#This Row],[Degradation Factor]])</f>
        <v>15530.558038693258</v>
      </c>
    </row>
    <row r="1099" spans="1:7" ht="15" hidden="1" customHeight="1" x14ac:dyDescent="0.3">
      <c r="A1099" t="s">
        <v>122</v>
      </c>
      <c r="B1099" s="2">
        <v>45778</v>
      </c>
      <c r="C1099" s="52">
        <v>13477.5</v>
      </c>
      <c r="D1099" s="48">
        <f>_xlfn.XLOOKUP(expected_production[[#This Row],[Site Name]],Table1[[Site Name ]],Table1[Commisioned Date],"")</f>
        <v>44879</v>
      </c>
      <c r="E1099" s="47">
        <f>IF(ISNUMBER(expected_production[[#This Row],[Commissioned Date]]),MAX(0,(expected_production[[#This Row],[Date]]-expected_production[[#This Row],[Commissioned Date]])/365.25),"")</f>
        <v>2.4613278576317592</v>
      </c>
      <c r="F1099" s="49">
        <f>IF(expected_production[[#This Row],[Age (yrs)]]="",1,(1-DegradationRate)^expected_production[[#This Row],[Age (yrs)]])</f>
        <v>0.98285873182054595</v>
      </c>
      <c r="G1099" s="52">
        <f>IF(expected_production[[#This Row],[Base Expected (kWh)]]="","",expected_production[[#This Row],[Base Expected (kWh)]]*expected_production[[#This Row],[Degradation Factor]])</f>
        <v>13246.478558111408</v>
      </c>
    </row>
    <row r="1100" spans="1:7" ht="15" hidden="1" customHeight="1" x14ac:dyDescent="0.3">
      <c r="A1100" t="s">
        <v>122</v>
      </c>
      <c r="B1100" s="2">
        <v>45809</v>
      </c>
      <c r="C1100" s="52">
        <v>12124.8</v>
      </c>
      <c r="D1100" s="48">
        <f>_xlfn.XLOOKUP(expected_production[[#This Row],[Site Name]],Table1[[Site Name ]],Table1[Commisioned Date],"")</f>
        <v>44879</v>
      </c>
      <c r="E1100" s="47">
        <f>IF(ISNUMBER(expected_production[[#This Row],[Commissioned Date]]),MAX(0,(expected_production[[#This Row],[Date]]-expected_production[[#This Row],[Commissioned Date]])/365.25),"")</f>
        <v>2.5462012320328542</v>
      </c>
      <c r="F1100" s="49">
        <f>IF(expected_production[[#This Row],[Age (yrs)]]="",1,(1-DegradationRate)^expected_production[[#This Row],[Age (yrs)]])</f>
        <v>0.98227292336627359</v>
      </c>
      <c r="G1100" s="52">
        <f>IF(expected_production[[#This Row],[Base Expected (kWh)]]="","",expected_production[[#This Row],[Base Expected (kWh)]]*expected_production[[#This Row],[Degradation Factor]])</f>
        <v>11909.862741231393</v>
      </c>
    </row>
    <row r="1101" spans="1:7" ht="15" hidden="1" customHeight="1" x14ac:dyDescent="0.3">
      <c r="A1101" t="s">
        <v>122</v>
      </c>
      <c r="B1101" s="2">
        <v>45839</v>
      </c>
      <c r="C1101" s="52">
        <v>13099.5</v>
      </c>
      <c r="D1101" s="48">
        <f>_xlfn.XLOOKUP(expected_production[[#This Row],[Site Name]],Table1[[Site Name ]],Table1[Commisioned Date],"")</f>
        <v>44879</v>
      </c>
      <c r="E1101" s="47">
        <f>IF(ISNUMBER(expected_production[[#This Row],[Commissioned Date]]),MAX(0,(expected_production[[#This Row],[Date]]-expected_production[[#This Row],[Commissioned Date]])/365.25),"")</f>
        <v>2.6283367556468171</v>
      </c>
      <c r="F1101" s="49">
        <f>IF(expected_production[[#This Row],[Age (yrs)]]="",1,(1-DegradationRate)^expected_production[[#This Row],[Age (yrs)]])</f>
        <v>0.98170634440456728</v>
      </c>
      <c r="G1101" s="52">
        <f>IF(expected_production[[#This Row],[Base Expected (kWh)]]="","",expected_production[[#This Row],[Base Expected (kWh)]]*expected_production[[#This Row],[Degradation Factor]])</f>
        <v>12859.86225852763</v>
      </c>
    </row>
    <row r="1102" spans="1:7" ht="15" hidden="1" customHeight="1" x14ac:dyDescent="0.3">
      <c r="A1102" t="s">
        <v>122</v>
      </c>
      <c r="B1102" s="2">
        <v>45870</v>
      </c>
      <c r="C1102" s="52">
        <v>15450.3</v>
      </c>
      <c r="D1102" s="48">
        <f>_xlfn.XLOOKUP(expected_production[[#This Row],[Site Name]],Table1[[Site Name ]],Table1[Commisioned Date],"")</f>
        <v>44879</v>
      </c>
      <c r="E1102" s="47">
        <f>IF(ISNUMBER(expected_production[[#This Row],[Commissioned Date]]),MAX(0,(expected_production[[#This Row],[Date]]-expected_production[[#This Row],[Commissioned Date]])/365.25),"")</f>
        <v>2.7132101300479126</v>
      </c>
      <c r="F1102" s="49">
        <f>IF(expected_production[[#This Row],[Age (yrs)]]="",1,(1-DegradationRate)^expected_production[[#This Row],[Age (yrs)]])</f>
        <v>0.98112122280209679</v>
      </c>
      <c r="G1102" s="52">
        <f>IF(expected_production[[#This Row],[Base Expected (kWh)]]="","",expected_production[[#This Row],[Base Expected (kWh)]]*expected_production[[#This Row],[Degradation Factor]])</f>
        <v>15158.617228659235</v>
      </c>
    </row>
    <row r="1103" spans="1:7" ht="15" hidden="1" customHeight="1" x14ac:dyDescent="0.3">
      <c r="A1103" t="s">
        <v>122</v>
      </c>
      <c r="B1103" s="2">
        <v>45901</v>
      </c>
      <c r="C1103" s="52">
        <v>16583.400000000001</v>
      </c>
      <c r="D1103" s="48">
        <f>_xlfn.XLOOKUP(expected_production[[#This Row],[Site Name]],Table1[[Site Name ]],Table1[Commisioned Date],"")</f>
        <v>44879</v>
      </c>
      <c r="E1103" s="47">
        <f>IF(ISNUMBER(expected_production[[#This Row],[Commissioned Date]]),MAX(0,(expected_production[[#This Row],[Date]]-expected_production[[#This Row],[Commissioned Date]])/365.25),"")</f>
        <v>2.7980835044490076</v>
      </c>
      <c r="F1103" s="49">
        <f>IF(expected_production[[#This Row],[Age (yrs)]]="",1,(1-DegradationRate)^expected_production[[#This Row],[Age (yrs)]])</f>
        <v>0.98053644994677625</v>
      </c>
      <c r="G1103" s="52">
        <f>IF(expected_production[[#This Row],[Base Expected (kWh)]]="","",expected_production[[#This Row],[Base Expected (kWh)]]*expected_production[[#This Row],[Degradation Factor]])</f>
        <v>16260.62816404737</v>
      </c>
    </row>
    <row r="1104" spans="1:7" ht="15" hidden="1" customHeight="1" x14ac:dyDescent="0.3">
      <c r="A1104" t="s">
        <v>122</v>
      </c>
      <c r="B1104" s="2">
        <v>45931</v>
      </c>
      <c r="C1104" s="52">
        <v>19432.8</v>
      </c>
      <c r="D1104" s="48">
        <f>_xlfn.XLOOKUP(expected_production[[#This Row],[Site Name]],Table1[[Site Name ]],Table1[Commisioned Date],"")</f>
        <v>44879</v>
      </c>
      <c r="E1104" s="47">
        <f>IF(ISNUMBER(expected_production[[#This Row],[Commissioned Date]]),MAX(0,(expected_production[[#This Row],[Date]]-expected_production[[#This Row],[Commissioned Date]])/365.25),"")</f>
        <v>2.8802190280629705</v>
      </c>
      <c r="F1104" s="49">
        <f>IF(expected_production[[#This Row],[Age (yrs)]]="",1,(1-DegradationRate)^expected_production[[#This Row],[Age (yrs)]])</f>
        <v>0.97997087258990268</v>
      </c>
      <c r="G1104" s="52">
        <f>IF(expected_production[[#This Row],[Base Expected (kWh)]]="","",expected_production[[#This Row],[Base Expected (kWh)]]*expected_production[[#This Row],[Degradation Factor]])</f>
        <v>19043.57797286506</v>
      </c>
    </row>
    <row r="1105" spans="1:7" ht="15" hidden="1" customHeight="1" x14ac:dyDescent="0.3">
      <c r="A1105" t="s">
        <v>122</v>
      </c>
      <c r="B1105" s="2">
        <v>45962</v>
      </c>
      <c r="C1105" s="52">
        <v>20010.599999999999</v>
      </c>
      <c r="D1105" s="48">
        <f>_xlfn.XLOOKUP(expected_production[[#This Row],[Site Name]],Table1[[Site Name ]],Table1[Commisioned Date],"")</f>
        <v>44879</v>
      </c>
      <c r="E1105" s="47">
        <f>IF(ISNUMBER(expected_production[[#This Row],[Commissioned Date]]),MAX(0,(expected_production[[#This Row],[Date]]-expected_production[[#This Row],[Commissioned Date]])/365.25),"")</f>
        <v>2.9650924024640659</v>
      </c>
      <c r="F1105" s="49">
        <f>IF(expected_production[[#This Row],[Age (yrs)]]="",1,(1-DegradationRate)^expected_production[[#This Row],[Age (yrs)]])</f>
        <v>0.97938678537215929</v>
      </c>
      <c r="G1105" s="52">
        <f>IF(expected_production[[#This Row],[Base Expected (kWh)]]="","",expected_production[[#This Row],[Base Expected (kWh)]]*expected_production[[#This Row],[Degradation Factor]])</f>
        <v>19598.11720736813</v>
      </c>
    </row>
    <row r="1106" spans="1:7" ht="15" hidden="1" customHeight="1" x14ac:dyDescent="0.3">
      <c r="A1106" t="s">
        <v>122</v>
      </c>
      <c r="B1106" s="2">
        <v>45992</v>
      </c>
      <c r="C1106" s="52">
        <v>22485.599999999999</v>
      </c>
      <c r="D1106" s="48">
        <f>_xlfn.XLOOKUP(expected_production[[#This Row],[Site Name]],Table1[[Site Name ]],Table1[Commisioned Date],"")</f>
        <v>44879</v>
      </c>
      <c r="E1106" s="47">
        <f>IF(ISNUMBER(expected_production[[#This Row],[Commissioned Date]]),MAX(0,(expected_production[[#This Row],[Date]]-expected_production[[#This Row],[Commissioned Date]])/365.25),"")</f>
        <v>3.0472279260780288</v>
      </c>
      <c r="F1106" s="49">
        <f>IF(expected_production[[#This Row],[Age (yrs)]]="",1,(1-DegradationRate)^expected_production[[#This Row],[Age (yrs)]])</f>
        <v>0.97882187114642316</v>
      </c>
      <c r="G1106" s="52">
        <f>IF(expected_production[[#This Row],[Base Expected (kWh)]]="","",expected_production[[#This Row],[Base Expected (kWh)]]*expected_production[[#This Row],[Degradation Factor]])</f>
        <v>22009.397065850011</v>
      </c>
    </row>
    <row r="1107" spans="1:7" ht="15" hidden="1" customHeight="1" x14ac:dyDescent="0.3">
      <c r="A1107" t="s">
        <v>122</v>
      </c>
      <c r="B1107" s="2">
        <v>46023</v>
      </c>
      <c r="C1107" s="52">
        <v>22241.7</v>
      </c>
      <c r="D1107" s="48">
        <f>_xlfn.XLOOKUP(expected_production[[#This Row],[Site Name]],Table1[[Site Name ]],Table1[Commisioned Date],"")</f>
        <v>44879</v>
      </c>
      <c r="E1107" s="47">
        <f>IF(ISNUMBER(expected_production[[#This Row],[Commissioned Date]]),MAX(0,(expected_production[[#This Row],[Date]]-expected_production[[#This Row],[Commissioned Date]])/365.25),"")</f>
        <v>3.1321013004791238</v>
      </c>
      <c r="F1107" s="49">
        <f>IF(expected_production[[#This Row],[Age (yrs)]]="",1,(1-DegradationRate)^expected_production[[#This Row],[Age (yrs)]])</f>
        <v>0.97823846876235721</v>
      </c>
      <c r="G1107" s="52">
        <f>IF(expected_production[[#This Row],[Base Expected (kWh)]]="","",expected_production[[#This Row],[Base Expected (kWh)]]*expected_production[[#This Row],[Degradation Factor]])</f>
        <v>21757.686550671722</v>
      </c>
    </row>
    <row r="1108" spans="1:7" ht="15" hidden="1" customHeight="1" x14ac:dyDescent="0.3">
      <c r="A1108" t="s">
        <v>122</v>
      </c>
      <c r="B1108" s="2">
        <v>46054</v>
      </c>
      <c r="C1108" s="52">
        <v>19450.8</v>
      </c>
      <c r="D1108" s="48">
        <f>_xlfn.XLOOKUP(expected_production[[#This Row],[Site Name]],Table1[[Site Name ]],Table1[Commisioned Date],"")</f>
        <v>44879</v>
      </c>
      <c r="E1108" s="47">
        <f>IF(ISNUMBER(expected_production[[#This Row],[Commissioned Date]]),MAX(0,(expected_production[[#This Row],[Date]]-expected_production[[#This Row],[Commissioned Date]])/365.25),"")</f>
        <v>3.2169746748802188</v>
      </c>
      <c r="F1108" s="49">
        <f>IF(expected_production[[#This Row],[Age (yrs)]]="",1,(1-DegradationRate)^expected_production[[#This Row],[Age (yrs)]])</f>
        <v>0.97765541410074375</v>
      </c>
      <c r="G1108" s="52">
        <f>IF(expected_production[[#This Row],[Base Expected (kWh)]]="","",expected_production[[#This Row],[Base Expected (kWh)]]*expected_production[[#This Row],[Degradation Factor]])</f>
        <v>19016.179928590747</v>
      </c>
    </row>
    <row r="1109" spans="1:7" ht="15" hidden="1" customHeight="1" x14ac:dyDescent="0.3">
      <c r="A1109" t="s">
        <v>122</v>
      </c>
      <c r="B1109" s="2">
        <v>46082</v>
      </c>
      <c r="C1109" s="52">
        <v>19575</v>
      </c>
      <c r="D1109" s="48">
        <f>_xlfn.XLOOKUP(expected_production[[#This Row],[Site Name]],Table1[[Site Name ]],Table1[Commisioned Date],"")</f>
        <v>44879</v>
      </c>
      <c r="E1109" s="47">
        <f>IF(ISNUMBER(expected_production[[#This Row],[Commissioned Date]]),MAX(0,(expected_production[[#This Row],[Date]]-expected_production[[#This Row],[Commissioned Date]])/365.25),"")</f>
        <v>3.2936344969199181</v>
      </c>
      <c r="F1109" s="49">
        <f>IF(expected_production[[#This Row],[Age (yrs)]]="",1,(1-DegradationRate)^expected_production[[#This Row],[Age (yrs)]])</f>
        <v>0.97712908278627519</v>
      </c>
      <c r="G1109" s="52">
        <f>IF(expected_production[[#This Row],[Base Expected (kWh)]]="","",expected_production[[#This Row],[Base Expected (kWh)]]*expected_production[[#This Row],[Degradation Factor]])</f>
        <v>19127.301795541338</v>
      </c>
    </row>
    <row r="1110" spans="1:7" ht="15" hidden="1" customHeight="1" x14ac:dyDescent="0.3">
      <c r="A1110" t="s">
        <v>122</v>
      </c>
      <c r="B1110" s="2">
        <v>46113</v>
      </c>
      <c r="C1110" s="52">
        <v>15792.3</v>
      </c>
      <c r="D1110" s="48">
        <f>_xlfn.XLOOKUP(expected_production[[#This Row],[Site Name]],Table1[[Site Name ]],Table1[Commisioned Date],"")</f>
        <v>44879</v>
      </c>
      <c r="E1110" s="47">
        <f>IF(ISNUMBER(expected_production[[#This Row],[Commissioned Date]]),MAX(0,(expected_production[[#This Row],[Date]]-expected_production[[#This Row],[Commissioned Date]])/365.25),"")</f>
        <v>3.378507871321013</v>
      </c>
      <c r="F1110" s="49">
        <f>IF(expected_production[[#This Row],[Age (yrs)]]="",1,(1-DegradationRate)^expected_production[[#This Row],[Age (yrs)]])</f>
        <v>0.976546689346527</v>
      </c>
      <c r="G1110" s="52">
        <f>IF(expected_production[[#This Row],[Base Expected (kWh)]]="","",expected_production[[#This Row],[Base Expected (kWh)]]*expected_production[[#This Row],[Degradation Factor]])</f>
        <v>15421.918282167158</v>
      </c>
    </row>
    <row r="1111" spans="1:7" ht="15" hidden="1" customHeight="1" x14ac:dyDescent="0.3">
      <c r="A1111" t="s">
        <v>122</v>
      </c>
      <c r="B1111" s="2">
        <v>46143</v>
      </c>
      <c r="C1111" s="52">
        <v>13477.5</v>
      </c>
      <c r="D1111" s="48">
        <f>_xlfn.XLOOKUP(expected_production[[#This Row],[Site Name]],Table1[[Site Name ]],Table1[Commisioned Date],"")</f>
        <v>44879</v>
      </c>
      <c r="E1111" s="47">
        <f>IF(ISNUMBER(expected_production[[#This Row],[Commissioned Date]]),MAX(0,(expected_production[[#This Row],[Date]]-expected_production[[#This Row],[Commissioned Date]])/365.25),"")</f>
        <v>3.460643394934976</v>
      </c>
      <c r="F1111" s="49">
        <f>IF(expected_production[[#This Row],[Age (yrs)]]="",1,(1-DegradationRate)^expected_production[[#This Row],[Age (yrs)]])</f>
        <v>0.97598341329956895</v>
      </c>
      <c r="G1111" s="52">
        <f>IF(expected_production[[#This Row],[Base Expected (kWh)]]="","",expected_production[[#This Row],[Base Expected (kWh)]]*expected_production[[#This Row],[Degradation Factor]])</f>
        <v>13153.816452744941</v>
      </c>
    </row>
    <row r="1112" spans="1:7" ht="15" hidden="1" customHeight="1" x14ac:dyDescent="0.3">
      <c r="A1112" t="s">
        <v>122</v>
      </c>
      <c r="B1112" s="2">
        <v>46174</v>
      </c>
      <c r="C1112" s="52">
        <v>12124.8</v>
      </c>
      <c r="D1112" s="48">
        <f>_xlfn.XLOOKUP(expected_production[[#This Row],[Site Name]],Table1[[Site Name ]],Table1[Commisioned Date],"")</f>
        <v>44879</v>
      </c>
      <c r="E1112" s="47">
        <f>IF(ISNUMBER(expected_production[[#This Row],[Commissioned Date]]),MAX(0,(expected_production[[#This Row],[Date]]-expected_production[[#This Row],[Commissioned Date]])/365.25),"")</f>
        <v>3.5455167693360714</v>
      </c>
      <c r="F1112" s="49">
        <f>IF(expected_production[[#This Row],[Age (yrs)]]="",1,(1-DegradationRate)^expected_production[[#This Row],[Age (yrs)]])</f>
        <v>0.97540170270756821</v>
      </c>
      <c r="G1112" s="52">
        <f>IF(expected_production[[#This Row],[Base Expected (kWh)]]="","",expected_production[[#This Row],[Base Expected (kWh)]]*expected_production[[#This Row],[Degradation Factor]])</f>
        <v>11826.550564988722</v>
      </c>
    </row>
    <row r="1113" spans="1:7" ht="15" hidden="1" customHeight="1" x14ac:dyDescent="0.3">
      <c r="A1113" t="s">
        <v>122</v>
      </c>
      <c r="B1113" s="2">
        <v>46204</v>
      </c>
      <c r="C1113" s="52">
        <v>13099.5</v>
      </c>
      <c r="D1113" s="48">
        <f>_xlfn.XLOOKUP(expected_production[[#This Row],[Site Name]],Table1[[Site Name ]],Table1[Commisioned Date],"")</f>
        <v>44879</v>
      </c>
      <c r="E1113" s="47">
        <f>IF(ISNUMBER(expected_production[[#This Row],[Commissioned Date]]),MAX(0,(expected_production[[#This Row],[Date]]-expected_production[[#This Row],[Commissioned Date]])/365.25),"")</f>
        <v>3.6276522929500343</v>
      </c>
      <c r="F1113" s="49">
        <f>IF(expected_production[[#This Row],[Age (yrs)]]="",1,(1-DegradationRate)^expected_production[[#This Row],[Age (yrs)]])</f>
        <v>0.97483908709349565</v>
      </c>
      <c r="G1113" s="52">
        <f>IF(expected_production[[#This Row],[Base Expected (kWh)]]="","",expected_production[[#This Row],[Base Expected (kWh)]]*expected_production[[#This Row],[Degradation Factor]])</f>
        <v>12769.904621381247</v>
      </c>
    </row>
    <row r="1114" spans="1:7" ht="15" hidden="1" customHeight="1" x14ac:dyDescent="0.3">
      <c r="A1114" t="s">
        <v>122</v>
      </c>
      <c r="B1114" s="2">
        <v>46235</v>
      </c>
      <c r="C1114" s="52">
        <v>15450.3</v>
      </c>
      <c r="D1114" s="48">
        <f>_xlfn.XLOOKUP(expected_production[[#This Row],[Site Name]],Table1[[Site Name ]],Table1[Commisioned Date],"")</f>
        <v>44879</v>
      </c>
      <c r="E1114" s="47">
        <f>IF(ISNUMBER(expected_production[[#This Row],[Commissioned Date]]),MAX(0,(expected_production[[#This Row],[Date]]-expected_production[[#This Row],[Commissioned Date]])/365.25),"")</f>
        <v>3.7125256673511293</v>
      </c>
      <c r="F1114" s="49">
        <f>IF(expected_production[[#This Row],[Age (yrs)]]="",1,(1-DegradationRate)^expected_production[[#This Row],[Age (yrs)]])</f>
        <v>0.97425805854861347</v>
      </c>
      <c r="G1114" s="52">
        <f>IF(expected_production[[#This Row],[Base Expected (kWh)]]="","",expected_production[[#This Row],[Base Expected (kWh)]]*expected_production[[#This Row],[Degradation Factor]])</f>
        <v>15052.579281993641</v>
      </c>
    </row>
    <row r="1115" spans="1:7" ht="15" hidden="1" customHeight="1" x14ac:dyDescent="0.3">
      <c r="A1115" t="s">
        <v>122</v>
      </c>
      <c r="B1115" s="2">
        <v>46266</v>
      </c>
      <c r="C1115" s="52">
        <v>16583.400000000001</v>
      </c>
      <c r="D1115" s="48">
        <f>_xlfn.XLOOKUP(expected_production[[#This Row],[Site Name]],Table1[[Site Name ]],Table1[Commisioned Date],"")</f>
        <v>44879</v>
      </c>
      <c r="E1115" s="47">
        <f>IF(ISNUMBER(expected_production[[#This Row],[Commissioned Date]]),MAX(0,(expected_production[[#This Row],[Date]]-expected_production[[#This Row],[Commissioned Date]])/365.25),"")</f>
        <v>3.7973990417522243</v>
      </c>
      <c r="F1115" s="49">
        <f>IF(expected_production[[#This Row],[Age (yrs)]]="",1,(1-DegradationRate)^expected_production[[#This Row],[Age (yrs)]])</f>
        <v>0.97367737631131612</v>
      </c>
      <c r="G1115" s="52">
        <f>IF(expected_production[[#This Row],[Base Expected (kWh)]]="","",expected_production[[#This Row],[Base Expected (kWh)]]*expected_production[[#This Row],[Degradation Factor]])</f>
        <v>16146.881402321082</v>
      </c>
    </row>
    <row r="1116" spans="1:7" ht="15" hidden="1" customHeight="1" x14ac:dyDescent="0.3">
      <c r="A1116" t="s">
        <v>122</v>
      </c>
      <c r="B1116" s="2">
        <v>46296</v>
      </c>
      <c r="C1116" s="52">
        <v>19432.8</v>
      </c>
      <c r="D1116" s="48">
        <f>_xlfn.XLOOKUP(expected_production[[#This Row],[Site Name]],Table1[[Site Name ]],Table1[Commisioned Date],"")</f>
        <v>44879</v>
      </c>
      <c r="E1116" s="47">
        <f>IF(ISNUMBER(expected_production[[#This Row],[Commissioned Date]]),MAX(0,(expected_production[[#This Row],[Date]]-expected_production[[#This Row],[Commissioned Date]])/365.25),"")</f>
        <v>3.8795345653661877</v>
      </c>
      <c r="F1116" s="49">
        <f>IF(expected_production[[#This Row],[Age (yrs)]]="",1,(1-DegradationRate)^expected_production[[#This Row],[Age (yrs)]])</f>
        <v>0.97311575529562455</v>
      </c>
      <c r="G1116" s="52">
        <f>IF(expected_production[[#This Row],[Base Expected (kWh)]]="","",expected_production[[#This Row],[Base Expected (kWh)]]*expected_production[[#This Row],[Degradation Factor]])</f>
        <v>18910.363849508813</v>
      </c>
    </row>
    <row r="1117" spans="1:7" ht="15" hidden="1" customHeight="1" x14ac:dyDescent="0.3">
      <c r="A1117" t="s">
        <v>122</v>
      </c>
      <c r="B1117" s="2">
        <v>46327</v>
      </c>
      <c r="C1117" s="52">
        <v>20010.599999999999</v>
      </c>
      <c r="D1117" s="48">
        <f>_xlfn.XLOOKUP(expected_production[[#This Row],[Site Name]],Table1[[Site Name ]],Table1[Commisioned Date],"")</f>
        <v>44879</v>
      </c>
      <c r="E1117" s="47">
        <f>IF(ISNUMBER(expected_production[[#This Row],[Commissioned Date]]),MAX(0,(expected_production[[#This Row],[Date]]-expected_production[[#This Row],[Commissioned Date]])/365.25),"")</f>
        <v>3.9644079397672827</v>
      </c>
      <c r="F1117" s="49">
        <f>IF(expected_production[[#This Row],[Age (yrs)]]="",1,(1-DegradationRate)^expected_production[[#This Row],[Age (yrs)]])</f>
        <v>0.97253575389971503</v>
      </c>
      <c r="G1117" s="52">
        <f>IF(expected_production[[#This Row],[Base Expected (kWh)]]="","",expected_production[[#This Row],[Base Expected (kWh)]]*expected_production[[#This Row],[Degradation Factor]])</f>
        <v>19461.023956985635</v>
      </c>
    </row>
    <row r="1118" spans="1:7" ht="15" hidden="1" customHeight="1" x14ac:dyDescent="0.3">
      <c r="A1118" t="s">
        <v>122</v>
      </c>
      <c r="B1118" s="2">
        <v>46357</v>
      </c>
      <c r="C1118" s="52">
        <v>22485.599999999999</v>
      </c>
      <c r="D1118" s="48">
        <f>_xlfn.XLOOKUP(expected_production[[#This Row],[Site Name]],Table1[[Site Name ]],Table1[Commisioned Date],"")</f>
        <v>44879</v>
      </c>
      <c r="E1118" s="47">
        <f>IF(ISNUMBER(expected_production[[#This Row],[Commissioned Date]]),MAX(0,(expected_production[[#This Row],[Date]]-expected_production[[#This Row],[Commissioned Date]])/365.25),"")</f>
        <v>4.046543463381246</v>
      </c>
      <c r="F1118" s="49">
        <f>IF(expected_production[[#This Row],[Age (yrs)]]="",1,(1-DegradationRate)^expected_production[[#This Row],[Age (yrs)]])</f>
        <v>0.97197479137640896</v>
      </c>
      <c r="G1118" s="52">
        <f>IF(expected_production[[#This Row],[Base Expected (kWh)]]="","",expected_production[[#This Row],[Base Expected (kWh)]]*expected_production[[#This Row],[Degradation Factor]])</f>
        <v>21855.43636897338</v>
      </c>
    </row>
    <row r="1119" spans="1:7" ht="15" hidden="1" customHeight="1" x14ac:dyDescent="0.3">
      <c r="A1119" t="s">
        <v>124</v>
      </c>
      <c r="B1119" s="2">
        <v>45292</v>
      </c>
      <c r="C1119" s="52">
        <v>61302.85</v>
      </c>
      <c r="D1119" s="48">
        <f>_xlfn.XLOOKUP(expected_production[[#This Row],[Site Name]],Table1[[Site Name ]],Table1[Commisioned Date],"")</f>
        <v>44692</v>
      </c>
      <c r="E1119" s="47">
        <f>IF(ISNUMBER(expected_production[[#This Row],[Commissioned Date]]),MAX(0,(expected_production[[#This Row],[Date]]-expected_production[[#This Row],[Commissioned Date]])/365.25),"")</f>
        <v>1.6427104722792607</v>
      </c>
      <c r="F1119" s="49">
        <f>IF(expected_production[[#This Row],[Age (yrs)]]="",1,(1-DegradationRate)^expected_production[[#This Row],[Age (yrs)]])</f>
        <v>0.98852691509691903</v>
      </c>
      <c r="G1119" s="52">
        <f>IF(expected_production[[#This Row],[Base Expected (kWh)]]="","",expected_production[[#This Row],[Base Expected (kWh)]]*expected_production[[#This Row],[Degradation Factor]])</f>
        <v>60599.517197149158</v>
      </c>
    </row>
    <row r="1120" spans="1:7" ht="15" hidden="1" customHeight="1" x14ac:dyDescent="0.3">
      <c r="A1120" t="s">
        <v>124</v>
      </c>
      <c r="B1120" s="2">
        <v>45323</v>
      </c>
      <c r="C1120" s="52">
        <v>55639.3</v>
      </c>
      <c r="D1120" s="48">
        <f>_xlfn.XLOOKUP(expected_production[[#This Row],[Site Name]],Table1[[Site Name ]],Table1[Commisioned Date],"")</f>
        <v>44692</v>
      </c>
      <c r="E1120" s="47">
        <f>IF(ISNUMBER(expected_production[[#This Row],[Commissioned Date]]),MAX(0,(expected_production[[#This Row],[Date]]-expected_production[[#This Row],[Commissioned Date]])/365.25),"")</f>
        <v>1.7275838466803559</v>
      </c>
      <c r="F1120" s="49">
        <f>IF(expected_production[[#This Row],[Age (yrs)]]="",1,(1-DegradationRate)^expected_production[[#This Row],[Age (yrs)]])</f>
        <v>0.98793772826325588</v>
      </c>
      <c r="G1120" s="52">
        <f>IF(expected_production[[#This Row],[Base Expected (kWh)]]="","",expected_production[[#This Row],[Base Expected (kWh)]]*expected_production[[#This Row],[Degradation Factor]])</f>
        <v>54968.163644157772</v>
      </c>
    </row>
    <row r="1121" spans="1:7" ht="15" hidden="1" customHeight="1" x14ac:dyDescent="0.3">
      <c r="A1121" t="s">
        <v>124</v>
      </c>
      <c r="B1121" s="2">
        <v>45352</v>
      </c>
      <c r="C1121" s="52">
        <v>58024.4</v>
      </c>
      <c r="D1121" s="48">
        <f>_xlfn.XLOOKUP(expected_production[[#This Row],[Site Name]],Table1[[Site Name ]],Table1[Commisioned Date],"")</f>
        <v>44692</v>
      </c>
      <c r="E1121" s="47">
        <f>IF(ISNUMBER(expected_production[[#This Row],[Commissioned Date]]),MAX(0,(expected_production[[#This Row],[Date]]-expected_production[[#This Row],[Commissioned Date]])/365.25),"")</f>
        <v>1.8069815195071868</v>
      </c>
      <c r="F1121" s="49">
        <f>IF(expected_production[[#This Row],[Age (yrs)]]="",1,(1-DegradationRate)^expected_production[[#This Row],[Age (yrs)]])</f>
        <v>0.98738687140421988</v>
      </c>
      <c r="G1121" s="52">
        <f>IF(expected_production[[#This Row],[Base Expected (kWh)]]="","",expected_production[[#This Row],[Base Expected (kWh)]]*expected_production[[#This Row],[Degradation Factor]])</f>
        <v>57292.530781107016</v>
      </c>
    </row>
    <row r="1122" spans="1:7" ht="15" hidden="1" customHeight="1" x14ac:dyDescent="0.3">
      <c r="A1122" t="s">
        <v>124</v>
      </c>
      <c r="B1122" s="2">
        <v>45383</v>
      </c>
      <c r="C1122" s="52">
        <v>48946.400000000001</v>
      </c>
      <c r="D1122" s="48">
        <f>_xlfn.XLOOKUP(expected_production[[#This Row],[Site Name]],Table1[[Site Name ]],Table1[Commisioned Date],"")</f>
        <v>44692</v>
      </c>
      <c r="E1122" s="47">
        <f>IF(ISNUMBER(expected_production[[#This Row],[Commissioned Date]]),MAX(0,(expected_production[[#This Row],[Date]]-expected_production[[#This Row],[Commissioned Date]])/365.25),"")</f>
        <v>1.891854893908282</v>
      </c>
      <c r="F1122" s="49">
        <f>IF(expected_production[[#This Row],[Age (yrs)]]="",1,(1-DegradationRate)^expected_production[[#This Row],[Age (yrs)]])</f>
        <v>0.98679836406518984</v>
      </c>
      <c r="G1122" s="52">
        <f>IF(expected_production[[#This Row],[Base Expected (kWh)]]="","",expected_production[[#This Row],[Base Expected (kWh)]]*expected_production[[#This Row],[Degradation Factor]])</f>
        <v>48300.22744688041</v>
      </c>
    </row>
    <row r="1123" spans="1:7" ht="15" hidden="1" customHeight="1" x14ac:dyDescent="0.3">
      <c r="A1123" t="s">
        <v>124</v>
      </c>
      <c r="B1123" s="2">
        <v>45413</v>
      </c>
      <c r="C1123" s="52">
        <v>44310.5</v>
      </c>
      <c r="D1123" s="48">
        <f>_xlfn.XLOOKUP(expected_production[[#This Row],[Site Name]],Table1[[Site Name ]],Table1[Commisioned Date],"")</f>
        <v>44692</v>
      </c>
      <c r="E1123" s="47">
        <f>IF(ISNUMBER(expected_production[[#This Row],[Commissioned Date]]),MAX(0,(expected_production[[#This Row],[Date]]-expected_production[[#This Row],[Commissioned Date]])/365.25),"")</f>
        <v>1.9739904175222451</v>
      </c>
      <c r="F1123" s="49">
        <f>IF(expected_production[[#This Row],[Age (yrs)]]="",1,(1-DegradationRate)^expected_production[[#This Row],[Age (yrs)]])</f>
        <v>0.9862291748111387</v>
      </c>
      <c r="G1123" s="52">
        <f>IF(expected_production[[#This Row],[Base Expected (kWh)]]="","",expected_production[[#This Row],[Base Expected (kWh)]]*expected_production[[#This Row],[Degradation Factor]])</f>
        <v>43700.307850468962</v>
      </c>
    </row>
    <row r="1124" spans="1:7" ht="15" hidden="1" customHeight="1" x14ac:dyDescent="0.3">
      <c r="A1124" t="s">
        <v>124</v>
      </c>
      <c r="B1124" s="2">
        <v>45444</v>
      </c>
      <c r="C1124" s="52">
        <v>40933.449999999997</v>
      </c>
      <c r="D1124" s="48">
        <f>_xlfn.XLOOKUP(expected_production[[#This Row],[Site Name]],Table1[[Site Name ]],Table1[Commisioned Date],"")</f>
        <v>44692</v>
      </c>
      <c r="E1124" s="47">
        <f>IF(ISNUMBER(expected_production[[#This Row],[Commissioned Date]]),MAX(0,(expected_production[[#This Row],[Date]]-expected_production[[#This Row],[Commissioned Date]])/365.25),"")</f>
        <v>2.0588637919233403</v>
      </c>
      <c r="F1124" s="49">
        <f>IF(expected_production[[#This Row],[Age (yrs)]]="",1,(1-DegradationRate)^expected_production[[#This Row],[Age (yrs)]])</f>
        <v>0.98564135748831327</v>
      </c>
      <c r="G1124" s="52">
        <f>IF(expected_production[[#This Row],[Base Expected (kWh)]]="","",expected_production[[#This Row],[Base Expected (kWh)]]*expected_production[[#This Row],[Degradation Factor]])</f>
        <v>40345.701224679993</v>
      </c>
    </row>
    <row r="1125" spans="1:7" ht="15" hidden="1" customHeight="1" x14ac:dyDescent="0.3">
      <c r="A1125" t="s">
        <v>124</v>
      </c>
      <c r="B1125" s="2">
        <v>45474</v>
      </c>
      <c r="C1125" s="52">
        <v>43977.3</v>
      </c>
      <c r="D1125" s="48">
        <f>_xlfn.XLOOKUP(expected_production[[#This Row],[Site Name]],Table1[[Site Name ]],Table1[Commisioned Date],"")</f>
        <v>44692</v>
      </c>
      <c r="E1125" s="47">
        <f>IF(ISNUMBER(expected_production[[#This Row],[Commissioned Date]]),MAX(0,(expected_production[[#This Row],[Date]]-expected_production[[#This Row],[Commissioned Date]])/365.25),"")</f>
        <v>2.1409993155373033</v>
      </c>
      <c r="F1125" s="49">
        <f>IF(expected_production[[#This Row],[Age (yrs)]]="",1,(1-DegradationRate)^expected_production[[#This Row],[Age (yrs)]])</f>
        <v>0.9850728356002959</v>
      </c>
      <c r="G1125" s="52">
        <f>IF(expected_production[[#This Row],[Base Expected (kWh)]]="","",expected_production[[#This Row],[Base Expected (kWh)]]*expected_production[[#This Row],[Degradation Factor]])</f>
        <v>43320.843613044897</v>
      </c>
    </row>
    <row r="1126" spans="1:7" ht="15" hidden="1" customHeight="1" x14ac:dyDescent="0.3">
      <c r="A1126" t="s">
        <v>124</v>
      </c>
      <c r="B1126" s="2">
        <v>45505</v>
      </c>
      <c r="C1126" s="52">
        <v>48620.85</v>
      </c>
      <c r="D1126" s="48">
        <f>_xlfn.XLOOKUP(expected_production[[#This Row],[Site Name]],Table1[[Site Name ]],Table1[Commisioned Date],"")</f>
        <v>44692</v>
      </c>
      <c r="E1126" s="47">
        <f>IF(ISNUMBER(expected_production[[#This Row],[Commissioned Date]]),MAX(0,(expected_production[[#This Row],[Date]]-expected_production[[#This Row],[Commissioned Date]])/365.25),"")</f>
        <v>2.2258726899383983</v>
      </c>
      <c r="F1126" s="49">
        <f>IF(expected_production[[#This Row],[Age (yrs)]]="",1,(1-DegradationRate)^expected_production[[#This Row],[Age (yrs)]])</f>
        <v>0.98448570748464115</v>
      </c>
      <c r="G1126" s="52">
        <f>IF(expected_production[[#This Row],[Base Expected (kWh)]]="","",expected_production[[#This Row],[Base Expected (kWh)]]*expected_production[[#This Row],[Degradation Factor]])</f>
        <v>47866.531910754617</v>
      </c>
    </row>
    <row r="1127" spans="1:7" ht="15" hidden="1" customHeight="1" x14ac:dyDescent="0.3">
      <c r="A1127" t="s">
        <v>124</v>
      </c>
      <c r="B1127" s="2">
        <v>45536</v>
      </c>
      <c r="C1127" s="52">
        <v>50331.05</v>
      </c>
      <c r="D1127" s="48">
        <f>_xlfn.XLOOKUP(expected_production[[#This Row],[Site Name]],Table1[[Site Name ]],Table1[Commisioned Date],"")</f>
        <v>44692</v>
      </c>
      <c r="E1127" s="47">
        <f>IF(ISNUMBER(expected_production[[#This Row],[Commissioned Date]]),MAX(0,(expected_production[[#This Row],[Date]]-expected_production[[#This Row],[Commissioned Date]])/365.25),"")</f>
        <v>2.3107460643394937</v>
      </c>
      <c r="F1127" s="49">
        <f>IF(expected_production[[#This Row],[Age (yrs)]]="",1,(1-DegradationRate)^expected_production[[#This Row],[Age (yrs)]])</f>
        <v>0.98389892931206846</v>
      </c>
      <c r="G1127" s="52">
        <f>IF(expected_production[[#This Row],[Base Expected (kWh)]]="","",expected_production[[#This Row],[Base Expected (kWh)]]*expected_production[[#This Row],[Degradation Factor]])</f>
        <v>49520.666206152186</v>
      </c>
    </row>
    <row r="1128" spans="1:7" ht="15" hidden="1" customHeight="1" x14ac:dyDescent="0.3">
      <c r="A1128" t="s">
        <v>124</v>
      </c>
      <c r="B1128" s="2">
        <v>45566</v>
      </c>
      <c r="C1128" s="52">
        <v>55230.45</v>
      </c>
      <c r="D1128" s="48">
        <f>_xlfn.XLOOKUP(expected_production[[#This Row],[Site Name]],Table1[[Site Name ]],Table1[Commisioned Date],"")</f>
        <v>44692</v>
      </c>
      <c r="E1128" s="47">
        <f>IF(ISNUMBER(expected_production[[#This Row],[Commissioned Date]]),MAX(0,(expected_production[[#This Row],[Date]]-expected_production[[#This Row],[Commissioned Date]])/365.25),"")</f>
        <v>2.3928815879534566</v>
      </c>
      <c r="F1128" s="49">
        <f>IF(expected_production[[#This Row],[Age (yrs)]]="",1,(1-DegradationRate)^expected_production[[#This Row],[Age (yrs)]])</f>
        <v>0.98333141246361133</v>
      </c>
      <c r="G1128" s="52">
        <f>IF(expected_production[[#This Row],[Base Expected (kWh)]]="","",expected_production[[#This Row],[Base Expected (kWh)]]*expected_production[[#This Row],[Degradation Factor]])</f>
        <v>54309.836409500858</v>
      </c>
    </row>
    <row r="1129" spans="1:7" ht="15" hidden="1" customHeight="1" x14ac:dyDescent="0.3">
      <c r="A1129" t="s">
        <v>124</v>
      </c>
      <c r="B1129" s="2">
        <v>45597</v>
      </c>
      <c r="C1129" s="52">
        <v>56583.65</v>
      </c>
      <c r="D1129" s="48">
        <f>_xlfn.XLOOKUP(expected_production[[#This Row],[Site Name]],Table1[[Site Name ]],Table1[Commisioned Date],"")</f>
        <v>44692</v>
      </c>
      <c r="E1129" s="47">
        <f>IF(ISNUMBER(expected_production[[#This Row],[Commissioned Date]]),MAX(0,(expected_production[[#This Row],[Date]]-expected_production[[#This Row],[Commissioned Date]])/365.25),"")</f>
        <v>2.4777549623545516</v>
      </c>
      <c r="F1129" s="49">
        <f>IF(expected_production[[#This Row],[Age (yrs)]]="",1,(1-DegradationRate)^expected_production[[#This Row],[Age (yrs)]])</f>
        <v>0.98274532227982092</v>
      </c>
      <c r="G1129" s="52">
        <f>IF(expected_production[[#This Row],[Base Expected (kWh)]]="","",expected_production[[#This Row],[Base Expected (kWh)]]*expected_production[[#This Row],[Degradation Factor]])</f>
        <v>55607.317355018589</v>
      </c>
    </row>
    <row r="1130" spans="1:7" ht="15" hidden="1" customHeight="1" x14ac:dyDescent="0.3">
      <c r="A1130" t="s">
        <v>124</v>
      </c>
      <c r="B1130" s="2">
        <v>45627</v>
      </c>
      <c r="C1130" s="52">
        <v>61075.9</v>
      </c>
      <c r="D1130" s="48">
        <f>_xlfn.XLOOKUP(expected_production[[#This Row],[Site Name]],Table1[[Site Name ]],Table1[Commisioned Date],"")</f>
        <v>44692</v>
      </c>
      <c r="E1130" s="47">
        <f>IF(ISNUMBER(expected_production[[#This Row],[Commissioned Date]]),MAX(0,(expected_production[[#This Row],[Date]]-expected_production[[#This Row],[Commissioned Date]])/365.25),"")</f>
        <v>2.5598904859685145</v>
      </c>
      <c r="F1130" s="49">
        <f>IF(expected_production[[#This Row],[Age (yrs)]]="",1,(1-DegradationRate)^expected_production[[#This Row],[Age (yrs)]])</f>
        <v>0.98217847083652665</v>
      </c>
      <c r="G1130" s="52">
        <f>IF(expected_production[[#This Row],[Base Expected (kWh)]]="","",expected_production[[#This Row],[Base Expected (kWh)]]*expected_production[[#This Row],[Degradation Factor]])</f>
        <v>59987.434066964619</v>
      </c>
    </row>
    <row r="1131" spans="1:7" ht="15" hidden="1" customHeight="1" x14ac:dyDescent="0.3">
      <c r="A1131" t="s">
        <v>124</v>
      </c>
      <c r="B1131" s="2">
        <v>45658</v>
      </c>
      <c r="C1131" s="52">
        <v>61302.85</v>
      </c>
      <c r="D1131" s="48">
        <f>_xlfn.XLOOKUP(expected_production[[#This Row],[Site Name]],Table1[[Site Name ]],Table1[Commisioned Date],"")</f>
        <v>44692</v>
      </c>
      <c r="E1131" s="47">
        <f>IF(ISNUMBER(expected_production[[#This Row],[Commissioned Date]]),MAX(0,(expected_production[[#This Row],[Date]]-expected_production[[#This Row],[Commissioned Date]])/365.25),"")</f>
        <v>2.64476386036961</v>
      </c>
      <c r="F1131" s="49">
        <f>IF(expected_production[[#This Row],[Age (yrs)]]="",1,(1-DegradationRate)^expected_production[[#This Row],[Age (yrs)]])</f>
        <v>0.98159306783486178</v>
      </c>
      <c r="G1131" s="52">
        <f>IF(expected_production[[#This Row],[Base Expected (kWh)]]="","",expected_production[[#This Row],[Base Expected (kWh)]]*expected_production[[#This Row],[Degradation Factor]])</f>
        <v>60174.452598520358</v>
      </c>
    </row>
    <row r="1132" spans="1:7" ht="15" hidden="1" customHeight="1" x14ac:dyDescent="0.3">
      <c r="A1132" t="s">
        <v>124</v>
      </c>
      <c r="B1132" s="2">
        <v>45689</v>
      </c>
      <c r="C1132" s="52">
        <v>55639.3</v>
      </c>
      <c r="D1132" s="48">
        <f>_xlfn.XLOOKUP(expected_production[[#This Row],[Site Name]],Table1[[Site Name ]],Table1[Commisioned Date],"")</f>
        <v>44692</v>
      </c>
      <c r="E1132" s="47">
        <f>IF(ISNUMBER(expected_production[[#This Row],[Commissioned Date]]),MAX(0,(expected_production[[#This Row],[Date]]-expected_production[[#This Row],[Commissioned Date]])/365.25),"")</f>
        <v>2.729637234770705</v>
      </c>
      <c r="F1132" s="49">
        <f>IF(expected_production[[#This Row],[Age (yrs)]]="",1,(1-DegradationRate)^expected_production[[#This Row],[Age (yrs)]])</f>
        <v>0.98100801374806779</v>
      </c>
      <c r="G1132" s="52">
        <f>IF(expected_production[[#This Row],[Base Expected (kWh)]]="","",expected_production[[#This Row],[Base Expected (kWh)]]*expected_production[[#This Row],[Degradation Factor]])</f>
        <v>54582.599179332872</v>
      </c>
    </row>
    <row r="1133" spans="1:7" ht="15" hidden="1" customHeight="1" x14ac:dyDescent="0.3">
      <c r="A1133" t="s">
        <v>124</v>
      </c>
      <c r="B1133" s="2">
        <v>45717</v>
      </c>
      <c r="C1133" s="52">
        <v>58024.4</v>
      </c>
      <c r="D1133" s="48">
        <f>_xlfn.XLOOKUP(expected_production[[#This Row],[Site Name]],Table1[[Site Name ]],Table1[Commisioned Date],"")</f>
        <v>44692</v>
      </c>
      <c r="E1133" s="47">
        <f>IF(ISNUMBER(expected_production[[#This Row],[Commissioned Date]]),MAX(0,(expected_production[[#This Row],[Date]]-expected_production[[#This Row],[Commissioned Date]])/365.25),"")</f>
        <v>2.8062970568104038</v>
      </c>
      <c r="F1133" s="49">
        <f>IF(expected_production[[#This Row],[Age (yrs)]]="",1,(1-DegradationRate)^expected_production[[#This Row],[Age (yrs)]])</f>
        <v>0.98047987752549592</v>
      </c>
      <c r="G1133" s="52">
        <f>IF(expected_production[[#This Row],[Base Expected (kWh)]]="","",expected_production[[#This Row],[Base Expected (kWh)]]*expected_production[[#This Row],[Degradation Factor]])</f>
        <v>56891.756605490387</v>
      </c>
    </row>
    <row r="1134" spans="1:7" ht="15" hidden="1" customHeight="1" x14ac:dyDescent="0.3">
      <c r="A1134" t="s">
        <v>124</v>
      </c>
      <c r="B1134" s="2">
        <v>45748</v>
      </c>
      <c r="C1134" s="52">
        <v>48946.400000000001</v>
      </c>
      <c r="D1134" s="48">
        <f>_xlfn.XLOOKUP(expected_production[[#This Row],[Site Name]],Table1[[Site Name ]],Table1[Commisioned Date],"")</f>
        <v>44692</v>
      </c>
      <c r="E1134" s="47">
        <f>IF(ISNUMBER(expected_production[[#This Row],[Commissioned Date]]),MAX(0,(expected_production[[#This Row],[Date]]-expected_production[[#This Row],[Commissioned Date]])/365.25),"")</f>
        <v>2.8911704312114992</v>
      </c>
      <c r="F1134" s="49">
        <f>IF(expected_production[[#This Row],[Age (yrs)]]="",1,(1-DegradationRate)^expected_production[[#This Row],[Age (yrs)]])</f>
        <v>0.97989548692804507</v>
      </c>
      <c r="G1134" s="52">
        <f>IF(expected_production[[#This Row],[Base Expected (kWh)]]="","",expected_production[[#This Row],[Base Expected (kWh)]]*expected_production[[#This Row],[Degradation Factor]])</f>
        <v>47962.356461374868</v>
      </c>
    </row>
    <row r="1135" spans="1:7" ht="15" hidden="1" customHeight="1" x14ac:dyDescent="0.3">
      <c r="A1135" t="s">
        <v>124</v>
      </c>
      <c r="B1135" s="2">
        <v>45778</v>
      </c>
      <c r="C1135" s="52">
        <v>44310.5</v>
      </c>
      <c r="D1135" s="48">
        <f>_xlfn.XLOOKUP(expected_production[[#This Row],[Site Name]],Table1[[Site Name ]],Table1[Commisioned Date],"")</f>
        <v>44692</v>
      </c>
      <c r="E1135" s="47">
        <f>IF(ISNUMBER(expected_production[[#This Row],[Commissioned Date]]),MAX(0,(expected_production[[#This Row],[Date]]-expected_production[[#This Row],[Commissioned Date]])/365.25),"")</f>
        <v>2.9733059548254621</v>
      </c>
      <c r="F1135" s="49">
        <f>IF(expected_production[[#This Row],[Age (yrs)]]="",1,(1-DegradationRate)^expected_production[[#This Row],[Age (yrs)]])</f>
        <v>0.9793302792812113</v>
      </c>
      <c r="G1135" s="52">
        <f>IF(expected_production[[#This Row],[Base Expected (kWh)]]="","",expected_production[[#This Row],[Base Expected (kWh)]]*expected_production[[#This Row],[Degradation Factor]])</f>
        <v>43394.614340090113</v>
      </c>
    </row>
    <row r="1136" spans="1:7" ht="15" hidden="1" customHeight="1" x14ac:dyDescent="0.3">
      <c r="A1136" t="s">
        <v>124</v>
      </c>
      <c r="B1136" s="2">
        <v>45809</v>
      </c>
      <c r="C1136" s="52">
        <v>40933.449999999997</v>
      </c>
      <c r="D1136" s="48">
        <f>_xlfn.XLOOKUP(expected_production[[#This Row],[Site Name]],Table1[[Site Name ]],Table1[Commisioned Date],"")</f>
        <v>44692</v>
      </c>
      <c r="E1136" s="47">
        <f>IF(ISNUMBER(expected_production[[#This Row],[Commissioned Date]]),MAX(0,(expected_production[[#This Row],[Date]]-expected_production[[#This Row],[Commissioned Date]])/365.25),"")</f>
        <v>3.0581793292265571</v>
      </c>
      <c r="F1136" s="49">
        <f>IF(expected_production[[#This Row],[Age (yrs)]]="",1,(1-DegradationRate)^expected_production[[#This Row],[Age (yrs)]])</f>
        <v>0.97874657387314612</v>
      </c>
      <c r="G1136" s="52">
        <f>IF(expected_production[[#This Row],[Base Expected (kWh)]]="","",expected_production[[#This Row],[Base Expected (kWh)]]*expected_production[[#This Row],[Degradation Factor]])</f>
        <v>40063.473944307727</v>
      </c>
    </row>
    <row r="1137" spans="1:7" ht="15" hidden="1" customHeight="1" x14ac:dyDescent="0.3">
      <c r="A1137" t="s">
        <v>124</v>
      </c>
      <c r="B1137" s="2">
        <v>45839</v>
      </c>
      <c r="C1137" s="52">
        <v>43977.3</v>
      </c>
      <c r="D1137" s="48">
        <f>_xlfn.XLOOKUP(expected_production[[#This Row],[Site Name]],Table1[[Site Name ]],Table1[Commisioned Date],"")</f>
        <v>44692</v>
      </c>
      <c r="E1137" s="47">
        <f>IF(ISNUMBER(expected_production[[#This Row],[Commissioned Date]]),MAX(0,(expected_production[[#This Row],[Date]]-expected_production[[#This Row],[Commissioned Date]])/365.25),"")</f>
        <v>3.14031485284052</v>
      </c>
      <c r="F1137" s="49">
        <f>IF(expected_production[[#This Row],[Age (yrs)]]="",1,(1-DegradationRate)^expected_production[[#This Row],[Age (yrs)]])</f>
        <v>0.97818202892397021</v>
      </c>
      <c r="G1137" s="52">
        <f>IF(expected_production[[#This Row],[Base Expected (kWh)]]="","",expected_production[[#This Row],[Base Expected (kWh)]]*expected_production[[#This Row],[Degradation Factor]])</f>
        <v>43017.804540598117</v>
      </c>
    </row>
    <row r="1138" spans="1:7" ht="15" hidden="1" customHeight="1" x14ac:dyDescent="0.3">
      <c r="A1138" t="s">
        <v>124</v>
      </c>
      <c r="B1138" s="2">
        <v>45870</v>
      </c>
      <c r="C1138" s="52">
        <v>48620.85</v>
      </c>
      <c r="D1138" s="48">
        <f>_xlfn.XLOOKUP(expected_production[[#This Row],[Site Name]],Table1[[Site Name ]],Table1[Commisioned Date],"")</f>
        <v>44692</v>
      </c>
      <c r="E1138" s="47">
        <f>IF(ISNUMBER(expected_production[[#This Row],[Commissioned Date]]),MAX(0,(expected_production[[#This Row],[Date]]-expected_production[[#This Row],[Commissioned Date]])/365.25),"")</f>
        <v>3.2251882272416155</v>
      </c>
      <c r="F1138" s="49">
        <f>IF(expected_production[[#This Row],[Age (yrs)]]="",1,(1-DegradationRate)^expected_production[[#This Row],[Age (yrs)]])</f>
        <v>0.97759900790191601</v>
      </c>
      <c r="G1138" s="52">
        <f>IF(expected_production[[#This Row],[Base Expected (kWh)]]="","",expected_production[[#This Row],[Base Expected (kWh)]]*expected_production[[#This Row],[Degradation Factor]])</f>
        <v>47531.694723347871</v>
      </c>
    </row>
    <row r="1139" spans="1:7" ht="15" hidden="1" customHeight="1" x14ac:dyDescent="0.3">
      <c r="A1139" t="s">
        <v>124</v>
      </c>
      <c r="B1139" s="2">
        <v>45901</v>
      </c>
      <c r="C1139" s="52">
        <v>50331.05</v>
      </c>
      <c r="D1139" s="48">
        <f>_xlfn.XLOOKUP(expected_production[[#This Row],[Site Name]],Table1[[Site Name ]],Table1[Commisioned Date],"")</f>
        <v>44692</v>
      </c>
      <c r="E1139" s="47">
        <f>IF(ISNUMBER(expected_production[[#This Row],[Commissioned Date]]),MAX(0,(expected_production[[#This Row],[Date]]-expected_production[[#This Row],[Commissioned Date]])/365.25),"")</f>
        <v>3.3100616016427105</v>
      </c>
      <c r="F1139" s="49">
        <f>IF(expected_production[[#This Row],[Age (yrs)]]="",1,(1-DegradationRate)^expected_production[[#This Row],[Age (yrs)]])</f>
        <v>0.97701633437501312</v>
      </c>
      <c r="G1139" s="52">
        <f>IF(expected_production[[#This Row],[Base Expected (kWh)]]="","",expected_production[[#This Row],[Base Expected (kWh)]]*expected_production[[#This Row],[Degradation Factor]])</f>
        <v>49174.257976245506</v>
      </c>
    </row>
    <row r="1140" spans="1:7" ht="15" hidden="1" customHeight="1" x14ac:dyDescent="0.3">
      <c r="A1140" t="s">
        <v>124</v>
      </c>
      <c r="B1140" s="2">
        <v>45931</v>
      </c>
      <c r="C1140" s="52">
        <v>55230.45</v>
      </c>
      <c r="D1140" s="48">
        <f>_xlfn.XLOOKUP(expected_production[[#This Row],[Site Name]],Table1[[Site Name ]],Table1[Commisioned Date],"")</f>
        <v>44692</v>
      </c>
      <c r="E1140" s="47">
        <f>IF(ISNUMBER(expected_production[[#This Row],[Commissioned Date]]),MAX(0,(expected_production[[#This Row],[Date]]-expected_production[[#This Row],[Commissioned Date]])/365.25),"")</f>
        <v>3.3921971252566734</v>
      </c>
      <c r="F1140" s="49">
        <f>IF(expected_production[[#This Row],[Age (yrs)]]="",1,(1-DegradationRate)^expected_production[[#This Row],[Age (yrs)]])</f>
        <v>0.97645278743491914</v>
      </c>
      <c r="G1140" s="52">
        <f>IF(expected_production[[#This Row],[Base Expected (kWh)]]="","",expected_production[[#This Row],[Base Expected (kWh)]]*expected_production[[#This Row],[Degradation Factor]])</f>
        <v>53929.926853784928</v>
      </c>
    </row>
    <row r="1141" spans="1:7" ht="15" hidden="1" customHeight="1" x14ac:dyDescent="0.3">
      <c r="A1141" t="s">
        <v>124</v>
      </c>
      <c r="B1141" s="2">
        <v>45962</v>
      </c>
      <c r="C1141" s="52">
        <v>56583.65</v>
      </c>
      <c r="D1141" s="48">
        <f>_xlfn.XLOOKUP(expected_production[[#This Row],[Site Name]],Table1[[Site Name ]],Table1[Commisioned Date],"")</f>
        <v>44692</v>
      </c>
      <c r="E1141" s="47">
        <f>IF(ISNUMBER(expected_production[[#This Row],[Commissioned Date]]),MAX(0,(expected_production[[#This Row],[Date]]-expected_production[[#This Row],[Commissioned Date]])/365.25),"")</f>
        <v>3.4770704996577688</v>
      </c>
      <c r="F1141" s="49">
        <f>IF(expected_production[[#This Row],[Age (yrs)]]="",1,(1-DegradationRate)^expected_production[[#This Row],[Age (yrs)]])</f>
        <v>0.9758707970841618</v>
      </c>
      <c r="G1141" s="52">
        <f>IF(expected_production[[#This Row],[Base Expected (kWh)]]="","",expected_production[[#This Row],[Base Expected (kWh)]]*expected_production[[#This Row],[Degradation Factor]])</f>
        <v>55218.331627431231</v>
      </c>
    </row>
    <row r="1142" spans="1:7" ht="15" hidden="1" customHeight="1" x14ac:dyDescent="0.3">
      <c r="A1142" t="s">
        <v>124</v>
      </c>
      <c r="B1142" s="2">
        <v>45992</v>
      </c>
      <c r="C1142" s="52">
        <v>61075.9</v>
      </c>
      <c r="D1142" s="48">
        <f>_xlfn.XLOOKUP(expected_production[[#This Row],[Site Name]],Table1[[Site Name ]],Table1[Commisioned Date],"")</f>
        <v>44692</v>
      </c>
      <c r="E1142" s="47">
        <f>IF(ISNUMBER(expected_production[[#This Row],[Commissioned Date]]),MAX(0,(expected_production[[#This Row],[Date]]-expected_production[[#This Row],[Commissioned Date]])/365.25),"")</f>
        <v>3.5592060232717317</v>
      </c>
      <c r="F1142" s="49">
        <f>IF(expected_production[[#This Row],[Age (yrs)]]="",1,(1-DegradationRate)^expected_production[[#This Row],[Age (yrs)]])</f>
        <v>0.97530791089457147</v>
      </c>
      <c r="G1142" s="52">
        <f>IF(expected_production[[#This Row],[Base Expected (kWh)]]="","",expected_production[[#This Row],[Base Expected (kWh)]]*expected_production[[#This Row],[Degradation Factor]])</f>
        <v>59567.808435005762</v>
      </c>
    </row>
    <row r="1143" spans="1:7" ht="15" hidden="1" customHeight="1" x14ac:dyDescent="0.3">
      <c r="A1143" t="s">
        <v>124</v>
      </c>
      <c r="B1143" s="2">
        <v>46023</v>
      </c>
      <c r="C1143" s="52">
        <v>61302.85</v>
      </c>
      <c r="D1143" s="48">
        <f>_xlfn.XLOOKUP(expected_production[[#This Row],[Site Name]],Table1[[Site Name ]],Table1[Commisioned Date],"")</f>
        <v>44692</v>
      </c>
      <c r="E1143" s="47">
        <f>IF(ISNUMBER(expected_production[[#This Row],[Commissioned Date]]),MAX(0,(expected_production[[#This Row],[Date]]-expected_production[[#This Row],[Commissioned Date]])/365.25),"")</f>
        <v>3.6440793976728267</v>
      </c>
      <c r="F1143" s="49">
        <f>IF(expected_production[[#This Row],[Age (yrs)]]="",1,(1-DegradationRate)^expected_production[[#This Row],[Age (yrs)]])</f>
        <v>0.97472660291894564</v>
      </c>
      <c r="G1143" s="52">
        <f>IF(expected_production[[#This Row],[Base Expected (kWh)]]="","",expected_production[[#This Row],[Base Expected (kWh)]]*expected_production[[#This Row],[Degradation Factor]])</f>
        <v>59753.518729749689</v>
      </c>
    </row>
    <row r="1144" spans="1:7" ht="15" hidden="1" customHeight="1" x14ac:dyDescent="0.3">
      <c r="A1144" t="s">
        <v>124</v>
      </c>
      <c r="B1144" s="2">
        <v>46054</v>
      </c>
      <c r="C1144" s="52">
        <v>55639.3</v>
      </c>
      <c r="D1144" s="48">
        <f>_xlfn.XLOOKUP(expected_production[[#This Row],[Site Name]],Table1[[Site Name ]],Table1[Commisioned Date],"")</f>
        <v>44692</v>
      </c>
      <c r="E1144" s="47">
        <f>IF(ISNUMBER(expected_production[[#This Row],[Commissioned Date]]),MAX(0,(expected_production[[#This Row],[Date]]-expected_production[[#This Row],[Commissioned Date]])/365.25),"")</f>
        <v>3.7289527720739222</v>
      </c>
      <c r="F1144" s="49">
        <f>IF(expected_production[[#This Row],[Age (yrs)]]="",1,(1-DegradationRate)^expected_production[[#This Row],[Age (yrs)]])</f>
        <v>0.97414564141745263</v>
      </c>
      <c r="G1144" s="52">
        <f>IF(expected_production[[#This Row],[Base Expected (kWh)]]="","",expected_production[[#This Row],[Base Expected (kWh)]]*expected_production[[#This Row],[Degradation Factor]])</f>
        <v>54200.781586518075</v>
      </c>
    </row>
    <row r="1145" spans="1:7" ht="15" hidden="1" customHeight="1" x14ac:dyDescent="0.3">
      <c r="A1145" t="s">
        <v>124</v>
      </c>
      <c r="B1145" s="2">
        <v>46082</v>
      </c>
      <c r="C1145" s="52">
        <v>58024.4</v>
      </c>
      <c r="D1145" s="48">
        <f>_xlfn.XLOOKUP(expected_production[[#This Row],[Site Name]],Table1[[Site Name ]],Table1[Commisioned Date],"")</f>
        <v>44692</v>
      </c>
      <c r="E1145" s="47">
        <f>IF(ISNUMBER(expected_production[[#This Row],[Commissioned Date]]),MAX(0,(expected_production[[#This Row],[Date]]-expected_production[[#This Row],[Commissioned Date]])/365.25),"")</f>
        <v>3.805612594113621</v>
      </c>
      <c r="F1145" s="49">
        <f>IF(expected_production[[#This Row],[Age (yrs)]]="",1,(1-DegradationRate)^expected_production[[#This Row],[Age (yrs)]])</f>
        <v>0.97362119962688298</v>
      </c>
      <c r="G1145" s="52">
        <f>IF(expected_production[[#This Row],[Base Expected (kWh)]]="","",expected_production[[#This Row],[Base Expected (kWh)]]*expected_production[[#This Row],[Degradation Factor]])</f>
        <v>56493.785935630112</v>
      </c>
    </row>
    <row r="1146" spans="1:7" ht="15" hidden="1" customHeight="1" x14ac:dyDescent="0.3">
      <c r="A1146" t="s">
        <v>124</v>
      </c>
      <c r="B1146" s="2">
        <v>46113</v>
      </c>
      <c r="C1146" s="52">
        <v>48946.400000000001</v>
      </c>
      <c r="D1146" s="48">
        <f>_xlfn.XLOOKUP(expected_production[[#This Row],[Site Name]],Table1[[Site Name ]],Table1[Commisioned Date],"")</f>
        <v>44692</v>
      </c>
      <c r="E1146" s="47">
        <f>IF(ISNUMBER(expected_production[[#This Row],[Commissioned Date]]),MAX(0,(expected_production[[#This Row],[Date]]-expected_production[[#This Row],[Commissioned Date]])/365.25),"")</f>
        <v>3.890485968514716</v>
      </c>
      <c r="F1146" s="49">
        <f>IF(expected_production[[#This Row],[Age (yrs)]]="",1,(1-DegradationRate)^expected_production[[#This Row],[Age (yrs)]])</f>
        <v>0.97304089697347551</v>
      </c>
      <c r="G1146" s="52">
        <f>IF(expected_production[[#This Row],[Base Expected (kWh)]]="","",expected_production[[#This Row],[Base Expected (kWh)]]*expected_production[[#This Row],[Degradation Factor]])</f>
        <v>47626.848959622526</v>
      </c>
    </row>
    <row r="1147" spans="1:7" ht="15" hidden="1" customHeight="1" x14ac:dyDescent="0.3">
      <c r="A1147" t="s">
        <v>124</v>
      </c>
      <c r="B1147" s="2">
        <v>46143</v>
      </c>
      <c r="C1147" s="52">
        <v>44310.5</v>
      </c>
      <c r="D1147" s="48">
        <f>_xlfn.XLOOKUP(expected_production[[#This Row],[Site Name]],Table1[[Site Name ]],Table1[Commisioned Date],"")</f>
        <v>44692</v>
      </c>
      <c r="E1147" s="47">
        <f>IF(ISNUMBER(expected_production[[#This Row],[Commissioned Date]]),MAX(0,(expected_production[[#This Row],[Date]]-expected_production[[#This Row],[Commissioned Date]])/365.25),"")</f>
        <v>3.9726214921286789</v>
      </c>
      <c r="F1147" s="49">
        <f>IF(expected_production[[#This Row],[Age (yrs)]]="",1,(1-DegradationRate)^expected_production[[#This Row],[Age (yrs)]])</f>
        <v>0.97247964308161861</v>
      </c>
      <c r="G1147" s="52">
        <f>IF(expected_production[[#This Row],[Base Expected (kWh)]]="","",expected_production[[#This Row],[Base Expected (kWh)]]*expected_production[[#This Row],[Degradation Factor]])</f>
        <v>43091.059224768062</v>
      </c>
    </row>
    <row r="1148" spans="1:7" ht="15" hidden="1" customHeight="1" x14ac:dyDescent="0.3">
      <c r="A1148" t="s">
        <v>124</v>
      </c>
      <c r="B1148" s="2">
        <v>46174</v>
      </c>
      <c r="C1148" s="52">
        <v>40933.449999999997</v>
      </c>
      <c r="D1148" s="48">
        <f>_xlfn.XLOOKUP(expected_production[[#This Row],[Site Name]],Table1[[Site Name ]],Table1[Commisioned Date],"")</f>
        <v>44692</v>
      </c>
      <c r="E1148" s="47">
        <f>IF(ISNUMBER(expected_production[[#This Row],[Commissioned Date]]),MAX(0,(expected_production[[#This Row],[Date]]-expected_production[[#This Row],[Commissioned Date]])/365.25),"")</f>
        <v>4.0574948665297743</v>
      </c>
      <c r="F1148" s="49">
        <f>IF(expected_production[[#This Row],[Age (yrs)]]="",1,(1-DegradationRate)^expected_production[[#This Row],[Age (yrs)]])</f>
        <v>0.9719000208245423</v>
      </c>
      <c r="G1148" s="52">
        <f>IF(expected_production[[#This Row],[Base Expected (kWh)]]="","",expected_production[[#This Row],[Base Expected (kWh)]]*expected_production[[#This Row],[Degradation Factor]])</f>
        <v>39783.220907420357</v>
      </c>
    </row>
    <row r="1149" spans="1:7" ht="15" hidden="1" customHeight="1" x14ac:dyDescent="0.3">
      <c r="A1149" t="s">
        <v>124</v>
      </c>
      <c r="B1149" s="2">
        <v>46204</v>
      </c>
      <c r="C1149" s="52">
        <v>43977.3</v>
      </c>
      <c r="D1149" s="48">
        <f>_xlfn.XLOOKUP(expected_production[[#This Row],[Site Name]],Table1[[Site Name ]],Table1[Commisioned Date],"")</f>
        <v>44692</v>
      </c>
      <c r="E1149" s="47">
        <f>IF(ISNUMBER(expected_production[[#This Row],[Commissioned Date]]),MAX(0,(expected_production[[#This Row],[Date]]-expected_production[[#This Row],[Commissioned Date]])/365.25),"")</f>
        <v>4.1396303901437372</v>
      </c>
      <c r="F1149" s="49">
        <f>IF(expected_production[[#This Row],[Age (yrs)]]="",1,(1-DegradationRate)^expected_production[[#This Row],[Age (yrs)]])</f>
        <v>0.97133942499462378</v>
      </c>
      <c r="G1149" s="52">
        <f>IF(expected_production[[#This Row],[Base Expected (kWh)]]="","",expected_production[[#This Row],[Base Expected (kWh)]]*expected_production[[#This Row],[Degradation Factor]])</f>
        <v>42716.885294816071</v>
      </c>
    </row>
    <row r="1150" spans="1:7" ht="15" hidden="1" customHeight="1" x14ac:dyDescent="0.3">
      <c r="A1150" t="s">
        <v>124</v>
      </c>
      <c r="B1150" s="2">
        <v>46235</v>
      </c>
      <c r="C1150" s="52">
        <v>48620.85</v>
      </c>
      <c r="D1150" s="48">
        <f>_xlfn.XLOOKUP(expected_production[[#This Row],[Site Name]],Table1[[Site Name ]],Table1[Commisioned Date],"")</f>
        <v>44692</v>
      </c>
      <c r="E1150" s="47">
        <f>IF(ISNUMBER(expected_production[[#This Row],[Commissioned Date]]),MAX(0,(expected_production[[#This Row],[Date]]-expected_production[[#This Row],[Commissioned Date]])/365.25),"")</f>
        <v>4.2245037645448322</v>
      </c>
      <c r="F1150" s="49">
        <f>IF(expected_production[[#This Row],[Age (yrs)]]="",1,(1-DegradationRate)^expected_production[[#This Row],[Age (yrs)]])</f>
        <v>0.970760482336124</v>
      </c>
      <c r="G1150" s="52">
        <f>IF(expected_production[[#This Row],[Base Expected (kWh)]]="","",expected_production[[#This Row],[Base Expected (kWh)]]*expected_production[[#This Row],[Degradation Factor]])</f>
        <v>47199.19979759233</v>
      </c>
    </row>
    <row r="1151" spans="1:7" ht="15" hidden="1" customHeight="1" x14ac:dyDescent="0.3">
      <c r="A1151" t="s">
        <v>124</v>
      </c>
      <c r="B1151" s="2">
        <v>46266</v>
      </c>
      <c r="C1151" s="52">
        <v>50331.05</v>
      </c>
      <c r="D1151" s="48">
        <f>_xlfn.XLOOKUP(expected_production[[#This Row],[Site Name]],Table1[[Site Name ]],Table1[Commisioned Date],"")</f>
        <v>44692</v>
      </c>
      <c r="E1151" s="47">
        <f>IF(ISNUMBER(expected_production[[#This Row],[Commissioned Date]]),MAX(0,(expected_production[[#This Row],[Date]]-expected_production[[#This Row],[Commissioned Date]])/365.25),"")</f>
        <v>4.3093771389459272</v>
      </c>
      <c r="F1151" s="49">
        <f>IF(expected_production[[#This Row],[Age (yrs)]]="",1,(1-DegradationRate)^expected_production[[#This Row],[Age (yrs)]])</f>
        <v>0.97018188474196865</v>
      </c>
      <c r="G1151" s="52">
        <f>IF(expected_production[[#This Row],[Base Expected (kWh)]]="","",expected_production[[#This Row],[Base Expected (kWh)]]*expected_production[[#This Row],[Degradation Factor]])</f>
        <v>48830.272950042265</v>
      </c>
    </row>
    <row r="1152" spans="1:7" ht="15" hidden="1" customHeight="1" x14ac:dyDescent="0.3">
      <c r="A1152" t="s">
        <v>124</v>
      </c>
      <c r="B1152" s="2">
        <v>46296</v>
      </c>
      <c r="C1152" s="52">
        <v>55230.45</v>
      </c>
      <c r="D1152" s="48">
        <f>_xlfn.XLOOKUP(expected_production[[#This Row],[Site Name]],Table1[[Site Name ]],Table1[Commisioned Date],"")</f>
        <v>44692</v>
      </c>
      <c r="E1152" s="47">
        <f>IF(ISNUMBER(expected_production[[#This Row],[Commissioned Date]]),MAX(0,(expected_production[[#This Row],[Date]]-expected_production[[#This Row],[Commissioned Date]])/365.25),"")</f>
        <v>4.3915126625598901</v>
      </c>
      <c r="F1152" s="49">
        <f>IF(expected_production[[#This Row],[Age (yrs)]]="",1,(1-DegradationRate)^expected_production[[#This Row],[Age (yrs)]])</f>
        <v>0.96962227993983319</v>
      </c>
      <c r="G1152" s="52">
        <f>IF(expected_production[[#This Row],[Base Expected (kWh)]]="","",expected_production[[#This Row],[Base Expected (kWh)]]*expected_production[[#This Row],[Degradation Factor]])</f>
        <v>53552.674851102958</v>
      </c>
    </row>
    <row r="1153" spans="1:7" ht="15" hidden="1" customHeight="1" x14ac:dyDescent="0.3">
      <c r="A1153" t="s">
        <v>124</v>
      </c>
      <c r="B1153" s="2">
        <v>46327</v>
      </c>
      <c r="C1153" s="52">
        <v>56583.65</v>
      </c>
      <c r="D1153" s="48">
        <f>_xlfn.XLOOKUP(expected_production[[#This Row],[Site Name]],Table1[[Site Name ]],Table1[Commisioned Date],"")</f>
        <v>44692</v>
      </c>
      <c r="E1153" s="47">
        <f>IF(ISNUMBER(expected_production[[#This Row],[Commissioned Date]]),MAX(0,(expected_production[[#This Row],[Date]]-expected_production[[#This Row],[Commissioned Date]])/365.25),"")</f>
        <v>4.476386036960986</v>
      </c>
      <c r="F1153" s="49">
        <f>IF(expected_production[[#This Row],[Age (yrs)]]="",1,(1-DegradationRate)^expected_production[[#This Row],[Age (yrs)]])</f>
        <v>0.96904436074285216</v>
      </c>
      <c r="G1153" s="52">
        <f>IF(expected_production[[#This Row],[Base Expected (kWh)]]="","",expected_production[[#This Row],[Base Expected (kWh)]]*expected_production[[#This Row],[Degradation Factor]])</f>
        <v>54832.066942747289</v>
      </c>
    </row>
    <row r="1154" spans="1:7" ht="15" hidden="1" customHeight="1" x14ac:dyDescent="0.3">
      <c r="A1154" t="s">
        <v>124</v>
      </c>
      <c r="B1154" s="2">
        <v>46357</v>
      </c>
      <c r="C1154" s="52">
        <v>61075.9</v>
      </c>
      <c r="D1154" s="48">
        <f>_xlfn.XLOOKUP(expected_production[[#This Row],[Site Name]],Table1[[Site Name ]],Table1[Commisioned Date],"")</f>
        <v>44692</v>
      </c>
      <c r="E1154" s="47">
        <f>IF(ISNUMBER(expected_production[[#This Row],[Commissioned Date]]),MAX(0,(expected_production[[#This Row],[Date]]-expected_production[[#This Row],[Commissioned Date]])/365.25),"")</f>
        <v>4.5585215605749489</v>
      </c>
      <c r="F1154" s="49">
        <f>IF(expected_production[[#This Row],[Age (yrs)]]="",1,(1-DegradationRate)^expected_production[[#This Row],[Age (yrs)]])</f>
        <v>0.96848541206912164</v>
      </c>
      <c r="G1154" s="52">
        <f>IF(expected_production[[#This Row],[Base Expected (kWh)]]="","",expected_production[[#This Row],[Base Expected (kWh)]]*expected_production[[#This Row],[Degradation Factor]])</f>
        <v>59151.118178992467</v>
      </c>
    </row>
    <row r="1155" spans="1:7" ht="15" hidden="1" customHeight="1" x14ac:dyDescent="0.3">
      <c r="A1155" t="s">
        <v>127</v>
      </c>
      <c r="B1155" s="2">
        <v>45292</v>
      </c>
      <c r="C1155" s="52">
        <v>15870.6</v>
      </c>
      <c r="D1155" s="48">
        <f>_xlfn.XLOOKUP(expected_production[[#This Row],[Site Name]],Table1[[Site Name ]],Table1[Commisioned Date],"")</f>
        <v>45399</v>
      </c>
      <c r="E1155" s="47">
        <f>IF(ISNUMBER(expected_production[[#This Row],[Commissioned Date]]),MAX(0,(expected_production[[#This Row],[Date]]-expected_production[[#This Row],[Commissioned Date]])/365.25),"")</f>
        <v>0</v>
      </c>
      <c r="F1155" s="49">
        <f>IF(expected_production[[#This Row],[Age (yrs)]]="",1,(1-DegradationRate)^expected_production[[#This Row],[Age (yrs)]])</f>
        <v>1</v>
      </c>
      <c r="G1155" s="52">
        <f>IF(expected_production[[#This Row],[Base Expected (kWh)]]="","",expected_production[[#This Row],[Base Expected (kWh)]]*expected_production[[#This Row],[Degradation Factor]])</f>
        <v>15870.6</v>
      </c>
    </row>
    <row r="1156" spans="1:7" ht="15" hidden="1" customHeight="1" x14ac:dyDescent="0.3">
      <c r="A1156" t="s">
        <v>127</v>
      </c>
      <c r="B1156" s="2">
        <v>45323</v>
      </c>
      <c r="C1156" s="52">
        <v>14825.7</v>
      </c>
      <c r="D1156" s="48">
        <f>_xlfn.XLOOKUP(expected_production[[#This Row],[Site Name]],Table1[[Site Name ]],Table1[Commisioned Date],"")</f>
        <v>45399</v>
      </c>
      <c r="E1156" s="47">
        <f>IF(ISNUMBER(expected_production[[#This Row],[Commissioned Date]]),MAX(0,(expected_production[[#This Row],[Date]]-expected_production[[#This Row],[Commissioned Date]])/365.25),"")</f>
        <v>0</v>
      </c>
      <c r="F1156" s="49">
        <f>IF(expected_production[[#This Row],[Age (yrs)]]="",1,(1-DegradationRate)^expected_production[[#This Row],[Age (yrs)]])</f>
        <v>1</v>
      </c>
      <c r="G1156" s="52">
        <f>IF(expected_production[[#This Row],[Base Expected (kWh)]]="","",expected_production[[#This Row],[Base Expected (kWh)]]*expected_production[[#This Row],[Degradation Factor]])</f>
        <v>14825.7</v>
      </c>
    </row>
    <row r="1157" spans="1:7" ht="15" hidden="1" customHeight="1" x14ac:dyDescent="0.3">
      <c r="A1157" t="s">
        <v>127</v>
      </c>
      <c r="B1157" s="2">
        <v>45352</v>
      </c>
      <c r="C1157" s="52">
        <v>17314.2</v>
      </c>
      <c r="D1157" s="48">
        <f>_xlfn.XLOOKUP(expected_production[[#This Row],[Site Name]],Table1[[Site Name ]],Table1[Commisioned Date],"")</f>
        <v>45399</v>
      </c>
      <c r="E1157" s="47">
        <f>IF(ISNUMBER(expected_production[[#This Row],[Commissioned Date]]),MAX(0,(expected_production[[#This Row],[Date]]-expected_production[[#This Row],[Commissioned Date]])/365.25),"")</f>
        <v>0</v>
      </c>
      <c r="F1157" s="49">
        <f>IF(expected_production[[#This Row],[Age (yrs)]]="",1,(1-DegradationRate)^expected_production[[#This Row],[Age (yrs)]])</f>
        <v>1</v>
      </c>
      <c r="G1157" s="52">
        <f>IF(expected_production[[#This Row],[Base Expected (kWh)]]="","",expected_production[[#This Row],[Base Expected (kWh)]]*expected_production[[#This Row],[Degradation Factor]])</f>
        <v>17314.2</v>
      </c>
    </row>
    <row r="1158" spans="1:7" ht="15" hidden="1" customHeight="1" x14ac:dyDescent="0.3">
      <c r="A1158" t="s">
        <v>127</v>
      </c>
      <c r="B1158" s="2">
        <v>45383</v>
      </c>
      <c r="C1158" s="52">
        <v>15358.5</v>
      </c>
      <c r="D1158" s="48">
        <f>_xlfn.XLOOKUP(expected_production[[#This Row],[Site Name]],Table1[[Site Name ]],Table1[Commisioned Date],"")</f>
        <v>45399</v>
      </c>
      <c r="E1158" s="47">
        <f>IF(ISNUMBER(expected_production[[#This Row],[Commissioned Date]]),MAX(0,(expected_production[[#This Row],[Date]]-expected_production[[#This Row],[Commissioned Date]])/365.25),"")</f>
        <v>0</v>
      </c>
      <c r="F1158" s="49">
        <f>IF(expected_production[[#This Row],[Age (yrs)]]="",1,(1-DegradationRate)^expected_production[[#This Row],[Age (yrs)]])</f>
        <v>1</v>
      </c>
      <c r="G1158" s="52">
        <f>IF(expected_production[[#This Row],[Base Expected (kWh)]]="","",expected_production[[#This Row],[Base Expected (kWh)]]*expected_production[[#This Row],[Degradation Factor]])</f>
        <v>15358.5</v>
      </c>
    </row>
    <row r="1159" spans="1:7" ht="15" hidden="1" customHeight="1" x14ac:dyDescent="0.3">
      <c r="A1159" t="s">
        <v>127</v>
      </c>
      <c r="B1159" s="2">
        <v>45413</v>
      </c>
      <c r="C1159" s="52">
        <v>15197.4</v>
      </c>
      <c r="D1159" s="48">
        <f>_xlfn.XLOOKUP(expected_production[[#This Row],[Site Name]],Table1[[Site Name ]],Table1[Commisioned Date],"")</f>
        <v>45399</v>
      </c>
      <c r="E1159" s="47">
        <f>IF(ISNUMBER(expected_production[[#This Row],[Commissioned Date]]),MAX(0,(expected_production[[#This Row],[Date]]-expected_production[[#This Row],[Commissioned Date]])/365.25),"")</f>
        <v>3.8329911019849415E-2</v>
      </c>
      <c r="F1159" s="49">
        <f>IF(expected_production[[#This Row],[Age (yrs)]]="",1,(1-DegradationRate)^expected_production[[#This Row],[Age (yrs)]])</f>
        <v>0.99973078337981713</v>
      </c>
      <c r="G1159" s="52">
        <f>IF(expected_production[[#This Row],[Base Expected (kWh)]]="","",expected_production[[#This Row],[Base Expected (kWh)]]*expected_production[[#This Row],[Degradation Factor]])</f>
        <v>15193.308607336432</v>
      </c>
    </row>
    <row r="1160" spans="1:7" ht="15" hidden="1" customHeight="1" x14ac:dyDescent="0.3">
      <c r="A1160" t="s">
        <v>127</v>
      </c>
      <c r="B1160" s="2">
        <v>45444</v>
      </c>
      <c r="C1160" s="52">
        <v>14489.1</v>
      </c>
      <c r="D1160" s="48">
        <f>_xlfn.XLOOKUP(expected_production[[#This Row],[Site Name]],Table1[[Site Name ]],Table1[Commisioned Date],"")</f>
        <v>45399</v>
      </c>
      <c r="E1160" s="47">
        <f>IF(ISNUMBER(expected_production[[#This Row],[Commissioned Date]]),MAX(0,(expected_production[[#This Row],[Date]]-expected_production[[#This Row],[Commissioned Date]])/365.25),"")</f>
        <v>0.12320328542094455</v>
      </c>
      <c r="F1160" s="49">
        <f>IF(expected_production[[#This Row],[Age (yrs)]]="",1,(1-DegradationRate)^expected_production[[#This Row],[Age (yrs)]])</f>
        <v>0.9991349187596642</v>
      </c>
      <c r="G1160" s="52">
        <f>IF(expected_production[[#This Row],[Base Expected (kWh)]]="","",expected_production[[#This Row],[Base Expected (kWh)]]*expected_production[[#This Row],[Degradation Factor]])</f>
        <v>14476.565751400651</v>
      </c>
    </row>
    <row r="1161" spans="1:7" ht="15" hidden="1" customHeight="1" x14ac:dyDescent="0.3">
      <c r="A1161" t="s">
        <v>127</v>
      </c>
      <c r="B1161" s="2">
        <v>45474</v>
      </c>
      <c r="C1161" s="52">
        <v>15390.9</v>
      </c>
      <c r="D1161" s="48">
        <f>_xlfn.XLOOKUP(expected_production[[#This Row],[Site Name]],Table1[[Site Name ]],Table1[Commisioned Date],"")</f>
        <v>45399</v>
      </c>
      <c r="E1161" s="47">
        <f>IF(ISNUMBER(expected_production[[#This Row],[Commissioned Date]]),MAX(0,(expected_production[[#This Row],[Date]]-expected_production[[#This Row],[Commissioned Date]])/365.25),"")</f>
        <v>0.20533880903490759</v>
      </c>
      <c r="F1161" s="49">
        <f>IF(expected_production[[#This Row],[Age (yrs)]]="",1,(1-DegradationRate)^expected_production[[#This Row],[Age (yrs)]])</f>
        <v>0.99855861373138821</v>
      </c>
      <c r="G1161" s="52">
        <f>IF(expected_production[[#This Row],[Base Expected (kWh)]]="","",expected_production[[#This Row],[Base Expected (kWh)]]*expected_production[[#This Row],[Degradation Factor]])</f>
        <v>15368.715768078422</v>
      </c>
    </row>
    <row r="1162" spans="1:7" ht="15" hidden="1" customHeight="1" x14ac:dyDescent="0.3">
      <c r="A1162" t="s">
        <v>127</v>
      </c>
      <c r="B1162" s="2">
        <v>45505</v>
      </c>
      <c r="C1162" s="52">
        <v>15613.2</v>
      </c>
      <c r="D1162" s="48">
        <f>_xlfn.XLOOKUP(expected_production[[#This Row],[Site Name]],Table1[[Site Name ]],Table1[Commisioned Date],"")</f>
        <v>45399</v>
      </c>
      <c r="E1162" s="47">
        <f>IF(ISNUMBER(expected_production[[#This Row],[Commissioned Date]]),MAX(0,(expected_production[[#This Row],[Date]]-expected_production[[#This Row],[Commissioned Date]])/365.25),"")</f>
        <v>0.29021218343600275</v>
      </c>
      <c r="F1162" s="49">
        <f>IF(expected_production[[#This Row],[Age (yrs)]]="",1,(1-DegradationRate)^expected_production[[#This Row],[Age (yrs)]])</f>
        <v>0.9979634477537439</v>
      </c>
      <c r="G1162" s="52">
        <f>IF(expected_production[[#This Row],[Base Expected (kWh)]]="","",expected_production[[#This Row],[Base Expected (kWh)]]*expected_production[[#This Row],[Degradation Factor]])</f>
        <v>15581.402902468755</v>
      </c>
    </row>
    <row r="1163" spans="1:7" ht="15" hidden="1" customHeight="1" x14ac:dyDescent="0.3">
      <c r="A1163" t="s">
        <v>127</v>
      </c>
      <c r="B1163" s="2">
        <v>45536</v>
      </c>
      <c r="C1163" s="52">
        <v>15191.1</v>
      </c>
      <c r="D1163" s="48">
        <f>_xlfn.XLOOKUP(expected_production[[#This Row],[Site Name]],Table1[[Site Name ]],Table1[Commisioned Date],"")</f>
        <v>45399</v>
      </c>
      <c r="E1163" s="47">
        <f>IF(ISNUMBER(expected_production[[#This Row],[Commissioned Date]]),MAX(0,(expected_production[[#This Row],[Date]]-expected_production[[#This Row],[Commissioned Date]])/365.25),"")</f>
        <v>0.3750855578370979</v>
      </c>
      <c r="F1163" s="49">
        <f>IF(expected_production[[#This Row],[Age (yrs)]]="",1,(1-DegradationRate)^expected_production[[#This Row],[Age (yrs)]])</f>
        <v>0.99736863650994889</v>
      </c>
      <c r="G1163" s="52">
        <f>IF(expected_production[[#This Row],[Base Expected (kWh)]]="","",expected_production[[#This Row],[Base Expected (kWh)]]*expected_production[[#This Row],[Degradation Factor]])</f>
        <v>15151.126694086284</v>
      </c>
    </row>
    <row r="1164" spans="1:7" ht="15" hidden="1" customHeight="1" x14ac:dyDescent="0.3">
      <c r="A1164" t="s">
        <v>127</v>
      </c>
      <c r="B1164" s="2">
        <v>45566</v>
      </c>
      <c r="C1164" s="52">
        <v>14349.6</v>
      </c>
      <c r="D1164" s="48">
        <f>_xlfn.XLOOKUP(expected_production[[#This Row],[Site Name]],Table1[[Site Name ]],Table1[Commisioned Date],"")</f>
        <v>45399</v>
      </c>
      <c r="E1164" s="47">
        <f>IF(ISNUMBER(expected_production[[#This Row],[Commissioned Date]]),MAX(0,(expected_production[[#This Row],[Date]]-expected_production[[#This Row],[Commissioned Date]])/365.25),"")</f>
        <v>0.45722108145106094</v>
      </c>
      <c r="F1164" s="49">
        <f>IF(expected_production[[#This Row],[Age (yrs)]]="",1,(1-DegradationRate)^expected_production[[#This Row],[Age (yrs)]])</f>
        <v>0.99679335028035843</v>
      </c>
      <c r="G1164" s="52">
        <f>IF(expected_production[[#This Row],[Base Expected (kWh)]]="","",expected_production[[#This Row],[Base Expected (kWh)]]*expected_production[[#This Row],[Degradation Factor]])</f>
        <v>14303.585859183031</v>
      </c>
    </row>
    <row r="1165" spans="1:7" ht="15" hidden="1" customHeight="1" x14ac:dyDescent="0.3">
      <c r="A1165" t="s">
        <v>127</v>
      </c>
      <c r="B1165" s="2">
        <v>45597</v>
      </c>
      <c r="C1165" s="52">
        <v>13257.9</v>
      </c>
      <c r="D1165" s="48">
        <f>_xlfn.XLOOKUP(expected_production[[#This Row],[Site Name]],Table1[[Site Name ]],Table1[Commisioned Date],"")</f>
        <v>45399</v>
      </c>
      <c r="E1165" s="47">
        <f>IF(ISNUMBER(expected_production[[#This Row],[Commissioned Date]]),MAX(0,(expected_production[[#This Row],[Date]]-expected_production[[#This Row],[Commissioned Date]])/365.25),"")</f>
        <v>0.5420944558521561</v>
      </c>
      <c r="F1165" s="49">
        <f>IF(expected_production[[#This Row],[Age (yrs)]]="",1,(1-DegradationRate)^expected_production[[#This Row],[Age (yrs)]])</f>
        <v>0.99619923644400366</v>
      </c>
      <c r="G1165" s="52">
        <f>IF(expected_production[[#This Row],[Base Expected (kWh)]]="","",expected_production[[#This Row],[Base Expected (kWh)]]*expected_production[[#This Row],[Degradation Factor]])</f>
        <v>13207.509856850957</v>
      </c>
    </row>
    <row r="1166" spans="1:7" ht="15" hidden="1" customHeight="1" x14ac:dyDescent="0.3">
      <c r="A1166" t="s">
        <v>127</v>
      </c>
      <c r="B1166" s="2">
        <v>45627</v>
      </c>
      <c r="C1166" s="52">
        <v>13839.3</v>
      </c>
      <c r="D1166" s="48">
        <f>_xlfn.XLOOKUP(expected_production[[#This Row],[Site Name]],Table1[[Site Name ]],Table1[Commisioned Date],"")</f>
        <v>45399</v>
      </c>
      <c r="E1166" s="47">
        <f>IF(ISNUMBER(expected_production[[#This Row],[Commissioned Date]]),MAX(0,(expected_production[[#This Row],[Date]]-expected_production[[#This Row],[Commissioned Date]])/365.25),"")</f>
        <v>0.62422997946611913</v>
      </c>
      <c r="F1166" s="49">
        <f>IF(expected_production[[#This Row],[Age (yrs)]]="",1,(1-DegradationRate)^expected_production[[#This Row],[Age (yrs)]])</f>
        <v>0.99562462472906121</v>
      </c>
      <c r="G1166" s="52">
        <f>IF(expected_production[[#This Row],[Base Expected (kWh)]]="","",expected_production[[#This Row],[Base Expected (kWh)]]*expected_production[[#This Row],[Degradation Factor]])</f>
        <v>13778.747869012896</v>
      </c>
    </row>
    <row r="1167" spans="1:7" ht="15" hidden="1" customHeight="1" x14ac:dyDescent="0.3">
      <c r="A1167" t="s">
        <v>127</v>
      </c>
      <c r="B1167" s="2">
        <v>45658</v>
      </c>
      <c r="C1167" s="52">
        <v>15870.6</v>
      </c>
      <c r="D1167" s="48">
        <f>_xlfn.XLOOKUP(expected_production[[#This Row],[Site Name]],Table1[[Site Name ]],Table1[Commisioned Date],"")</f>
        <v>45399</v>
      </c>
      <c r="E1167" s="47">
        <f>IF(ISNUMBER(expected_production[[#This Row],[Commissioned Date]]),MAX(0,(expected_production[[#This Row],[Date]]-expected_production[[#This Row],[Commissioned Date]])/365.25),"")</f>
        <v>0.70910335386721424</v>
      </c>
      <c r="F1167" s="49">
        <f>IF(expected_production[[#This Row],[Age (yrs)]]="",1,(1-DegradationRate)^expected_production[[#This Row],[Age (yrs)]])</f>
        <v>0.99503120748244667</v>
      </c>
      <c r="G1167" s="52">
        <f>IF(expected_production[[#This Row],[Base Expected (kWh)]]="","",expected_production[[#This Row],[Base Expected (kWh)]]*expected_production[[#This Row],[Degradation Factor]])</f>
        <v>15791.742281470919</v>
      </c>
    </row>
    <row r="1168" spans="1:7" ht="15" hidden="1" customHeight="1" x14ac:dyDescent="0.3">
      <c r="A1168" t="s">
        <v>127</v>
      </c>
      <c r="B1168" s="2">
        <v>45689</v>
      </c>
      <c r="C1168" s="52">
        <v>14825.7</v>
      </c>
      <c r="D1168" s="48">
        <f>_xlfn.XLOOKUP(expected_production[[#This Row],[Site Name]],Table1[[Site Name ]],Table1[Commisioned Date],"")</f>
        <v>45399</v>
      </c>
      <c r="E1168" s="47">
        <f>IF(ISNUMBER(expected_production[[#This Row],[Commissioned Date]]),MAX(0,(expected_production[[#This Row],[Date]]-expected_production[[#This Row],[Commissioned Date]])/365.25),"")</f>
        <v>0.79397672826830934</v>
      </c>
      <c r="F1168" s="49">
        <f>IF(expected_production[[#This Row],[Age (yrs)]]="",1,(1-DegradationRate)^expected_production[[#This Row],[Age (yrs)]])</f>
        <v>0.99443814392739405</v>
      </c>
      <c r="G1168" s="52">
        <f>IF(expected_production[[#This Row],[Base Expected (kWh)]]="","",expected_production[[#This Row],[Base Expected (kWh)]]*expected_production[[#This Row],[Degradation Factor]])</f>
        <v>14743.241590424366</v>
      </c>
    </row>
    <row r="1169" spans="1:7" ht="15" hidden="1" customHeight="1" x14ac:dyDescent="0.3">
      <c r="A1169" t="s">
        <v>127</v>
      </c>
      <c r="B1169" s="2">
        <v>45717</v>
      </c>
      <c r="C1169" s="52">
        <v>17314.2</v>
      </c>
      <c r="D1169" s="48">
        <f>_xlfn.XLOOKUP(expected_production[[#This Row],[Site Name]],Table1[[Site Name ]],Table1[Commisioned Date],"")</f>
        <v>45399</v>
      </c>
      <c r="E1169" s="47">
        <f>IF(ISNUMBER(expected_production[[#This Row],[Commissioned Date]]),MAX(0,(expected_production[[#This Row],[Date]]-expected_production[[#This Row],[Commissioned Date]])/365.25),"")</f>
        <v>0.87063655030800824</v>
      </c>
      <c r="F1169" s="49">
        <f>IF(expected_production[[#This Row],[Age (yrs)]]="",1,(1-DegradationRate)^expected_production[[#This Row],[Age (yrs)]])</f>
        <v>0.99390277744969457</v>
      </c>
      <c r="G1169" s="52">
        <f>IF(expected_production[[#This Row],[Base Expected (kWh)]]="","",expected_production[[#This Row],[Base Expected (kWh)]]*expected_production[[#This Row],[Degradation Factor]])</f>
        <v>17208.631469319502</v>
      </c>
    </row>
    <row r="1170" spans="1:7" ht="15" hidden="1" customHeight="1" x14ac:dyDescent="0.3">
      <c r="A1170" t="s">
        <v>127</v>
      </c>
      <c r="B1170" s="2">
        <v>45748</v>
      </c>
      <c r="C1170" s="52">
        <v>15358.5</v>
      </c>
      <c r="D1170" s="48">
        <f>_xlfn.XLOOKUP(expected_production[[#This Row],[Site Name]],Table1[[Site Name ]],Table1[Commisioned Date],"")</f>
        <v>45399</v>
      </c>
      <c r="E1170" s="47">
        <f>IF(ISNUMBER(expected_production[[#This Row],[Commissioned Date]]),MAX(0,(expected_production[[#This Row],[Date]]-expected_production[[#This Row],[Commissioned Date]])/365.25),"")</f>
        <v>0.95550992470910334</v>
      </c>
      <c r="F1170" s="49">
        <f>IF(expected_production[[#This Row],[Age (yrs)]]="",1,(1-DegradationRate)^expected_production[[#This Row],[Age (yrs)]])</f>
        <v>0.99331038646724257</v>
      </c>
      <c r="G1170" s="52">
        <f>IF(expected_production[[#This Row],[Base Expected (kWh)]]="","",expected_production[[#This Row],[Base Expected (kWh)]]*expected_production[[#This Row],[Degradation Factor]])</f>
        <v>15255.757570557145</v>
      </c>
    </row>
    <row r="1171" spans="1:7" ht="15" hidden="1" customHeight="1" x14ac:dyDescent="0.3">
      <c r="A1171" t="s">
        <v>127</v>
      </c>
      <c r="B1171" s="2">
        <v>45778</v>
      </c>
      <c r="C1171" s="52">
        <v>15197.4</v>
      </c>
      <c r="D1171" s="48">
        <f>_xlfn.XLOOKUP(expected_production[[#This Row],[Site Name]],Table1[[Site Name ]],Table1[Commisioned Date],"")</f>
        <v>45399</v>
      </c>
      <c r="E1171" s="47">
        <f>IF(ISNUMBER(expected_production[[#This Row],[Commissioned Date]]),MAX(0,(expected_production[[#This Row],[Date]]-expected_production[[#This Row],[Commissioned Date]])/365.25),"")</f>
        <v>1.0376454483230664</v>
      </c>
      <c r="F1171" s="49">
        <f>IF(expected_production[[#This Row],[Age (yrs)]]="",1,(1-DegradationRate)^expected_production[[#This Row],[Age (yrs)]])</f>
        <v>0.99273744105255268</v>
      </c>
      <c r="G1171" s="52">
        <f>IF(expected_production[[#This Row],[Base Expected (kWh)]]="","",expected_production[[#This Row],[Base Expected (kWh)]]*expected_production[[#This Row],[Degradation Factor]])</f>
        <v>15087.027986652063</v>
      </c>
    </row>
    <row r="1172" spans="1:7" ht="15" hidden="1" customHeight="1" x14ac:dyDescent="0.3">
      <c r="A1172" t="s">
        <v>127</v>
      </c>
      <c r="B1172" s="2">
        <v>45809</v>
      </c>
      <c r="C1172" s="52">
        <v>14489.1</v>
      </c>
      <c r="D1172" s="48">
        <f>_xlfn.XLOOKUP(expected_production[[#This Row],[Site Name]],Table1[[Site Name ]],Table1[Commisioned Date],"")</f>
        <v>45399</v>
      </c>
      <c r="E1172" s="47">
        <f>IF(ISNUMBER(expected_production[[#This Row],[Commissioned Date]]),MAX(0,(expected_production[[#This Row],[Date]]-expected_production[[#This Row],[Commissioned Date]])/365.25),"")</f>
        <v>1.1225188227241616</v>
      </c>
      <c r="F1172" s="49">
        <f>IF(expected_production[[#This Row],[Age (yrs)]]="",1,(1-DegradationRate)^expected_production[[#This Row],[Age (yrs)]])</f>
        <v>0.99214574463981997</v>
      </c>
      <c r="G1172" s="52">
        <f>IF(expected_production[[#This Row],[Base Expected (kWh)]]="","",expected_production[[#This Row],[Base Expected (kWh)]]*expected_production[[#This Row],[Degradation Factor]])</f>
        <v>14375.298908660816</v>
      </c>
    </row>
    <row r="1173" spans="1:7" ht="15" hidden="1" customHeight="1" x14ac:dyDescent="0.3">
      <c r="A1173" t="s">
        <v>127</v>
      </c>
      <c r="B1173" s="2">
        <v>45839</v>
      </c>
      <c r="C1173" s="52">
        <v>15390.9</v>
      </c>
      <c r="D1173" s="48">
        <f>_xlfn.XLOOKUP(expected_production[[#This Row],[Site Name]],Table1[[Site Name ]],Table1[Commisioned Date],"")</f>
        <v>45399</v>
      </c>
      <c r="E1173" s="47">
        <f>IF(ISNUMBER(expected_production[[#This Row],[Commissioned Date]]),MAX(0,(expected_production[[#This Row],[Date]]-expected_production[[#This Row],[Commissioned Date]])/365.25),"")</f>
        <v>1.2046543463381245</v>
      </c>
      <c r="F1173" s="49">
        <f>IF(expected_production[[#This Row],[Age (yrs)]]="",1,(1-DegradationRate)^expected_production[[#This Row],[Age (yrs)]])</f>
        <v>0.9915734709952071</v>
      </c>
      <c r="G1173" s="52">
        <f>IF(expected_production[[#This Row],[Base Expected (kWh)]]="","",expected_production[[#This Row],[Base Expected (kWh)]]*expected_production[[#This Row],[Degradation Factor]])</f>
        <v>15261.208134740133</v>
      </c>
    </row>
    <row r="1174" spans="1:7" ht="15" hidden="1" customHeight="1" x14ac:dyDescent="0.3">
      <c r="A1174" t="s">
        <v>127</v>
      </c>
      <c r="B1174" s="2">
        <v>45870</v>
      </c>
      <c r="C1174" s="52">
        <v>15613.2</v>
      </c>
      <c r="D1174" s="48">
        <f>_xlfn.XLOOKUP(expected_production[[#This Row],[Site Name]],Table1[[Site Name ]],Table1[Commisioned Date],"")</f>
        <v>45399</v>
      </c>
      <c r="E1174" s="47">
        <f>IF(ISNUMBER(expected_production[[#This Row],[Commissioned Date]]),MAX(0,(expected_production[[#This Row],[Date]]-expected_production[[#This Row],[Commissioned Date]])/365.25),"")</f>
        <v>1.2895277207392197</v>
      </c>
      <c r="F1174" s="49">
        <f>IF(expected_production[[#This Row],[Age (yrs)]]="",1,(1-DegradationRate)^expected_production[[#This Row],[Age (yrs)]])</f>
        <v>0.990982468337821</v>
      </c>
      <c r="G1174" s="52">
        <f>IF(expected_production[[#This Row],[Base Expected (kWh)]]="","",expected_production[[#This Row],[Base Expected (kWh)]]*expected_production[[#This Row],[Degradation Factor]])</f>
        <v>15472.407474652067</v>
      </c>
    </row>
    <row r="1175" spans="1:7" ht="15" hidden="1" customHeight="1" x14ac:dyDescent="0.3">
      <c r="A1175" t="s">
        <v>127</v>
      </c>
      <c r="B1175" s="2">
        <v>45901</v>
      </c>
      <c r="C1175" s="52">
        <v>15191.1</v>
      </c>
      <c r="D1175" s="48">
        <f>_xlfn.XLOOKUP(expected_production[[#This Row],[Site Name]],Table1[[Site Name ]],Table1[Commisioned Date],"")</f>
        <v>45399</v>
      </c>
      <c r="E1175" s="47">
        <f>IF(ISNUMBER(expected_production[[#This Row],[Commissioned Date]]),MAX(0,(expected_production[[#This Row],[Date]]-expected_production[[#This Row],[Commissioned Date]])/365.25),"")</f>
        <v>1.3744010951403149</v>
      </c>
      <c r="F1175" s="49">
        <f>IF(expected_production[[#This Row],[Age (yrs)]]="",1,(1-DegradationRate)^expected_production[[#This Row],[Age (yrs)]])</f>
        <v>0.99039181793284092</v>
      </c>
      <c r="G1175" s="52">
        <f>IF(expected_production[[#This Row],[Base Expected (kWh)]]="","",expected_production[[#This Row],[Base Expected (kWh)]]*expected_production[[#This Row],[Degradation Factor]])</f>
        <v>15045.141145399581</v>
      </c>
    </row>
    <row r="1176" spans="1:7" ht="15" hidden="1" customHeight="1" x14ac:dyDescent="0.3">
      <c r="A1176" t="s">
        <v>127</v>
      </c>
      <c r="B1176" s="2">
        <v>45931</v>
      </c>
      <c r="C1176" s="52">
        <v>14349.6</v>
      </c>
      <c r="D1176" s="48">
        <f>_xlfn.XLOOKUP(expected_production[[#This Row],[Site Name]],Table1[[Site Name ]],Table1[Commisioned Date],"")</f>
        <v>45399</v>
      </c>
      <c r="E1176" s="47">
        <f>IF(ISNUMBER(expected_production[[#This Row],[Commissioned Date]]),MAX(0,(expected_production[[#This Row],[Date]]-expected_production[[#This Row],[Commissioned Date]])/365.25),"")</f>
        <v>1.4565366187542779</v>
      </c>
      <c r="F1176" s="49">
        <f>IF(expected_production[[#This Row],[Age (yrs)]]="",1,(1-DegradationRate)^expected_production[[#This Row],[Age (yrs)]])</f>
        <v>0.98982055596018703</v>
      </c>
      <c r="G1176" s="52">
        <f>IF(expected_production[[#This Row],[Base Expected (kWh)]]="","",expected_production[[#This Row],[Base Expected (kWh)]]*expected_production[[#This Row],[Degradation Factor]])</f>
        <v>14203.5290498063</v>
      </c>
    </row>
    <row r="1177" spans="1:7" ht="15" hidden="1" customHeight="1" x14ac:dyDescent="0.3">
      <c r="A1177" t="s">
        <v>127</v>
      </c>
      <c r="B1177" s="2">
        <v>45962</v>
      </c>
      <c r="C1177" s="52">
        <v>13257.9</v>
      </c>
      <c r="D1177" s="48">
        <f>_xlfn.XLOOKUP(expected_production[[#This Row],[Site Name]],Table1[[Site Name ]],Table1[Commisioned Date],"")</f>
        <v>45399</v>
      </c>
      <c r="E1177" s="47">
        <f>IF(ISNUMBER(expected_production[[#This Row],[Commissioned Date]]),MAX(0,(expected_production[[#This Row],[Date]]-expected_production[[#This Row],[Commissioned Date]])/365.25),"")</f>
        <v>1.5414099931553731</v>
      </c>
      <c r="F1177" s="49">
        <f>IF(expected_production[[#This Row],[Age (yrs)]]="",1,(1-DegradationRate)^expected_production[[#This Row],[Age (yrs)]])</f>
        <v>0.98923059808412483</v>
      </c>
      <c r="G1177" s="52">
        <f>IF(expected_production[[#This Row],[Base Expected (kWh)]]="","",expected_production[[#This Row],[Base Expected (kWh)]]*expected_production[[#This Row],[Degradation Factor]])</f>
        <v>13115.120346339518</v>
      </c>
    </row>
    <row r="1178" spans="1:7" ht="15" hidden="1" customHeight="1" x14ac:dyDescent="0.3">
      <c r="A1178" t="s">
        <v>127</v>
      </c>
      <c r="B1178" s="2">
        <v>45992</v>
      </c>
      <c r="C1178" s="52">
        <v>13839.3</v>
      </c>
      <c r="D1178" s="48">
        <f>_xlfn.XLOOKUP(expected_production[[#This Row],[Site Name]],Table1[[Site Name ]],Table1[Commisioned Date],"")</f>
        <v>45399</v>
      </c>
      <c r="E1178" s="47">
        <f>IF(ISNUMBER(expected_production[[#This Row],[Commissioned Date]]),MAX(0,(expected_production[[#This Row],[Date]]-expected_production[[#This Row],[Commissioned Date]])/365.25),"")</f>
        <v>1.623545516769336</v>
      </c>
      <c r="F1178" s="49">
        <f>IF(expected_production[[#This Row],[Age (yrs)]]="",1,(1-DegradationRate)^expected_production[[#This Row],[Age (yrs)]])</f>
        <v>0.98866000590773684</v>
      </c>
      <c r="G1178" s="52">
        <f>IF(expected_production[[#This Row],[Base Expected (kWh)]]="","",expected_production[[#This Row],[Base Expected (kWh)]]*expected_production[[#This Row],[Degradation Factor]])</f>
        <v>13682.362419758942</v>
      </c>
    </row>
    <row r="1179" spans="1:7" ht="15" hidden="1" customHeight="1" x14ac:dyDescent="0.3">
      <c r="A1179" t="s">
        <v>127</v>
      </c>
      <c r="B1179" s="2">
        <v>46023</v>
      </c>
      <c r="C1179" s="52">
        <v>15870.6</v>
      </c>
      <c r="D1179" s="48">
        <f>_xlfn.XLOOKUP(expected_production[[#This Row],[Site Name]],Table1[[Site Name ]],Table1[Commisioned Date],"")</f>
        <v>45399</v>
      </c>
      <c r="E1179" s="47">
        <f>IF(ISNUMBER(expected_production[[#This Row],[Commissioned Date]]),MAX(0,(expected_production[[#This Row],[Date]]-expected_production[[#This Row],[Commissioned Date]])/365.25),"")</f>
        <v>1.7084188911704312</v>
      </c>
      <c r="F1179" s="49">
        <f>IF(expected_production[[#This Row],[Age (yrs)]]="",1,(1-DegradationRate)^expected_production[[#This Row],[Age (yrs)]])</f>
        <v>0.98807073974861248</v>
      </c>
      <c r="G1179" s="52">
        <f>IF(expected_production[[#This Row],[Base Expected (kWh)]]="","",expected_production[[#This Row],[Base Expected (kWh)]]*expected_production[[#This Row],[Degradation Factor]])</f>
        <v>15681.27548225433</v>
      </c>
    </row>
    <row r="1180" spans="1:7" ht="15" hidden="1" customHeight="1" x14ac:dyDescent="0.3">
      <c r="A1180" t="s">
        <v>127</v>
      </c>
      <c r="B1180" s="2">
        <v>46054</v>
      </c>
      <c r="C1180" s="52">
        <v>14825.7</v>
      </c>
      <c r="D1180" s="48">
        <f>_xlfn.XLOOKUP(expected_production[[#This Row],[Site Name]],Table1[[Site Name ]],Table1[Commisioned Date],"")</f>
        <v>45399</v>
      </c>
      <c r="E1180" s="47">
        <f>IF(ISNUMBER(expected_production[[#This Row],[Commissioned Date]]),MAX(0,(expected_production[[#This Row],[Date]]-expected_production[[#This Row],[Commissioned Date]])/365.25),"")</f>
        <v>1.7932922655715264</v>
      </c>
      <c r="F1180" s="49">
        <f>IF(expected_production[[#This Row],[Age (yrs)]]="",1,(1-DegradationRate)^expected_production[[#This Row],[Age (yrs)]])</f>
        <v>0.98748182480689783</v>
      </c>
      <c r="G1180" s="52">
        <f>IF(expected_production[[#This Row],[Base Expected (kWh)]]="","",expected_production[[#This Row],[Base Expected (kWh)]]*expected_production[[#This Row],[Degradation Factor]])</f>
        <v>14640.109290039625</v>
      </c>
    </row>
    <row r="1181" spans="1:7" ht="15" hidden="1" customHeight="1" x14ac:dyDescent="0.3">
      <c r="A1181" t="s">
        <v>127</v>
      </c>
      <c r="B1181" s="2">
        <v>46082</v>
      </c>
      <c r="C1181" s="52">
        <v>17314.2</v>
      </c>
      <c r="D1181" s="48">
        <f>_xlfn.XLOOKUP(expected_production[[#This Row],[Site Name]],Table1[[Site Name ]],Table1[Commisioned Date],"")</f>
        <v>45399</v>
      </c>
      <c r="E1181" s="47">
        <f>IF(ISNUMBER(expected_production[[#This Row],[Commissioned Date]]),MAX(0,(expected_production[[#This Row],[Date]]-expected_production[[#This Row],[Commissioned Date]])/365.25),"")</f>
        <v>1.8699520876112252</v>
      </c>
      <c r="F1181" s="49">
        <f>IF(expected_production[[#This Row],[Age (yrs)]]="",1,(1-DegradationRate)^expected_production[[#This Row],[Age (yrs)]])</f>
        <v>0.98695020333846617</v>
      </c>
      <c r="G1181" s="52">
        <f>IF(expected_production[[#This Row],[Base Expected (kWh)]]="","",expected_production[[#This Row],[Base Expected (kWh)]]*expected_production[[#This Row],[Degradation Factor]])</f>
        <v>17088.253210642873</v>
      </c>
    </row>
    <row r="1182" spans="1:7" ht="15" hidden="1" customHeight="1" x14ac:dyDescent="0.3">
      <c r="A1182" t="s">
        <v>127</v>
      </c>
      <c r="B1182" s="2">
        <v>46113</v>
      </c>
      <c r="C1182" s="52">
        <v>15358.5</v>
      </c>
      <c r="D1182" s="48">
        <f>_xlfn.XLOOKUP(expected_production[[#This Row],[Site Name]],Table1[[Site Name ]],Table1[Commisioned Date],"")</f>
        <v>45399</v>
      </c>
      <c r="E1182" s="47">
        <f>IF(ISNUMBER(expected_production[[#This Row],[Commissioned Date]]),MAX(0,(expected_production[[#This Row],[Date]]-expected_production[[#This Row],[Commissioned Date]])/365.25),"")</f>
        <v>1.9548254620123204</v>
      </c>
      <c r="F1182" s="49">
        <f>IF(expected_production[[#This Row],[Age (yrs)]]="",1,(1-DegradationRate)^expected_production[[#This Row],[Age (yrs)]])</f>
        <v>0.98636195626455503</v>
      </c>
      <c r="G1182" s="52">
        <f>IF(expected_production[[#This Row],[Base Expected (kWh)]]="","",expected_production[[#This Row],[Base Expected (kWh)]]*expected_production[[#This Row],[Degradation Factor]])</f>
        <v>15149.040105289168</v>
      </c>
    </row>
    <row r="1183" spans="1:7" ht="15" hidden="1" customHeight="1" x14ac:dyDescent="0.3">
      <c r="A1183" t="s">
        <v>127</v>
      </c>
      <c r="B1183" s="2">
        <v>46143</v>
      </c>
      <c r="C1183" s="52">
        <v>15197.4</v>
      </c>
      <c r="D1183" s="48">
        <f>_xlfn.XLOOKUP(expected_production[[#This Row],[Site Name]],Table1[[Site Name ]],Table1[Commisioned Date],"")</f>
        <v>45399</v>
      </c>
      <c r="E1183" s="47">
        <f>IF(ISNUMBER(expected_production[[#This Row],[Commissioned Date]]),MAX(0,(expected_production[[#This Row],[Date]]-expected_production[[#This Row],[Commissioned Date]])/365.25),"")</f>
        <v>2.0369609856262834</v>
      </c>
      <c r="F1183" s="49">
        <f>IF(expected_production[[#This Row],[Age (yrs)]]="",1,(1-DegradationRate)^expected_production[[#This Row],[Age (yrs)]])</f>
        <v>0.98579301873227354</v>
      </c>
      <c r="G1183" s="52">
        <f>IF(expected_production[[#This Row],[Base Expected (kWh)]]="","",expected_production[[#This Row],[Base Expected (kWh)]]*expected_production[[#This Row],[Degradation Factor]])</f>
        <v>14981.490822881853</v>
      </c>
    </row>
    <row r="1184" spans="1:7" ht="15" hidden="1" customHeight="1" x14ac:dyDescent="0.3">
      <c r="A1184" t="s">
        <v>127</v>
      </c>
      <c r="B1184" s="2">
        <v>46174</v>
      </c>
      <c r="C1184" s="52">
        <v>14489.1</v>
      </c>
      <c r="D1184" s="48">
        <f>_xlfn.XLOOKUP(expected_production[[#This Row],[Site Name]],Table1[[Site Name ]],Table1[Commisioned Date],"")</f>
        <v>45399</v>
      </c>
      <c r="E1184" s="47">
        <f>IF(ISNUMBER(expected_production[[#This Row],[Commissioned Date]]),MAX(0,(expected_production[[#This Row],[Date]]-expected_production[[#This Row],[Commissioned Date]])/365.25),"")</f>
        <v>2.1218343600273784</v>
      </c>
      <c r="F1184" s="49">
        <f>IF(expected_production[[#This Row],[Age (yrs)]]="",1,(1-DegradationRate)^expected_production[[#This Row],[Age (yrs)]])</f>
        <v>0.9852054613694099</v>
      </c>
      <c r="G1184" s="52">
        <f>IF(expected_production[[#This Row],[Base Expected (kWh)]]="","",expected_production[[#This Row],[Base Expected (kWh)]]*expected_production[[#This Row],[Degradation Factor]])</f>
        <v>14274.740450327517</v>
      </c>
    </row>
    <row r="1185" spans="1:7" ht="15" hidden="1" customHeight="1" x14ac:dyDescent="0.3">
      <c r="A1185" t="s">
        <v>127</v>
      </c>
      <c r="B1185" s="2">
        <v>46204</v>
      </c>
      <c r="C1185" s="52">
        <v>15390.9</v>
      </c>
      <c r="D1185" s="48">
        <f>_xlfn.XLOOKUP(expected_production[[#This Row],[Site Name]],Table1[[Site Name ]],Table1[Commisioned Date],"")</f>
        <v>45399</v>
      </c>
      <c r="E1185" s="47">
        <f>IF(ISNUMBER(expected_production[[#This Row],[Commissioned Date]]),MAX(0,(expected_production[[#This Row],[Date]]-expected_production[[#This Row],[Commissioned Date]])/365.25),"")</f>
        <v>2.2039698836413417</v>
      </c>
      <c r="F1185" s="49">
        <f>IF(expected_production[[#This Row],[Age (yrs)]]="",1,(1-DegradationRate)^expected_production[[#This Row],[Age (yrs)]])</f>
        <v>0.98463719090802215</v>
      </c>
      <c r="G1185" s="52">
        <f>IF(expected_production[[#This Row],[Base Expected (kWh)]]="","",expected_production[[#This Row],[Base Expected (kWh)]]*expected_production[[#This Row],[Degradation Factor]])</f>
        <v>15154.452541546278</v>
      </c>
    </row>
    <row r="1186" spans="1:7" ht="15" hidden="1" customHeight="1" x14ac:dyDescent="0.3">
      <c r="A1186" t="s">
        <v>127</v>
      </c>
      <c r="B1186" s="2">
        <v>46235</v>
      </c>
      <c r="C1186" s="52">
        <v>15613.2</v>
      </c>
      <c r="D1186" s="48">
        <f>_xlfn.XLOOKUP(expected_production[[#This Row],[Site Name]],Table1[[Site Name ]],Table1[Commisioned Date],"")</f>
        <v>45399</v>
      </c>
      <c r="E1186" s="47">
        <f>IF(ISNUMBER(expected_production[[#This Row],[Commissioned Date]]),MAX(0,(expected_production[[#This Row],[Date]]-expected_production[[#This Row],[Commissioned Date]])/365.25),"")</f>
        <v>2.2888432580424367</v>
      </c>
      <c r="F1186" s="49">
        <f>IF(expected_production[[#This Row],[Age (yrs)]]="",1,(1-DegradationRate)^expected_production[[#This Row],[Age (yrs)]])</f>
        <v>0.98405032244752988</v>
      </c>
      <c r="G1186" s="52">
        <f>IF(expected_production[[#This Row],[Base Expected (kWh)]]="","",expected_production[[#This Row],[Base Expected (kWh)]]*expected_production[[#This Row],[Degradation Factor]])</f>
        <v>15364.174494437775</v>
      </c>
    </row>
    <row r="1187" spans="1:7" ht="15" hidden="1" customHeight="1" x14ac:dyDescent="0.3">
      <c r="A1187" t="s">
        <v>127</v>
      </c>
      <c r="B1187" s="2">
        <v>46266</v>
      </c>
      <c r="C1187" s="52">
        <v>15191.1</v>
      </c>
      <c r="D1187" s="48">
        <f>_xlfn.XLOOKUP(expected_production[[#This Row],[Site Name]],Table1[[Site Name ]],Table1[Commisioned Date],"")</f>
        <v>45399</v>
      </c>
      <c r="E1187" s="47">
        <f>IF(ISNUMBER(expected_production[[#This Row],[Commissioned Date]]),MAX(0,(expected_production[[#This Row],[Date]]-expected_production[[#This Row],[Commissioned Date]])/365.25),"")</f>
        <v>2.3737166324435317</v>
      </c>
      <c r="F1187" s="49">
        <f>IF(expected_production[[#This Row],[Age (yrs)]]="",1,(1-DegradationRate)^expected_production[[#This Row],[Age (yrs)]])</f>
        <v>0.9834638037753588</v>
      </c>
      <c r="G1187" s="52">
        <f>IF(expected_production[[#This Row],[Base Expected (kWh)]]="","",expected_production[[#This Row],[Base Expected (kWh)]]*expected_production[[#This Row],[Degradation Factor]])</f>
        <v>14939.896989531853</v>
      </c>
    </row>
    <row r="1188" spans="1:7" ht="15" hidden="1" customHeight="1" x14ac:dyDescent="0.3">
      <c r="A1188" t="s">
        <v>127</v>
      </c>
      <c r="B1188" s="2">
        <v>46296</v>
      </c>
      <c r="C1188" s="52">
        <v>14349.6</v>
      </c>
      <c r="D1188" s="48">
        <f>_xlfn.XLOOKUP(expected_production[[#This Row],[Site Name]],Table1[[Site Name ]],Table1[Commisioned Date],"")</f>
        <v>45399</v>
      </c>
      <c r="E1188" s="47">
        <f>IF(ISNUMBER(expected_production[[#This Row],[Commissioned Date]]),MAX(0,(expected_production[[#This Row],[Date]]-expected_production[[#This Row],[Commissioned Date]])/365.25),"")</f>
        <v>2.4558521560574951</v>
      </c>
      <c r="F1188" s="49">
        <f>IF(expected_production[[#This Row],[Age (yrs)]]="",1,(1-DegradationRate)^expected_production[[#This Row],[Age (yrs)]])</f>
        <v>0.9828965379090564</v>
      </c>
      <c r="G1188" s="52">
        <f>IF(expected_production[[#This Row],[Base Expected (kWh)]]="","",expected_production[[#This Row],[Base Expected (kWh)]]*expected_production[[#This Row],[Degradation Factor]])</f>
        <v>14104.172160379796</v>
      </c>
    </row>
    <row r="1189" spans="1:7" ht="15" hidden="1" customHeight="1" x14ac:dyDescent="0.3">
      <c r="A1189" t="s">
        <v>127</v>
      </c>
      <c r="B1189" s="2">
        <v>46327</v>
      </c>
      <c r="C1189" s="52">
        <v>13257.9</v>
      </c>
      <c r="D1189" s="48">
        <f>_xlfn.XLOOKUP(expected_production[[#This Row],[Site Name]],Table1[[Site Name ]],Table1[Commisioned Date],"")</f>
        <v>45399</v>
      </c>
      <c r="E1189" s="47">
        <f>IF(ISNUMBER(expected_production[[#This Row],[Commissioned Date]]),MAX(0,(expected_production[[#This Row],[Date]]-expected_production[[#This Row],[Commissioned Date]])/365.25),"")</f>
        <v>2.5407255304585901</v>
      </c>
      <c r="F1189" s="49">
        <f>IF(expected_production[[#This Row],[Age (yrs)]]="",1,(1-DegradationRate)^expected_production[[#This Row],[Age (yrs)]])</f>
        <v>0.98231070692140721</v>
      </c>
      <c r="G1189" s="52">
        <f>IF(expected_production[[#This Row],[Base Expected (kWh)]]="","",expected_production[[#This Row],[Base Expected (kWh)]]*expected_production[[#This Row],[Degradation Factor]])</f>
        <v>13023.377121293324</v>
      </c>
    </row>
    <row r="1190" spans="1:7" ht="15" hidden="1" customHeight="1" x14ac:dyDescent="0.3">
      <c r="A1190" t="s">
        <v>127</v>
      </c>
      <c r="B1190" s="2">
        <v>46357</v>
      </c>
      <c r="C1190" s="52">
        <v>13839.3</v>
      </c>
      <c r="D1190" s="48">
        <f>_xlfn.XLOOKUP(expected_production[[#This Row],[Site Name]],Table1[[Site Name ]],Table1[Commisioned Date],"")</f>
        <v>45399</v>
      </c>
      <c r="E1190" s="47">
        <f>IF(ISNUMBER(expected_production[[#This Row],[Commissioned Date]]),MAX(0,(expected_production[[#This Row],[Date]]-expected_production[[#This Row],[Commissioned Date]])/365.25),"")</f>
        <v>2.622861054072553</v>
      </c>
      <c r="F1190" s="49">
        <f>IF(expected_production[[#This Row],[Age (yrs)]]="",1,(1-DegradationRate)^expected_production[[#This Row],[Age (yrs)]])</f>
        <v>0.98174410616599472</v>
      </c>
      <c r="G1190" s="52">
        <f>IF(expected_production[[#This Row],[Base Expected (kWh)]]="","",expected_production[[#This Row],[Base Expected (kWh)]]*expected_production[[#This Row],[Degradation Factor]])</f>
        <v>13586.65120846305</v>
      </c>
    </row>
    <row r="1191" spans="1:7" ht="15" hidden="1" customHeight="1" x14ac:dyDescent="0.3">
      <c r="A1191" t="s">
        <v>234</v>
      </c>
      <c r="B1191" s="2">
        <v>45292</v>
      </c>
      <c r="C1191" s="52">
        <v>53361.9</v>
      </c>
      <c r="D1191" s="48">
        <f>_xlfn.XLOOKUP(expected_production[[#This Row],[Site Name]],Table1[[Site Name ]],Table1[Commisioned Date],"")</f>
        <v>45713</v>
      </c>
      <c r="E1191" s="47">
        <f>IF(ISNUMBER(expected_production[[#This Row],[Commissioned Date]]),MAX(0,(expected_production[[#This Row],[Date]]-expected_production[[#This Row],[Commissioned Date]])/365.25),"")</f>
        <v>0</v>
      </c>
      <c r="F1191" s="49">
        <f>IF(expected_production[[#This Row],[Age (yrs)]]="",1,(1-DegradationRate)^expected_production[[#This Row],[Age (yrs)]])</f>
        <v>1</v>
      </c>
      <c r="G1191" s="52">
        <f>IF(expected_production[[#This Row],[Base Expected (kWh)]]="","",expected_production[[#This Row],[Base Expected (kWh)]]*expected_production[[#This Row],[Degradation Factor]])</f>
        <v>53361.9</v>
      </c>
    </row>
    <row r="1192" spans="1:7" ht="15" hidden="1" customHeight="1" x14ac:dyDescent="0.3">
      <c r="A1192" t="s">
        <v>234</v>
      </c>
      <c r="B1192" s="2">
        <v>45323</v>
      </c>
      <c r="C1192" s="52">
        <v>43750.8</v>
      </c>
      <c r="D1192" s="48">
        <f>_xlfn.XLOOKUP(expected_production[[#This Row],[Site Name]],Table1[[Site Name ]],Table1[Commisioned Date],"")</f>
        <v>45713</v>
      </c>
      <c r="E1192" s="47">
        <f>IF(ISNUMBER(expected_production[[#This Row],[Commissioned Date]]),MAX(0,(expected_production[[#This Row],[Date]]-expected_production[[#This Row],[Commissioned Date]])/365.25),"")</f>
        <v>0</v>
      </c>
      <c r="F1192" s="49">
        <f>IF(expected_production[[#This Row],[Age (yrs)]]="",1,(1-DegradationRate)^expected_production[[#This Row],[Age (yrs)]])</f>
        <v>1</v>
      </c>
      <c r="G1192" s="52">
        <f>IF(expected_production[[#This Row],[Base Expected (kWh)]]="","",expected_production[[#This Row],[Base Expected (kWh)]]*expected_production[[#This Row],[Degradation Factor]])</f>
        <v>43750.8</v>
      </c>
    </row>
    <row r="1193" spans="1:7" ht="15" hidden="1" customHeight="1" x14ac:dyDescent="0.3">
      <c r="A1193" t="s">
        <v>234</v>
      </c>
      <c r="B1193" s="2">
        <v>45352</v>
      </c>
      <c r="C1193" s="52">
        <v>40931.1</v>
      </c>
      <c r="D1193" s="48">
        <f>_xlfn.XLOOKUP(expected_production[[#This Row],[Site Name]],Table1[[Site Name ]],Table1[Commisioned Date],"")</f>
        <v>45713</v>
      </c>
      <c r="E1193" s="47">
        <f>IF(ISNUMBER(expected_production[[#This Row],[Commissioned Date]]),MAX(0,(expected_production[[#This Row],[Date]]-expected_production[[#This Row],[Commissioned Date]])/365.25),"")</f>
        <v>0</v>
      </c>
      <c r="F1193" s="49">
        <f>IF(expected_production[[#This Row],[Age (yrs)]]="",1,(1-DegradationRate)^expected_production[[#This Row],[Age (yrs)]])</f>
        <v>1</v>
      </c>
      <c r="G1193" s="52">
        <f>IF(expected_production[[#This Row],[Base Expected (kWh)]]="","",expected_production[[#This Row],[Base Expected (kWh)]]*expected_production[[#This Row],[Degradation Factor]])</f>
        <v>40931.1</v>
      </c>
    </row>
    <row r="1194" spans="1:7" ht="15" hidden="1" customHeight="1" x14ac:dyDescent="0.3">
      <c r="A1194" t="s">
        <v>234</v>
      </c>
      <c r="B1194" s="2">
        <v>45383</v>
      </c>
      <c r="C1194" s="52">
        <v>29080.799999999999</v>
      </c>
      <c r="D1194" s="48">
        <f>_xlfn.XLOOKUP(expected_production[[#This Row],[Site Name]],Table1[[Site Name ]],Table1[Commisioned Date],"")</f>
        <v>45713</v>
      </c>
      <c r="E1194" s="47">
        <f>IF(ISNUMBER(expected_production[[#This Row],[Commissioned Date]]),MAX(0,(expected_production[[#This Row],[Date]]-expected_production[[#This Row],[Commissioned Date]])/365.25),"")</f>
        <v>0</v>
      </c>
      <c r="F1194" s="49">
        <f>IF(expected_production[[#This Row],[Age (yrs)]]="",1,(1-DegradationRate)^expected_production[[#This Row],[Age (yrs)]])</f>
        <v>1</v>
      </c>
      <c r="G1194" s="52">
        <f>IF(expected_production[[#This Row],[Base Expected (kWh)]]="","",expected_production[[#This Row],[Base Expected (kWh)]]*expected_production[[#This Row],[Degradation Factor]])</f>
        <v>29080.799999999999</v>
      </c>
    </row>
    <row r="1195" spans="1:7" ht="15" hidden="1" customHeight="1" x14ac:dyDescent="0.3">
      <c r="A1195" t="s">
        <v>234</v>
      </c>
      <c r="B1195" s="2">
        <v>45413</v>
      </c>
      <c r="C1195" s="52">
        <v>21434.400000000001</v>
      </c>
      <c r="D1195" s="48">
        <f>_xlfn.XLOOKUP(expected_production[[#This Row],[Site Name]],Table1[[Site Name ]],Table1[Commisioned Date],"")</f>
        <v>45713</v>
      </c>
      <c r="E1195" s="47">
        <f>IF(ISNUMBER(expected_production[[#This Row],[Commissioned Date]]),MAX(0,(expected_production[[#This Row],[Date]]-expected_production[[#This Row],[Commissioned Date]])/365.25),"")</f>
        <v>0</v>
      </c>
      <c r="F1195" s="49">
        <f>IF(expected_production[[#This Row],[Age (yrs)]]="",1,(1-DegradationRate)^expected_production[[#This Row],[Age (yrs)]])</f>
        <v>1</v>
      </c>
      <c r="G1195" s="52">
        <f>IF(expected_production[[#This Row],[Base Expected (kWh)]]="","",expected_production[[#This Row],[Base Expected (kWh)]]*expected_production[[#This Row],[Degradation Factor]])</f>
        <v>21434.400000000001</v>
      </c>
    </row>
    <row r="1196" spans="1:7" ht="15" hidden="1" customHeight="1" x14ac:dyDescent="0.3">
      <c r="A1196" t="s">
        <v>234</v>
      </c>
      <c r="B1196" s="2">
        <v>45444</v>
      </c>
      <c r="C1196" s="52">
        <v>17483.400000000001</v>
      </c>
      <c r="D1196" s="48">
        <f>_xlfn.XLOOKUP(expected_production[[#This Row],[Site Name]],Table1[[Site Name ]],Table1[Commisioned Date],"")</f>
        <v>45713</v>
      </c>
      <c r="E1196" s="47">
        <f>IF(ISNUMBER(expected_production[[#This Row],[Commissioned Date]]),MAX(0,(expected_production[[#This Row],[Date]]-expected_production[[#This Row],[Commissioned Date]])/365.25),"")</f>
        <v>0</v>
      </c>
      <c r="F1196" s="49">
        <f>IF(expected_production[[#This Row],[Age (yrs)]]="",1,(1-DegradationRate)^expected_production[[#This Row],[Age (yrs)]])</f>
        <v>1</v>
      </c>
      <c r="G1196" s="52">
        <f>IF(expected_production[[#This Row],[Base Expected (kWh)]]="","",expected_production[[#This Row],[Base Expected (kWh)]]*expected_production[[#This Row],[Degradation Factor]])</f>
        <v>17483.400000000001</v>
      </c>
    </row>
    <row r="1197" spans="1:7" ht="15" hidden="1" customHeight="1" x14ac:dyDescent="0.3">
      <c r="A1197" t="s">
        <v>234</v>
      </c>
      <c r="B1197" s="2">
        <v>45474</v>
      </c>
      <c r="C1197" s="52">
        <v>19783.8</v>
      </c>
      <c r="D1197" s="48">
        <f>_xlfn.XLOOKUP(expected_production[[#This Row],[Site Name]],Table1[[Site Name ]],Table1[Commisioned Date],"")</f>
        <v>45713</v>
      </c>
      <c r="E1197" s="47">
        <f>IF(ISNUMBER(expected_production[[#This Row],[Commissioned Date]]),MAX(0,(expected_production[[#This Row],[Date]]-expected_production[[#This Row],[Commissioned Date]])/365.25),"")</f>
        <v>0</v>
      </c>
      <c r="F1197" s="49">
        <f>IF(expected_production[[#This Row],[Age (yrs)]]="",1,(1-DegradationRate)^expected_production[[#This Row],[Age (yrs)]])</f>
        <v>1</v>
      </c>
      <c r="G1197" s="52">
        <f>IF(expected_production[[#This Row],[Base Expected (kWh)]]="","",expected_production[[#This Row],[Base Expected (kWh)]]*expected_production[[#This Row],[Degradation Factor]])</f>
        <v>19783.8</v>
      </c>
    </row>
    <row r="1198" spans="1:7" ht="15" hidden="1" customHeight="1" x14ac:dyDescent="0.3">
      <c r="A1198" t="s">
        <v>234</v>
      </c>
      <c r="B1198" s="2">
        <v>45505</v>
      </c>
      <c r="C1198" s="52">
        <v>25524</v>
      </c>
      <c r="D1198" s="48">
        <f>_xlfn.XLOOKUP(expected_production[[#This Row],[Site Name]],Table1[[Site Name ]],Table1[Commisioned Date],"")</f>
        <v>45713</v>
      </c>
      <c r="E1198" s="47">
        <f>IF(ISNUMBER(expected_production[[#This Row],[Commissioned Date]]),MAX(0,(expected_production[[#This Row],[Date]]-expected_production[[#This Row],[Commissioned Date]])/365.25),"")</f>
        <v>0</v>
      </c>
      <c r="F1198" s="49">
        <f>IF(expected_production[[#This Row],[Age (yrs)]]="",1,(1-DegradationRate)^expected_production[[#This Row],[Age (yrs)]])</f>
        <v>1</v>
      </c>
      <c r="G1198" s="52">
        <f>IF(expected_production[[#This Row],[Base Expected (kWh)]]="","",expected_production[[#This Row],[Base Expected (kWh)]]*expected_production[[#This Row],[Degradation Factor]])</f>
        <v>25524</v>
      </c>
    </row>
    <row r="1199" spans="1:7" ht="15" hidden="1" customHeight="1" x14ac:dyDescent="0.3">
      <c r="A1199" t="s">
        <v>234</v>
      </c>
      <c r="B1199" s="2">
        <v>45536</v>
      </c>
      <c r="C1199" s="52">
        <v>33381.9</v>
      </c>
      <c r="D1199" s="48">
        <f>_xlfn.XLOOKUP(expected_production[[#This Row],[Site Name]],Table1[[Site Name ]],Table1[Commisioned Date],"")</f>
        <v>45713</v>
      </c>
      <c r="E1199" s="47">
        <f>IF(ISNUMBER(expected_production[[#This Row],[Commissioned Date]]),MAX(0,(expected_production[[#This Row],[Date]]-expected_production[[#This Row],[Commissioned Date]])/365.25),"")</f>
        <v>0</v>
      </c>
      <c r="F1199" s="49">
        <f>IF(expected_production[[#This Row],[Age (yrs)]]="",1,(1-DegradationRate)^expected_production[[#This Row],[Age (yrs)]])</f>
        <v>1</v>
      </c>
      <c r="G1199" s="52">
        <f>IF(expected_production[[#This Row],[Base Expected (kWh)]]="","",expected_production[[#This Row],[Base Expected (kWh)]]*expected_production[[#This Row],[Degradation Factor]])</f>
        <v>33381.9</v>
      </c>
    </row>
    <row r="1200" spans="1:7" ht="15" hidden="1" customHeight="1" x14ac:dyDescent="0.3">
      <c r="A1200" t="s">
        <v>234</v>
      </c>
      <c r="B1200" s="2">
        <v>45566</v>
      </c>
      <c r="C1200" s="52">
        <v>43038</v>
      </c>
      <c r="D1200" s="48">
        <f>_xlfn.XLOOKUP(expected_production[[#This Row],[Site Name]],Table1[[Site Name ]],Table1[Commisioned Date],"")</f>
        <v>45713</v>
      </c>
      <c r="E1200" s="47">
        <f>IF(ISNUMBER(expected_production[[#This Row],[Commissioned Date]]),MAX(0,(expected_production[[#This Row],[Date]]-expected_production[[#This Row],[Commissioned Date]])/365.25),"")</f>
        <v>0</v>
      </c>
      <c r="F1200" s="49">
        <f>IF(expected_production[[#This Row],[Age (yrs)]]="",1,(1-DegradationRate)^expected_production[[#This Row],[Age (yrs)]])</f>
        <v>1</v>
      </c>
      <c r="G1200" s="52">
        <f>IF(expected_production[[#This Row],[Base Expected (kWh)]]="","",expected_production[[#This Row],[Base Expected (kWh)]]*expected_production[[#This Row],[Degradation Factor]])</f>
        <v>43038</v>
      </c>
    </row>
    <row r="1201" spans="1:7" ht="15" hidden="1" customHeight="1" x14ac:dyDescent="0.3">
      <c r="A1201" t="s">
        <v>234</v>
      </c>
      <c r="B1201" s="2">
        <v>45597</v>
      </c>
      <c r="C1201" s="52">
        <v>49565.7</v>
      </c>
      <c r="D1201" s="48">
        <f>_xlfn.XLOOKUP(expected_production[[#This Row],[Site Name]],Table1[[Site Name ]],Table1[Commisioned Date],"")</f>
        <v>45713</v>
      </c>
      <c r="E1201" s="47">
        <f>IF(ISNUMBER(expected_production[[#This Row],[Commissioned Date]]),MAX(0,(expected_production[[#This Row],[Date]]-expected_production[[#This Row],[Commissioned Date]])/365.25),"")</f>
        <v>0</v>
      </c>
      <c r="F1201" s="49">
        <f>IF(expected_production[[#This Row],[Age (yrs)]]="",1,(1-DegradationRate)^expected_production[[#This Row],[Age (yrs)]])</f>
        <v>1</v>
      </c>
      <c r="G1201" s="52">
        <f>IF(expected_production[[#This Row],[Base Expected (kWh)]]="","",expected_production[[#This Row],[Base Expected (kWh)]]*expected_production[[#This Row],[Degradation Factor]])</f>
        <v>49565.7</v>
      </c>
    </row>
    <row r="1202" spans="1:7" ht="15" hidden="1" customHeight="1" x14ac:dyDescent="0.3">
      <c r="A1202" t="s">
        <v>234</v>
      </c>
      <c r="B1202" s="2">
        <v>45627</v>
      </c>
      <c r="C1202" s="52">
        <v>54135.9</v>
      </c>
      <c r="D1202" s="48">
        <f>_xlfn.XLOOKUP(expected_production[[#This Row],[Site Name]],Table1[[Site Name ]],Table1[Commisioned Date],"")</f>
        <v>45713</v>
      </c>
      <c r="E1202" s="47">
        <f>IF(ISNUMBER(expected_production[[#This Row],[Commissioned Date]]),MAX(0,(expected_production[[#This Row],[Date]]-expected_production[[#This Row],[Commissioned Date]])/365.25),"")</f>
        <v>0</v>
      </c>
      <c r="F1202" s="49">
        <f>IF(expected_production[[#This Row],[Age (yrs)]]="",1,(1-DegradationRate)^expected_production[[#This Row],[Age (yrs)]])</f>
        <v>1</v>
      </c>
      <c r="G1202" s="52">
        <f>IF(expected_production[[#This Row],[Base Expected (kWh)]]="","",expected_production[[#This Row],[Base Expected (kWh)]]*expected_production[[#This Row],[Degradation Factor]])</f>
        <v>54135.9</v>
      </c>
    </row>
    <row r="1203" spans="1:7" ht="15" hidden="1" customHeight="1" x14ac:dyDescent="0.3">
      <c r="A1203" t="s">
        <v>234</v>
      </c>
      <c r="B1203" s="2">
        <v>45658</v>
      </c>
      <c r="C1203" s="52">
        <v>53361.9</v>
      </c>
      <c r="D1203" s="48">
        <f>_xlfn.XLOOKUP(expected_production[[#This Row],[Site Name]],Table1[[Site Name ]],Table1[Commisioned Date],"")</f>
        <v>45713</v>
      </c>
      <c r="E1203" s="47">
        <f>IF(ISNUMBER(expected_production[[#This Row],[Commissioned Date]]),MAX(0,(expected_production[[#This Row],[Date]]-expected_production[[#This Row],[Commissioned Date]])/365.25),"")</f>
        <v>0</v>
      </c>
      <c r="F1203" s="49">
        <f>IF(expected_production[[#This Row],[Age (yrs)]]="",1,(1-DegradationRate)^expected_production[[#This Row],[Age (yrs)]])</f>
        <v>1</v>
      </c>
      <c r="G1203" s="52">
        <f>IF(expected_production[[#This Row],[Base Expected (kWh)]]="","",expected_production[[#This Row],[Base Expected (kWh)]]*expected_production[[#This Row],[Degradation Factor]])</f>
        <v>53361.9</v>
      </c>
    </row>
    <row r="1204" spans="1:7" ht="15" hidden="1" customHeight="1" x14ac:dyDescent="0.3">
      <c r="A1204" t="s">
        <v>234</v>
      </c>
      <c r="B1204" s="2">
        <v>45689</v>
      </c>
      <c r="C1204" s="52">
        <v>43750.8</v>
      </c>
      <c r="D1204" s="48">
        <f>_xlfn.XLOOKUP(expected_production[[#This Row],[Site Name]],Table1[[Site Name ]],Table1[Commisioned Date],"")</f>
        <v>45713</v>
      </c>
      <c r="E1204" s="47">
        <f>IF(ISNUMBER(expected_production[[#This Row],[Commissioned Date]]),MAX(0,(expected_production[[#This Row],[Date]]-expected_production[[#This Row],[Commissioned Date]])/365.25),"")</f>
        <v>0</v>
      </c>
      <c r="F1204" s="49">
        <f>IF(expected_production[[#This Row],[Age (yrs)]]="",1,(1-DegradationRate)^expected_production[[#This Row],[Age (yrs)]])</f>
        <v>1</v>
      </c>
      <c r="G1204" s="52">
        <f>IF(expected_production[[#This Row],[Base Expected (kWh)]]="","",expected_production[[#This Row],[Base Expected (kWh)]]*expected_production[[#This Row],[Degradation Factor]])</f>
        <v>43750.8</v>
      </c>
    </row>
    <row r="1205" spans="1:7" ht="15" hidden="1" customHeight="1" x14ac:dyDescent="0.3">
      <c r="A1205" t="s">
        <v>234</v>
      </c>
      <c r="B1205" s="2">
        <v>45717</v>
      </c>
      <c r="C1205" s="52">
        <v>40931.1</v>
      </c>
      <c r="D1205" s="48">
        <f>_xlfn.XLOOKUP(expected_production[[#This Row],[Site Name]],Table1[[Site Name ]],Table1[Commisioned Date],"")</f>
        <v>45713</v>
      </c>
      <c r="E1205" s="47">
        <f>IF(ISNUMBER(expected_production[[#This Row],[Commissioned Date]]),MAX(0,(expected_production[[#This Row],[Date]]-expected_production[[#This Row],[Commissioned Date]])/365.25),"")</f>
        <v>1.0951403148528405E-2</v>
      </c>
      <c r="F1205" s="49">
        <f>IF(expected_production[[#This Row],[Age (yrs)]]="",1,(1-DegradationRate)^expected_production[[#This Row],[Age (yrs)]])</f>
        <v>0.99992307356885179</v>
      </c>
      <c r="G1205" s="52">
        <f>IF(expected_production[[#This Row],[Base Expected (kWh)]]="","",expected_production[[#This Row],[Base Expected (kWh)]]*expected_production[[#This Row],[Degradation Factor]])</f>
        <v>40927.951316554027</v>
      </c>
    </row>
    <row r="1206" spans="1:7" ht="15" hidden="1" customHeight="1" x14ac:dyDescent="0.3">
      <c r="A1206" t="s">
        <v>234</v>
      </c>
      <c r="B1206" s="2">
        <v>45748</v>
      </c>
      <c r="C1206" s="52">
        <v>29080.799999999999</v>
      </c>
      <c r="D1206" s="48">
        <f>_xlfn.XLOOKUP(expected_production[[#This Row],[Site Name]],Table1[[Site Name ]],Table1[Commisioned Date],"")</f>
        <v>45713</v>
      </c>
      <c r="E1206" s="47">
        <f>IF(ISNUMBER(expected_production[[#This Row],[Commissioned Date]]),MAX(0,(expected_production[[#This Row],[Date]]-expected_production[[#This Row],[Commissioned Date]])/365.25),"")</f>
        <v>9.5824777549623541E-2</v>
      </c>
      <c r="F1206" s="49">
        <f>IF(expected_production[[#This Row],[Age (yrs)]]="",1,(1-DegradationRate)^expected_production[[#This Row],[Age (yrs)]])</f>
        <v>0.99932709433892364</v>
      </c>
      <c r="G1206" s="52">
        <f>IF(expected_production[[#This Row],[Base Expected (kWh)]]="","",expected_production[[#This Row],[Base Expected (kWh)]]*expected_production[[#This Row],[Degradation Factor]])</f>
        <v>29061.231365051372</v>
      </c>
    </row>
    <row r="1207" spans="1:7" ht="15" hidden="1" customHeight="1" x14ac:dyDescent="0.3">
      <c r="A1207" t="s">
        <v>234</v>
      </c>
      <c r="B1207" s="2">
        <v>45778</v>
      </c>
      <c r="C1207" s="52">
        <v>21434.400000000001</v>
      </c>
      <c r="D1207" s="48">
        <f>_xlfn.XLOOKUP(expected_production[[#This Row],[Site Name]],Table1[[Site Name ]],Table1[Commisioned Date],"")</f>
        <v>45713</v>
      </c>
      <c r="E1207" s="47">
        <f>IF(ISNUMBER(expected_production[[#This Row],[Commissioned Date]]),MAX(0,(expected_production[[#This Row],[Date]]-expected_production[[#This Row],[Commissioned Date]])/365.25),"")</f>
        <v>0.17796030116358658</v>
      </c>
      <c r="F1207" s="49">
        <f>IF(expected_production[[#This Row],[Age (yrs)]]="",1,(1-DegradationRate)^expected_production[[#This Row],[Age (yrs)]])</f>
        <v>0.99875067846300281</v>
      </c>
      <c r="G1207" s="52">
        <f>IF(expected_production[[#This Row],[Base Expected (kWh)]]="","",expected_production[[#This Row],[Base Expected (kWh)]]*expected_production[[#This Row],[Degradation Factor]])</f>
        <v>21407.621542447388</v>
      </c>
    </row>
    <row r="1208" spans="1:7" ht="15" hidden="1" customHeight="1" x14ac:dyDescent="0.3">
      <c r="A1208" t="s">
        <v>234</v>
      </c>
      <c r="B1208" s="2">
        <v>45809</v>
      </c>
      <c r="C1208" s="52">
        <v>17483.400000000001</v>
      </c>
      <c r="D1208" s="48">
        <f>_xlfn.XLOOKUP(expected_production[[#This Row],[Site Name]],Table1[[Site Name ]],Table1[Commisioned Date],"")</f>
        <v>45713</v>
      </c>
      <c r="E1208" s="47">
        <f>IF(ISNUMBER(expected_production[[#This Row],[Commissioned Date]]),MAX(0,(expected_production[[#This Row],[Date]]-expected_production[[#This Row],[Commissioned Date]])/365.25),"")</f>
        <v>0.26283367556468173</v>
      </c>
      <c r="F1208" s="49">
        <f>IF(expected_production[[#This Row],[Age (yrs)]]="",1,(1-DegradationRate)^expected_production[[#This Row],[Age (yrs)]])</f>
        <v>0.99815539800996134</v>
      </c>
      <c r="G1208" s="52">
        <f>IF(expected_production[[#This Row],[Base Expected (kWh)]]="","",expected_production[[#This Row],[Base Expected (kWh)]]*expected_production[[#This Row],[Degradation Factor]])</f>
        <v>17451.150085567358</v>
      </c>
    </row>
    <row r="1209" spans="1:7" ht="15" hidden="1" customHeight="1" x14ac:dyDescent="0.3">
      <c r="A1209" t="s">
        <v>234</v>
      </c>
      <c r="B1209" s="2">
        <v>45839</v>
      </c>
      <c r="C1209" s="52">
        <v>19783.8</v>
      </c>
      <c r="D1209" s="48">
        <f>_xlfn.XLOOKUP(expected_production[[#This Row],[Site Name]],Table1[[Site Name ]],Table1[Commisioned Date],"")</f>
        <v>45713</v>
      </c>
      <c r="E1209" s="47">
        <f>IF(ISNUMBER(expected_production[[#This Row],[Commissioned Date]]),MAX(0,(expected_production[[#This Row],[Date]]-expected_production[[#This Row],[Commissioned Date]])/365.25),"")</f>
        <v>0.34496919917864477</v>
      </c>
      <c r="F1209" s="49">
        <f>IF(expected_production[[#This Row],[Age (yrs)]]="",1,(1-DegradationRate)^expected_production[[#This Row],[Age (yrs)]])</f>
        <v>0.99757965797318227</v>
      </c>
      <c r="G1209" s="52">
        <f>IF(expected_production[[#This Row],[Base Expected (kWh)]]="","",expected_production[[#This Row],[Base Expected (kWh)]]*expected_production[[#This Row],[Degradation Factor]])</f>
        <v>19735.916437409844</v>
      </c>
    </row>
    <row r="1210" spans="1:7" ht="15" hidden="1" customHeight="1" x14ac:dyDescent="0.3">
      <c r="A1210" t="s">
        <v>234</v>
      </c>
      <c r="B1210" s="2">
        <v>45870</v>
      </c>
      <c r="C1210" s="52">
        <v>25524</v>
      </c>
      <c r="D1210" s="48">
        <f>_xlfn.XLOOKUP(expected_production[[#This Row],[Site Name]],Table1[[Site Name ]],Table1[Commisioned Date],"")</f>
        <v>45713</v>
      </c>
      <c r="E1210" s="47">
        <f>IF(ISNUMBER(expected_production[[#This Row],[Commissioned Date]]),MAX(0,(expected_production[[#This Row],[Date]]-expected_production[[#This Row],[Commissioned Date]])/365.25),"")</f>
        <v>0.42984257357973993</v>
      </c>
      <c r="F1210" s="49">
        <f>IF(expected_production[[#This Row],[Age (yrs)]]="",1,(1-DegradationRate)^expected_production[[#This Row],[Age (yrs)]])</f>
        <v>0.99698507547772197</v>
      </c>
      <c r="G1210" s="52">
        <f>IF(expected_production[[#This Row],[Base Expected (kWh)]]="","",expected_production[[#This Row],[Base Expected (kWh)]]*expected_production[[#This Row],[Degradation Factor]])</f>
        <v>25447.047066493375</v>
      </c>
    </row>
    <row r="1211" spans="1:7" ht="15" hidden="1" customHeight="1" x14ac:dyDescent="0.3">
      <c r="A1211" t="s">
        <v>234</v>
      </c>
      <c r="B1211" s="2">
        <v>45901</v>
      </c>
      <c r="C1211" s="52">
        <v>33381.9</v>
      </c>
      <c r="D1211" s="48">
        <f>_xlfn.XLOOKUP(expected_production[[#This Row],[Site Name]],Table1[[Site Name ]],Table1[Commisioned Date],"")</f>
        <v>45713</v>
      </c>
      <c r="E1211" s="47">
        <f>IF(ISNUMBER(expected_production[[#This Row],[Commissioned Date]]),MAX(0,(expected_production[[#This Row],[Date]]-expected_production[[#This Row],[Commissioned Date]])/365.25),"")</f>
        <v>0.51471594798083509</v>
      </c>
      <c r="F1211" s="49">
        <f>IF(expected_production[[#This Row],[Age (yrs)]]="",1,(1-DegradationRate)^expected_production[[#This Row],[Age (yrs)]])</f>
        <v>0.99639084736834116</v>
      </c>
      <c r="G1211" s="52">
        <f>IF(expected_production[[#This Row],[Base Expected (kWh)]]="","",expected_production[[#This Row],[Base Expected (kWh)]]*expected_production[[#This Row],[Degradation Factor]])</f>
        <v>33261.41962776523</v>
      </c>
    </row>
    <row r="1212" spans="1:7" ht="15" hidden="1" customHeight="1" x14ac:dyDescent="0.3">
      <c r="A1212" t="s">
        <v>234</v>
      </c>
      <c r="B1212" s="2">
        <v>45931</v>
      </c>
      <c r="C1212" s="52">
        <v>43038</v>
      </c>
      <c r="D1212" s="48">
        <f>_xlfn.XLOOKUP(expected_production[[#This Row],[Site Name]],Table1[[Site Name ]],Table1[Commisioned Date],"")</f>
        <v>45713</v>
      </c>
      <c r="E1212" s="47">
        <f>IF(ISNUMBER(expected_production[[#This Row],[Commissioned Date]]),MAX(0,(expected_production[[#This Row],[Date]]-expected_production[[#This Row],[Commissioned Date]])/365.25),"")</f>
        <v>0.59685147159479812</v>
      </c>
      <c r="F1212" s="49">
        <f>IF(expected_production[[#This Row],[Age (yrs)]]="",1,(1-DegradationRate)^expected_production[[#This Row],[Age (yrs)]])</f>
        <v>0.99581612513144901</v>
      </c>
      <c r="G1212" s="52">
        <f>IF(expected_production[[#This Row],[Base Expected (kWh)]]="","",expected_production[[#This Row],[Base Expected (kWh)]]*expected_production[[#This Row],[Degradation Factor]])</f>
        <v>42857.934393407304</v>
      </c>
    </row>
    <row r="1213" spans="1:7" ht="15" hidden="1" customHeight="1" x14ac:dyDescent="0.3">
      <c r="A1213" t="s">
        <v>234</v>
      </c>
      <c r="B1213" s="2">
        <v>45962</v>
      </c>
      <c r="C1213" s="52">
        <v>49565.7</v>
      </c>
      <c r="D1213" s="48">
        <f>_xlfn.XLOOKUP(expected_production[[#This Row],[Site Name]],Table1[[Site Name ]],Table1[Commisioned Date],"")</f>
        <v>45713</v>
      </c>
      <c r="E1213" s="47">
        <f>IF(ISNUMBER(expected_production[[#This Row],[Commissioned Date]]),MAX(0,(expected_production[[#This Row],[Date]]-expected_production[[#This Row],[Commissioned Date]])/365.25),"")</f>
        <v>0.68172484599589322</v>
      </c>
      <c r="F1213" s="49">
        <f>IF(expected_production[[#This Row],[Age (yrs)]]="",1,(1-DegradationRate)^expected_production[[#This Row],[Age (yrs)]])</f>
        <v>0.99522259374579192</v>
      </c>
      <c r="G1213" s="52">
        <f>IF(expected_production[[#This Row],[Base Expected (kWh)]]="","",expected_production[[#This Row],[Base Expected (kWh)]]*expected_production[[#This Row],[Degradation Factor]])</f>
        <v>49328.904514825794</v>
      </c>
    </row>
    <row r="1214" spans="1:7" ht="15" hidden="1" customHeight="1" x14ac:dyDescent="0.3">
      <c r="A1214" t="s">
        <v>234</v>
      </c>
      <c r="B1214" s="2">
        <v>45992</v>
      </c>
      <c r="C1214" s="52">
        <v>54135.9</v>
      </c>
      <c r="D1214" s="48">
        <f>_xlfn.XLOOKUP(expected_production[[#This Row],[Site Name]],Table1[[Site Name ]],Table1[Commisioned Date],"")</f>
        <v>45713</v>
      </c>
      <c r="E1214" s="47">
        <f>IF(ISNUMBER(expected_production[[#This Row],[Commissioned Date]]),MAX(0,(expected_production[[#This Row],[Date]]-expected_production[[#This Row],[Commissioned Date]])/365.25),"")</f>
        <v>0.76386036960985626</v>
      </c>
      <c r="F1214" s="49">
        <f>IF(expected_production[[#This Row],[Age (yrs)]]="",1,(1-DegradationRate)^expected_production[[#This Row],[Age (yrs)]])</f>
        <v>0.99464854536227465</v>
      </c>
      <c r="G1214" s="52">
        <f>IF(expected_production[[#This Row],[Base Expected (kWh)]]="","",expected_production[[#This Row],[Base Expected (kWh)]]*expected_production[[#This Row],[Degradation Factor]])</f>
        <v>53846.194186877568</v>
      </c>
    </row>
    <row r="1215" spans="1:7" ht="15" hidden="1" customHeight="1" x14ac:dyDescent="0.3">
      <c r="A1215" t="s">
        <v>234</v>
      </c>
      <c r="B1215" s="2">
        <v>46023</v>
      </c>
      <c r="C1215" s="52">
        <v>53361.9</v>
      </c>
      <c r="D1215" s="48">
        <f>_xlfn.XLOOKUP(expected_production[[#This Row],[Site Name]],Table1[[Site Name ]],Table1[Commisioned Date],"")</f>
        <v>45713</v>
      </c>
      <c r="E1215" s="47">
        <f>IF(ISNUMBER(expected_production[[#This Row],[Commissioned Date]]),MAX(0,(expected_production[[#This Row],[Date]]-expected_production[[#This Row],[Commissioned Date]])/365.25),"")</f>
        <v>0.84873374401095136</v>
      </c>
      <c r="F1215" s="49">
        <f>IF(expected_production[[#This Row],[Age (yrs)]]="",1,(1-DegradationRate)^expected_production[[#This Row],[Age (yrs)]])</f>
        <v>0.99405570988344283</v>
      </c>
      <c r="G1215" s="52">
        <f>IF(expected_production[[#This Row],[Base Expected (kWh)]]="","",expected_production[[#This Row],[Base Expected (kWh)]]*expected_production[[#This Row],[Degradation Factor]])</f>
        <v>53044.701385229288</v>
      </c>
    </row>
    <row r="1216" spans="1:7" ht="15" hidden="1" customHeight="1" x14ac:dyDescent="0.3">
      <c r="A1216" t="s">
        <v>234</v>
      </c>
      <c r="B1216" s="2">
        <v>46054</v>
      </c>
      <c r="C1216" s="52">
        <v>43750.8</v>
      </c>
      <c r="D1216" s="48">
        <f>_xlfn.XLOOKUP(expected_production[[#This Row],[Site Name]],Table1[[Site Name ]],Table1[Commisioned Date],"")</f>
        <v>45713</v>
      </c>
      <c r="E1216" s="47">
        <f>IF(ISNUMBER(expected_production[[#This Row],[Commissioned Date]]),MAX(0,(expected_production[[#This Row],[Date]]-expected_production[[#This Row],[Commissioned Date]])/365.25),"")</f>
        <v>0.93360711841204658</v>
      </c>
      <c r="F1216" s="49">
        <f>IF(expected_production[[#This Row],[Age (yrs)]]="",1,(1-DegradationRate)^expected_production[[#This Row],[Age (yrs)]])</f>
        <v>0.99346322774942475</v>
      </c>
      <c r="G1216" s="52">
        <f>IF(expected_production[[#This Row],[Base Expected (kWh)]]="","",expected_production[[#This Row],[Base Expected (kWh)]]*expected_production[[#This Row],[Degradation Factor]])</f>
        <v>43464.810984619537</v>
      </c>
    </row>
    <row r="1217" spans="1:7" ht="15" hidden="1" customHeight="1" x14ac:dyDescent="0.3">
      <c r="A1217" t="s">
        <v>234</v>
      </c>
      <c r="B1217" s="2">
        <v>46082</v>
      </c>
      <c r="C1217" s="52">
        <v>40931.1</v>
      </c>
      <c r="D1217" s="48">
        <f>_xlfn.XLOOKUP(expected_production[[#This Row],[Site Name]],Table1[[Site Name ]],Table1[Commisioned Date],"")</f>
        <v>45713</v>
      </c>
      <c r="E1217" s="47">
        <f>IF(ISNUMBER(expected_production[[#This Row],[Commissioned Date]]),MAX(0,(expected_production[[#This Row],[Date]]-expected_production[[#This Row],[Commissioned Date]])/365.25),"")</f>
        <v>1.0102669404517455</v>
      </c>
      <c r="F1217" s="49">
        <f>IF(expected_production[[#This Row],[Age (yrs)]]="",1,(1-DegradationRate)^expected_production[[#This Row],[Age (yrs)]])</f>
        <v>0.99292838612834244</v>
      </c>
      <c r="G1217" s="52">
        <f>IF(expected_production[[#This Row],[Base Expected (kWh)]]="","",expected_production[[#This Row],[Base Expected (kWh)]]*expected_production[[#This Row],[Degradation Factor]])</f>
        <v>40641.651065457794</v>
      </c>
    </row>
    <row r="1218" spans="1:7" ht="15" hidden="1" customHeight="1" x14ac:dyDescent="0.3">
      <c r="A1218" t="s">
        <v>234</v>
      </c>
      <c r="B1218" s="2">
        <v>46113</v>
      </c>
      <c r="C1218" s="52">
        <v>29080.799999999999</v>
      </c>
      <c r="D1218" s="48">
        <f>_xlfn.XLOOKUP(expected_production[[#This Row],[Site Name]],Table1[[Site Name ]],Table1[Commisioned Date],"")</f>
        <v>45713</v>
      </c>
      <c r="E1218" s="47">
        <f>IF(ISNUMBER(expected_production[[#This Row],[Commissioned Date]]),MAX(0,(expected_production[[#This Row],[Date]]-expected_production[[#This Row],[Commissioned Date]])/365.25),"")</f>
        <v>1.0951403148528405</v>
      </c>
      <c r="F1218" s="49">
        <f>IF(expected_production[[#This Row],[Age (yrs)]]="",1,(1-DegradationRate)^expected_production[[#This Row],[Age (yrs)]])</f>
        <v>0.99233657590755564</v>
      </c>
      <c r="G1218" s="52">
        <f>IF(expected_production[[#This Row],[Base Expected (kWh)]]="","",expected_production[[#This Row],[Base Expected (kWh)]]*expected_production[[#This Row],[Degradation Factor]])</f>
        <v>28857.941496652442</v>
      </c>
    </row>
    <row r="1219" spans="1:7" ht="15" hidden="1" customHeight="1" x14ac:dyDescent="0.3">
      <c r="A1219" t="s">
        <v>234</v>
      </c>
      <c r="B1219" s="2">
        <v>46143</v>
      </c>
      <c r="C1219" s="52">
        <v>21434.400000000001</v>
      </c>
      <c r="D1219" s="48">
        <f>_xlfn.XLOOKUP(expected_production[[#This Row],[Site Name]],Table1[[Site Name ]],Table1[Commisioned Date],"")</f>
        <v>45713</v>
      </c>
      <c r="E1219" s="47">
        <f>IF(ISNUMBER(expected_production[[#This Row],[Commissioned Date]]),MAX(0,(expected_production[[#This Row],[Date]]-expected_production[[#This Row],[Commissioned Date]])/365.25),"")</f>
        <v>1.1772758384668036</v>
      </c>
      <c r="F1219" s="49">
        <f>IF(expected_production[[#This Row],[Age (yrs)]]="",1,(1-DegradationRate)^expected_production[[#This Row],[Age (yrs)]])</f>
        <v>0.99176419219070222</v>
      </c>
      <c r="G1219" s="52">
        <f>IF(expected_production[[#This Row],[Base Expected (kWh)]]="","",expected_production[[#This Row],[Base Expected (kWh)]]*expected_production[[#This Row],[Degradation Factor]])</f>
        <v>21257.87040109239</v>
      </c>
    </row>
    <row r="1220" spans="1:7" ht="15" hidden="1" customHeight="1" x14ac:dyDescent="0.3">
      <c r="A1220" t="s">
        <v>234</v>
      </c>
      <c r="B1220" s="2">
        <v>46174</v>
      </c>
      <c r="C1220" s="52">
        <v>17483.400000000001</v>
      </c>
      <c r="D1220" s="48">
        <f>_xlfn.XLOOKUP(expected_production[[#This Row],[Site Name]],Table1[[Site Name ]],Table1[Commisioned Date],"")</f>
        <v>45713</v>
      </c>
      <c r="E1220" s="47">
        <f>IF(ISNUMBER(expected_production[[#This Row],[Commissioned Date]]),MAX(0,(expected_production[[#This Row],[Date]]-expected_production[[#This Row],[Commissioned Date]])/365.25),"")</f>
        <v>1.2621492128678986</v>
      </c>
      <c r="F1220" s="49">
        <f>IF(expected_production[[#This Row],[Age (yrs)]]="",1,(1-DegradationRate)^expected_production[[#This Row],[Age (yrs)]])</f>
        <v>0.99117307585870029</v>
      </c>
      <c r="G1220" s="52">
        <f>IF(expected_production[[#This Row],[Base Expected (kWh)]]="","",expected_production[[#This Row],[Base Expected (kWh)]]*expected_production[[#This Row],[Degradation Factor]])</f>
        <v>17329.075354468001</v>
      </c>
    </row>
    <row r="1221" spans="1:7" ht="15" hidden="1" customHeight="1" x14ac:dyDescent="0.3">
      <c r="A1221" t="s">
        <v>234</v>
      </c>
      <c r="B1221" s="2">
        <v>46204</v>
      </c>
      <c r="C1221" s="52">
        <v>19783.8</v>
      </c>
      <c r="D1221" s="48">
        <f>_xlfn.XLOOKUP(expected_production[[#This Row],[Site Name]],Table1[[Site Name ]],Table1[Commisioned Date],"")</f>
        <v>45713</v>
      </c>
      <c r="E1221" s="47">
        <f>IF(ISNUMBER(expected_production[[#This Row],[Commissioned Date]]),MAX(0,(expected_production[[#This Row],[Date]]-expected_production[[#This Row],[Commissioned Date]])/365.25),"")</f>
        <v>1.3442847364818618</v>
      </c>
      <c r="F1221" s="49">
        <f>IF(expected_production[[#This Row],[Age (yrs)]]="",1,(1-DegradationRate)^expected_production[[#This Row],[Age (yrs)]])</f>
        <v>0.99060136325334136</v>
      </c>
      <c r="G1221" s="52">
        <f>IF(expected_production[[#This Row],[Base Expected (kWh)]]="","",expected_production[[#This Row],[Base Expected (kWh)]]*expected_production[[#This Row],[Degradation Factor]])</f>
        <v>19597.859250331454</v>
      </c>
    </row>
    <row r="1222" spans="1:7" ht="15" hidden="1" customHeight="1" x14ac:dyDescent="0.3">
      <c r="A1222" t="s">
        <v>234</v>
      </c>
      <c r="B1222" s="2">
        <v>46235</v>
      </c>
      <c r="C1222" s="52">
        <v>25524</v>
      </c>
      <c r="D1222" s="48">
        <f>_xlfn.XLOOKUP(expected_production[[#This Row],[Site Name]],Table1[[Site Name ]],Table1[Commisioned Date],"")</f>
        <v>45713</v>
      </c>
      <c r="E1222" s="47">
        <f>IF(ISNUMBER(expected_production[[#This Row],[Commissioned Date]]),MAX(0,(expected_production[[#This Row],[Date]]-expected_production[[#This Row],[Commissioned Date]])/365.25),"")</f>
        <v>1.429158110882957</v>
      </c>
      <c r="F1222" s="49">
        <f>IF(expected_production[[#This Row],[Age (yrs)]]="",1,(1-DegradationRate)^expected_production[[#This Row],[Age (yrs)]])</f>
        <v>0.99001093999654977</v>
      </c>
      <c r="G1222" s="52">
        <f>IF(expected_production[[#This Row],[Base Expected (kWh)]]="","",expected_production[[#This Row],[Base Expected (kWh)]]*expected_production[[#This Row],[Degradation Factor]])</f>
        <v>25269.039232471936</v>
      </c>
    </row>
    <row r="1223" spans="1:7" ht="15" hidden="1" customHeight="1" x14ac:dyDescent="0.3">
      <c r="A1223" t="s">
        <v>234</v>
      </c>
      <c r="B1223" s="2">
        <v>46266</v>
      </c>
      <c r="C1223" s="52">
        <v>33381.9</v>
      </c>
      <c r="D1223" s="48">
        <f>_xlfn.XLOOKUP(expected_production[[#This Row],[Site Name]],Table1[[Site Name ]],Table1[Commisioned Date],"")</f>
        <v>45713</v>
      </c>
      <c r="E1223" s="47">
        <f>IF(ISNUMBER(expected_production[[#This Row],[Commissioned Date]]),MAX(0,(expected_production[[#This Row],[Date]]-expected_production[[#This Row],[Commissioned Date]])/365.25),"")</f>
        <v>1.514031485284052</v>
      </c>
      <c r="F1223" s="49">
        <f>IF(expected_production[[#This Row],[Age (yrs)]]="",1,(1-DegradationRate)^expected_production[[#This Row],[Age (yrs)]])</f>
        <v>0.9894208686468271</v>
      </c>
      <c r="G1223" s="52">
        <f>IF(expected_production[[#This Row],[Base Expected (kWh)]]="","",expected_production[[#This Row],[Base Expected (kWh)]]*expected_production[[#This Row],[Degradation Factor]])</f>
        <v>33028.74849508152</v>
      </c>
    </row>
    <row r="1224" spans="1:7" ht="15" hidden="1" customHeight="1" x14ac:dyDescent="0.3">
      <c r="A1224" t="s">
        <v>234</v>
      </c>
      <c r="B1224" s="2">
        <v>46296</v>
      </c>
      <c r="C1224" s="52">
        <v>43038</v>
      </c>
      <c r="D1224" s="48">
        <f>_xlfn.XLOOKUP(expected_production[[#This Row],[Site Name]],Table1[[Site Name ]],Table1[Commisioned Date],"")</f>
        <v>45713</v>
      </c>
      <c r="E1224" s="47">
        <f>IF(ISNUMBER(expected_production[[#This Row],[Commissioned Date]]),MAX(0,(expected_production[[#This Row],[Date]]-expected_production[[#This Row],[Commissioned Date]])/365.25),"")</f>
        <v>1.5961670088980151</v>
      </c>
      <c r="F1224" s="49">
        <f>IF(expected_production[[#This Row],[Age (yrs)]]="",1,(1-DegradationRate)^expected_production[[#This Row],[Age (yrs)]])</f>
        <v>0.98885016672161541</v>
      </c>
      <c r="G1224" s="52">
        <f>IF(expected_production[[#This Row],[Base Expected (kWh)]]="","",expected_production[[#This Row],[Base Expected (kWh)]]*expected_production[[#This Row],[Degradation Factor]])</f>
        <v>42558.133475364884</v>
      </c>
    </row>
    <row r="1225" spans="1:7" ht="15" hidden="1" customHeight="1" x14ac:dyDescent="0.3">
      <c r="A1225" t="s">
        <v>234</v>
      </c>
      <c r="B1225" s="2">
        <v>46327</v>
      </c>
      <c r="C1225" s="52">
        <v>49565.7</v>
      </c>
      <c r="D1225" s="48">
        <f>_xlfn.XLOOKUP(expected_production[[#This Row],[Site Name]],Table1[[Site Name ]],Table1[Commisioned Date],"")</f>
        <v>45713</v>
      </c>
      <c r="E1225" s="47">
        <f>IF(ISNUMBER(expected_production[[#This Row],[Commissioned Date]]),MAX(0,(expected_production[[#This Row],[Date]]-expected_production[[#This Row],[Commissioned Date]])/365.25),"")</f>
        <v>1.6810403832991101</v>
      </c>
      <c r="F1225" s="49">
        <f>IF(expected_production[[#This Row],[Age (yrs)]]="",1,(1-DegradationRate)^expected_production[[#This Row],[Age (yrs)]])</f>
        <v>0.98826078722187682</v>
      </c>
      <c r="G1225" s="52">
        <f>IF(expected_production[[#This Row],[Base Expected (kWh)]]="","",expected_production[[#This Row],[Base Expected (kWh)]]*expected_production[[#This Row],[Degradation Factor]])</f>
        <v>48983.837701203374</v>
      </c>
    </row>
    <row r="1226" spans="1:7" ht="15" hidden="1" customHeight="1" x14ac:dyDescent="0.3">
      <c r="A1226" t="s">
        <v>234</v>
      </c>
      <c r="B1226" s="2">
        <v>46357</v>
      </c>
      <c r="C1226" s="52">
        <v>54135.9</v>
      </c>
      <c r="D1226" s="48">
        <f>_xlfn.XLOOKUP(expected_production[[#This Row],[Site Name]],Table1[[Site Name ]],Table1[Commisioned Date],"")</f>
        <v>45713</v>
      </c>
      <c r="E1226" s="47">
        <f>IF(ISNUMBER(expected_production[[#This Row],[Commissioned Date]]),MAX(0,(expected_production[[#This Row],[Date]]-expected_production[[#This Row],[Commissioned Date]])/365.25),"")</f>
        <v>1.7631759069130732</v>
      </c>
      <c r="F1226" s="49">
        <f>IF(expected_production[[#This Row],[Age (yrs)]]="",1,(1-DegradationRate)^expected_production[[#This Row],[Age (yrs)]])</f>
        <v>0.98769075443628362</v>
      </c>
      <c r="G1226" s="52">
        <f>IF(expected_production[[#This Row],[Base Expected (kWh)]]="","",expected_production[[#This Row],[Base Expected (kWh)]]*expected_production[[#This Row],[Degradation Factor]])</f>
        <v>53469.527913087208</v>
      </c>
    </row>
    <row r="1227" spans="1:7" ht="15" hidden="1" customHeight="1" x14ac:dyDescent="0.3">
      <c r="A1227" t="s">
        <v>131</v>
      </c>
      <c r="B1227" s="2">
        <v>45292</v>
      </c>
      <c r="C1227" s="52">
        <v>5063.45</v>
      </c>
      <c r="D1227" s="48">
        <f>_xlfn.XLOOKUP(expected_production[[#This Row],[Site Name]],Table1[[Site Name ]],Table1[Commisioned Date],"")</f>
        <v>45248</v>
      </c>
      <c r="E1227" s="47">
        <f>IF(ISNUMBER(expected_production[[#This Row],[Commissioned Date]]),MAX(0,(expected_production[[#This Row],[Date]]-expected_production[[#This Row],[Commissioned Date]])/365.25),"")</f>
        <v>0.12046543463381246</v>
      </c>
      <c r="F1227" s="49">
        <f>IF(expected_production[[#This Row],[Age (yrs)]]="",1,(1-DegradationRate)^expected_production[[#This Row],[Age (yrs)]])</f>
        <v>0.99915413465443847</v>
      </c>
      <c r="G1227" s="52">
        <f>IF(expected_production[[#This Row],[Base Expected (kWh)]]="","",expected_production[[#This Row],[Base Expected (kWh)]]*expected_production[[#This Row],[Degradation Factor]])</f>
        <v>5059.1670031160165</v>
      </c>
    </row>
    <row r="1228" spans="1:7" ht="15" hidden="1" customHeight="1" x14ac:dyDescent="0.3">
      <c r="A1228" t="s">
        <v>131</v>
      </c>
      <c r="B1228" s="2">
        <v>45323</v>
      </c>
      <c r="C1228" s="52">
        <v>4598.5</v>
      </c>
      <c r="D1228" s="48">
        <f>_xlfn.XLOOKUP(expected_production[[#This Row],[Site Name]],Table1[[Site Name ]],Table1[Commisioned Date],"")</f>
        <v>45248</v>
      </c>
      <c r="E1228" s="47">
        <f>IF(ISNUMBER(expected_production[[#This Row],[Commissioned Date]]),MAX(0,(expected_production[[#This Row],[Date]]-expected_production[[#This Row],[Commissioned Date]])/365.25),"")</f>
        <v>0.20533880903490759</v>
      </c>
      <c r="F1228" s="49">
        <f>IF(expected_production[[#This Row],[Age (yrs)]]="",1,(1-DegradationRate)^expected_production[[#This Row],[Age (yrs)]])</f>
        <v>0.99855861373138821</v>
      </c>
      <c r="G1228" s="52">
        <f>IF(expected_production[[#This Row],[Base Expected (kWh)]]="","",expected_production[[#This Row],[Base Expected (kWh)]]*expected_production[[#This Row],[Degradation Factor]])</f>
        <v>4591.8717852437885</v>
      </c>
    </row>
    <row r="1229" spans="1:7" ht="15" hidden="1" customHeight="1" x14ac:dyDescent="0.3">
      <c r="A1229" t="s">
        <v>131</v>
      </c>
      <c r="B1229" s="2">
        <v>45352</v>
      </c>
      <c r="C1229" s="52">
        <v>5071.95</v>
      </c>
      <c r="D1229" s="48">
        <f>_xlfn.XLOOKUP(expected_production[[#This Row],[Site Name]],Table1[[Site Name ]],Table1[Commisioned Date],"")</f>
        <v>45248</v>
      </c>
      <c r="E1229" s="47">
        <f>IF(ISNUMBER(expected_production[[#This Row],[Commissioned Date]]),MAX(0,(expected_production[[#This Row],[Date]]-expected_production[[#This Row],[Commissioned Date]])/365.25),"")</f>
        <v>0.28473648186173856</v>
      </c>
      <c r="F1229" s="49">
        <f>IF(expected_production[[#This Row],[Age (yrs)]]="",1,(1-DegradationRate)^expected_production[[#This Row],[Age (yrs)]])</f>
        <v>0.99800183485172089</v>
      </c>
      <c r="G1229" s="52">
        <f>IF(expected_production[[#This Row],[Base Expected (kWh)]]="","",expected_production[[#This Row],[Base Expected (kWh)]]*expected_production[[#This Row],[Degradation Factor]])</f>
        <v>5061.815406276186</v>
      </c>
    </row>
    <row r="1230" spans="1:7" ht="15" hidden="1" customHeight="1" x14ac:dyDescent="0.3">
      <c r="A1230" t="s">
        <v>131</v>
      </c>
      <c r="B1230" s="2">
        <v>45383</v>
      </c>
      <c r="C1230" s="52">
        <v>4864.55</v>
      </c>
      <c r="D1230" s="48">
        <f>_xlfn.XLOOKUP(expected_production[[#This Row],[Site Name]],Table1[[Site Name ]],Table1[Commisioned Date],"")</f>
        <v>45248</v>
      </c>
      <c r="E1230" s="47">
        <f>IF(ISNUMBER(expected_production[[#This Row],[Commissioned Date]]),MAX(0,(expected_production[[#This Row],[Date]]-expected_production[[#This Row],[Commissioned Date]])/365.25),"")</f>
        <v>0.36960985626283366</v>
      </c>
      <c r="F1230" s="49">
        <f>IF(expected_production[[#This Row],[Age (yrs)]]="",1,(1-DegradationRate)^expected_production[[#This Row],[Age (yrs)]])</f>
        <v>0.99740700072825283</v>
      </c>
      <c r="G1230" s="52">
        <f>IF(expected_production[[#This Row],[Base Expected (kWh)]]="","",expected_production[[#This Row],[Base Expected (kWh)]]*expected_production[[#This Row],[Degradation Factor]])</f>
        <v>4851.9362253926229</v>
      </c>
    </row>
    <row r="1231" spans="1:7" ht="15" hidden="1" customHeight="1" x14ac:dyDescent="0.3">
      <c r="A1231" t="s">
        <v>131</v>
      </c>
      <c r="B1231" s="2">
        <v>45413</v>
      </c>
      <c r="C1231" s="52">
        <v>5173.1000000000004</v>
      </c>
      <c r="D1231" s="48">
        <f>_xlfn.XLOOKUP(expected_production[[#This Row],[Site Name]],Table1[[Site Name ]],Table1[Commisioned Date],"")</f>
        <v>45248</v>
      </c>
      <c r="E1231" s="47">
        <f>IF(ISNUMBER(expected_production[[#This Row],[Commissioned Date]]),MAX(0,(expected_production[[#This Row],[Date]]-expected_production[[#This Row],[Commissioned Date]])/365.25),"")</f>
        <v>0.45174537987679669</v>
      </c>
      <c r="F1231" s="49">
        <f>IF(expected_production[[#This Row],[Age (yrs)]]="",1,(1-DegradationRate)^expected_production[[#This Row],[Age (yrs)]])</f>
        <v>0.99683169237002733</v>
      </c>
      <c r="G1231" s="52">
        <f>IF(expected_production[[#This Row],[Base Expected (kWh)]]="","",expected_production[[#This Row],[Base Expected (kWh)]]*expected_production[[#This Row],[Degradation Factor]])</f>
        <v>5156.7100277993886</v>
      </c>
    </row>
    <row r="1232" spans="1:7" ht="15" hidden="1" customHeight="1" x14ac:dyDescent="0.3">
      <c r="A1232" t="s">
        <v>131</v>
      </c>
      <c r="B1232" s="2">
        <v>45444</v>
      </c>
      <c r="C1232" s="52">
        <v>5002.25</v>
      </c>
      <c r="D1232" s="48">
        <f>_xlfn.XLOOKUP(expected_production[[#This Row],[Site Name]],Table1[[Site Name ]],Table1[Commisioned Date],"")</f>
        <v>45248</v>
      </c>
      <c r="E1232" s="47">
        <f>IF(ISNUMBER(expected_production[[#This Row],[Commissioned Date]]),MAX(0,(expected_production[[#This Row],[Date]]-expected_production[[#This Row],[Commissioned Date]])/365.25),"")</f>
        <v>0.53661875427789185</v>
      </c>
      <c r="F1232" s="49">
        <f>IF(expected_production[[#This Row],[Age (yrs)]]="",1,(1-DegradationRate)^expected_production[[#This Row],[Age (yrs)]])</f>
        <v>0.99623755568082561</v>
      </c>
      <c r="G1232" s="52">
        <f>IF(expected_production[[#This Row],[Base Expected (kWh)]]="","",expected_production[[#This Row],[Base Expected (kWh)]]*expected_production[[#This Row],[Degradation Factor]])</f>
        <v>4983.4293129044099</v>
      </c>
    </row>
    <row r="1233" spans="1:7" ht="15" hidden="1" customHeight="1" x14ac:dyDescent="0.3">
      <c r="A1233" t="s">
        <v>131</v>
      </c>
      <c r="B1233" s="2">
        <v>45474</v>
      </c>
      <c r="C1233" s="52">
        <v>5383.9</v>
      </c>
      <c r="D1233" s="48">
        <f>_xlfn.XLOOKUP(expected_production[[#This Row],[Site Name]],Table1[[Site Name ]],Table1[Commisioned Date],"")</f>
        <v>45248</v>
      </c>
      <c r="E1233" s="47">
        <f>IF(ISNUMBER(expected_production[[#This Row],[Commissioned Date]]),MAX(0,(expected_production[[#This Row],[Date]]-expected_production[[#This Row],[Commissioned Date]])/365.25),"")</f>
        <v>0.61875427789185489</v>
      </c>
      <c r="F1233" s="49">
        <f>IF(expected_production[[#This Row],[Age (yrs)]]="",1,(1-DegradationRate)^expected_production[[#This Row],[Age (yrs)]])</f>
        <v>0.99566292186319361</v>
      </c>
      <c r="G1233" s="52">
        <f>IF(expected_production[[#This Row],[Base Expected (kWh)]]="","",expected_production[[#This Row],[Base Expected (kWh)]]*expected_production[[#This Row],[Degradation Factor]])</f>
        <v>5360.5496050192478</v>
      </c>
    </row>
    <row r="1234" spans="1:7" ht="15" hidden="1" customHeight="1" x14ac:dyDescent="0.3">
      <c r="A1234" t="s">
        <v>131</v>
      </c>
      <c r="B1234" s="2">
        <v>45505</v>
      </c>
      <c r="C1234" s="52">
        <v>5638.05</v>
      </c>
      <c r="D1234" s="48">
        <f>_xlfn.XLOOKUP(expected_production[[#This Row],[Site Name]],Table1[[Site Name ]],Table1[Commisioned Date],"")</f>
        <v>45248</v>
      </c>
      <c r="E1234" s="47">
        <f>IF(ISNUMBER(expected_production[[#This Row],[Commissioned Date]]),MAX(0,(expected_production[[#This Row],[Date]]-expected_production[[#This Row],[Commissioned Date]])/365.25),"")</f>
        <v>0.70362765229294999</v>
      </c>
      <c r="F1234" s="49">
        <f>IF(expected_production[[#This Row],[Age (yrs)]]="",1,(1-DegradationRate)^expected_production[[#This Row],[Age (yrs)]])</f>
        <v>0.99506948179052668</v>
      </c>
      <c r="G1234" s="52">
        <f>IF(expected_production[[#This Row],[Base Expected (kWh)]]="","",expected_production[[#This Row],[Base Expected (kWh)]]*expected_production[[#This Row],[Degradation Factor]])</f>
        <v>5610.2514918090792</v>
      </c>
    </row>
    <row r="1235" spans="1:7" ht="15" hidden="1" customHeight="1" x14ac:dyDescent="0.3">
      <c r="A1235" t="s">
        <v>131</v>
      </c>
      <c r="B1235" s="2">
        <v>45536</v>
      </c>
      <c r="C1235" s="52">
        <v>5587.05</v>
      </c>
      <c r="D1235" s="48">
        <f>_xlfn.XLOOKUP(expected_production[[#This Row],[Site Name]],Table1[[Site Name ]],Table1[Commisioned Date],"")</f>
        <v>45248</v>
      </c>
      <c r="E1235" s="47">
        <f>IF(ISNUMBER(expected_production[[#This Row],[Commissioned Date]]),MAX(0,(expected_production[[#This Row],[Date]]-expected_production[[#This Row],[Commissioned Date]])/365.25),"")</f>
        <v>0.7885010266940452</v>
      </c>
      <c r="F1235" s="49">
        <f>IF(expected_production[[#This Row],[Age (yrs)]]="",1,(1-DegradationRate)^expected_production[[#This Row],[Age (yrs)]])</f>
        <v>0.99447639542302646</v>
      </c>
      <c r="G1235" s="52">
        <f>IF(expected_production[[#This Row],[Base Expected (kWh)]]="","",expected_production[[#This Row],[Base Expected (kWh)]]*expected_production[[#This Row],[Degradation Factor]])</f>
        <v>5556.1893450482203</v>
      </c>
    </row>
    <row r="1236" spans="1:7" ht="15" hidden="1" customHeight="1" x14ac:dyDescent="0.3">
      <c r="A1236" t="s">
        <v>131</v>
      </c>
      <c r="B1236" s="2">
        <v>45566</v>
      </c>
      <c r="C1236" s="52">
        <v>5491.85</v>
      </c>
      <c r="D1236" s="48">
        <f>_xlfn.XLOOKUP(expected_production[[#This Row],[Site Name]],Table1[[Site Name ]],Table1[Commisioned Date],"")</f>
        <v>45248</v>
      </c>
      <c r="E1236" s="47">
        <f>IF(ISNUMBER(expected_production[[#This Row],[Commissioned Date]]),MAX(0,(expected_production[[#This Row],[Date]]-expected_production[[#This Row],[Commissioned Date]])/365.25),"")</f>
        <v>0.87063655030800824</v>
      </c>
      <c r="F1236" s="49">
        <f>IF(expected_production[[#This Row],[Age (yrs)]]="",1,(1-DegradationRate)^expected_production[[#This Row],[Age (yrs)]])</f>
        <v>0.99390277744969457</v>
      </c>
      <c r="G1236" s="52">
        <f>IF(expected_production[[#This Row],[Base Expected (kWh)]]="","",expected_production[[#This Row],[Base Expected (kWh)]]*expected_production[[#This Row],[Degradation Factor]])</f>
        <v>5458.3649683371059</v>
      </c>
    </row>
    <row r="1237" spans="1:7" ht="15" hidden="1" customHeight="1" x14ac:dyDescent="0.3">
      <c r="A1237" t="s">
        <v>131</v>
      </c>
      <c r="B1237" s="2">
        <v>45597</v>
      </c>
      <c r="C1237" s="52">
        <v>5110.2</v>
      </c>
      <c r="D1237" s="48">
        <f>_xlfn.XLOOKUP(expected_production[[#This Row],[Site Name]],Table1[[Site Name ]],Table1[Commisioned Date],"")</f>
        <v>45248</v>
      </c>
      <c r="E1237" s="47">
        <f>IF(ISNUMBER(expected_production[[#This Row],[Commissioned Date]]),MAX(0,(expected_production[[#This Row],[Date]]-expected_production[[#This Row],[Commissioned Date]])/365.25),"")</f>
        <v>0.95550992470910334</v>
      </c>
      <c r="F1237" s="49">
        <f>IF(expected_production[[#This Row],[Age (yrs)]]="",1,(1-DegradationRate)^expected_production[[#This Row],[Age (yrs)]])</f>
        <v>0.99331038646724257</v>
      </c>
      <c r="G1237" s="52">
        <f>IF(expected_production[[#This Row],[Base Expected (kWh)]]="","",expected_production[[#This Row],[Base Expected (kWh)]]*expected_production[[#This Row],[Degradation Factor]])</f>
        <v>5076.0147369249025</v>
      </c>
    </row>
    <row r="1238" spans="1:7" ht="15" hidden="1" customHeight="1" x14ac:dyDescent="0.3">
      <c r="A1238" t="s">
        <v>131</v>
      </c>
      <c r="B1238" s="2">
        <v>45627</v>
      </c>
      <c r="C1238" s="52">
        <v>5223.25</v>
      </c>
      <c r="D1238" s="48">
        <f>_xlfn.XLOOKUP(expected_production[[#This Row],[Site Name]],Table1[[Site Name ]],Table1[Commisioned Date],"")</f>
        <v>45248</v>
      </c>
      <c r="E1238" s="47">
        <f>IF(ISNUMBER(expected_production[[#This Row],[Commissioned Date]]),MAX(0,(expected_production[[#This Row],[Date]]-expected_production[[#This Row],[Commissioned Date]])/365.25),"")</f>
        <v>1.0376454483230664</v>
      </c>
      <c r="F1238" s="49">
        <f>IF(expected_production[[#This Row],[Age (yrs)]]="",1,(1-DegradationRate)^expected_production[[#This Row],[Age (yrs)]])</f>
        <v>0.99273744105255268</v>
      </c>
      <c r="G1238" s="52">
        <f>IF(expected_production[[#This Row],[Base Expected (kWh)]]="","",expected_production[[#This Row],[Base Expected (kWh)]]*expected_production[[#This Row],[Degradation Factor]])</f>
        <v>5185.3158389777454</v>
      </c>
    </row>
    <row r="1239" spans="1:7" ht="15" hidden="1" customHeight="1" x14ac:dyDescent="0.3">
      <c r="A1239" t="s">
        <v>131</v>
      </c>
      <c r="B1239" s="2">
        <v>45658</v>
      </c>
      <c r="C1239" s="52">
        <v>5063.45</v>
      </c>
      <c r="D1239" s="48">
        <f>_xlfn.XLOOKUP(expected_production[[#This Row],[Site Name]],Table1[[Site Name ]],Table1[Commisioned Date],"")</f>
        <v>45248</v>
      </c>
      <c r="E1239" s="47">
        <f>IF(ISNUMBER(expected_production[[#This Row],[Commissioned Date]]),MAX(0,(expected_production[[#This Row],[Date]]-expected_production[[#This Row],[Commissioned Date]])/365.25),"")</f>
        <v>1.1225188227241616</v>
      </c>
      <c r="F1239" s="49">
        <f>IF(expected_production[[#This Row],[Age (yrs)]]="",1,(1-DegradationRate)^expected_production[[#This Row],[Age (yrs)]])</f>
        <v>0.99214574463981997</v>
      </c>
      <c r="G1239" s="52">
        <f>IF(expected_production[[#This Row],[Base Expected (kWh)]]="","",expected_production[[#This Row],[Base Expected (kWh)]]*expected_production[[#This Row],[Degradation Factor]])</f>
        <v>5023.6803706964965</v>
      </c>
    </row>
    <row r="1240" spans="1:7" ht="15" hidden="1" customHeight="1" x14ac:dyDescent="0.3">
      <c r="A1240" t="s">
        <v>131</v>
      </c>
      <c r="B1240" s="2">
        <v>45689</v>
      </c>
      <c r="C1240" s="52">
        <v>4598.5</v>
      </c>
      <c r="D1240" s="48">
        <f>_xlfn.XLOOKUP(expected_production[[#This Row],[Site Name]],Table1[[Site Name ]],Table1[Commisioned Date],"")</f>
        <v>45248</v>
      </c>
      <c r="E1240" s="47">
        <f>IF(ISNUMBER(expected_production[[#This Row],[Commissioned Date]]),MAX(0,(expected_production[[#This Row],[Date]]-expected_production[[#This Row],[Commissioned Date]])/365.25),"")</f>
        <v>1.2073921971252566</v>
      </c>
      <c r="F1240" s="49">
        <f>IF(expected_production[[#This Row],[Age (yrs)]]="",1,(1-DegradationRate)^expected_production[[#This Row],[Age (yrs)]])</f>
        <v>0.99155440089298896</v>
      </c>
      <c r="G1240" s="52">
        <f>IF(expected_production[[#This Row],[Base Expected (kWh)]]="","",expected_production[[#This Row],[Base Expected (kWh)]]*expected_production[[#This Row],[Degradation Factor]])</f>
        <v>4559.6629125064101</v>
      </c>
    </row>
    <row r="1241" spans="1:7" ht="15" hidden="1" customHeight="1" x14ac:dyDescent="0.3">
      <c r="A1241" t="s">
        <v>131</v>
      </c>
      <c r="B1241" s="2">
        <v>45717</v>
      </c>
      <c r="C1241" s="52">
        <v>5071.95</v>
      </c>
      <c r="D1241" s="48">
        <f>_xlfn.XLOOKUP(expected_production[[#This Row],[Site Name]],Table1[[Site Name ]],Table1[Commisioned Date],"")</f>
        <v>45248</v>
      </c>
      <c r="E1241" s="47">
        <f>IF(ISNUMBER(expected_production[[#This Row],[Commissioned Date]]),MAX(0,(expected_production[[#This Row],[Date]]-expected_production[[#This Row],[Commissioned Date]])/365.25),"")</f>
        <v>1.2840520191649556</v>
      </c>
      <c r="F1241" s="49">
        <f>IF(expected_production[[#This Row],[Age (yrs)]]="",1,(1-DegradationRate)^expected_production[[#This Row],[Age (yrs)]])</f>
        <v>0.9910205869093891</v>
      </c>
      <c r="G1241" s="52">
        <f>IF(expected_production[[#This Row],[Base Expected (kWh)]]="","",expected_production[[#This Row],[Base Expected (kWh)]]*expected_production[[#This Row],[Degradation Factor]])</f>
        <v>5026.4068657750759</v>
      </c>
    </row>
    <row r="1242" spans="1:7" ht="15" hidden="1" customHeight="1" x14ac:dyDescent="0.3">
      <c r="A1242" t="s">
        <v>131</v>
      </c>
      <c r="B1242" s="2">
        <v>45748</v>
      </c>
      <c r="C1242" s="52">
        <v>4864.55</v>
      </c>
      <c r="D1242" s="48">
        <f>_xlfn.XLOOKUP(expected_production[[#This Row],[Site Name]],Table1[[Site Name ]],Table1[Commisioned Date],"")</f>
        <v>45248</v>
      </c>
      <c r="E1242" s="47">
        <f>IF(ISNUMBER(expected_production[[#This Row],[Commissioned Date]]),MAX(0,(expected_production[[#This Row],[Date]]-expected_production[[#This Row],[Commissioned Date]])/365.25),"")</f>
        <v>1.3689253935660506</v>
      </c>
      <c r="F1242" s="49">
        <f>IF(expected_production[[#This Row],[Age (yrs)]]="",1,(1-DegradationRate)^expected_production[[#This Row],[Age (yrs)]])</f>
        <v>0.99042991378478451</v>
      </c>
      <c r="G1242" s="52">
        <f>IF(expected_production[[#This Row],[Base Expected (kWh)]]="","",expected_production[[#This Row],[Base Expected (kWh)]]*expected_production[[#This Row],[Degradation Factor]])</f>
        <v>4817.9958371017738</v>
      </c>
    </row>
    <row r="1243" spans="1:7" ht="15" hidden="1" customHeight="1" x14ac:dyDescent="0.3">
      <c r="A1243" t="s">
        <v>131</v>
      </c>
      <c r="B1243" s="2">
        <v>45778</v>
      </c>
      <c r="C1243" s="52">
        <v>5173.1000000000004</v>
      </c>
      <c r="D1243" s="48">
        <f>_xlfn.XLOOKUP(expected_production[[#This Row],[Site Name]],Table1[[Site Name ]],Table1[Commisioned Date],"")</f>
        <v>45248</v>
      </c>
      <c r="E1243" s="47">
        <f>IF(ISNUMBER(expected_production[[#This Row],[Commissioned Date]]),MAX(0,(expected_production[[#This Row],[Date]]-expected_production[[#This Row],[Commissioned Date]])/365.25),"")</f>
        <v>1.4510609171800137</v>
      </c>
      <c r="F1243" s="49">
        <f>IF(expected_production[[#This Row],[Age (yrs)]]="",1,(1-DegradationRate)^expected_production[[#This Row],[Age (yrs)]])</f>
        <v>0.98985862983829032</v>
      </c>
      <c r="G1243" s="52">
        <f>IF(expected_production[[#This Row],[Base Expected (kWh)]]="","",expected_production[[#This Row],[Base Expected (kWh)]]*expected_production[[#This Row],[Degradation Factor]])</f>
        <v>5120.6376780164601</v>
      </c>
    </row>
    <row r="1244" spans="1:7" ht="15" hidden="1" customHeight="1" x14ac:dyDescent="0.3">
      <c r="A1244" t="s">
        <v>131</v>
      </c>
      <c r="B1244" s="2">
        <v>45809</v>
      </c>
      <c r="C1244" s="52">
        <v>5002.25</v>
      </c>
      <c r="D1244" s="48">
        <f>_xlfn.XLOOKUP(expected_production[[#This Row],[Site Name]],Table1[[Site Name ]],Table1[Commisioned Date],"")</f>
        <v>45248</v>
      </c>
      <c r="E1244" s="47">
        <f>IF(ISNUMBER(expected_production[[#This Row],[Commissioned Date]]),MAX(0,(expected_production[[#This Row],[Date]]-expected_production[[#This Row],[Commissioned Date]])/365.25),"")</f>
        <v>1.5359342915811087</v>
      </c>
      <c r="F1244" s="49">
        <f>IF(expected_production[[#This Row],[Age (yrs)]]="",1,(1-DegradationRate)^expected_production[[#This Row],[Age (yrs)]])</f>
        <v>0.98926864926924196</v>
      </c>
      <c r="G1244" s="52">
        <f>IF(expected_production[[#This Row],[Base Expected (kWh)]]="","",expected_production[[#This Row],[Base Expected (kWh)]]*expected_production[[#This Row],[Degradation Factor]])</f>
        <v>4948.5691008070653</v>
      </c>
    </row>
    <row r="1245" spans="1:7" ht="15" hidden="1" customHeight="1" x14ac:dyDescent="0.3">
      <c r="A1245" t="s">
        <v>131</v>
      </c>
      <c r="B1245" s="2">
        <v>45839</v>
      </c>
      <c r="C1245" s="52">
        <v>5383.9</v>
      </c>
      <c r="D1245" s="48">
        <f>_xlfn.XLOOKUP(expected_production[[#This Row],[Site Name]],Table1[[Site Name ]],Table1[Commisioned Date],"")</f>
        <v>45248</v>
      </c>
      <c r="E1245" s="47">
        <f>IF(ISNUMBER(expected_production[[#This Row],[Commissioned Date]]),MAX(0,(expected_production[[#This Row],[Date]]-expected_production[[#This Row],[Commissioned Date]])/365.25),"")</f>
        <v>1.6180698151950719</v>
      </c>
      <c r="F1245" s="49">
        <f>IF(expected_production[[#This Row],[Age (yrs)]]="",1,(1-DegradationRate)^expected_production[[#This Row],[Age (yrs)]])</f>
        <v>0.98869803514477772</v>
      </c>
      <c r="G1245" s="52">
        <f>IF(expected_production[[#This Row],[Base Expected (kWh)]]="","",expected_production[[#This Row],[Base Expected (kWh)]]*expected_production[[#This Row],[Degradation Factor]])</f>
        <v>5323.0513514159684</v>
      </c>
    </row>
    <row r="1246" spans="1:7" ht="15" hidden="1" customHeight="1" x14ac:dyDescent="0.3">
      <c r="A1246" t="s">
        <v>131</v>
      </c>
      <c r="B1246" s="2">
        <v>45870</v>
      </c>
      <c r="C1246" s="52">
        <v>5638.05</v>
      </c>
      <c r="D1246" s="48">
        <f>_xlfn.XLOOKUP(expected_production[[#This Row],[Site Name]],Table1[[Site Name ]],Table1[Commisioned Date],"")</f>
        <v>45248</v>
      </c>
      <c r="E1246" s="47">
        <f>IF(ISNUMBER(expected_production[[#This Row],[Commissioned Date]]),MAX(0,(expected_production[[#This Row],[Date]]-expected_production[[#This Row],[Commissioned Date]])/365.25),"")</f>
        <v>1.7029431895961671</v>
      </c>
      <c r="F1246" s="49">
        <f>IF(expected_production[[#This Row],[Age (yrs)]]="",1,(1-DegradationRate)^expected_production[[#This Row],[Age (yrs)]])</f>
        <v>0.98810874631927437</v>
      </c>
      <c r="G1246" s="52">
        <f>IF(expected_production[[#This Row],[Base Expected (kWh)]]="","",expected_production[[#This Row],[Base Expected (kWh)]]*expected_production[[#This Row],[Degradation Factor]])</f>
        <v>5571.0065171853848</v>
      </c>
    </row>
    <row r="1247" spans="1:7" ht="15" hidden="1" customHeight="1" x14ac:dyDescent="0.3">
      <c r="A1247" t="s">
        <v>131</v>
      </c>
      <c r="B1247" s="2">
        <v>45901</v>
      </c>
      <c r="C1247" s="52">
        <v>5587.05</v>
      </c>
      <c r="D1247" s="48">
        <f>_xlfn.XLOOKUP(expected_production[[#This Row],[Site Name]],Table1[[Site Name ]],Table1[Commisioned Date],"")</f>
        <v>45248</v>
      </c>
      <c r="E1247" s="47">
        <f>IF(ISNUMBER(expected_production[[#This Row],[Commissioned Date]]),MAX(0,(expected_production[[#This Row],[Date]]-expected_production[[#This Row],[Commissioned Date]])/365.25),"")</f>
        <v>1.7878165639972621</v>
      </c>
      <c r="F1247" s="49">
        <f>IF(expected_production[[#This Row],[Age (yrs)]]="",1,(1-DegradationRate)^expected_production[[#This Row],[Age (yrs)]])</f>
        <v>0.98751980872469036</v>
      </c>
      <c r="G1247" s="52">
        <f>IF(expected_production[[#This Row],[Base Expected (kWh)]]="","",expected_production[[#This Row],[Base Expected (kWh)]]*expected_production[[#This Row],[Degradation Factor]])</f>
        <v>5517.3225473352813</v>
      </c>
    </row>
    <row r="1248" spans="1:7" ht="15" hidden="1" customHeight="1" x14ac:dyDescent="0.3">
      <c r="A1248" t="s">
        <v>131</v>
      </c>
      <c r="B1248" s="2">
        <v>45931</v>
      </c>
      <c r="C1248" s="52">
        <v>5491.85</v>
      </c>
      <c r="D1248" s="48">
        <f>_xlfn.XLOOKUP(expected_production[[#This Row],[Site Name]],Table1[[Site Name ]],Table1[Commisioned Date],"")</f>
        <v>45248</v>
      </c>
      <c r="E1248" s="47">
        <f>IF(ISNUMBER(expected_production[[#This Row],[Commissioned Date]]),MAX(0,(expected_production[[#This Row],[Date]]-expected_production[[#This Row],[Commissioned Date]])/365.25),"")</f>
        <v>1.8699520876112252</v>
      </c>
      <c r="F1248" s="49">
        <f>IF(expected_production[[#This Row],[Age (yrs)]]="",1,(1-DegradationRate)^expected_production[[#This Row],[Age (yrs)]])</f>
        <v>0.98695020333846617</v>
      </c>
      <c r="G1248" s="52">
        <f>IF(expected_production[[#This Row],[Base Expected (kWh)]]="","",expected_production[[#This Row],[Base Expected (kWh)]]*expected_production[[#This Row],[Degradation Factor]])</f>
        <v>5420.1824742043555</v>
      </c>
    </row>
    <row r="1249" spans="1:7" ht="15" hidden="1" customHeight="1" x14ac:dyDescent="0.3">
      <c r="A1249" t="s">
        <v>131</v>
      </c>
      <c r="B1249" s="2">
        <v>45962</v>
      </c>
      <c r="C1249" s="52">
        <v>5110.2</v>
      </c>
      <c r="D1249" s="48">
        <f>_xlfn.XLOOKUP(expected_production[[#This Row],[Site Name]],Table1[[Site Name ]],Table1[Commisioned Date],"")</f>
        <v>45248</v>
      </c>
      <c r="E1249" s="47">
        <f>IF(ISNUMBER(expected_production[[#This Row],[Commissioned Date]]),MAX(0,(expected_production[[#This Row],[Date]]-expected_production[[#This Row],[Commissioned Date]])/365.25),"")</f>
        <v>1.9548254620123204</v>
      </c>
      <c r="F1249" s="49">
        <f>IF(expected_production[[#This Row],[Age (yrs)]]="",1,(1-DegradationRate)^expected_production[[#This Row],[Age (yrs)]])</f>
        <v>0.98636195626455503</v>
      </c>
      <c r="G1249" s="52">
        <f>IF(expected_production[[#This Row],[Base Expected (kWh)]]="","",expected_production[[#This Row],[Base Expected (kWh)]]*expected_production[[#This Row],[Degradation Factor]])</f>
        <v>5040.5068689031286</v>
      </c>
    </row>
    <row r="1250" spans="1:7" ht="15" hidden="1" customHeight="1" x14ac:dyDescent="0.3">
      <c r="A1250" t="s">
        <v>131</v>
      </c>
      <c r="B1250" s="2">
        <v>45992</v>
      </c>
      <c r="C1250" s="52">
        <v>5223.25</v>
      </c>
      <c r="D1250" s="48">
        <f>_xlfn.XLOOKUP(expected_production[[#This Row],[Site Name]],Table1[[Site Name ]],Table1[Commisioned Date],"")</f>
        <v>45248</v>
      </c>
      <c r="E1250" s="47">
        <f>IF(ISNUMBER(expected_production[[#This Row],[Commissioned Date]]),MAX(0,(expected_production[[#This Row],[Date]]-expected_production[[#This Row],[Commissioned Date]])/365.25),"")</f>
        <v>2.0369609856262834</v>
      </c>
      <c r="F1250" s="49">
        <f>IF(expected_production[[#This Row],[Age (yrs)]]="",1,(1-DegradationRate)^expected_production[[#This Row],[Age (yrs)]])</f>
        <v>0.98579301873227354</v>
      </c>
      <c r="G1250" s="52">
        <f>IF(expected_production[[#This Row],[Base Expected (kWh)]]="","",expected_production[[#This Row],[Base Expected (kWh)]]*expected_production[[#This Row],[Degradation Factor]])</f>
        <v>5149.0433850933478</v>
      </c>
    </row>
    <row r="1251" spans="1:7" ht="15" hidden="1" customHeight="1" x14ac:dyDescent="0.3">
      <c r="A1251" t="s">
        <v>131</v>
      </c>
      <c r="B1251" s="2">
        <v>46023</v>
      </c>
      <c r="C1251" s="52">
        <v>5063.45</v>
      </c>
      <c r="D1251" s="48">
        <f>_xlfn.XLOOKUP(expected_production[[#This Row],[Site Name]],Table1[[Site Name ]],Table1[Commisioned Date],"")</f>
        <v>45248</v>
      </c>
      <c r="E1251" s="47">
        <f>IF(ISNUMBER(expected_production[[#This Row],[Commissioned Date]]),MAX(0,(expected_production[[#This Row],[Date]]-expected_production[[#This Row],[Commissioned Date]])/365.25),"")</f>
        <v>2.1218343600273784</v>
      </c>
      <c r="F1251" s="49">
        <f>IF(expected_production[[#This Row],[Age (yrs)]]="",1,(1-DegradationRate)^expected_production[[#This Row],[Age (yrs)]])</f>
        <v>0.9852054613694099</v>
      </c>
      <c r="G1251" s="52">
        <f>IF(expected_production[[#This Row],[Base Expected (kWh)]]="","",expected_production[[#This Row],[Base Expected (kWh)]]*expected_production[[#This Row],[Degradation Factor]])</f>
        <v>4988.5385933709385</v>
      </c>
    </row>
    <row r="1252" spans="1:7" ht="15" hidden="1" customHeight="1" x14ac:dyDescent="0.3">
      <c r="A1252" t="s">
        <v>131</v>
      </c>
      <c r="B1252" s="2">
        <v>46054</v>
      </c>
      <c r="C1252" s="52">
        <v>4598.5</v>
      </c>
      <c r="D1252" s="48">
        <f>_xlfn.XLOOKUP(expected_production[[#This Row],[Site Name]],Table1[[Site Name ]],Table1[Commisioned Date],"")</f>
        <v>45248</v>
      </c>
      <c r="E1252" s="47">
        <f>IF(ISNUMBER(expected_production[[#This Row],[Commissioned Date]]),MAX(0,(expected_production[[#This Row],[Date]]-expected_production[[#This Row],[Commissioned Date]])/365.25),"")</f>
        <v>2.2067077344284738</v>
      </c>
      <c r="F1252" s="49">
        <f>IF(expected_production[[#This Row],[Age (yrs)]]="",1,(1-DegradationRate)^expected_production[[#This Row],[Age (yrs)]])</f>
        <v>0.98461825420547044</v>
      </c>
      <c r="G1252" s="52">
        <f>IF(expected_production[[#This Row],[Base Expected (kWh)]]="","",expected_production[[#This Row],[Base Expected (kWh)]]*expected_production[[#This Row],[Degradation Factor]])</f>
        <v>4527.7670419638562</v>
      </c>
    </row>
    <row r="1253" spans="1:7" ht="15" hidden="1" customHeight="1" x14ac:dyDescent="0.3">
      <c r="A1253" t="s">
        <v>131</v>
      </c>
      <c r="B1253" s="2">
        <v>46082</v>
      </c>
      <c r="C1253" s="52">
        <v>5071.95</v>
      </c>
      <c r="D1253" s="48">
        <f>_xlfn.XLOOKUP(expected_production[[#This Row],[Site Name]],Table1[[Site Name ]],Table1[Commisioned Date],"")</f>
        <v>45248</v>
      </c>
      <c r="E1253" s="47">
        <f>IF(ISNUMBER(expected_production[[#This Row],[Commissioned Date]]),MAX(0,(expected_production[[#This Row],[Date]]-expected_production[[#This Row],[Commissioned Date]])/365.25),"")</f>
        <v>2.2833675564681726</v>
      </c>
      <c r="F1253" s="49">
        <f>IF(expected_production[[#This Row],[Age (yrs)]]="",1,(1-DegradationRate)^expected_production[[#This Row],[Age (yrs)]])</f>
        <v>0.98408817437109208</v>
      </c>
      <c r="G1253" s="52">
        <f>IF(expected_production[[#This Row],[Base Expected (kWh)]]="","",expected_production[[#This Row],[Base Expected (kWh)]]*expected_production[[#This Row],[Degradation Factor]])</f>
        <v>4991.2460160014607</v>
      </c>
    </row>
    <row r="1254" spans="1:7" ht="15" hidden="1" customHeight="1" x14ac:dyDescent="0.3">
      <c r="A1254" t="s">
        <v>131</v>
      </c>
      <c r="B1254" s="2">
        <v>46113</v>
      </c>
      <c r="C1254" s="52">
        <v>4864.55</v>
      </c>
      <c r="D1254" s="48">
        <f>_xlfn.XLOOKUP(expected_production[[#This Row],[Site Name]],Table1[[Site Name ]],Table1[Commisioned Date],"")</f>
        <v>45248</v>
      </c>
      <c r="E1254" s="47">
        <f>IF(ISNUMBER(expected_production[[#This Row],[Commissioned Date]]),MAX(0,(expected_production[[#This Row],[Date]]-expected_production[[#This Row],[Commissioned Date]])/365.25),"")</f>
        <v>2.3682409308692676</v>
      </c>
      <c r="F1254" s="49">
        <f>IF(expected_production[[#This Row],[Age (yrs)]]="",1,(1-DegradationRate)^expected_production[[#This Row],[Age (yrs)]])</f>
        <v>0.98350163313822514</v>
      </c>
      <c r="G1254" s="52">
        <f>IF(expected_production[[#This Row],[Base Expected (kWh)]]="","",expected_production[[#This Row],[Base Expected (kWh)]]*expected_production[[#This Row],[Degradation Factor]])</f>
        <v>4784.2928694825532</v>
      </c>
    </row>
    <row r="1255" spans="1:7" ht="15" hidden="1" customHeight="1" x14ac:dyDescent="0.3">
      <c r="A1255" t="s">
        <v>131</v>
      </c>
      <c r="B1255" s="2">
        <v>46143</v>
      </c>
      <c r="C1255" s="52">
        <v>5173.1000000000004</v>
      </c>
      <c r="D1255" s="48">
        <f>_xlfn.XLOOKUP(expected_production[[#This Row],[Site Name]],Table1[[Site Name ]],Table1[Commisioned Date],"")</f>
        <v>45248</v>
      </c>
      <c r="E1255" s="47">
        <f>IF(ISNUMBER(expected_production[[#This Row],[Commissioned Date]]),MAX(0,(expected_production[[#This Row],[Date]]-expected_production[[#This Row],[Commissioned Date]])/365.25),"")</f>
        <v>2.4503764544832305</v>
      </c>
      <c r="F1255" s="49">
        <f>IF(expected_production[[#This Row],[Age (yrs)]]="",1,(1-DegradationRate)^expected_production[[#This Row],[Age (yrs)]])</f>
        <v>0.98293434545179459</v>
      </c>
      <c r="G1255" s="52">
        <f>IF(expected_production[[#This Row],[Base Expected (kWh)]]="","",expected_production[[#This Row],[Base Expected (kWh)]]*expected_production[[#This Row],[Degradation Factor]])</f>
        <v>5084.8176624566786</v>
      </c>
    </row>
    <row r="1256" spans="1:7" ht="15" hidden="1" customHeight="1" x14ac:dyDescent="0.3">
      <c r="A1256" t="s">
        <v>131</v>
      </c>
      <c r="B1256" s="2">
        <v>46174</v>
      </c>
      <c r="C1256" s="52">
        <v>5002.25</v>
      </c>
      <c r="D1256" s="48">
        <f>_xlfn.XLOOKUP(expected_production[[#This Row],[Site Name]],Table1[[Site Name ]],Table1[Commisioned Date],"")</f>
        <v>45248</v>
      </c>
      <c r="E1256" s="47">
        <f>IF(ISNUMBER(expected_production[[#This Row],[Commissioned Date]]),MAX(0,(expected_production[[#This Row],[Date]]-expected_production[[#This Row],[Commissioned Date]])/365.25),"")</f>
        <v>2.5352498288843259</v>
      </c>
      <c r="F1256" s="49">
        <f>IF(expected_production[[#This Row],[Age (yrs)]]="",1,(1-DegradationRate)^expected_production[[#This Row],[Age (yrs)]])</f>
        <v>0.98234849192990159</v>
      </c>
      <c r="G1256" s="52">
        <f>IF(expected_production[[#This Row],[Base Expected (kWh)]]="","",expected_production[[#This Row],[Base Expected (kWh)]]*expected_production[[#This Row],[Degradation Factor]])</f>
        <v>4913.9527437563502</v>
      </c>
    </row>
    <row r="1257" spans="1:7" ht="15" hidden="1" customHeight="1" x14ac:dyDescent="0.3">
      <c r="A1257" t="s">
        <v>131</v>
      </c>
      <c r="B1257" s="2">
        <v>46204</v>
      </c>
      <c r="C1257" s="52">
        <v>5383.9</v>
      </c>
      <c r="D1257" s="48">
        <f>_xlfn.XLOOKUP(expected_production[[#This Row],[Site Name]],Table1[[Site Name ]],Table1[Commisioned Date],"")</f>
        <v>45248</v>
      </c>
      <c r="E1257" s="47">
        <f>IF(ISNUMBER(expected_production[[#This Row],[Commissioned Date]]),MAX(0,(expected_production[[#This Row],[Date]]-expected_production[[#This Row],[Commissioned Date]])/365.25),"")</f>
        <v>2.6173853524982889</v>
      </c>
      <c r="F1257" s="49">
        <f>IF(expected_production[[#This Row],[Age (yrs)]]="",1,(1-DegradationRate)^expected_production[[#This Row],[Age (yrs)]])</f>
        <v>0.98178186937994472</v>
      </c>
      <c r="G1257" s="52">
        <f>IF(expected_production[[#This Row],[Base Expected (kWh)]]="","",expected_production[[#This Row],[Base Expected (kWh)]]*expected_production[[#This Row],[Degradation Factor]])</f>
        <v>5285.8154065546842</v>
      </c>
    </row>
    <row r="1258" spans="1:7" ht="15" hidden="1" customHeight="1" x14ac:dyDescent="0.3">
      <c r="A1258" t="s">
        <v>131</v>
      </c>
      <c r="B1258" s="2">
        <v>46235</v>
      </c>
      <c r="C1258" s="52">
        <v>5638.05</v>
      </c>
      <c r="D1258" s="48">
        <f>_xlfn.XLOOKUP(expected_production[[#This Row],[Site Name]],Table1[[Site Name ]],Table1[Commisioned Date],"")</f>
        <v>45248</v>
      </c>
      <c r="E1258" s="47">
        <f>IF(ISNUMBER(expected_production[[#This Row],[Commissioned Date]]),MAX(0,(expected_production[[#This Row],[Date]]-expected_production[[#This Row],[Commissioned Date]])/365.25),"")</f>
        <v>2.7022587268993838</v>
      </c>
      <c r="F1258" s="49">
        <f>IF(expected_production[[#This Row],[Age (yrs)]]="",1,(1-DegradationRate)^expected_production[[#This Row],[Age (yrs)]])</f>
        <v>0.98119670276269477</v>
      </c>
      <c r="G1258" s="52">
        <f>IF(expected_production[[#This Row],[Base Expected (kWh)]]="","",expected_production[[#This Row],[Base Expected (kWh)]]*expected_production[[#This Row],[Degradation Factor]])</f>
        <v>5532.0360700112115</v>
      </c>
    </row>
    <row r="1259" spans="1:7" ht="15" hidden="1" customHeight="1" x14ac:dyDescent="0.3">
      <c r="A1259" t="s">
        <v>131</v>
      </c>
      <c r="B1259" s="2">
        <v>46266</v>
      </c>
      <c r="C1259" s="52">
        <v>5587.05</v>
      </c>
      <c r="D1259" s="48">
        <f>_xlfn.XLOOKUP(expected_production[[#This Row],[Site Name]],Table1[[Site Name ]],Table1[Commisioned Date],"")</f>
        <v>45248</v>
      </c>
      <c r="E1259" s="47">
        <f>IF(ISNUMBER(expected_production[[#This Row],[Commissioned Date]]),MAX(0,(expected_production[[#This Row],[Date]]-expected_production[[#This Row],[Commissioned Date]])/365.25),"")</f>
        <v>2.7871321013004793</v>
      </c>
      <c r="F1259" s="49">
        <f>IF(expected_production[[#This Row],[Age (yrs)]]="",1,(1-DegradationRate)^expected_production[[#This Row],[Age (yrs)]])</f>
        <v>0.98061188491942464</v>
      </c>
      <c r="G1259" s="52">
        <f>IF(expected_production[[#This Row],[Base Expected (kWh)]]="","",expected_production[[#This Row],[Base Expected (kWh)]]*expected_production[[#This Row],[Degradation Factor]])</f>
        <v>5478.7276316390717</v>
      </c>
    </row>
    <row r="1260" spans="1:7" ht="15" hidden="1" customHeight="1" x14ac:dyDescent="0.3">
      <c r="A1260" t="s">
        <v>131</v>
      </c>
      <c r="B1260" s="2">
        <v>46296</v>
      </c>
      <c r="C1260" s="52">
        <v>5491.85</v>
      </c>
      <c r="D1260" s="48">
        <f>_xlfn.XLOOKUP(expected_production[[#This Row],[Site Name]],Table1[[Site Name ]],Table1[Commisioned Date],"")</f>
        <v>45248</v>
      </c>
      <c r="E1260" s="47">
        <f>IF(ISNUMBER(expected_production[[#This Row],[Commissioned Date]]),MAX(0,(expected_production[[#This Row],[Date]]-expected_production[[#This Row],[Commissioned Date]])/365.25),"")</f>
        <v>2.8692676249144422</v>
      </c>
      <c r="F1260" s="49">
        <f>IF(expected_production[[#This Row],[Age (yrs)]]="",1,(1-DegradationRate)^expected_production[[#This Row],[Age (yrs)]])</f>
        <v>0.98004626405135631</v>
      </c>
      <c r="G1260" s="52">
        <f>IF(expected_production[[#This Row],[Base Expected (kWh)]]="","",expected_production[[#This Row],[Base Expected (kWh)]]*expected_production[[#This Row],[Degradation Factor]])</f>
        <v>5382.2670752304412</v>
      </c>
    </row>
    <row r="1261" spans="1:7" ht="15" hidden="1" customHeight="1" x14ac:dyDescent="0.3">
      <c r="A1261" t="s">
        <v>131</v>
      </c>
      <c r="B1261" s="2">
        <v>46327</v>
      </c>
      <c r="C1261" s="52">
        <v>5110.2</v>
      </c>
      <c r="D1261" s="48">
        <f>_xlfn.XLOOKUP(expected_production[[#This Row],[Site Name]],Table1[[Site Name ]],Table1[Commisioned Date],"")</f>
        <v>45248</v>
      </c>
      <c r="E1261" s="47">
        <f>IF(ISNUMBER(expected_production[[#This Row],[Commissioned Date]]),MAX(0,(expected_production[[#This Row],[Date]]-expected_production[[#This Row],[Commissioned Date]])/365.25),"")</f>
        <v>2.9541409993155372</v>
      </c>
      <c r="F1261" s="49">
        <f>IF(expected_production[[#This Row],[Age (yrs)]]="",1,(1-DegradationRate)^expected_production[[#This Row],[Age (yrs)]])</f>
        <v>0.97946213189841114</v>
      </c>
      <c r="G1261" s="52">
        <f>IF(expected_production[[#This Row],[Base Expected (kWh)]]="","",expected_production[[#This Row],[Base Expected (kWh)]]*expected_production[[#This Row],[Degradation Factor]])</f>
        <v>5005.2473864272606</v>
      </c>
    </row>
    <row r="1262" spans="1:7" ht="15" hidden="1" customHeight="1" x14ac:dyDescent="0.3">
      <c r="A1262" t="s">
        <v>131</v>
      </c>
      <c r="B1262" s="2">
        <v>46357</v>
      </c>
      <c r="C1262" s="52">
        <v>5223.25</v>
      </c>
      <c r="D1262" s="48">
        <f>_xlfn.XLOOKUP(expected_production[[#This Row],[Site Name]],Table1[[Site Name ]],Table1[Commisioned Date],"")</f>
        <v>45248</v>
      </c>
      <c r="E1262" s="47">
        <f>IF(ISNUMBER(expected_production[[#This Row],[Commissioned Date]]),MAX(0,(expected_production[[#This Row],[Date]]-expected_production[[#This Row],[Commissioned Date]])/365.25),"")</f>
        <v>3.0362765229295001</v>
      </c>
      <c r="F1262" s="49">
        <f>IF(expected_production[[#This Row],[Age (yrs)]]="",1,(1-DegradationRate)^expected_production[[#This Row],[Age (yrs)]])</f>
        <v>0.97889717421249645</v>
      </c>
      <c r="G1262" s="52">
        <f>IF(expected_production[[#This Row],[Base Expected (kWh)]]="","",expected_production[[#This Row],[Base Expected (kWh)]]*expected_production[[#This Row],[Degradation Factor]])</f>
        <v>5113.024665205422</v>
      </c>
    </row>
    <row r="1263" spans="1:7" ht="15" hidden="1" customHeight="1" x14ac:dyDescent="0.3">
      <c r="A1263" t="s">
        <v>134</v>
      </c>
      <c r="B1263" s="2">
        <v>45292</v>
      </c>
      <c r="C1263" s="52">
        <v>40416.300000000003</v>
      </c>
      <c r="D1263" s="48">
        <f>_xlfn.XLOOKUP(expected_production[[#This Row],[Site Name]],Table1[[Site Name ]],Table1[Commisioned Date],"")</f>
        <v>45351</v>
      </c>
      <c r="E1263" s="47">
        <f>IF(ISNUMBER(expected_production[[#This Row],[Commissioned Date]]),MAX(0,(expected_production[[#This Row],[Date]]-expected_production[[#This Row],[Commissioned Date]])/365.25),"")</f>
        <v>0</v>
      </c>
      <c r="F1263" s="49">
        <f>IF(expected_production[[#This Row],[Age (yrs)]]="",1,(1-DegradationRate)^expected_production[[#This Row],[Age (yrs)]])</f>
        <v>1</v>
      </c>
      <c r="G1263" s="52">
        <f>IF(expected_production[[#This Row],[Base Expected (kWh)]]="","",expected_production[[#This Row],[Base Expected (kWh)]]*expected_production[[#This Row],[Degradation Factor]])</f>
        <v>40416.300000000003</v>
      </c>
    </row>
    <row r="1264" spans="1:7" ht="15" hidden="1" customHeight="1" x14ac:dyDescent="0.3">
      <c r="A1264" t="s">
        <v>134</v>
      </c>
      <c r="B1264" s="2">
        <v>45323</v>
      </c>
      <c r="C1264" s="52">
        <v>33988.5</v>
      </c>
      <c r="D1264" s="48">
        <f>_xlfn.XLOOKUP(expected_production[[#This Row],[Site Name]],Table1[[Site Name ]],Table1[Commisioned Date],"")</f>
        <v>45351</v>
      </c>
      <c r="E1264" s="47">
        <f>IF(ISNUMBER(expected_production[[#This Row],[Commissioned Date]]),MAX(0,(expected_production[[#This Row],[Date]]-expected_production[[#This Row],[Commissioned Date]])/365.25),"")</f>
        <v>0</v>
      </c>
      <c r="F1264" s="49">
        <f>IF(expected_production[[#This Row],[Age (yrs)]]="",1,(1-DegradationRate)^expected_production[[#This Row],[Age (yrs)]])</f>
        <v>1</v>
      </c>
      <c r="G1264" s="52">
        <f>IF(expected_production[[#This Row],[Base Expected (kWh)]]="","",expected_production[[#This Row],[Base Expected (kWh)]]*expected_production[[#This Row],[Degradation Factor]])</f>
        <v>33988.5</v>
      </c>
    </row>
    <row r="1265" spans="1:7" ht="15" hidden="1" customHeight="1" x14ac:dyDescent="0.3">
      <c r="A1265" t="s">
        <v>134</v>
      </c>
      <c r="B1265" s="2">
        <v>45352</v>
      </c>
      <c r="C1265" s="52">
        <v>35132.400000000001</v>
      </c>
      <c r="D1265" s="48">
        <f>_xlfn.XLOOKUP(expected_production[[#This Row],[Site Name]],Table1[[Site Name ]],Table1[Commisioned Date],"")</f>
        <v>45351</v>
      </c>
      <c r="E1265" s="47">
        <f>IF(ISNUMBER(expected_production[[#This Row],[Commissioned Date]]),MAX(0,(expected_production[[#This Row],[Date]]-expected_production[[#This Row],[Commissioned Date]])/365.25),"")</f>
        <v>2.7378507871321013E-3</v>
      </c>
      <c r="F1265" s="49">
        <f>IF(expected_production[[#This Row],[Age (yrs)]]="",1,(1-DegradationRate)^expected_production[[#This Row],[Age (yrs)]])</f>
        <v>0.99998076783740597</v>
      </c>
      <c r="G1265" s="52">
        <f>IF(expected_production[[#This Row],[Base Expected (kWh)]]="","",expected_production[[#This Row],[Base Expected (kWh)]]*expected_production[[#This Row],[Degradation Factor]])</f>
        <v>35131.724327970885</v>
      </c>
    </row>
    <row r="1266" spans="1:7" ht="15" hidden="1" customHeight="1" x14ac:dyDescent="0.3">
      <c r="A1266" t="s">
        <v>134</v>
      </c>
      <c r="B1266" s="2">
        <v>45383</v>
      </c>
      <c r="C1266" s="52">
        <v>29903.4</v>
      </c>
      <c r="D1266" s="48">
        <f>_xlfn.XLOOKUP(expected_production[[#This Row],[Site Name]],Table1[[Site Name ]],Table1[Commisioned Date],"")</f>
        <v>45351</v>
      </c>
      <c r="E1266" s="47">
        <f>IF(ISNUMBER(expected_production[[#This Row],[Commissioned Date]]),MAX(0,(expected_production[[#This Row],[Date]]-expected_production[[#This Row],[Commissioned Date]])/365.25),"")</f>
        <v>8.761122518822724E-2</v>
      </c>
      <c r="F1266" s="49">
        <f>IF(expected_production[[#This Row],[Age (yrs)]]="",1,(1-DegradationRate)^expected_production[[#This Row],[Age (yrs)]])</f>
        <v>0.99938475422024675</v>
      </c>
      <c r="G1266" s="52">
        <f>IF(expected_production[[#This Row],[Base Expected (kWh)]]="","",expected_production[[#This Row],[Base Expected (kWh)]]*expected_production[[#This Row],[Degradation Factor]])</f>
        <v>29885.002059349728</v>
      </c>
    </row>
    <row r="1267" spans="1:7" ht="15" hidden="1" customHeight="1" x14ac:dyDescent="0.3">
      <c r="A1267" t="s">
        <v>134</v>
      </c>
      <c r="B1267" s="2">
        <v>45413</v>
      </c>
      <c r="C1267" s="52">
        <v>28383.3</v>
      </c>
      <c r="D1267" s="48">
        <f>_xlfn.XLOOKUP(expected_production[[#This Row],[Site Name]],Table1[[Site Name ]],Table1[Commisioned Date],"")</f>
        <v>45351</v>
      </c>
      <c r="E1267" s="47">
        <f>IF(ISNUMBER(expected_production[[#This Row],[Commissioned Date]]),MAX(0,(expected_production[[#This Row],[Date]]-expected_production[[#This Row],[Commissioned Date]])/365.25),"")</f>
        <v>0.16974674880219029</v>
      </c>
      <c r="F1267" s="49">
        <f>IF(expected_production[[#This Row],[Age (yrs)]]="",1,(1-DegradationRate)^expected_production[[#This Row],[Age (yrs)]])</f>
        <v>0.99880830508587504</v>
      </c>
      <c r="G1267" s="52">
        <f>IF(expected_production[[#This Row],[Base Expected (kWh)]]="","",expected_production[[#This Row],[Base Expected (kWh)]]*expected_production[[#This Row],[Degradation Factor]])</f>
        <v>28349.475765743915</v>
      </c>
    </row>
    <row r="1268" spans="1:7" ht="15" hidden="1" customHeight="1" x14ac:dyDescent="0.3">
      <c r="A1268" t="s">
        <v>134</v>
      </c>
      <c r="B1268" s="2">
        <v>45444</v>
      </c>
      <c r="C1268" s="52">
        <v>25641.9</v>
      </c>
      <c r="D1268" s="48">
        <f>_xlfn.XLOOKUP(expected_production[[#This Row],[Site Name]],Table1[[Site Name ]],Table1[Commisioned Date],"")</f>
        <v>45351</v>
      </c>
      <c r="E1268" s="47">
        <f>IF(ISNUMBER(expected_production[[#This Row],[Commissioned Date]]),MAX(0,(expected_production[[#This Row],[Date]]-expected_production[[#This Row],[Commissioned Date]])/365.25),"")</f>
        <v>0.25462012320328542</v>
      </c>
      <c r="F1268" s="49">
        <f>IF(expected_production[[#This Row],[Age (yrs)]]="",1,(1-DegradationRate)^expected_production[[#This Row],[Age (yrs)]])</f>
        <v>0.99821299028592114</v>
      </c>
      <c r="G1268" s="52">
        <f>IF(expected_production[[#This Row],[Base Expected (kWh)]]="","",expected_production[[#This Row],[Base Expected (kWh)]]*expected_production[[#This Row],[Degradation Factor]])</f>
        <v>25596.077675612563</v>
      </c>
    </row>
    <row r="1269" spans="1:7" ht="15" hidden="1" customHeight="1" x14ac:dyDescent="0.3">
      <c r="A1269" t="s">
        <v>134</v>
      </c>
      <c r="B1269" s="2">
        <v>45474</v>
      </c>
      <c r="C1269" s="52">
        <v>28361.7</v>
      </c>
      <c r="D1269" s="48">
        <f>_xlfn.XLOOKUP(expected_production[[#This Row],[Site Name]],Table1[[Site Name ]],Table1[Commisioned Date],"")</f>
        <v>45351</v>
      </c>
      <c r="E1269" s="47">
        <f>IF(ISNUMBER(expected_production[[#This Row],[Commissioned Date]]),MAX(0,(expected_production[[#This Row],[Date]]-expected_production[[#This Row],[Commissioned Date]])/365.25),"")</f>
        <v>0.33675564681724846</v>
      </c>
      <c r="F1269" s="49">
        <f>IF(expected_production[[#This Row],[Age (yrs)]]="",1,(1-DegradationRate)^expected_production[[#This Row],[Age (yrs)]])</f>
        <v>0.99763721702968633</v>
      </c>
      <c r="G1269" s="52">
        <f>IF(expected_production[[#This Row],[Base Expected (kWh)]]="","",expected_production[[#This Row],[Base Expected (kWh)]]*expected_production[[#This Row],[Degradation Factor]])</f>
        <v>28294.687458230856</v>
      </c>
    </row>
    <row r="1270" spans="1:7" ht="15" hidden="1" customHeight="1" x14ac:dyDescent="0.3">
      <c r="A1270" t="s">
        <v>134</v>
      </c>
      <c r="B1270" s="2">
        <v>45505</v>
      </c>
      <c r="C1270" s="52">
        <v>33006.6</v>
      </c>
      <c r="D1270" s="48">
        <f>_xlfn.XLOOKUP(expected_production[[#This Row],[Site Name]],Table1[[Site Name ]],Table1[Commisioned Date],"")</f>
        <v>45351</v>
      </c>
      <c r="E1270" s="47">
        <f>IF(ISNUMBER(expected_production[[#This Row],[Commissioned Date]]),MAX(0,(expected_production[[#This Row],[Date]]-expected_production[[#This Row],[Commissioned Date]])/365.25),"")</f>
        <v>0.42162902121834361</v>
      </c>
      <c r="F1270" s="49">
        <f>IF(expected_production[[#This Row],[Age (yrs)]]="",1,(1-DegradationRate)^expected_production[[#This Row],[Age (yrs)]])</f>
        <v>0.99704260022758484</v>
      </c>
      <c r="G1270" s="52">
        <f>IF(expected_production[[#This Row],[Base Expected (kWh)]]="","",expected_production[[#This Row],[Base Expected (kWh)]]*expected_production[[#This Row],[Degradation Factor]])</f>
        <v>32908.986288671804</v>
      </c>
    </row>
    <row r="1271" spans="1:7" ht="15" hidden="1" customHeight="1" x14ac:dyDescent="0.3">
      <c r="A1271" t="s">
        <v>134</v>
      </c>
      <c r="B1271" s="2">
        <v>45536</v>
      </c>
      <c r="C1271" s="52">
        <v>36521.1</v>
      </c>
      <c r="D1271" s="48">
        <f>_xlfn.XLOOKUP(expected_production[[#This Row],[Site Name]],Table1[[Site Name ]],Table1[Commisioned Date],"")</f>
        <v>45351</v>
      </c>
      <c r="E1271" s="47">
        <f>IF(ISNUMBER(expected_production[[#This Row],[Commissioned Date]]),MAX(0,(expected_production[[#This Row],[Date]]-expected_production[[#This Row],[Commissioned Date]])/365.25),"")</f>
        <v>0.50650239561943877</v>
      </c>
      <c r="F1271" s="49">
        <f>IF(expected_production[[#This Row],[Age (yrs)]]="",1,(1-DegradationRate)^expected_production[[#This Row],[Age (yrs)]])</f>
        <v>0.99644833783201037</v>
      </c>
      <c r="G1271" s="52">
        <f>IF(expected_production[[#This Row],[Base Expected (kWh)]]="","",expected_production[[#This Row],[Base Expected (kWh)]]*expected_production[[#This Row],[Degradation Factor]])</f>
        <v>36391.389390796634</v>
      </c>
    </row>
    <row r="1272" spans="1:7" ht="15" hidden="1" customHeight="1" x14ac:dyDescent="0.3">
      <c r="A1272" t="s">
        <v>134</v>
      </c>
      <c r="B1272" s="2">
        <v>45566</v>
      </c>
      <c r="C1272" s="52">
        <v>39682.800000000003</v>
      </c>
      <c r="D1272" s="48">
        <f>_xlfn.XLOOKUP(expected_production[[#This Row],[Site Name]],Table1[[Site Name ]],Table1[Commisioned Date],"")</f>
        <v>45351</v>
      </c>
      <c r="E1272" s="47">
        <f>IF(ISNUMBER(expected_production[[#This Row],[Commissioned Date]]),MAX(0,(expected_production[[#This Row],[Date]]-expected_production[[#This Row],[Commissioned Date]])/365.25),"")</f>
        <v>0.58863791923340181</v>
      </c>
      <c r="F1272" s="49">
        <f>IF(expected_production[[#This Row],[Age (yrs)]]="",1,(1-DegradationRate)^expected_production[[#This Row],[Age (yrs)]])</f>
        <v>0.99587358243438817</v>
      </c>
      <c r="G1272" s="52">
        <f>IF(expected_production[[#This Row],[Base Expected (kWh)]]="","",expected_production[[#This Row],[Base Expected (kWh)]]*expected_production[[#This Row],[Degradation Factor]])</f>
        <v>39519.05219702734</v>
      </c>
    </row>
    <row r="1273" spans="1:7" ht="15" hidden="1" customHeight="1" x14ac:dyDescent="0.3">
      <c r="A1273" t="s">
        <v>134</v>
      </c>
      <c r="B1273" s="2">
        <v>45597</v>
      </c>
      <c r="C1273" s="52">
        <v>39748.5</v>
      </c>
      <c r="D1273" s="48">
        <f>_xlfn.XLOOKUP(expected_production[[#This Row],[Site Name]],Table1[[Site Name ]],Table1[Commisioned Date],"")</f>
        <v>45351</v>
      </c>
      <c r="E1273" s="47">
        <f>IF(ISNUMBER(expected_production[[#This Row],[Commissioned Date]]),MAX(0,(expected_production[[#This Row],[Date]]-expected_production[[#This Row],[Commissioned Date]])/365.25),"")</f>
        <v>0.67351129363449691</v>
      </c>
      <c r="F1273" s="49">
        <f>IF(expected_production[[#This Row],[Age (yrs)]]="",1,(1-DegradationRate)^expected_production[[#This Row],[Age (yrs)]])</f>
        <v>0.99528001680273748</v>
      </c>
      <c r="G1273" s="52">
        <f>IF(expected_production[[#This Row],[Base Expected (kWh)]]="","",expected_production[[#This Row],[Base Expected (kWh)]]*expected_production[[#This Row],[Degradation Factor]])</f>
        <v>39560.887747883608</v>
      </c>
    </row>
    <row r="1274" spans="1:7" ht="15" hidden="1" customHeight="1" x14ac:dyDescent="0.3">
      <c r="A1274" t="s">
        <v>134</v>
      </c>
      <c r="B1274" s="2">
        <v>45627</v>
      </c>
      <c r="C1274" s="52">
        <v>42519.6</v>
      </c>
      <c r="D1274" s="48">
        <f>_xlfn.XLOOKUP(expected_production[[#This Row],[Site Name]],Table1[[Site Name ]],Table1[Commisioned Date],"")</f>
        <v>45351</v>
      </c>
      <c r="E1274" s="47">
        <f>IF(ISNUMBER(expected_production[[#This Row],[Commissioned Date]]),MAX(0,(expected_production[[#This Row],[Date]]-expected_production[[#This Row],[Commissioned Date]])/365.25),"")</f>
        <v>0.75564681724845995</v>
      </c>
      <c r="F1274" s="49">
        <f>IF(expected_production[[#This Row],[Age (yrs)]]="",1,(1-DegradationRate)^expected_production[[#This Row],[Age (yrs)]])</f>
        <v>0.99470593529737072</v>
      </c>
      <c r="G1274" s="52">
        <f>IF(expected_production[[#This Row],[Base Expected (kWh)]]="","",expected_production[[#This Row],[Base Expected (kWh)]]*expected_production[[#This Row],[Degradation Factor]])</f>
        <v>42294.498486470082</v>
      </c>
    </row>
    <row r="1275" spans="1:7" ht="15" hidden="1" customHeight="1" x14ac:dyDescent="0.3">
      <c r="A1275" t="s">
        <v>134</v>
      </c>
      <c r="B1275" s="2">
        <v>45658</v>
      </c>
      <c r="C1275" s="52">
        <v>40416.300000000003</v>
      </c>
      <c r="D1275" s="48">
        <f>_xlfn.XLOOKUP(expected_production[[#This Row],[Site Name]],Table1[[Site Name ]],Table1[Commisioned Date],"")</f>
        <v>45351</v>
      </c>
      <c r="E1275" s="47">
        <f>IF(ISNUMBER(expected_production[[#This Row],[Commissioned Date]]),MAX(0,(expected_production[[#This Row],[Date]]-expected_production[[#This Row],[Commissioned Date]])/365.25),"")</f>
        <v>0.84052019164955505</v>
      </c>
      <c r="F1275" s="49">
        <f>IF(expected_production[[#This Row],[Age (yrs)]]="",1,(1-DegradationRate)^expected_production[[#This Row],[Age (yrs)]])</f>
        <v>0.99411306561269819</v>
      </c>
      <c r="G1275" s="52">
        <f>IF(expected_production[[#This Row],[Base Expected (kWh)]]="","",expected_production[[#This Row],[Base Expected (kWh)]]*expected_production[[#This Row],[Degradation Factor]])</f>
        <v>40178.371893722498</v>
      </c>
    </row>
    <row r="1276" spans="1:7" ht="15" hidden="1" customHeight="1" x14ac:dyDescent="0.3">
      <c r="A1276" t="s">
        <v>134</v>
      </c>
      <c r="B1276" s="2">
        <v>45689</v>
      </c>
      <c r="C1276" s="52">
        <v>33988.5</v>
      </c>
      <c r="D1276" s="48">
        <f>_xlfn.XLOOKUP(expected_production[[#This Row],[Site Name]],Table1[[Site Name ]],Table1[Commisioned Date],"")</f>
        <v>45351</v>
      </c>
      <c r="E1276" s="47">
        <f>IF(ISNUMBER(expected_production[[#This Row],[Commissioned Date]]),MAX(0,(expected_production[[#This Row],[Date]]-expected_production[[#This Row],[Commissioned Date]])/365.25),"")</f>
        <v>0.92539356605065026</v>
      </c>
      <c r="F1276" s="49">
        <f>IF(expected_production[[#This Row],[Age (yrs)]]="",1,(1-DegradationRate)^expected_production[[#This Row],[Age (yrs)]])</f>
        <v>0.99352054929322697</v>
      </c>
      <c r="G1276" s="52">
        <f>IF(expected_production[[#This Row],[Base Expected (kWh)]]="","",expected_production[[#This Row],[Base Expected (kWh)]]*expected_production[[#This Row],[Degradation Factor]])</f>
        <v>33768.273189652842</v>
      </c>
    </row>
    <row r="1277" spans="1:7" ht="15" hidden="1" customHeight="1" x14ac:dyDescent="0.3">
      <c r="A1277" t="s">
        <v>134</v>
      </c>
      <c r="B1277" s="2">
        <v>45717</v>
      </c>
      <c r="C1277" s="52">
        <v>35132.400000000001</v>
      </c>
      <c r="D1277" s="48">
        <f>_xlfn.XLOOKUP(expected_production[[#This Row],[Site Name]],Table1[[Site Name ]],Table1[Commisioned Date],"")</f>
        <v>45351</v>
      </c>
      <c r="E1277" s="47">
        <f>IF(ISNUMBER(expected_production[[#This Row],[Commissioned Date]]),MAX(0,(expected_production[[#This Row],[Date]]-expected_production[[#This Row],[Commissioned Date]])/365.25),"")</f>
        <v>1.0020533880903491</v>
      </c>
      <c r="F1277" s="49">
        <f>IF(expected_production[[#This Row],[Age (yrs)]]="",1,(1-DegradationRate)^expected_production[[#This Row],[Age (yrs)]])</f>
        <v>0.99298567681247463</v>
      </c>
      <c r="G1277" s="52">
        <f>IF(expected_production[[#This Row],[Base Expected (kWh)]]="","",expected_production[[#This Row],[Base Expected (kWh)]]*expected_production[[#This Row],[Degradation Factor]])</f>
        <v>34885.969992046586</v>
      </c>
    </row>
    <row r="1278" spans="1:7" ht="15" hidden="1" customHeight="1" x14ac:dyDescent="0.3">
      <c r="A1278" t="s">
        <v>134</v>
      </c>
      <c r="B1278" s="2">
        <v>45748</v>
      </c>
      <c r="C1278" s="52">
        <v>29903.4</v>
      </c>
      <c r="D1278" s="48">
        <f>_xlfn.XLOOKUP(expected_production[[#This Row],[Site Name]],Table1[[Site Name ]],Table1[Commisioned Date],"")</f>
        <v>45351</v>
      </c>
      <c r="E1278" s="47">
        <f>IF(ISNUMBER(expected_production[[#This Row],[Commissioned Date]]),MAX(0,(expected_production[[#This Row],[Date]]-expected_production[[#This Row],[Commissioned Date]])/365.25),"")</f>
        <v>1.0869267624914443</v>
      </c>
      <c r="F1278" s="49">
        <f>IF(expected_production[[#This Row],[Age (yrs)]]="",1,(1-DegradationRate)^expected_production[[#This Row],[Age (yrs)]])</f>
        <v>0.99239383244500323</v>
      </c>
      <c r="G1278" s="52">
        <f>IF(expected_production[[#This Row],[Base Expected (kWh)]]="","",expected_production[[#This Row],[Base Expected (kWh)]]*expected_production[[#This Row],[Degradation Factor]])</f>
        <v>29675.949729135911</v>
      </c>
    </row>
    <row r="1279" spans="1:7" ht="15" hidden="1" customHeight="1" x14ac:dyDescent="0.3">
      <c r="A1279" t="s">
        <v>134</v>
      </c>
      <c r="B1279" s="2">
        <v>45778</v>
      </c>
      <c r="C1279" s="52">
        <v>28383.3</v>
      </c>
      <c r="D1279" s="48">
        <f>_xlfn.XLOOKUP(expected_production[[#This Row],[Site Name]],Table1[[Site Name ]],Table1[Commisioned Date],"")</f>
        <v>45351</v>
      </c>
      <c r="E1279" s="47">
        <f>IF(ISNUMBER(expected_production[[#This Row],[Commissioned Date]]),MAX(0,(expected_production[[#This Row],[Date]]-expected_production[[#This Row],[Commissioned Date]])/365.25),"")</f>
        <v>1.1690622861054072</v>
      </c>
      <c r="F1279" s="49">
        <f>IF(expected_production[[#This Row],[Age (yrs)]]="",1,(1-DegradationRate)^expected_production[[#This Row],[Age (yrs)]])</f>
        <v>0.99182141570234938</v>
      </c>
      <c r="G1279" s="52">
        <f>IF(expected_production[[#This Row],[Base Expected (kWh)]]="","",expected_production[[#This Row],[Base Expected (kWh)]]*expected_production[[#This Row],[Degradation Factor]])</f>
        <v>28151.164788304493</v>
      </c>
    </row>
    <row r="1280" spans="1:7" ht="15" hidden="1" customHeight="1" x14ac:dyDescent="0.3">
      <c r="A1280" t="s">
        <v>134</v>
      </c>
      <c r="B1280" s="2">
        <v>45809</v>
      </c>
      <c r="C1280" s="52">
        <v>25641.9</v>
      </c>
      <c r="D1280" s="48">
        <f>_xlfn.XLOOKUP(expected_production[[#This Row],[Site Name]],Table1[[Site Name ]],Table1[Commisioned Date],"")</f>
        <v>45351</v>
      </c>
      <c r="E1280" s="47">
        <f>IF(ISNUMBER(expected_production[[#This Row],[Commissioned Date]]),MAX(0,(expected_production[[#This Row],[Date]]-expected_production[[#This Row],[Commissioned Date]])/365.25),"")</f>
        <v>1.2539356605065024</v>
      </c>
      <c r="F1280" s="49">
        <f>IF(expected_production[[#This Row],[Age (yrs)]]="",1,(1-DegradationRate)^expected_production[[#This Row],[Age (yrs)]])</f>
        <v>0.99123026526369928</v>
      </c>
      <c r="G1280" s="52">
        <f>IF(expected_production[[#This Row],[Base Expected (kWh)]]="","",expected_production[[#This Row],[Base Expected (kWh)]]*expected_production[[#This Row],[Degradation Factor]])</f>
        <v>25417.027338865253</v>
      </c>
    </row>
    <row r="1281" spans="1:7" ht="15" hidden="1" customHeight="1" x14ac:dyDescent="0.3">
      <c r="A1281" t="s">
        <v>134</v>
      </c>
      <c r="B1281" s="2">
        <v>45839</v>
      </c>
      <c r="C1281" s="52">
        <v>28361.7</v>
      </c>
      <c r="D1281" s="48">
        <f>_xlfn.XLOOKUP(expected_production[[#This Row],[Site Name]],Table1[[Site Name ]],Table1[Commisioned Date],"")</f>
        <v>45351</v>
      </c>
      <c r="E1281" s="47">
        <f>IF(ISNUMBER(expected_production[[#This Row],[Commissioned Date]]),MAX(0,(expected_production[[#This Row],[Date]]-expected_production[[#This Row],[Commissioned Date]])/365.25),"")</f>
        <v>1.3360711841204653</v>
      </c>
      <c r="F1281" s="49">
        <f>IF(expected_production[[#This Row],[Age (yrs)]]="",1,(1-DegradationRate)^expected_production[[#This Row],[Age (yrs)]])</f>
        <v>0.99065851967126228</v>
      </c>
      <c r="G1281" s="52">
        <f>IF(expected_production[[#This Row],[Base Expected (kWh)]]="","",expected_production[[#This Row],[Base Expected (kWh)]]*expected_production[[#This Row],[Degradation Factor]])</f>
        <v>28096.75973736044</v>
      </c>
    </row>
    <row r="1282" spans="1:7" ht="15" hidden="1" customHeight="1" x14ac:dyDescent="0.3">
      <c r="A1282" t="s">
        <v>134</v>
      </c>
      <c r="B1282" s="2">
        <v>45870</v>
      </c>
      <c r="C1282" s="52">
        <v>33006.6</v>
      </c>
      <c r="D1282" s="48">
        <f>_xlfn.XLOOKUP(expected_production[[#This Row],[Site Name]],Table1[[Site Name ]],Table1[Commisioned Date],"")</f>
        <v>45351</v>
      </c>
      <c r="E1282" s="47">
        <f>IF(ISNUMBER(expected_production[[#This Row],[Commissioned Date]]),MAX(0,(expected_production[[#This Row],[Date]]-expected_production[[#This Row],[Commissioned Date]])/365.25),"")</f>
        <v>1.4209445585215605</v>
      </c>
      <c r="F1282" s="49">
        <f>IF(expected_production[[#This Row],[Age (yrs)]]="",1,(1-DegradationRate)^expected_production[[#This Row],[Age (yrs)]])</f>
        <v>0.99006806234781208</v>
      </c>
      <c r="G1282" s="52">
        <f>IF(expected_production[[#This Row],[Base Expected (kWh)]]="","",expected_production[[#This Row],[Base Expected (kWh)]]*expected_production[[#This Row],[Degradation Factor]])</f>
        <v>32678.780506689294</v>
      </c>
    </row>
    <row r="1283" spans="1:7" ht="15" hidden="1" customHeight="1" x14ac:dyDescent="0.3">
      <c r="A1283" t="s">
        <v>134</v>
      </c>
      <c r="B1283" s="2">
        <v>45901</v>
      </c>
      <c r="C1283" s="52">
        <v>36521.1</v>
      </c>
      <c r="D1283" s="48">
        <f>_xlfn.XLOOKUP(expected_production[[#This Row],[Site Name]],Table1[[Site Name ]],Table1[Commisioned Date],"")</f>
        <v>45351</v>
      </c>
      <c r="E1283" s="47">
        <f>IF(ISNUMBER(expected_production[[#This Row],[Commissioned Date]]),MAX(0,(expected_production[[#This Row],[Date]]-expected_production[[#This Row],[Commissioned Date]])/365.25),"")</f>
        <v>1.5058179329226558</v>
      </c>
      <c r="F1283" s="49">
        <f>IF(expected_production[[#This Row],[Age (yrs)]]="",1,(1-DegradationRate)^expected_production[[#This Row],[Age (yrs)]])</f>
        <v>0.98947795695173546</v>
      </c>
      <c r="G1283" s="52">
        <f>IF(expected_production[[#This Row],[Base Expected (kWh)]]="","",expected_production[[#This Row],[Base Expected (kWh)]]*expected_production[[#This Row],[Degradation Factor]])</f>
        <v>36136.823413630023</v>
      </c>
    </row>
    <row r="1284" spans="1:7" ht="15" hidden="1" customHeight="1" x14ac:dyDescent="0.3">
      <c r="A1284" t="s">
        <v>134</v>
      </c>
      <c r="B1284" s="2">
        <v>45931</v>
      </c>
      <c r="C1284" s="52">
        <v>39682.800000000003</v>
      </c>
      <c r="D1284" s="48">
        <f>_xlfn.XLOOKUP(expected_production[[#This Row],[Site Name]],Table1[[Site Name ]],Table1[Commisioned Date],"")</f>
        <v>45351</v>
      </c>
      <c r="E1284" s="47">
        <f>IF(ISNUMBER(expected_production[[#This Row],[Commissioned Date]]),MAX(0,(expected_production[[#This Row],[Date]]-expected_production[[#This Row],[Commissioned Date]])/365.25),"")</f>
        <v>1.5879534565366187</v>
      </c>
      <c r="F1284" s="49">
        <f>IF(expected_production[[#This Row],[Age (yrs)]]="",1,(1-DegradationRate)^expected_production[[#This Row],[Age (yrs)]])</f>
        <v>0.98890722209776061</v>
      </c>
      <c r="G1284" s="52">
        <f>IF(expected_production[[#This Row],[Base Expected (kWh)]]="","",expected_production[[#This Row],[Base Expected (kWh)]]*expected_production[[#This Row],[Degradation Factor]])</f>
        <v>39242.607513061019</v>
      </c>
    </row>
    <row r="1285" spans="1:7" ht="15" hidden="1" customHeight="1" x14ac:dyDescent="0.3">
      <c r="A1285" t="s">
        <v>134</v>
      </c>
      <c r="B1285" s="2">
        <v>45962</v>
      </c>
      <c r="C1285" s="52">
        <v>39748.5</v>
      </c>
      <c r="D1285" s="48">
        <f>_xlfn.XLOOKUP(expected_production[[#This Row],[Site Name]],Table1[[Site Name ]],Table1[Commisioned Date],"")</f>
        <v>45351</v>
      </c>
      <c r="E1285" s="47">
        <f>IF(ISNUMBER(expected_production[[#This Row],[Commissioned Date]]),MAX(0,(expected_production[[#This Row],[Date]]-expected_production[[#This Row],[Commissioned Date]])/365.25),"")</f>
        <v>1.6728268309377139</v>
      </c>
      <c r="F1285" s="49">
        <f>IF(expected_production[[#This Row],[Age (yrs)]]="",1,(1-DegradationRate)^expected_production[[#This Row],[Age (yrs)]])</f>
        <v>0.9883178085915868</v>
      </c>
      <c r="G1285" s="52">
        <f>IF(expected_production[[#This Row],[Base Expected (kWh)]]="","",expected_production[[#This Row],[Base Expected (kWh)]]*expected_production[[#This Row],[Degradation Factor]])</f>
        <v>39284.150414802687</v>
      </c>
    </row>
    <row r="1286" spans="1:7" ht="15" hidden="1" customHeight="1" x14ac:dyDescent="0.3">
      <c r="A1286" t="s">
        <v>134</v>
      </c>
      <c r="B1286" s="2">
        <v>45992</v>
      </c>
      <c r="C1286" s="52">
        <v>42519.6</v>
      </c>
      <c r="D1286" s="48">
        <f>_xlfn.XLOOKUP(expected_production[[#This Row],[Site Name]],Table1[[Site Name ]],Table1[Commisioned Date],"")</f>
        <v>45351</v>
      </c>
      <c r="E1286" s="47">
        <f>IF(ISNUMBER(expected_production[[#This Row],[Commissioned Date]]),MAX(0,(expected_production[[#This Row],[Date]]-expected_production[[#This Row],[Commissioned Date]])/365.25),"")</f>
        <v>1.754962354551677</v>
      </c>
      <c r="F1286" s="49">
        <f>IF(expected_production[[#This Row],[Age (yrs)]]="",1,(1-DegradationRate)^expected_production[[#This Row],[Age (yrs)]])</f>
        <v>0.98774774291583889</v>
      </c>
      <c r="G1286" s="52">
        <f>IF(expected_production[[#This Row],[Base Expected (kWh)]]="","",expected_production[[#This Row],[Base Expected (kWh)]]*expected_production[[#This Row],[Degradation Factor]])</f>
        <v>41998.638929684304</v>
      </c>
    </row>
    <row r="1287" spans="1:7" ht="15" hidden="1" customHeight="1" x14ac:dyDescent="0.3">
      <c r="A1287" t="s">
        <v>134</v>
      </c>
      <c r="B1287" s="2">
        <v>46023</v>
      </c>
      <c r="C1287" s="52">
        <v>40416.300000000003</v>
      </c>
      <c r="D1287" s="48">
        <f>_xlfn.XLOOKUP(expected_production[[#This Row],[Site Name]],Table1[[Site Name ]],Table1[Commisioned Date],"")</f>
        <v>45351</v>
      </c>
      <c r="E1287" s="47">
        <f>IF(ISNUMBER(expected_production[[#This Row],[Commissioned Date]]),MAX(0,(expected_production[[#This Row],[Date]]-expected_production[[#This Row],[Commissioned Date]])/365.25),"")</f>
        <v>1.839835728952772</v>
      </c>
      <c r="F1287" s="49">
        <f>IF(expected_production[[#This Row],[Age (yrs)]]="",1,(1-DegradationRate)^expected_production[[#This Row],[Age (yrs)]])</f>
        <v>0.98715902048833737</v>
      </c>
      <c r="G1287" s="52">
        <f>IF(expected_production[[#This Row],[Base Expected (kWh)]]="","",expected_production[[#This Row],[Base Expected (kWh)]]*expected_production[[#This Row],[Degradation Factor]])</f>
        <v>39897.315119762796</v>
      </c>
    </row>
    <row r="1288" spans="1:7" ht="15" hidden="1" customHeight="1" x14ac:dyDescent="0.3">
      <c r="A1288" t="s">
        <v>134</v>
      </c>
      <c r="B1288" s="2">
        <v>46054</v>
      </c>
      <c r="C1288" s="52">
        <v>33988.5</v>
      </c>
      <c r="D1288" s="48">
        <f>_xlfn.XLOOKUP(expected_production[[#This Row],[Site Name]],Table1[[Site Name ]],Table1[Commisioned Date],"")</f>
        <v>45351</v>
      </c>
      <c r="E1288" s="47">
        <f>IF(ISNUMBER(expected_production[[#This Row],[Commissioned Date]]),MAX(0,(expected_production[[#This Row],[Date]]-expected_production[[#This Row],[Commissioned Date]])/365.25),"")</f>
        <v>1.9247091033538672</v>
      </c>
      <c r="F1288" s="49">
        <f>IF(expected_production[[#This Row],[Age (yrs)]]="",1,(1-DegradationRate)^expected_production[[#This Row],[Age (yrs)]])</f>
        <v>0.98657064895416779</v>
      </c>
      <c r="G1288" s="52">
        <f>IF(expected_production[[#This Row],[Base Expected (kWh)]]="","",expected_production[[#This Row],[Base Expected (kWh)]]*expected_production[[#This Row],[Degradation Factor]])</f>
        <v>33532.056501978732</v>
      </c>
    </row>
    <row r="1289" spans="1:7" ht="15" hidden="1" customHeight="1" x14ac:dyDescent="0.3">
      <c r="A1289" t="s">
        <v>134</v>
      </c>
      <c r="B1289" s="2">
        <v>46082</v>
      </c>
      <c r="C1289" s="52">
        <v>35132.400000000001</v>
      </c>
      <c r="D1289" s="48">
        <f>_xlfn.XLOOKUP(expected_production[[#This Row],[Site Name]],Table1[[Site Name ]],Table1[Commisioned Date],"")</f>
        <v>45351</v>
      </c>
      <c r="E1289" s="47">
        <f>IF(ISNUMBER(expected_production[[#This Row],[Commissioned Date]]),MAX(0,(expected_production[[#This Row],[Date]]-expected_production[[#This Row],[Commissioned Date]])/365.25),"")</f>
        <v>2.001368925393566</v>
      </c>
      <c r="F1289" s="49">
        <f>IF(expected_production[[#This Row],[Age (yrs)]]="",1,(1-DegradationRate)^expected_production[[#This Row],[Age (yrs)]])</f>
        <v>0.98603951802706324</v>
      </c>
      <c r="G1289" s="52">
        <f>IF(expected_production[[#This Row],[Base Expected (kWh)]]="","",expected_production[[#This Row],[Base Expected (kWh)]]*expected_production[[#This Row],[Degradation Factor]])</f>
        <v>34641.934763133999</v>
      </c>
    </row>
    <row r="1290" spans="1:7" ht="15" hidden="1" customHeight="1" x14ac:dyDescent="0.3">
      <c r="A1290" t="s">
        <v>134</v>
      </c>
      <c r="B1290" s="2">
        <v>46113</v>
      </c>
      <c r="C1290" s="52">
        <v>29903.4</v>
      </c>
      <c r="D1290" s="48">
        <f>_xlfn.XLOOKUP(expected_production[[#This Row],[Site Name]],Table1[[Site Name ]],Table1[Commisioned Date],"")</f>
        <v>45351</v>
      </c>
      <c r="E1290" s="47">
        <f>IF(ISNUMBER(expected_production[[#This Row],[Commissioned Date]]),MAX(0,(expected_production[[#This Row],[Date]]-expected_production[[#This Row],[Commissioned Date]])/365.25),"")</f>
        <v>2.086242299794661</v>
      </c>
      <c r="F1290" s="49">
        <f>IF(expected_production[[#This Row],[Age (yrs)]]="",1,(1-DegradationRate)^expected_production[[#This Row],[Age (yrs)]])</f>
        <v>0.98545181374443769</v>
      </c>
      <c r="G1290" s="52">
        <f>IF(expected_production[[#This Row],[Base Expected (kWh)]]="","",expected_production[[#This Row],[Base Expected (kWh)]]*expected_production[[#This Row],[Degradation Factor]])</f>
        <v>29468.359767125421</v>
      </c>
    </row>
    <row r="1291" spans="1:7" ht="15" hidden="1" customHeight="1" x14ac:dyDescent="0.3">
      <c r="A1291" t="s">
        <v>134</v>
      </c>
      <c r="B1291" s="2">
        <v>46143</v>
      </c>
      <c r="C1291" s="52">
        <v>28383.3</v>
      </c>
      <c r="D1291" s="48">
        <f>_xlfn.XLOOKUP(expected_production[[#This Row],[Site Name]],Table1[[Site Name ]],Table1[Commisioned Date],"")</f>
        <v>45351</v>
      </c>
      <c r="E1291" s="47">
        <f>IF(ISNUMBER(expected_production[[#This Row],[Commissioned Date]]),MAX(0,(expected_production[[#This Row],[Date]]-expected_production[[#This Row],[Commissioned Date]])/365.25),"")</f>
        <v>2.1683778234086244</v>
      </c>
      <c r="F1291" s="49">
        <f>IF(expected_production[[#This Row],[Age (yrs)]]="",1,(1-DegradationRate)^expected_production[[#This Row],[Age (yrs)]])</f>
        <v>0.98488340118601192</v>
      </c>
      <c r="G1291" s="52">
        <f>IF(expected_production[[#This Row],[Base Expected (kWh)]]="","",expected_production[[#This Row],[Base Expected (kWh)]]*expected_production[[#This Row],[Degradation Factor]])</f>
        <v>27954.241040882931</v>
      </c>
    </row>
    <row r="1292" spans="1:7" ht="15" hidden="1" customHeight="1" x14ac:dyDescent="0.3">
      <c r="A1292" t="s">
        <v>134</v>
      </c>
      <c r="B1292" s="2">
        <v>46174</v>
      </c>
      <c r="C1292" s="52">
        <v>25641.9</v>
      </c>
      <c r="D1292" s="48">
        <f>_xlfn.XLOOKUP(expected_production[[#This Row],[Site Name]],Table1[[Site Name ]],Table1[Commisioned Date],"")</f>
        <v>45351</v>
      </c>
      <c r="E1292" s="47">
        <f>IF(ISNUMBER(expected_production[[#This Row],[Commissioned Date]]),MAX(0,(expected_production[[#This Row],[Date]]-expected_production[[#This Row],[Commissioned Date]])/365.25),"")</f>
        <v>2.2532511978097194</v>
      </c>
      <c r="F1292" s="49">
        <f>IF(expected_production[[#This Row],[Age (yrs)]]="",1,(1-DegradationRate)^expected_production[[#This Row],[Age (yrs)]])</f>
        <v>0.98429638597801905</v>
      </c>
      <c r="G1292" s="52">
        <f>IF(expected_production[[#This Row],[Base Expected (kWh)]]="","",expected_production[[#This Row],[Base Expected (kWh)]]*expected_production[[#This Row],[Degradation Factor]])</f>
        <v>25239.22949960977</v>
      </c>
    </row>
    <row r="1293" spans="1:7" ht="15" hidden="1" customHeight="1" x14ac:dyDescent="0.3">
      <c r="A1293" t="s">
        <v>134</v>
      </c>
      <c r="B1293" s="2">
        <v>46204</v>
      </c>
      <c r="C1293" s="52">
        <v>28361.7</v>
      </c>
      <c r="D1293" s="48">
        <f>_xlfn.XLOOKUP(expected_production[[#This Row],[Site Name]],Table1[[Site Name ]],Table1[Commisioned Date],"")</f>
        <v>45351</v>
      </c>
      <c r="E1293" s="47">
        <f>IF(ISNUMBER(expected_production[[#This Row],[Commissioned Date]]),MAX(0,(expected_production[[#This Row],[Date]]-expected_production[[#This Row],[Commissioned Date]])/365.25),"")</f>
        <v>2.3353867214236823</v>
      </c>
      <c r="F1293" s="49">
        <f>IF(expected_production[[#This Row],[Age (yrs)]]="",1,(1-DegradationRate)^expected_production[[#This Row],[Age (yrs)]])</f>
        <v>0.98372863987496306</v>
      </c>
      <c r="G1293" s="52">
        <f>IF(expected_production[[#This Row],[Base Expected (kWh)]]="","",expected_production[[#This Row],[Base Expected (kWh)]]*expected_production[[#This Row],[Degradation Factor]])</f>
        <v>27900.216565541741</v>
      </c>
    </row>
    <row r="1294" spans="1:7" ht="15" hidden="1" customHeight="1" x14ac:dyDescent="0.3">
      <c r="A1294" t="s">
        <v>134</v>
      </c>
      <c r="B1294" s="2">
        <v>46235</v>
      </c>
      <c r="C1294" s="52">
        <v>33006.6</v>
      </c>
      <c r="D1294" s="48">
        <f>_xlfn.XLOOKUP(expected_production[[#This Row],[Site Name]],Table1[[Site Name ]],Table1[Commisioned Date],"")</f>
        <v>45351</v>
      </c>
      <c r="E1294" s="47">
        <f>IF(ISNUMBER(expected_production[[#This Row],[Commissioned Date]]),MAX(0,(expected_production[[#This Row],[Date]]-expected_production[[#This Row],[Commissioned Date]])/365.25),"")</f>
        <v>2.4202600958247777</v>
      </c>
      <c r="F1294" s="49">
        <f>IF(expected_production[[#This Row],[Age (yrs)]]="",1,(1-DegradationRate)^expected_production[[#This Row],[Age (yrs)]])</f>
        <v>0.98314231293367305</v>
      </c>
      <c r="G1294" s="52">
        <f>IF(expected_production[[#This Row],[Base Expected (kWh)]]="","",expected_production[[#This Row],[Base Expected (kWh)]]*expected_production[[#This Row],[Degradation Factor]])</f>
        <v>32450.18506607657</v>
      </c>
    </row>
    <row r="1295" spans="1:7" ht="15" hidden="1" customHeight="1" x14ac:dyDescent="0.3">
      <c r="A1295" t="s">
        <v>134</v>
      </c>
      <c r="B1295" s="2">
        <v>46266</v>
      </c>
      <c r="C1295" s="52">
        <v>36521.1</v>
      </c>
      <c r="D1295" s="48">
        <f>_xlfn.XLOOKUP(expected_production[[#This Row],[Site Name]],Table1[[Site Name ]],Table1[Commisioned Date],"")</f>
        <v>45351</v>
      </c>
      <c r="E1295" s="47">
        <f>IF(ISNUMBER(expected_production[[#This Row],[Commissioned Date]]),MAX(0,(expected_production[[#This Row],[Date]]-expected_production[[#This Row],[Commissioned Date]])/365.25),"")</f>
        <v>2.5051334702258727</v>
      </c>
      <c r="F1295" s="49">
        <f>IF(expected_production[[#This Row],[Age (yrs)]]="",1,(1-DegradationRate)^expected_production[[#This Row],[Age (yrs)]])</f>
        <v>0.98255633545794507</v>
      </c>
      <c r="G1295" s="52">
        <f>IF(expected_production[[#This Row],[Base Expected (kWh)]]="","",expected_production[[#This Row],[Base Expected (kWh)]]*expected_production[[#This Row],[Degradation Factor]])</f>
        <v>35884.038182893157</v>
      </c>
    </row>
    <row r="1296" spans="1:7" ht="15" hidden="1" customHeight="1" x14ac:dyDescent="0.3">
      <c r="A1296" t="s">
        <v>134</v>
      </c>
      <c r="B1296" s="2">
        <v>46296</v>
      </c>
      <c r="C1296" s="52">
        <v>39682.800000000003</v>
      </c>
      <c r="D1296" s="48">
        <f>_xlfn.XLOOKUP(expected_production[[#This Row],[Site Name]],Table1[[Site Name ]],Table1[Commisioned Date],"")</f>
        <v>45351</v>
      </c>
      <c r="E1296" s="47">
        <f>IF(ISNUMBER(expected_production[[#This Row],[Commissioned Date]]),MAX(0,(expected_production[[#This Row],[Date]]-expected_production[[#This Row],[Commissioned Date]])/365.25),"")</f>
        <v>2.5872689938398357</v>
      </c>
      <c r="F1296" s="49">
        <f>IF(expected_production[[#This Row],[Age (yrs)]]="",1,(1-DegradationRate)^expected_production[[#This Row],[Age (yrs)]])</f>
        <v>0.98198959302300759</v>
      </c>
      <c r="G1296" s="52">
        <f>IF(expected_production[[#This Row],[Base Expected (kWh)]]="","",expected_production[[#This Row],[Base Expected (kWh)]]*expected_production[[#This Row],[Degradation Factor]])</f>
        <v>38968.096622013407</v>
      </c>
    </row>
    <row r="1297" spans="1:7" ht="15" hidden="1" customHeight="1" x14ac:dyDescent="0.3">
      <c r="A1297" t="s">
        <v>134</v>
      </c>
      <c r="B1297" s="2">
        <v>46327</v>
      </c>
      <c r="C1297" s="52">
        <v>39748.5</v>
      </c>
      <c r="D1297" s="48">
        <f>_xlfn.XLOOKUP(expected_production[[#This Row],[Site Name]],Table1[[Site Name ]],Table1[Commisioned Date],"")</f>
        <v>45351</v>
      </c>
      <c r="E1297" s="47">
        <f>IF(ISNUMBER(expected_production[[#This Row],[Commissioned Date]]),MAX(0,(expected_production[[#This Row],[Date]]-expected_production[[#This Row],[Commissioned Date]])/365.25),"")</f>
        <v>2.6721423682409307</v>
      </c>
      <c r="F1297" s="49">
        <f>IF(expected_production[[#This Row],[Age (yrs)]]="",1,(1-DegradationRate)^expected_production[[#This Row],[Age (yrs)]])</f>
        <v>0.98140430259725664</v>
      </c>
      <c r="G1297" s="52">
        <f>IF(expected_production[[#This Row],[Base Expected (kWh)]]="","",expected_production[[#This Row],[Base Expected (kWh)]]*expected_production[[#This Row],[Degradation Factor]])</f>
        <v>39009.348921787052</v>
      </c>
    </row>
    <row r="1298" spans="1:7" ht="15" hidden="1" customHeight="1" x14ac:dyDescent="0.3">
      <c r="A1298" t="s">
        <v>134</v>
      </c>
      <c r="B1298" s="2">
        <v>46357</v>
      </c>
      <c r="C1298" s="52">
        <v>42519.6</v>
      </c>
      <c r="D1298" s="48">
        <f>_xlfn.XLOOKUP(expected_production[[#This Row],[Site Name]],Table1[[Site Name ]],Table1[Commisioned Date],"")</f>
        <v>45351</v>
      </c>
      <c r="E1298" s="47">
        <f>IF(ISNUMBER(expected_production[[#This Row],[Commissioned Date]]),MAX(0,(expected_production[[#This Row],[Date]]-expected_production[[#This Row],[Commissioned Date]])/365.25),"")</f>
        <v>2.754277891854894</v>
      </c>
      <c r="F1298" s="49">
        <f>IF(expected_production[[#This Row],[Age (yrs)]]="",1,(1-DegradationRate)^expected_production[[#This Row],[Age (yrs)]])</f>
        <v>0.98083822465949366</v>
      </c>
      <c r="G1298" s="52">
        <f>IF(expected_production[[#This Row],[Base Expected (kWh)]]="","",expected_production[[#This Row],[Base Expected (kWh)]]*expected_production[[#This Row],[Degradation Factor]])</f>
        <v>41704.848977231806</v>
      </c>
    </row>
    <row r="1299" spans="1:7" ht="15" hidden="1" customHeight="1" x14ac:dyDescent="0.3">
      <c r="A1299" t="s">
        <v>138</v>
      </c>
      <c r="B1299" s="2">
        <v>45292</v>
      </c>
      <c r="C1299" s="52">
        <v>23544</v>
      </c>
      <c r="D1299" s="48">
        <f>_xlfn.XLOOKUP(expected_production[[#This Row],[Site Name]],Table1[[Site Name ]],Table1[Commisioned Date],"")</f>
        <v>45182</v>
      </c>
      <c r="E1299" s="47">
        <f>IF(ISNUMBER(expected_production[[#This Row],[Commissioned Date]]),MAX(0,(expected_production[[#This Row],[Date]]-expected_production[[#This Row],[Commissioned Date]])/365.25),"")</f>
        <v>0.30116358658453113</v>
      </c>
      <c r="F1299" s="49">
        <f>IF(expected_production[[#This Row],[Age (yrs)]]="",1,(1-DegradationRate)^expected_production[[#This Row],[Age (yrs)]])</f>
        <v>0.9978866779872918</v>
      </c>
      <c r="G1299" s="52">
        <f>IF(expected_production[[#This Row],[Base Expected (kWh)]]="","",expected_production[[#This Row],[Base Expected (kWh)]]*expected_production[[#This Row],[Degradation Factor]])</f>
        <v>23494.243946532799</v>
      </c>
    </row>
    <row r="1300" spans="1:7" ht="15" hidden="1" customHeight="1" x14ac:dyDescent="0.3">
      <c r="A1300" t="s">
        <v>138</v>
      </c>
      <c r="B1300" s="2">
        <v>45323</v>
      </c>
      <c r="C1300" s="52">
        <v>21677</v>
      </c>
      <c r="D1300" s="48">
        <f>_xlfn.XLOOKUP(expected_production[[#This Row],[Site Name]],Table1[[Site Name ]],Table1[Commisioned Date],"")</f>
        <v>45182</v>
      </c>
      <c r="E1300" s="47">
        <f>IF(ISNUMBER(expected_production[[#This Row],[Commissioned Date]]),MAX(0,(expected_production[[#This Row],[Date]]-expected_production[[#This Row],[Commissioned Date]])/365.25),"")</f>
        <v>0.38603696098562629</v>
      </c>
      <c r="F1300" s="49">
        <f>IF(expected_production[[#This Row],[Age (yrs)]]="",1,(1-DegradationRate)^expected_production[[#This Row],[Age (yrs)]])</f>
        <v>0.9972919125002031</v>
      </c>
      <c r="G1300" s="52">
        <f>IF(expected_production[[#This Row],[Base Expected (kWh)]]="","",expected_production[[#This Row],[Base Expected (kWh)]]*expected_production[[#This Row],[Degradation Factor]])</f>
        <v>21618.296787266903</v>
      </c>
    </row>
    <row r="1301" spans="1:7" ht="15" hidden="1" customHeight="1" x14ac:dyDescent="0.3">
      <c r="A1301" t="s">
        <v>138</v>
      </c>
      <c r="B1301" s="2">
        <v>45352</v>
      </c>
      <c r="C1301" s="52">
        <v>24212</v>
      </c>
      <c r="D1301" s="48">
        <f>_xlfn.XLOOKUP(expected_production[[#This Row],[Site Name]],Table1[[Site Name ]],Table1[Commisioned Date],"")</f>
        <v>45182</v>
      </c>
      <c r="E1301" s="47">
        <f>IF(ISNUMBER(expected_production[[#This Row],[Commissioned Date]]),MAX(0,(expected_production[[#This Row],[Date]]-expected_production[[#This Row],[Commissioned Date]])/365.25),"")</f>
        <v>0.4654346338124572</v>
      </c>
      <c r="F1301" s="49">
        <f>IF(expected_production[[#This Row],[Age (yrs)]]="",1,(1-DegradationRate)^expected_production[[#This Row],[Age (yrs)]])</f>
        <v>0.99673583991106562</v>
      </c>
      <c r="G1301" s="52">
        <f>IF(expected_production[[#This Row],[Base Expected (kWh)]]="","",expected_production[[#This Row],[Base Expected (kWh)]]*expected_production[[#This Row],[Degradation Factor]])</f>
        <v>24132.968155926719</v>
      </c>
    </row>
    <row r="1302" spans="1:7" ht="15" hidden="1" customHeight="1" x14ac:dyDescent="0.3">
      <c r="A1302" t="s">
        <v>138</v>
      </c>
      <c r="B1302" s="2">
        <v>45383</v>
      </c>
      <c r="C1302" s="52">
        <v>20861</v>
      </c>
      <c r="D1302" s="48">
        <f>_xlfn.XLOOKUP(expected_production[[#This Row],[Site Name]],Table1[[Site Name ]],Table1[Commisioned Date],"")</f>
        <v>45182</v>
      </c>
      <c r="E1302" s="47">
        <f>IF(ISNUMBER(expected_production[[#This Row],[Commissioned Date]]),MAX(0,(expected_production[[#This Row],[Date]]-expected_production[[#This Row],[Commissioned Date]])/365.25),"")</f>
        <v>0.55030800821355241</v>
      </c>
      <c r="F1302" s="49">
        <f>IF(expected_production[[#This Row],[Age (yrs)]]="",1,(1-DegradationRate)^expected_production[[#This Row],[Age (yrs)]])</f>
        <v>0.99614176035233326</v>
      </c>
      <c r="G1302" s="52">
        <f>IF(expected_production[[#This Row],[Base Expected (kWh)]]="","",expected_production[[#This Row],[Base Expected (kWh)]]*expected_production[[#This Row],[Degradation Factor]])</f>
        <v>20780.513262710025</v>
      </c>
    </row>
    <row r="1303" spans="1:7" ht="15" hidden="1" customHeight="1" x14ac:dyDescent="0.3">
      <c r="A1303" t="s">
        <v>138</v>
      </c>
      <c r="B1303" s="2">
        <v>45413</v>
      </c>
      <c r="C1303" s="52">
        <v>20012</v>
      </c>
      <c r="D1303" s="48">
        <f>_xlfn.XLOOKUP(expected_production[[#This Row],[Site Name]],Table1[[Site Name ]],Table1[Commisioned Date],"")</f>
        <v>45182</v>
      </c>
      <c r="E1303" s="47">
        <f>IF(ISNUMBER(expected_production[[#This Row],[Commissioned Date]]),MAX(0,(expected_production[[#This Row],[Date]]-expected_production[[#This Row],[Commissioned Date]])/365.25),"")</f>
        <v>0.63244353182751545</v>
      </c>
      <c r="F1303" s="49">
        <f>IF(expected_production[[#This Row],[Age (yrs)]]="",1,(1-DegradationRate)^expected_production[[#This Row],[Age (yrs)]])</f>
        <v>0.99556718178983106</v>
      </c>
      <c r="G1303" s="52">
        <f>IF(expected_production[[#This Row],[Base Expected (kWh)]]="","",expected_production[[#This Row],[Base Expected (kWh)]]*expected_production[[#This Row],[Degradation Factor]])</f>
        <v>19923.290441978101</v>
      </c>
    </row>
    <row r="1304" spans="1:7" ht="15" hidden="1" customHeight="1" x14ac:dyDescent="0.3">
      <c r="A1304" t="s">
        <v>138</v>
      </c>
      <c r="B1304" s="2">
        <v>45444</v>
      </c>
      <c r="C1304" s="52">
        <v>18485</v>
      </c>
      <c r="D1304" s="48">
        <f>_xlfn.XLOOKUP(expected_production[[#This Row],[Site Name]],Table1[[Site Name ]],Table1[Commisioned Date],"")</f>
        <v>45182</v>
      </c>
      <c r="E1304" s="47">
        <f>IF(ISNUMBER(expected_production[[#This Row],[Commissioned Date]]),MAX(0,(expected_production[[#This Row],[Date]]-expected_production[[#This Row],[Commissioned Date]])/365.25),"")</f>
        <v>0.71731690622861055</v>
      </c>
      <c r="F1304" s="49">
        <f>IF(expected_production[[#This Row],[Age (yrs)]]="",1,(1-DegradationRate)^expected_production[[#This Row],[Age (yrs)]])</f>
        <v>0.99497379878064895</v>
      </c>
      <c r="G1304" s="52">
        <f>IF(expected_production[[#This Row],[Base Expected (kWh)]]="","",expected_production[[#This Row],[Base Expected (kWh)]]*expected_production[[#This Row],[Degradation Factor]])</f>
        <v>18392.090670460297</v>
      </c>
    </row>
    <row r="1305" spans="1:7" ht="15" hidden="1" customHeight="1" x14ac:dyDescent="0.3">
      <c r="A1305" t="s">
        <v>138</v>
      </c>
      <c r="B1305" s="2">
        <v>45474</v>
      </c>
      <c r="C1305" s="52">
        <v>20016</v>
      </c>
      <c r="D1305" s="48">
        <f>_xlfn.XLOOKUP(expected_production[[#This Row],[Site Name]],Table1[[Site Name ]],Table1[Commisioned Date],"")</f>
        <v>45182</v>
      </c>
      <c r="E1305" s="47">
        <f>IF(ISNUMBER(expected_production[[#This Row],[Commissioned Date]]),MAX(0,(expected_production[[#This Row],[Date]]-expected_production[[#This Row],[Commissioned Date]])/365.25),"")</f>
        <v>0.79945242984257359</v>
      </c>
      <c r="F1305" s="49">
        <f>IF(expected_production[[#This Row],[Age (yrs)]]="",1,(1-DegradationRate)^expected_production[[#This Row],[Age (yrs)]])</f>
        <v>0.99439989390306549</v>
      </c>
      <c r="G1305" s="52">
        <f>IF(expected_production[[#This Row],[Base Expected (kWh)]]="","",expected_production[[#This Row],[Base Expected (kWh)]]*expected_production[[#This Row],[Degradation Factor]])</f>
        <v>19903.90827636376</v>
      </c>
    </row>
    <row r="1306" spans="1:7" ht="15" hidden="1" customHeight="1" x14ac:dyDescent="0.3">
      <c r="A1306" t="s">
        <v>138</v>
      </c>
      <c r="B1306" s="2">
        <v>45505</v>
      </c>
      <c r="C1306" s="52">
        <v>21052</v>
      </c>
      <c r="D1306" s="48">
        <f>_xlfn.XLOOKUP(expected_production[[#This Row],[Site Name]],Table1[[Site Name ]],Table1[Commisioned Date],"")</f>
        <v>45182</v>
      </c>
      <c r="E1306" s="47">
        <f>IF(ISNUMBER(expected_production[[#This Row],[Commissioned Date]]),MAX(0,(expected_production[[#This Row],[Date]]-expected_production[[#This Row],[Commissioned Date]])/365.25),"")</f>
        <v>0.88432580424366869</v>
      </c>
      <c r="F1306" s="49">
        <f>IF(expected_production[[#This Row],[Age (yrs)]]="",1,(1-DegradationRate)^expected_production[[#This Row],[Age (yrs)]])</f>
        <v>0.99380720662673949</v>
      </c>
      <c r="G1306" s="52">
        <f>IF(expected_production[[#This Row],[Base Expected (kWh)]]="","",expected_production[[#This Row],[Base Expected (kWh)]]*expected_production[[#This Row],[Degradation Factor]])</f>
        <v>20921.62931390612</v>
      </c>
    </row>
    <row r="1307" spans="1:7" ht="15" hidden="1" customHeight="1" x14ac:dyDescent="0.3">
      <c r="A1307" t="s">
        <v>138</v>
      </c>
      <c r="B1307" s="2">
        <v>45536</v>
      </c>
      <c r="C1307" s="52">
        <v>21403</v>
      </c>
      <c r="D1307" s="48">
        <f>_xlfn.XLOOKUP(expected_production[[#This Row],[Site Name]],Table1[[Site Name ]],Table1[Commisioned Date],"")</f>
        <v>45182</v>
      </c>
      <c r="E1307" s="47">
        <f>IF(ISNUMBER(expected_production[[#This Row],[Commissioned Date]]),MAX(0,(expected_production[[#This Row],[Date]]-expected_production[[#This Row],[Commissioned Date]])/365.25),"")</f>
        <v>0.9691991786447639</v>
      </c>
      <c r="F1307" s="49">
        <f>IF(expected_production[[#This Row],[Age (yrs)]]="",1,(1-DegradationRate)^expected_production[[#This Row],[Age (yrs)]])</f>
        <v>0.99321487260689489</v>
      </c>
      <c r="G1307" s="52">
        <f>IF(expected_production[[#This Row],[Base Expected (kWh)]]="","",expected_production[[#This Row],[Base Expected (kWh)]]*expected_production[[#This Row],[Degradation Factor]])</f>
        <v>21257.777918405372</v>
      </c>
    </row>
    <row r="1308" spans="1:7" ht="15" hidden="1" customHeight="1" x14ac:dyDescent="0.3">
      <c r="A1308" t="s">
        <v>138</v>
      </c>
      <c r="B1308" s="2">
        <v>45566</v>
      </c>
      <c r="C1308" s="52">
        <v>20962</v>
      </c>
      <c r="D1308" s="48">
        <f>_xlfn.XLOOKUP(expected_production[[#This Row],[Site Name]],Table1[[Site Name ]],Table1[Commisioned Date],"")</f>
        <v>45182</v>
      </c>
      <c r="E1308" s="47">
        <f>IF(ISNUMBER(expected_production[[#This Row],[Commissioned Date]]),MAX(0,(expected_production[[#This Row],[Date]]-expected_production[[#This Row],[Commissioned Date]])/365.25),"")</f>
        <v>1.0513347022587269</v>
      </c>
      <c r="F1308" s="49">
        <f>IF(expected_production[[#This Row],[Age (yrs)]]="",1,(1-DegradationRate)^expected_production[[#This Row],[Age (yrs)]])</f>
        <v>0.99264198228498268</v>
      </c>
      <c r="G1308" s="52">
        <f>IF(expected_production[[#This Row],[Base Expected (kWh)]]="","",expected_production[[#This Row],[Base Expected (kWh)]]*expected_production[[#This Row],[Degradation Factor]])</f>
        <v>20807.761232657806</v>
      </c>
    </row>
    <row r="1309" spans="1:7" ht="15" hidden="1" customHeight="1" x14ac:dyDescent="0.3">
      <c r="A1309" t="s">
        <v>138</v>
      </c>
      <c r="B1309" s="2">
        <v>45597</v>
      </c>
      <c r="C1309" s="52">
        <v>19856</v>
      </c>
      <c r="D1309" s="48">
        <f>_xlfn.XLOOKUP(expected_production[[#This Row],[Site Name]],Table1[[Site Name ]],Table1[Commisioned Date],"")</f>
        <v>45182</v>
      </c>
      <c r="E1309" s="47">
        <f>IF(ISNUMBER(expected_production[[#This Row],[Commissioned Date]]),MAX(0,(expected_production[[#This Row],[Date]]-expected_production[[#This Row],[Commissioned Date]])/365.25),"")</f>
        <v>1.1362080766598219</v>
      </c>
      <c r="F1309" s="49">
        <f>IF(expected_production[[#This Row],[Age (yrs)]]="",1,(1-DegradationRate)^expected_production[[#This Row],[Age (yrs)]])</f>
        <v>0.99205034276806958</v>
      </c>
      <c r="G1309" s="52">
        <f>IF(expected_production[[#This Row],[Base Expected (kWh)]]="","",expected_production[[#This Row],[Base Expected (kWh)]]*expected_production[[#This Row],[Degradation Factor]])</f>
        <v>19698.15160600279</v>
      </c>
    </row>
    <row r="1310" spans="1:7" ht="15" hidden="1" customHeight="1" x14ac:dyDescent="0.3">
      <c r="A1310" t="s">
        <v>138</v>
      </c>
      <c r="B1310" s="2">
        <v>45627</v>
      </c>
      <c r="C1310" s="52">
        <v>21184</v>
      </c>
      <c r="D1310" s="48">
        <f>_xlfn.XLOOKUP(expected_production[[#This Row],[Site Name]],Table1[[Site Name ]],Table1[Commisioned Date],"")</f>
        <v>45182</v>
      </c>
      <c r="E1310" s="47">
        <f>IF(ISNUMBER(expected_production[[#This Row],[Commissioned Date]]),MAX(0,(expected_production[[#This Row],[Date]]-expected_production[[#This Row],[Commissioned Date]])/365.25),"")</f>
        <v>1.2183436002737851</v>
      </c>
      <c r="F1310" s="49">
        <f>IF(expected_production[[#This Row],[Age (yrs)]]="",1,(1-DegradationRate)^expected_production[[#This Row],[Age (yrs)]])</f>
        <v>0.99147812415163894</v>
      </c>
      <c r="G1310" s="52">
        <f>IF(expected_production[[#This Row],[Base Expected (kWh)]]="","",expected_production[[#This Row],[Base Expected (kWh)]]*expected_production[[#This Row],[Degradation Factor]])</f>
        <v>21003.47258202832</v>
      </c>
    </row>
    <row r="1311" spans="1:7" ht="15" hidden="1" customHeight="1" x14ac:dyDescent="0.3">
      <c r="A1311" t="s">
        <v>138</v>
      </c>
      <c r="B1311" s="2">
        <v>45658</v>
      </c>
      <c r="C1311" s="52">
        <v>23544</v>
      </c>
      <c r="D1311" s="48">
        <f>_xlfn.XLOOKUP(expected_production[[#This Row],[Site Name]],Table1[[Site Name ]],Table1[Commisioned Date],"")</f>
        <v>45182</v>
      </c>
      <c r="E1311" s="47">
        <f>IF(ISNUMBER(expected_production[[#This Row],[Commissioned Date]]),MAX(0,(expected_production[[#This Row],[Date]]-expected_production[[#This Row],[Commissioned Date]])/365.25),"")</f>
        <v>1.3032169746748803</v>
      </c>
      <c r="F1311" s="49">
        <f>IF(expected_production[[#This Row],[Age (yrs)]]="",1,(1-DegradationRate)^expected_production[[#This Row],[Age (yrs)]])</f>
        <v>0.99088717832336293</v>
      </c>
      <c r="G1311" s="52">
        <f>IF(expected_production[[#This Row],[Base Expected (kWh)]]="","",expected_production[[#This Row],[Base Expected (kWh)]]*expected_production[[#This Row],[Degradation Factor]])</f>
        <v>23329.447726445258</v>
      </c>
    </row>
    <row r="1312" spans="1:7" ht="15" hidden="1" customHeight="1" x14ac:dyDescent="0.3">
      <c r="A1312" t="s">
        <v>138</v>
      </c>
      <c r="B1312" s="2">
        <v>45689</v>
      </c>
      <c r="C1312" s="52">
        <v>21677</v>
      </c>
      <c r="D1312" s="48">
        <f>_xlfn.XLOOKUP(expected_production[[#This Row],[Site Name]],Table1[[Site Name ]],Table1[Commisioned Date],"")</f>
        <v>45182</v>
      </c>
      <c r="E1312" s="47">
        <f>IF(ISNUMBER(expected_production[[#This Row],[Commissioned Date]]),MAX(0,(expected_production[[#This Row],[Date]]-expected_production[[#This Row],[Commissioned Date]])/365.25),"")</f>
        <v>1.3880903490759753</v>
      </c>
      <c r="F1312" s="49">
        <f>IF(expected_production[[#This Row],[Age (yrs)]]="",1,(1-DegradationRate)^expected_production[[#This Row],[Age (yrs)]])</f>
        <v>0.99029658471362136</v>
      </c>
      <c r="G1312" s="52">
        <f>IF(expected_production[[#This Row],[Base Expected (kWh)]]="","",expected_production[[#This Row],[Base Expected (kWh)]]*expected_production[[#This Row],[Degradation Factor]])</f>
        <v>21466.659066837172</v>
      </c>
    </row>
    <row r="1313" spans="1:7" ht="15" hidden="1" customHeight="1" x14ac:dyDescent="0.3">
      <c r="A1313" t="s">
        <v>138</v>
      </c>
      <c r="B1313" s="2">
        <v>45717</v>
      </c>
      <c r="C1313" s="52">
        <v>24212</v>
      </c>
      <c r="D1313" s="48">
        <f>_xlfn.XLOOKUP(expected_production[[#This Row],[Site Name]],Table1[[Site Name ]],Table1[Commisioned Date],"")</f>
        <v>45182</v>
      </c>
      <c r="E1313" s="47">
        <f>IF(ISNUMBER(expected_production[[#This Row],[Commissioned Date]]),MAX(0,(expected_production[[#This Row],[Date]]-expected_production[[#This Row],[Commissioned Date]])/365.25),"")</f>
        <v>1.4647501711156743</v>
      </c>
      <c r="F1313" s="49">
        <f>IF(expected_production[[#This Row],[Age (yrs)]]="",1,(1-DegradationRate)^expected_production[[#This Row],[Age (yrs)]])</f>
        <v>0.98976344788889925</v>
      </c>
      <c r="G1313" s="52">
        <f>IF(expected_production[[#This Row],[Base Expected (kWh)]]="","",expected_production[[#This Row],[Base Expected (kWh)]]*expected_production[[#This Row],[Degradation Factor]])</f>
        <v>23964.15260028603</v>
      </c>
    </row>
    <row r="1314" spans="1:7" ht="15" hidden="1" customHeight="1" x14ac:dyDescent="0.3">
      <c r="A1314" t="s">
        <v>138</v>
      </c>
      <c r="B1314" s="2">
        <v>45748</v>
      </c>
      <c r="C1314" s="52">
        <v>20861</v>
      </c>
      <c r="D1314" s="48">
        <f>_xlfn.XLOOKUP(expected_production[[#This Row],[Site Name]],Table1[[Site Name ]],Table1[Commisioned Date],"")</f>
        <v>45182</v>
      </c>
      <c r="E1314" s="47">
        <f>IF(ISNUMBER(expected_production[[#This Row],[Commissioned Date]]),MAX(0,(expected_production[[#This Row],[Date]]-expected_production[[#This Row],[Commissioned Date]])/365.25),"")</f>
        <v>1.5496235455167693</v>
      </c>
      <c r="F1314" s="49">
        <f>IF(expected_production[[#This Row],[Age (yrs)]]="",1,(1-DegradationRate)^expected_production[[#This Row],[Age (yrs)]])</f>
        <v>0.98917352405067993</v>
      </c>
      <c r="G1314" s="52">
        <f>IF(expected_production[[#This Row],[Base Expected (kWh)]]="","",expected_production[[#This Row],[Base Expected (kWh)]]*expected_production[[#This Row],[Degradation Factor]])</f>
        <v>20635.148885221235</v>
      </c>
    </row>
    <row r="1315" spans="1:7" ht="15" hidden="1" customHeight="1" x14ac:dyDescent="0.3">
      <c r="A1315" t="s">
        <v>138</v>
      </c>
      <c r="B1315" s="2">
        <v>45778</v>
      </c>
      <c r="C1315" s="52">
        <v>20012</v>
      </c>
      <c r="D1315" s="48">
        <f>_xlfn.XLOOKUP(expected_production[[#This Row],[Site Name]],Table1[[Site Name ]],Table1[Commisioned Date],"")</f>
        <v>45182</v>
      </c>
      <c r="E1315" s="47">
        <f>IF(ISNUMBER(expected_production[[#This Row],[Commissioned Date]]),MAX(0,(expected_production[[#This Row],[Date]]-expected_production[[#This Row],[Commissioned Date]])/365.25),"")</f>
        <v>1.6317590691307324</v>
      </c>
      <c r="F1315" s="49">
        <f>IF(expected_production[[#This Row],[Age (yrs)]]="",1,(1-DegradationRate)^expected_production[[#This Row],[Age (yrs)]])</f>
        <v>0.98860296479482324</v>
      </c>
      <c r="G1315" s="52">
        <f>IF(expected_production[[#This Row],[Base Expected (kWh)]]="","",expected_production[[#This Row],[Base Expected (kWh)]]*expected_production[[#This Row],[Degradation Factor]])</f>
        <v>19783.922531474003</v>
      </c>
    </row>
    <row r="1316" spans="1:7" ht="15" hidden="1" customHeight="1" x14ac:dyDescent="0.3">
      <c r="A1316" t="s">
        <v>138</v>
      </c>
      <c r="B1316" s="2">
        <v>45809</v>
      </c>
      <c r="C1316" s="52">
        <v>18485</v>
      </c>
      <c r="D1316" s="48">
        <f>_xlfn.XLOOKUP(expected_production[[#This Row],[Site Name]],Table1[[Site Name ]],Table1[Commisioned Date],"")</f>
        <v>45182</v>
      </c>
      <c r="E1316" s="47">
        <f>IF(ISNUMBER(expected_production[[#This Row],[Commissioned Date]]),MAX(0,(expected_production[[#This Row],[Date]]-expected_production[[#This Row],[Commissioned Date]])/365.25),"")</f>
        <v>1.7166324435318274</v>
      </c>
      <c r="F1316" s="49">
        <f>IF(expected_production[[#This Row],[Age (yrs)]]="",1,(1-DegradationRate)^expected_production[[#This Row],[Age (yrs)]])</f>
        <v>0.98801373263363279</v>
      </c>
      <c r="G1316" s="52">
        <f>IF(expected_production[[#This Row],[Base Expected (kWh)]]="","",expected_production[[#This Row],[Base Expected (kWh)]]*expected_production[[#This Row],[Degradation Factor]])</f>
        <v>18263.433847732704</v>
      </c>
    </row>
    <row r="1317" spans="1:7" ht="15" hidden="1" customHeight="1" x14ac:dyDescent="0.3">
      <c r="A1317" t="s">
        <v>138</v>
      </c>
      <c r="B1317" s="2">
        <v>45839</v>
      </c>
      <c r="C1317" s="52">
        <v>20016</v>
      </c>
      <c r="D1317" s="48">
        <f>_xlfn.XLOOKUP(expected_production[[#This Row],[Site Name]],Table1[[Site Name ]],Table1[Commisioned Date],"")</f>
        <v>45182</v>
      </c>
      <c r="E1317" s="47">
        <f>IF(ISNUMBER(expected_production[[#This Row],[Commissioned Date]]),MAX(0,(expected_production[[#This Row],[Date]]-expected_production[[#This Row],[Commissioned Date]])/365.25),"")</f>
        <v>1.7987679671457906</v>
      </c>
      <c r="F1317" s="49">
        <f>IF(expected_production[[#This Row],[Age (yrs)]]="",1,(1-DegradationRate)^expected_production[[#This Row],[Age (yrs)]])</f>
        <v>0.98744384235011706</v>
      </c>
      <c r="G1317" s="52">
        <f>IF(expected_production[[#This Row],[Base Expected (kWh)]]="","",expected_production[[#This Row],[Base Expected (kWh)]]*expected_production[[#This Row],[Degradation Factor]])</f>
        <v>19764.675948479944</v>
      </c>
    </row>
    <row r="1318" spans="1:7" ht="15" hidden="1" customHeight="1" x14ac:dyDescent="0.3">
      <c r="A1318" t="s">
        <v>138</v>
      </c>
      <c r="B1318" s="2">
        <v>45870</v>
      </c>
      <c r="C1318" s="52">
        <v>21052</v>
      </c>
      <c r="D1318" s="48">
        <f>_xlfn.XLOOKUP(expected_production[[#This Row],[Site Name]],Table1[[Site Name ]],Table1[Commisioned Date],"")</f>
        <v>45182</v>
      </c>
      <c r="E1318" s="47">
        <f>IF(ISNUMBER(expected_production[[#This Row],[Commissioned Date]]),MAX(0,(expected_production[[#This Row],[Date]]-expected_production[[#This Row],[Commissioned Date]])/365.25),"")</f>
        <v>1.8836413415468858</v>
      </c>
      <c r="F1318" s="49">
        <f>IF(expected_production[[#This Row],[Age (yrs)]]="",1,(1-DegradationRate)^expected_production[[#This Row],[Age (yrs)]])</f>
        <v>0.98685530105497443</v>
      </c>
      <c r="G1318" s="52">
        <f>IF(expected_production[[#This Row],[Base Expected (kWh)]]="","",expected_production[[#This Row],[Base Expected (kWh)]]*expected_production[[#This Row],[Degradation Factor]])</f>
        <v>20775.277797809322</v>
      </c>
    </row>
    <row r="1319" spans="1:7" ht="15" hidden="1" customHeight="1" x14ac:dyDescent="0.3">
      <c r="A1319" t="s">
        <v>138</v>
      </c>
      <c r="B1319" s="2">
        <v>45901</v>
      </c>
      <c r="C1319" s="52">
        <v>21403</v>
      </c>
      <c r="D1319" s="48">
        <f>_xlfn.XLOOKUP(expected_production[[#This Row],[Site Name]],Table1[[Site Name ]],Table1[Commisioned Date],"")</f>
        <v>45182</v>
      </c>
      <c r="E1319" s="47">
        <f>IF(ISNUMBER(expected_production[[#This Row],[Commissioned Date]]),MAX(0,(expected_production[[#This Row],[Date]]-expected_production[[#This Row],[Commissioned Date]])/365.25),"")</f>
        <v>1.9685147159479808</v>
      </c>
      <c r="F1319" s="49">
        <f>IF(expected_production[[#This Row],[Age (yrs)]]="",1,(1-DegradationRate)^expected_production[[#This Row],[Age (yrs)]])</f>
        <v>0.98626711054520444</v>
      </c>
      <c r="G1319" s="52">
        <f>IF(expected_production[[#This Row],[Base Expected (kWh)]]="","",expected_production[[#This Row],[Base Expected (kWh)]]*expected_production[[#This Row],[Degradation Factor]])</f>
        <v>21109.074966999011</v>
      </c>
    </row>
    <row r="1320" spans="1:7" ht="15" hidden="1" customHeight="1" x14ac:dyDescent="0.3">
      <c r="A1320" t="s">
        <v>138</v>
      </c>
      <c r="B1320" s="2">
        <v>45931</v>
      </c>
      <c r="C1320" s="52">
        <v>20962</v>
      </c>
      <c r="D1320" s="48">
        <f>_xlfn.XLOOKUP(expected_production[[#This Row],[Site Name]],Table1[[Site Name ]],Table1[Commisioned Date],"")</f>
        <v>45182</v>
      </c>
      <c r="E1320" s="47">
        <f>IF(ISNUMBER(expected_production[[#This Row],[Commissioned Date]]),MAX(0,(expected_production[[#This Row],[Date]]-expected_production[[#This Row],[Commissioned Date]])/365.25),"")</f>
        <v>2.0506502395619437</v>
      </c>
      <c r="F1320" s="49">
        <f>IF(expected_production[[#This Row],[Age (yrs)]]="",1,(1-DegradationRate)^expected_production[[#This Row],[Age (yrs)]])</f>
        <v>0.98569822772031424</v>
      </c>
      <c r="G1320" s="52">
        <f>IF(expected_production[[#This Row],[Base Expected (kWh)]]="","",expected_production[[#This Row],[Base Expected (kWh)]]*expected_production[[#This Row],[Degradation Factor]])</f>
        <v>20662.206249473227</v>
      </c>
    </row>
    <row r="1321" spans="1:7" ht="15" hidden="1" customHeight="1" x14ac:dyDescent="0.3">
      <c r="A1321" t="s">
        <v>138</v>
      </c>
      <c r="B1321" s="2">
        <v>45962</v>
      </c>
      <c r="C1321" s="52">
        <v>19856</v>
      </c>
      <c r="D1321" s="48">
        <f>_xlfn.XLOOKUP(expected_production[[#This Row],[Site Name]],Table1[[Site Name ]],Table1[Commisioned Date],"")</f>
        <v>45182</v>
      </c>
      <c r="E1321" s="47">
        <f>IF(ISNUMBER(expected_production[[#This Row],[Commissioned Date]]),MAX(0,(expected_production[[#This Row],[Date]]-expected_production[[#This Row],[Commissioned Date]])/365.25),"")</f>
        <v>2.1355236139630391</v>
      </c>
      <c r="F1321" s="49">
        <f>IF(expected_production[[#This Row],[Age (yrs)]]="",1,(1-DegradationRate)^expected_production[[#This Row],[Age (yrs)]])</f>
        <v>0.98511072685527112</v>
      </c>
      <c r="G1321" s="52">
        <f>IF(expected_production[[#This Row],[Base Expected (kWh)]]="","",expected_production[[#This Row],[Base Expected (kWh)]]*expected_production[[#This Row],[Degradation Factor]])</f>
        <v>19560.358592438264</v>
      </c>
    </row>
    <row r="1322" spans="1:7" ht="15" hidden="1" customHeight="1" x14ac:dyDescent="0.3">
      <c r="A1322" t="s">
        <v>138</v>
      </c>
      <c r="B1322" s="2">
        <v>45992</v>
      </c>
      <c r="C1322" s="52">
        <v>21184</v>
      </c>
      <c r="D1322" s="48">
        <f>_xlfn.XLOOKUP(expected_production[[#This Row],[Site Name]],Table1[[Site Name ]],Table1[Commisioned Date],"")</f>
        <v>45182</v>
      </c>
      <c r="E1322" s="47">
        <f>IF(ISNUMBER(expected_production[[#This Row],[Commissioned Date]]),MAX(0,(expected_production[[#This Row],[Date]]-expected_production[[#This Row],[Commissioned Date]])/365.25),"")</f>
        <v>2.2176591375770021</v>
      </c>
      <c r="F1322" s="49">
        <f>IF(expected_production[[#This Row],[Age (yrs)]]="",1,(1-DegradationRate)^expected_production[[#This Row],[Age (yrs)]])</f>
        <v>0.98454251103713097</v>
      </c>
      <c r="G1322" s="52">
        <f>IF(expected_production[[#This Row],[Base Expected (kWh)]]="","",expected_production[[#This Row],[Base Expected (kWh)]]*expected_production[[#This Row],[Degradation Factor]])</f>
        <v>20856.548553810582</v>
      </c>
    </row>
    <row r="1323" spans="1:7" ht="15" hidden="1" customHeight="1" x14ac:dyDescent="0.3">
      <c r="A1323" t="s">
        <v>138</v>
      </c>
      <c r="B1323" s="2">
        <v>46023</v>
      </c>
      <c r="C1323" s="52">
        <v>23544</v>
      </c>
      <c r="D1323" s="48">
        <f>_xlfn.XLOOKUP(expected_production[[#This Row],[Site Name]],Table1[[Site Name ]],Table1[Commisioned Date],"")</f>
        <v>45182</v>
      </c>
      <c r="E1323" s="47">
        <f>IF(ISNUMBER(expected_production[[#This Row],[Commissioned Date]]),MAX(0,(expected_production[[#This Row],[Date]]-expected_production[[#This Row],[Commissioned Date]])/365.25),"")</f>
        <v>2.3025325119780971</v>
      </c>
      <c r="F1323" s="49">
        <f>IF(expected_production[[#This Row],[Age (yrs)]]="",1,(1-DegradationRate)^expected_production[[#This Row],[Age (yrs)]])</f>
        <v>0.98395569900821644</v>
      </c>
      <c r="G1323" s="52">
        <f>IF(expected_production[[#This Row],[Base Expected (kWh)]]="","",expected_production[[#This Row],[Base Expected (kWh)]]*expected_production[[#This Row],[Degradation Factor]])</f>
        <v>23166.252977449447</v>
      </c>
    </row>
    <row r="1324" spans="1:7" ht="15" hidden="1" customHeight="1" x14ac:dyDescent="0.3">
      <c r="A1324" t="s">
        <v>138</v>
      </c>
      <c r="B1324" s="2">
        <v>46054</v>
      </c>
      <c r="C1324" s="52">
        <v>21677</v>
      </c>
      <c r="D1324" s="48">
        <f>_xlfn.XLOOKUP(expected_production[[#This Row],[Site Name]],Table1[[Site Name ]],Table1[Commisioned Date],"")</f>
        <v>45182</v>
      </c>
      <c r="E1324" s="47">
        <f>IF(ISNUMBER(expected_production[[#This Row],[Commissioned Date]]),MAX(0,(expected_production[[#This Row],[Date]]-expected_production[[#This Row],[Commissioned Date]])/365.25),"")</f>
        <v>2.3874058863791925</v>
      </c>
      <c r="F1324" s="49">
        <f>IF(expected_production[[#This Row],[Age (yrs)]]="",1,(1-DegradationRate)^expected_production[[#This Row],[Age (yrs)]])</f>
        <v>0.98336923673398835</v>
      </c>
      <c r="G1324" s="52">
        <f>IF(expected_production[[#This Row],[Base Expected (kWh)]]="","",expected_production[[#This Row],[Base Expected (kWh)]]*expected_production[[#This Row],[Degradation Factor]])</f>
        <v>21316.494944682665</v>
      </c>
    </row>
    <row r="1325" spans="1:7" ht="15" hidden="1" customHeight="1" x14ac:dyDescent="0.3">
      <c r="A1325" t="s">
        <v>138</v>
      </c>
      <c r="B1325" s="2">
        <v>46082</v>
      </c>
      <c r="C1325" s="52">
        <v>24212</v>
      </c>
      <c r="D1325" s="48">
        <f>_xlfn.XLOOKUP(expected_production[[#This Row],[Site Name]],Table1[[Site Name ]],Table1[Commisioned Date],"")</f>
        <v>45182</v>
      </c>
      <c r="E1325" s="47">
        <f>IF(ISNUMBER(expected_production[[#This Row],[Commissioned Date]]),MAX(0,(expected_production[[#This Row],[Date]]-expected_production[[#This Row],[Commissioned Date]])/365.25),"")</f>
        <v>2.4640657084188913</v>
      </c>
      <c r="F1325" s="49">
        <f>IF(expected_production[[#This Row],[Age (yrs)]]="",1,(1-DegradationRate)^expected_production[[#This Row],[Age (yrs)]])</f>
        <v>0.98283982932160852</v>
      </c>
      <c r="G1325" s="52">
        <f>IF(expected_production[[#This Row],[Base Expected (kWh)]]="","",expected_production[[#This Row],[Base Expected (kWh)]]*expected_production[[#This Row],[Degradation Factor]])</f>
        <v>23796.517947534787</v>
      </c>
    </row>
    <row r="1326" spans="1:7" ht="15" hidden="1" customHeight="1" x14ac:dyDescent="0.3">
      <c r="A1326" t="s">
        <v>138</v>
      </c>
      <c r="B1326" s="2">
        <v>46113</v>
      </c>
      <c r="C1326" s="52">
        <v>20861</v>
      </c>
      <c r="D1326" s="48">
        <f>_xlfn.XLOOKUP(expected_production[[#This Row],[Site Name]],Table1[[Site Name ]],Table1[Commisioned Date],"")</f>
        <v>45182</v>
      </c>
      <c r="E1326" s="47">
        <f>IF(ISNUMBER(expected_production[[#This Row],[Commissioned Date]]),MAX(0,(expected_production[[#This Row],[Date]]-expected_production[[#This Row],[Commissioned Date]])/365.25),"")</f>
        <v>2.5489390828199863</v>
      </c>
      <c r="F1326" s="49">
        <f>IF(expected_production[[#This Row],[Age (yrs)]]="",1,(1-DegradationRate)^expected_production[[#This Row],[Age (yrs)]])</f>
        <v>0.98225403213369966</v>
      </c>
      <c r="G1326" s="52">
        <f>IF(expected_production[[#This Row],[Base Expected (kWh)]]="","",expected_production[[#This Row],[Base Expected (kWh)]]*expected_production[[#This Row],[Degradation Factor]])</f>
        <v>20490.80136434111</v>
      </c>
    </row>
    <row r="1327" spans="1:7" ht="15" hidden="1" customHeight="1" x14ac:dyDescent="0.3">
      <c r="A1327" t="s">
        <v>138</v>
      </c>
      <c r="B1327" s="2">
        <v>46143</v>
      </c>
      <c r="C1327" s="52">
        <v>20012</v>
      </c>
      <c r="D1327" s="48">
        <f>_xlfn.XLOOKUP(expected_production[[#This Row],[Site Name]],Table1[[Site Name ]],Table1[Commisioned Date],"")</f>
        <v>45182</v>
      </c>
      <c r="E1327" s="47">
        <f>IF(ISNUMBER(expected_production[[#This Row],[Commissioned Date]]),MAX(0,(expected_production[[#This Row],[Date]]-expected_production[[#This Row],[Commissioned Date]])/365.25),"")</f>
        <v>2.6310746064339492</v>
      </c>
      <c r="F1327" s="49">
        <f>IF(expected_production[[#This Row],[Age (yrs)]]="",1,(1-DegradationRate)^expected_production[[#This Row],[Age (yrs)]])</f>
        <v>0.98168746406853213</v>
      </c>
      <c r="G1327" s="52">
        <f>IF(expected_production[[#This Row],[Base Expected (kWh)]]="","",expected_production[[#This Row],[Base Expected (kWh)]]*expected_production[[#This Row],[Degradation Factor]])</f>
        <v>19645.529530939464</v>
      </c>
    </row>
    <row r="1328" spans="1:7" ht="15" hidden="1" customHeight="1" x14ac:dyDescent="0.3">
      <c r="A1328" t="s">
        <v>138</v>
      </c>
      <c r="B1328" s="2">
        <v>46174</v>
      </c>
      <c r="C1328" s="52">
        <v>18485</v>
      </c>
      <c r="D1328" s="48">
        <f>_xlfn.XLOOKUP(expected_production[[#This Row],[Site Name]],Table1[[Site Name ]],Table1[Commisioned Date],"")</f>
        <v>45182</v>
      </c>
      <c r="E1328" s="47">
        <f>IF(ISNUMBER(expected_production[[#This Row],[Commissioned Date]]),MAX(0,(expected_production[[#This Row],[Date]]-expected_production[[#This Row],[Commissioned Date]])/365.25),"")</f>
        <v>2.7159479808350446</v>
      </c>
      <c r="F1328" s="49">
        <f>IF(expected_production[[#This Row],[Age (yrs)]]="",1,(1-DegradationRate)^expected_production[[#This Row],[Age (yrs)]])</f>
        <v>0.98110235371921539</v>
      </c>
      <c r="G1328" s="52">
        <f>IF(expected_production[[#This Row],[Base Expected (kWh)]]="","",expected_production[[#This Row],[Base Expected (kWh)]]*expected_production[[#This Row],[Degradation Factor]])</f>
        <v>18135.677008499697</v>
      </c>
    </row>
    <row r="1329" spans="1:7" ht="15" hidden="1" customHeight="1" x14ac:dyDescent="0.3">
      <c r="A1329" t="s">
        <v>138</v>
      </c>
      <c r="B1329" s="2">
        <v>46204</v>
      </c>
      <c r="C1329" s="52">
        <v>20016</v>
      </c>
      <c r="D1329" s="48">
        <f>_xlfn.XLOOKUP(expected_production[[#This Row],[Site Name]],Table1[[Site Name ]],Table1[Commisioned Date],"")</f>
        <v>45182</v>
      </c>
      <c r="E1329" s="47">
        <f>IF(ISNUMBER(expected_production[[#This Row],[Commissioned Date]]),MAX(0,(expected_production[[#This Row],[Date]]-expected_production[[#This Row],[Commissioned Date]])/365.25),"")</f>
        <v>2.7980835044490076</v>
      </c>
      <c r="F1329" s="49">
        <f>IF(expected_production[[#This Row],[Age (yrs)]]="",1,(1-DegradationRate)^expected_production[[#This Row],[Age (yrs)]])</f>
        <v>0.98053644994677625</v>
      </c>
      <c r="G1329" s="52">
        <f>IF(expected_production[[#This Row],[Base Expected (kWh)]]="","",expected_production[[#This Row],[Base Expected (kWh)]]*expected_production[[#This Row],[Degradation Factor]])</f>
        <v>19626.417582134673</v>
      </c>
    </row>
    <row r="1330" spans="1:7" ht="15" hidden="1" customHeight="1" x14ac:dyDescent="0.3">
      <c r="A1330" t="s">
        <v>138</v>
      </c>
      <c r="B1330" s="2">
        <v>46235</v>
      </c>
      <c r="C1330" s="52">
        <v>21052</v>
      </c>
      <c r="D1330" s="48">
        <f>_xlfn.XLOOKUP(expected_production[[#This Row],[Site Name]],Table1[[Site Name ]],Table1[Commisioned Date],"")</f>
        <v>45182</v>
      </c>
      <c r="E1330" s="47">
        <f>IF(ISNUMBER(expected_production[[#This Row],[Commissioned Date]]),MAX(0,(expected_production[[#This Row],[Date]]-expected_production[[#This Row],[Commissioned Date]])/365.25),"")</f>
        <v>2.8829568788501025</v>
      </c>
      <c r="F1330" s="49">
        <f>IF(expected_production[[#This Row],[Age (yrs)]]="",1,(1-DegradationRate)^expected_production[[#This Row],[Age (yrs)]])</f>
        <v>0.97995202563074357</v>
      </c>
      <c r="G1330" s="52">
        <f>IF(expected_production[[#This Row],[Base Expected (kWh)]]="","",expected_production[[#This Row],[Base Expected (kWh)]]*expected_production[[#This Row],[Degradation Factor]])</f>
        <v>20629.950043578414</v>
      </c>
    </row>
    <row r="1331" spans="1:7" ht="15" hidden="1" customHeight="1" x14ac:dyDescent="0.3">
      <c r="A1331" t="s">
        <v>138</v>
      </c>
      <c r="B1331" s="2">
        <v>46266</v>
      </c>
      <c r="C1331" s="52">
        <v>21403</v>
      </c>
      <c r="D1331" s="48">
        <f>_xlfn.XLOOKUP(expected_production[[#This Row],[Site Name]],Table1[[Site Name ]],Table1[Commisioned Date],"")</f>
        <v>45182</v>
      </c>
      <c r="E1331" s="47">
        <f>IF(ISNUMBER(expected_production[[#This Row],[Commissioned Date]]),MAX(0,(expected_production[[#This Row],[Date]]-expected_production[[#This Row],[Commissioned Date]])/365.25),"")</f>
        <v>2.967830253251198</v>
      </c>
      <c r="F1331" s="49">
        <f>IF(expected_production[[#This Row],[Age (yrs)]]="",1,(1-DegradationRate)^expected_production[[#This Row],[Age (yrs)]])</f>
        <v>0.97936794964626062</v>
      </c>
      <c r="G1331" s="52">
        <f>IF(expected_production[[#This Row],[Base Expected (kWh)]]="","",expected_production[[#This Row],[Base Expected (kWh)]]*expected_production[[#This Row],[Degradation Factor]])</f>
        <v>20961.412226278917</v>
      </c>
    </row>
    <row r="1332" spans="1:7" ht="15" hidden="1" customHeight="1" x14ac:dyDescent="0.3">
      <c r="A1332" t="s">
        <v>138</v>
      </c>
      <c r="B1332" s="2">
        <v>46296</v>
      </c>
      <c r="C1332" s="52">
        <v>20962</v>
      </c>
      <c r="D1332" s="48">
        <f>_xlfn.XLOOKUP(expected_production[[#This Row],[Site Name]],Table1[[Site Name ]],Table1[Commisioned Date],"")</f>
        <v>45182</v>
      </c>
      <c r="E1332" s="47">
        <f>IF(ISNUMBER(expected_production[[#This Row],[Commissioned Date]]),MAX(0,(expected_production[[#This Row],[Date]]-expected_production[[#This Row],[Commissioned Date]])/365.25),"")</f>
        <v>3.0499657768651609</v>
      </c>
      <c r="F1332" s="49">
        <f>IF(expected_production[[#This Row],[Age (yrs)]]="",1,(1-DegradationRate)^expected_production[[#This Row],[Age (yrs)]])</f>
        <v>0.97880304628504666</v>
      </c>
      <c r="G1332" s="52">
        <f>IF(expected_production[[#This Row],[Base Expected (kWh)]]="","",expected_production[[#This Row],[Base Expected (kWh)]]*expected_production[[#This Row],[Degradation Factor]])</f>
        <v>20517.669456227148</v>
      </c>
    </row>
    <row r="1333" spans="1:7" ht="15" hidden="1" customHeight="1" x14ac:dyDescent="0.3">
      <c r="A1333" t="s">
        <v>138</v>
      </c>
      <c r="B1333" s="2">
        <v>46327</v>
      </c>
      <c r="C1333" s="52">
        <v>19856</v>
      </c>
      <c r="D1333" s="48">
        <f>_xlfn.XLOOKUP(expected_production[[#This Row],[Site Name]],Table1[[Site Name ]],Table1[Commisioned Date],"")</f>
        <v>45182</v>
      </c>
      <c r="E1333" s="47">
        <f>IF(ISNUMBER(expected_production[[#This Row],[Commissioned Date]]),MAX(0,(expected_production[[#This Row],[Date]]-expected_production[[#This Row],[Commissioned Date]])/365.25),"")</f>
        <v>3.1348391512662559</v>
      </c>
      <c r="F1333" s="49">
        <f>IF(expected_production[[#This Row],[Age (yrs)]]="",1,(1-DegradationRate)^expected_production[[#This Row],[Age (yrs)]])</f>
        <v>0.97821965512107012</v>
      </c>
      <c r="G1333" s="52">
        <f>IF(expected_production[[#This Row],[Base Expected (kWh)]]="","",expected_production[[#This Row],[Base Expected (kWh)]]*expected_production[[#This Row],[Degradation Factor]])</f>
        <v>19423.529472083967</v>
      </c>
    </row>
    <row r="1334" spans="1:7" ht="15" hidden="1" customHeight="1" x14ac:dyDescent="0.3">
      <c r="A1334" t="s">
        <v>138</v>
      </c>
      <c r="B1334" s="2">
        <v>46357</v>
      </c>
      <c r="C1334" s="52">
        <v>21184</v>
      </c>
      <c r="D1334" s="48">
        <f>_xlfn.XLOOKUP(expected_production[[#This Row],[Site Name]],Table1[[Site Name ]],Table1[Commisioned Date],"")</f>
        <v>45182</v>
      </c>
      <c r="E1334" s="47">
        <f>IF(ISNUMBER(expected_production[[#This Row],[Commissioned Date]]),MAX(0,(expected_production[[#This Row],[Date]]-expected_production[[#This Row],[Commissioned Date]])/365.25),"")</f>
        <v>3.2169746748802188</v>
      </c>
      <c r="F1334" s="49">
        <f>IF(expected_production[[#This Row],[Age (yrs)]]="",1,(1-DegradationRate)^expected_production[[#This Row],[Age (yrs)]])</f>
        <v>0.97765541410074375</v>
      </c>
      <c r="G1334" s="52">
        <f>IF(expected_production[[#This Row],[Base Expected (kWh)]]="","",expected_production[[#This Row],[Base Expected (kWh)]]*expected_production[[#This Row],[Degradation Factor]])</f>
        <v>20710.652292310155</v>
      </c>
    </row>
    <row r="1335" spans="1:7" ht="15" hidden="1" customHeight="1" x14ac:dyDescent="0.3">
      <c r="A1335" t="s">
        <v>220</v>
      </c>
      <c r="B1335" s="2">
        <v>45292</v>
      </c>
      <c r="C1335" s="52">
        <v>46872</v>
      </c>
      <c r="D1335" s="48">
        <f>_xlfn.XLOOKUP(expected_production[[#This Row],[Site Name]],Table1[[Site Name ]],Table1[Commisioned Date],"")</f>
        <v>45924</v>
      </c>
      <c r="E1335" s="47">
        <f>IF(ISNUMBER(expected_production[[#This Row],[Commissioned Date]]),MAX(0,(expected_production[[#This Row],[Date]]-expected_production[[#This Row],[Commissioned Date]])/365.25),"")</f>
        <v>0</v>
      </c>
      <c r="F1335" s="49">
        <f>IF(expected_production[[#This Row],[Age (yrs)]]="",1,(1-DegradationRate)^expected_production[[#This Row],[Age (yrs)]])</f>
        <v>1</v>
      </c>
      <c r="G1335" s="52">
        <f>IF(expected_production[[#This Row],[Base Expected (kWh)]]="","",expected_production[[#This Row],[Base Expected (kWh)]]*expected_production[[#This Row],[Degradation Factor]])</f>
        <v>46872</v>
      </c>
    </row>
    <row r="1336" spans="1:7" ht="15" hidden="1" customHeight="1" x14ac:dyDescent="0.3">
      <c r="A1336" t="s">
        <v>220</v>
      </c>
      <c r="B1336" s="2">
        <v>45323</v>
      </c>
      <c r="C1336" s="52">
        <v>40989.599999999999</v>
      </c>
      <c r="D1336" s="48">
        <f>_xlfn.XLOOKUP(expected_production[[#This Row],[Site Name]],Table1[[Site Name ]],Table1[Commisioned Date],"")</f>
        <v>45924</v>
      </c>
      <c r="E1336" s="47">
        <f>IF(ISNUMBER(expected_production[[#This Row],[Commissioned Date]]),MAX(0,(expected_production[[#This Row],[Date]]-expected_production[[#This Row],[Commissioned Date]])/365.25),"")</f>
        <v>0</v>
      </c>
      <c r="F1336" s="49">
        <f>IF(expected_production[[#This Row],[Age (yrs)]]="",1,(1-DegradationRate)^expected_production[[#This Row],[Age (yrs)]])</f>
        <v>1</v>
      </c>
      <c r="G1336" s="52">
        <f>IF(expected_production[[#This Row],[Base Expected (kWh)]]="","",expected_production[[#This Row],[Base Expected (kWh)]]*expected_production[[#This Row],[Degradation Factor]])</f>
        <v>40989.599999999999</v>
      </c>
    </row>
    <row r="1337" spans="1:7" ht="15" hidden="1" customHeight="1" x14ac:dyDescent="0.3">
      <c r="A1337" t="s">
        <v>220</v>
      </c>
      <c r="B1337" s="2">
        <v>45352</v>
      </c>
      <c r="C1337" s="52">
        <v>39989.699999999997</v>
      </c>
      <c r="D1337" s="48">
        <f>_xlfn.XLOOKUP(expected_production[[#This Row],[Site Name]],Table1[[Site Name ]],Table1[Commisioned Date],"")</f>
        <v>45924</v>
      </c>
      <c r="E1337" s="47">
        <f>IF(ISNUMBER(expected_production[[#This Row],[Commissioned Date]]),MAX(0,(expected_production[[#This Row],[Date]]-expected_production[[#This Row],[Commissioned Date]])/365.25),"")</f>
        <v>0</v>
      </c>
      <c r="F1337" s="49">
        <f>IF(expected_production[[#This Row],[Age (yrs)]]="",1,(1-DegradationRate)^expected_production[[#This Row],[Age (yrs)]])</f>
        <v>1</v>
      </c>
      <c r="G1337" s="52">
        <f>IF(expected_production[[#This Row],[Base Expected (kWh)]]="","",expected_production[[#This Row],[Base Expected (kWh)]]*expected_production[[#This Row],[Degradation Factor]])</f>
        <v>39989.699999999997</v>
      </c>
    </row>
    <row r="1338" spans="1:7" ht="15" hidden="1" customHeight="1" x14ac:dyDescent="0.3">
      <c r="A1338" t="s">
        <v>220</v>
      </c>
      <c r="B1338" s="2">
        <v>45383</v>
      </c>
      <c r="C1338" s="52">
        <v>34783.199999999997</v>
      </c>
      <c r="D1338" s="48">
        <f>_xlfn.XLOOKUP(expected_production[[#This Row],[Site Name]],Table1[[Site Name ]],Table1[Commisioned Date],"")</f>
        <v>45924</v>
      </c>
      <c r="E1338" s="47">
        <f>IF(ISNUMBER(expected_production[[#This Row],[Commissioned Date]]),MAX(0,(expected_production[[#This Row],[Date]]-expected_production[[#This Row],[Commissioned Date]])/365.25),"")</f>
        <v>0</v>
      </c>
      <c r="F1338" s="49">
        <f>IF(expected_production[[#This Row],[Age (yrs)]]="",1,(1-DegradationRate)^expected_production[[#This Row],[Age (yrs)]])</f>
        <v>1</v>
      </c>
      <c r="G1338" s="52">
        <f>IF(expected_production[[#This Row],[Base Expected (kWh)]]="","",expected_production[[#This Row],[Base Expected (kWh)]]*expected_production[[#This Row],[Degradation Factor]])</f>
        <v>34783.199999999997</v>
      </c>
    </row>
    <row r="1339" spans="1:7" ht="15" hidden="1" customHeight="1" x14ac:dyDescent="0.3">
      <c r="A1339" t="s">
        <v>220</v>
      </c>
      <c r="B1339" s="2">
        <v>45413</v>
      </c>
      <c r="C1339" s="52">
        <v>32139</v>
      </c>
      <c r="D1339" s="48">
        <f>_xlfn.XLOOKUP(expected_production[[#This Row],[Site Name]],Table1[[Site Name ]],Table1[Commisioned Date],"")</f>
        <v>45924</v>
      </c>
      <c r="E1339" s="47">
        <f>IF(ISNUMBER(expected_production[[#This Row],[Commissioned Date]]),MAX(0,(expected_production[[#This Row],[Date]]-expected_production[[#This Row],[Commissioned Date]])/365.25),"")</f>
        <v>0</v>
      </c>
      <c r="F1339" s="49">
        <f>IF(expected_production[[#This Row],[Age (yrs)]]="",1,(1-DegradationRate)^expected_production[[#This Row],[Age (yrs)]])</f>
        <v>1</v>
      </c>
      <c r="G1339" s="52">
        <f>IF(expected_production[[#This Row],[Base Expected (kWh)]]="","",expected_production[[#This Row],[Base Expected (kWh)]]*expected_production[[#This Row],[Degradation Factor]])</f>
        <v>32139</v>
      </c>
    </row>
    <row r="1340" spans="1:7" ht="15" hidden="1" customHeight="1" x14ac:dyDescent="0.3">
      <c r="A1340" t="s">
        <v>220</v>
      </c>
      <c r="B1340" s="2">
        <v>45444</v>
      </c>
      <c r="C1340" s="52">
        <v>28357.200000000001</v>
      </c>
      <c r="D1340" s="48">
        <f>_xlfn.XLOOKUP(expected_production[[#This Row],[Site Name]],Table1[[Site Name ]],Table1[Commisioned Date],"")</f>
        <v>45924</v>
      </c>
      <c r="E1340" s="47">
        <f>IF(ISNUMBER(expected_production[[#This Row],[Commissioned Date]]),MAX(0,(expected_production[[#This Row],[Date]]-expected_production[[#This Row],[Commissioned Date]])/365.25),"")</f>
        <v>0</v>
      </c>
      <c r="F1340" s="49">
        <f>IF(expected_production[[#This Row],[Age (yrs)]]="",1,(1-DegradationRate)^expected_production[[#This Row],[Age (yrs)]])</f>
        <v>1</v>
      </c>
      <c r="G1340" s="52">
        <f>IF(expected_production[[#This Row],[Base Expected (kWh)]]="","",expected_production[[#This Row],[Base Expected (kWh)]]*expected_production[[#This Row],[Degradation Factor]])</f>
        <v>28357.200000000001</v>
      </c>
    </row>
    <row r="1341" spans="1:7" ht="15" hidden="1" customHeight="1" x14ac:dyDescent="0.3">
      <c r="A1341" t="s">
        <v>220</v>
      </c>
      <c r="B1341" s="2">
        <v>45474</v>
      </c>
      <c r="C1341" s="52">
        <v>31229.1</v>
      </c>
      <c r="D1341" s="48">
        <f>_xlfn.XLOOKUP(expected_production[[#This Row],[Site Name]],Table1[[Site Name ]],Table1[Commisioned Date],"")</f>
        <v>45924</v>
      </c>
      <c r="E1341" s="47">
        <f>IF(ISNUMBER(expected_production[[#This Row],[Commissioned Date]]),MAX(0,(expected_production[[#This Row],[Date]]-expected_production[[#This Row],[Commissioned Date]])/365.25),"")</f>
        <v>0</v>
      </c>
      <c r="F1341" s="49">
        <f>IF(expected_production[[#This Row],[Age (yrs)]]="",1,(1-DegradationRate)^expected_production[[#This Row],[Age (yrs)]])</f>
        <v>1</v>
      </c>
      <c r="G1341" s="52">
        <f>IF(expected_production[[#This Row],[Base Expected (kWh)]]="","",expected_production[[#This Row],[Base Expected (kWh)]]*expected_production[[#This Row],[Degradation Factor]])</f>
        <v>31229.1</v>
      </c>
    </row>
    <row r="1342" spans="1:7" ht="15" hidden="1" customHeight="1" x14ac:dyDescent="0.3">
      <c r="A1342" t="s">
        <v>220</v>
      </c>
      <c r="B1342" s="2">
        <v>45505</v>
      </c>
      <c r="C1342" s="52">
        <v>36815.4</v>
      </c>
      <c r="D1342" s="48">
        <f>_xlfn.XLOOKUP(expected_production[[#This Row],[Site Name]],Table1[[Site Name ]],Table1[Commisioned Date],"")</f>
        <v>45924</v>
      </c>
      <c r="E1342" s="47">
        <f>IF(ISNUMBER(expected_production[[#This Row],[Commissioned Date]]),MAX(0,(expected_production[[#This Row],[Date]]-expected_production[[#This Row],[Commissioned Date]])/365.25),"")</f>
        <v>0</v>
      </c>
      <c r="F1342" s="49">
        <f>IF(expected_production[[#This Row],[Age (yrs)]]="",1,(1-DegradationRate)^expected_production[[#This Row],[Age (yrs)]])</f>
        <v>1</v>
      </c>
      <c r="G1342" s="52">
        <f>IF(expected_production[[#This Row],[Base Expected (kWh)]]="","",expected_production[[#This Row],[Base Expected (kWh)]]*expected_production[[#This Row],[Degradation Factor]])</f>
        <v>36815.4</v>
      </c>
    </row>
    <row r="1343" spans="1:7" ht="15" hidden="1" customHeight="1" x14ac:dyDescent="0.3">
      <c r="A1343" t="s">
        <v>220</v>
      </c>
      <c r="B1343" s="2">
        <v>45536</v>
      </c>
      <c r="C1343" s="52">
        <v>40778.1</v>
      </c>
      <c r="D1343" s="48">
        <f>_xlfn.XLOOKUP(expected_production[[#This Row],[Site Name]],Table1[[Site Name ]],Table1[Commisioned Date],"")</f>
        <v>45924</v>
      </c>
      <c r="E1343" s="47">
        <f>IF(ISNUMBER(expected_production[[#This Row],[Commissioned Date]]),MAX(0,(expected_production[[#This Row],[Date]]-expected_production[[#This Row],[Commissioned Date]])/365.25),"")</f>
        <v>0</v>
      </c>
      <c r="F1343" s="49">
        <f>IF(expected_production[[#This Row],[Age (yrs)]]="",1,(1-DegradationRate)^expected_production[[#This Row],[Age (yrs)]])</f>
        <v>1</v>
      </c>
      <c r="G1343" s="52">
        <f>IF(expected_production[[#This Row],[Base Expected (kWh)]]="","",expected_production[[#This Row],[Base Expected (kWh)]]*expected_production[[#This Row],[Degradation Factor]])</f>
        <v>40778.1</v>
      </c>
    </row>
    <row r="1344" spans="1:7" ht="15" hidden="1" customHeight="1" x14ac:dyDescent="0.3">
      <c r="A1344" t="s">
        <v>220</v>
      </c>
      <c r="B1344" s="2">
        <v>45566</v>
      </c>
      <c r="C1344" s="52">
        <v>46212.3</v>
      </c>
      <c r="D1344" s="48">
        <f>_xlfn.XLOOKUP(expected_production[[#This Row],[Site Name]],Table1[[Site Name ]],Table1[Commisioned Date],"")</f>
        <v>45924</v>
      </c>
      <c r="E1344" s="47">
        <f>IF(ISNUMBER(expected_production[[#This Row],[Commissioned Date]]),MAX(0,(expected_production[[#This Row],[Date]]-expected_production[[#This Row],[Commissioned Date]])/365.25),"")</f>
        <v>0</v>
      </c>
      <c r="F1344" s="49">
        <f>IF(expected_production[[#This Row],[Age (yrs)]]="",1,(1-DegradationRate)^expected_production[[#This Row],[Age (yrs)]])</f>
        <v>1</v>
      </c>
      <c r="G1344" s="52">
        <f>IF(expected_production[[#This Row],[Base Expected (kWh)]]="","",expected_production[[#This Row],[Base Expected (kWh)]]*expected_production[[#This Row],[Degradation Factor]])</f>
        <v>46212.3</v>
      </c>
    </row>
    <row r="1345" spans="1:7" ht="15" hidden="1" customHeight="1" x14ac:dyDescent="0.3">
      <c r="A1345" t="s">
        <v>220</v>
      </c>
      <c r="B1345" s="2">
        <v>45597</v>
      </c>
      <c r="C1345" s="52">
        <v>46653.3</v>
      </c>
      <c r="D1345" s="48">
        <f>_xlfn.XLOOKUP(expected_production[[#This Row],[Site Name]],Table1[[Site Name ]],Table1[Commisioned Date],"")</f>
        <v>45924</v>
      </c>
      <c r="E1345" s="47">
        <f>IF(ISNUMBER(expected_production[[#This Row],[Commissioned Date]]),MAX(0,(expected_production[[#This Row],[Date]]-expected_production[[#This Row],[Commissioned Date]])/365.25),"")</f>
        <v>0</v>
      </c>
      <c r="F1345" s="49">
        <f>IF(expected_production[[#This Row],[Age (yrs)]]="",1,(1-DegradationRate)^expected_production[[#This Row],[Age (yrs)]])</f>
        <v>1</v>
      </c>
      <c r="G1345" s="52">
        <f>IF(expected_production[[#This Row],[Base Expected (kWh)]]="","",expected_production[[#This Row],[Base Expected (kWh)]]*expected_production[[#This Row],[Degradation Factor]])</f>
        <v>46653.3</v>
      </c>
    </row>
    <row r="1346" spans="1:7" ht="15" hidden="1" customHeight="1" x14ac:dyDescent="0.3">
      <c r="A1346" t="s">
        <v>220</v>
      </c>
      <c r="B1346" s="2">
        <v>45627</v>
      </c>
      <c r="C1346" s="52">
        <v>47656.800000000003</v>
      </c>
      <c r="D1346" s="48">
        <f>_xlfn.XLOOKUP(expected_production[[#This Row],[Site Name]],Table1[[Site Name ]],Table1[Commisioned Date],"")</f>
        <v>45924</v>
      </c>
      <c r="E1346" s="47">
        <f>IF(ISNUMBER(expected_production[[#This Row],[Commissioned Date]]),MAX(0,(expected_production[[#This Row],[Date]]-expected_production[[#This Row],[Commissioned Date]])/365.25),"")</f>
        <v>0</v>
      </c>
      <c r="F1346" s="49">
        <f>IF(expected_production[[#This Row],[Age (yrs)]]="",1,(1-DegradationRate)^expected_production[[#This Row],[Age (yrs)]])</f>
        <v>1</v>
      </c>
      <c r="G1346" s="52">
        <f>IF(expected_production[[#This Row],[Base Expected (kWh)]]="","",expected_production[[#This Row],[Base Expected (kWh)]]*expected_production[[#This Row],[Degradation Factor]])</f>
        <v>47656.800000000003</v>
      </c>
    </row>
    <row r="1347" spans="1:7" ht="15" hidden="1" customHeight="1" x14ac:dyDescent="0.3">
      <c r="A1347" t="s">
        <v>220</v>
      </c>
      <c r="B1347" s="2">
        <v>45658</v>
      </c>
      <c r="C1347" s="52">
        <v>46872</v>
      </c>
      <c r="D1347" s="48">
        <f>_xlfn.XLOOKUP(expected_production[[#This Row],[Site Name]],Table1[[Site Name ]],Table1[Commisioned Date],"")</f>
        <v>45924</v>
      </c>
      <c r="E1347" s="47">
        <f>IF(ISNUMBER(expected_production[[#This Row],[Commissioned Date]]),MAX(0,(expected_production[[#This Row],[Date]]-expected_production[[#This Row],[Commissioned Date]])/365.25),"")</f>
        <v>0</v>
      </c>
      <c r="F1347" s="49">
        <f>IF(expected_production[[#This Row],[Age (yrs)]]="",1,(1-DegradationRate)^expected_production[[#This Row],[Age (yrs)]])</f>
        <v>1</v>
      </c>
      <c r="G1347" s="52">
        <f>IF(expected_production[[#This Row],[Base Expected (kWh)]]="","",expected_production[[#This Row],[Base Expected (kWh)]]*expected_production[[#This Row],[Degradation Factor]])</f>
        <v>46872</v>
      </c>
    </row>
    <row r="1348" spans="1:7" ht="15" hidden="1" customHeight="1" x14ac:dyDescent="0.3">
      <c r="A1348" t="s">
        <v>220</v>
      </c>
      <c r="B1348" s="2">
        <v>45689</v>
      </c>
      <c r="C1348" s="52">
        <v>40989.599999999999</v>
      </c>
      <c r="D1348" s="48">
        <f>_xlfn.XLOOKUP(expected_production[[#This Row],[Site Name]],Table1[[Site Name ]],Table1[Commisioned Date],"")</f>
        <v>45924</v>
      </c>
      <c r="E1348" s="47">
        <f>IF(ISNUMBER(expected_production[[#This Row],[Commissioned Date]]),MAX(0,(expected_production[[#This Row],[Date]]-expected_production[[#This Row],[Commissioned Date]])/365.25),"")</f>
        <v>0</v>
      </c>
      <c r="F1348" s="49">
        <f>IF(expected_production[[#This Row],[Age (yrs)]]="",1,(1-DegradationRate)^expected_production[[#This Row],[Age (yrs)]])</f>
        <v>1</v>
      </c>
      <c r="G1348" s="52">
        <f>IF(expected_production[[#This Row],[Base Expected (kWh)]]="","",expected_production[[#This Row],[Base Expected (kWh)]]*expected_production[[#This Row],[Degradation Factor]])</f>
        <v>40989.599999999999</v>
      </c>
    </row>
    <row r="1349" spans="1:7" ht="15" hidden="1" customHeight="1" x14ac:dyDescent="0.3">
      <c r="A1349" t="s">
        <v>220</v>
      </c>
      <c r="B1349" s="2">
        <v>45717</v>
      </c>
      <c r="C1349" s="52">
        <v>39989.699999999997</v>
      </c>
      <c r="D1349" s="48">
        <f>_xlfn.XLOOKUP(expected_production[[#This Row],[Site Name]],Table1[[Site Name ]],Table1[Commisioned Date],"")</f>
        <v>45924</v>
      </c>
      <c r="E1349" s="47">
        <f>IF(ISNUMBER(expected_production[[#This Row],[Commissioned Date]]),MAX(0,(expected_production[[#This Row],[Date]]-expected_production[[#This Row],[Commissioned Date]])/365.25),"")</f>
        <v>0</v>
      </c>
      <c r="F1349" s="49">
        <f>IF(expected_production[[#This Row],[Age (yrs)]]="",1,(1-DegradationRate)^expected_production[[#This Row],[Age (yrs)]])</f>
        <v>1</v>
      </c>
      <c r="G1349" s="52">
        <f>IF(expected_production[[#This Row],[Base Expected (kWh)]]="","",expected_production[[#This Row],[Base Expected (kWh)]]*expected_production[[#This Row],[Degradation Factor]])</f>
        <v>39989.699999999997</v>
      </c>
    </row>
    <row r="1350" spans="1:7" ht="15" hidden="1" customHeight="1" x14ac:dyDescent="0.3">
      <c r="A1350" t="s">
        <v>220</v>
      </c>
      <c r="B1350" s="2">
        <v>45748</v>
      </c>
      <c r="C1350" s="52">
        <v>34783.199999999997</v>
      </c>
      <c r="D1350" s="48">
        <f>_xlfn.XLOOKUP(expected_production[[#This Row],[Site Name]],Table1[[Site Name ]],Table1[Commisioned Date],"")</f>
        <v>45924</v>
      </c>
      <c r="E1350" s="47">
        <f>IF(ISNUMBER(expected_production[[#This Row],[Commissioned Date]]),MAX(0,(expected_production[[#This Row],[Date]]-expected_production[[#This Row],[Commissioned Date]])/365.25),"")</f>
        <v>0</v>
      </c>
      <c r="F1350" s="49">
        <f>IF(expected_production[[#This Row],[Age (yrs)]]="",1,(1-DegradationRate)^expected_production[[#This Row],[Age (yrs)]])</f>
        <v>1</v>
      </c>
      <c r="G1350" s="52">
        <f>IF(expected_production[[#This Row],[Base Expected (kWh)]]="","",expected_production[[#This Row],[Base Expected (kWh)]]*expected_production[[#This Row],[Degradation Factor]])</f>
        <v>34783.199999999997</v>
      </c>
    </row>
    <row r="1351" spans="1:7" ht="15" hidden="1" customHeight="1" x14ac:dyDescent="0.3">
      <c r="A1351" t="s">
        <v>220</v>
      </c>
      <c r="B1351" s="2">
        <v>45778</v>
      </c>
      <c r="C1351" s="52">
        <v>32139</v>
      </c>
      <c r="D1351" s="48">
        <f>_xlfn.XLOOKUP(expected_production[[#This Row],[Site Name]],Table1[[Site Name ]],Table1[Commisioned Date],"")</f>
        <v>45924</v>
      </c>
      <c r="E1351" s="47">
        <f>IF(ISNUMBER(expected_production[[#This Row],[Commissioned Date]]),MAX(0,(expected_production[[#This Row],[Date]]-expected_production[[#This Row],[Commissioned Date]])/365.25),"")</f>
        <v>0</v>
      </c>
      <c r="F1351" s="49">
        <f>IF(expected_production[[#This Row],[Age (yrs)]]="",1,(1-DegradationRate)^expected_production[[#This Row],[Age (yrs)]])</f>
        <v>1</v>
      </c>
      <c r="G1351" s="52">
        <f>IF(expected_production[[#This Row],[Base Expected (kWh)]]="","",expected_production[[#This Row],[Base Expected (kWh)]]*expected_production[[#This Row],[Degradation Factor]])</f>
        <v>32139</v>
      </c>
    </row>
    <row r="1352" spans="1:7" ht="15" hidden="1" customHeight="1" x14ac:dyDescent="0.3">
      <c r="A1352" t="s">
        <v>220</v>
      </c>
      <c r="B1352" s="2">
        <v>45809</v>
      </c>
      <c r="C1352" s="52">
        <v>28357.200000000001</v>
      </c>
      <c r="D1352" s="48">
        <f>_xlfn.XLOOKUP(expected_production[[#This Row],[Site Name]],Table1[[Site Name ]],Table1[Commisioned Date],"")</f>
        <v>45924</v>
      </c>
      <c r="E1352" s="47">
        <f>IF(ISNUMBER(expected_production[[#This Row],[Commissioned Date]]),MAX(0,(expected_production[[#This Row],[Date]]-expected_production[[#This Row],[Commissioned Date]])/365.25),"")</f>
        <v>0</v>
      </c>
      <c r="F1352" s="49">
        <f>IF(expected_production[[#This Row],[Age (yrs)]]="",1,(1-DegradationRate)^expected_production[[#This Row],[Age (yrs)]])</f>
        <v>1</v>
      </c>
      <c r="G1352" s="52">
        <f>IF(expected_production[[#This Row],[Base Expected (kWh)]]="","",expected_production[[#This Row],[Base Expected (kWh)]]*expected_production[[#This Row],[Degradation Factor]])</f>
        <v>28357.200000000001</v>
      </c>
    </row>
    <row r="1353" spans="1:7" ht="15" hidden="1" customHeight="1" x14ac:dyDescent="0.3">
      <c r="A1353" t="s">
        <v>220</v>
      </c>
      <c r="B1353" s="2">
        <v>45839</v>
      </c>
      <c r="C1353" s="52">
        <v>31229.1</v>
      </c>
      <c r="D1353" s="48">
        <f>_xlfn.XLOOKUP(expected_production[[#This Row],[Site Name]],Table1[[Site Name ]],Table1[Commisioned Date],"")</f>
        <v>45924</v>
      </c>
      <c r="E1353" s="47">
        <f>IF(ISNUMBER(expected_production[[#This Row],[Commissioned Date]]),MAX(0,(expected_production[[#This Row],[Date]]-expected_production[[#This Row],[Commissioned Date]])/365.25),"")</f>
        <v>0</v>
      </c>
      <c r="F1353" s="49">
        <f>IF(expected_production[[#This Row],[Age (yrs)]]="",1,(1-DegradationRate)^expected_production[[#This Row],[Age (yrs)]])</f>
        <v>1</v>
      </c>
      <c r="G1353" s="52">
        <f>IF(expected_production[[#This Row],[Base Expected (kWh)]]="","",expected_production[[#This Row],[Base Expected (kWh)]]*expected_production[[#This Row],[Degradation Factor]])</f>
        <v>31229.1</v>
      </c>
    </row>
    <row r="1354" spans="1:7" ht="15" hidden="1" customHeight="1" x14ac:dyDescent="0.3">
      <c r="A1354" t="s">
        <v>220</v>
      </c>
      <c r="B1354" s="2">
        <v>45870</v>
      </c>
      <c r="C1354" s="52">
        <v>36815.4</v>
      </c>
      <c r="D1354" s="48">
        <f>_xlfn.XLOOKUP(expected_production[[#This Row],[Site Name]],Table1[[Site Name ]],Table1[Commisioned Date],"")</f>
        <v>45924</v>
      </c>
      <c r="E1354" s="47">
        <f>IF(ISNUMBER(expected_production[[#This Row],[Commissioned Date]]),MAX(0,(expected_production[[#This Row],[Date]]-expected_production[[#This Row],[Commissioned Date]])/365.25),"")</f>
        <v>0</v>
      </c>
      <c r="F1354" s="49">
        <f>IF(expected_production[[#This Row],[Age (yrs)]]="",1,(1-DegradationRate)^expected_production[[#This Row],[Age (yrs)]])</f>
        <v>1</v>
      </c>
      <c r="G1354" s="52">
        <f>IF(expected_production[[#This Row],[Base Expected (kWh)]]="","",expected_production[[#This Row],[Base Expected (kWh)]]*expected_production[[#This Row],[Degradation Factor]])</f>
        <v>36815.4</v>
      </c>
    </row>
    <row r="1355" spans="1:7" ht="15" hidden="1" customHeight="1" x14ac:dyDescent="0.3">
      <c r="A1355" t="s">
        <v>220</v>
      </c>
      <c r="B1355" s="2">
        <v>45901</v>
      </c>
      <c r="C1355" s="52">
        <v>40778.1</v>
      </c>
      <c r="D1355" s="48">
        <f>_xlfn.XLOOKUP(expected_production[[#This Row],[Site Name]],Table1[[Site Name ]],Table1[Commisioned Date],"")</f>
        <v>45924</v>
      </c>
      <c r="E1355" s="47">
        <f>IF(ISNUMBER(expected_production[[#This Row],[Commissioned Date]]),MAX(0,(expected_production[[#This Row],[Date]]-expected_production[[#This Row],[Commissioned Date]])/365.25),"")</f>
        <v>0</v>
      </c>
      <c r="F1355" s="49">
        <f>IF(expected_production[[#This Row],[Age (yrs)]]="",1,(1-DegradationRate)^expected_production[[#This Row],[Age (yrs)]])</f>
        <v>1</v>
      </c>
      <c r="G1355" s="52">
        <f>IF(expected_production[[#This Row],[Base Expected (kWh)]]="","",expected_production[[#This Row],[Base Expected (kWh)]]*expected_production[[#This Row],[Degradation Factor]])</f>
        <v>40778.1</v>
      </c>
    </row>
    <row r="1356" spans="1:7" ht="15" hidden="1" customHeight="1" x14ac:dyDescent="0.3">
      <c r="A1356" t="s">
        <v>220</v>
      </c>
      <c r="B1356" s="2">
        <v>45931</v>
      </c>
      <c r="C1356" s="52">
        <v>46212.3</v>
      </c>
      <c r="D1356" s="48">
        <f>_xlfn.XLOOKUP(expected_production[[#This Row],[Site Name]],Table1[[Site Name ]],Table1[Commisioned Date],"")</f>
        <v>45924</v>
      </c>
      <c r="E1356" s="47">
        <f>IF(ISNUMBER(expected_production[[#This Row],[Commissioned Date]]),MAX(0,(expected_production[[#This Row],[Date]]-expected_production[[#This Row],[Commissioned Date]])/365.25),"")</f>
        <v>1.9164955509924708E-2</v>
      </c>
      <c r="F1356" s="49">
        <f>IF(expected_production[[#This Row],[Age (yrs)]]="",1,(1-DegradationRate)^expected_production[[#This Row],[Age (yrs)]])</f>
        <v>0.99986538262899027</v>
      </c>
      <c r="G1356" s="52">
        <f>IF(expected_production[[#This Row],[Base Expected (kWh)]]="","",expected_production[[#This Row],[Base Expected (kWh)]]*expected_production[[#This Row],[Degradation Factor]])</f>
        <v>46206.07902166569</v>
      </c>
    </row>
    <row r="1357" spans="1:7" ht="15" hidden="1" customHeight="1" x14ac:dyDescent="0.3">
      <c r="A1357" t="s">
        <v>220</v>
      </c>
      <c r="B1357" s="2">
        <v>45962</v>
      </c>
      <c r="C1357" s="52">
        <v>46653.3</v>
      </c>
      <c r="D1357" s="48">
        <f>_xlfn.XLOOKUP(expected_production[[#This Row],[Site Name]],Table1[[Site Name ]],Table1[Commisioned Date],"")</f>
        <v>45924</v>
      </c>
      <c r="E1357" s="47">
        <f>IF(ISNUMBER(expected_production[[#This Row],[Commissioned Date]]),MAX(0,(expected_production[[#This Row],[Date]]-expected_production[[#This Row],[Commissioned Date]])/365.25),"")</f>
        <v>0.10403832991101986</v>
      </c>
      <c r="F1357" s="49">
        <f>IF(expected_production[[#This Row],[Age (yrs)]]="",1,(1-DegradationRate)^expected_production[[#This Row],[Age (yrs)]])</f>
        <v>0.9992694377843091</v>
      </c>
      <c r="G1357" s="52">
        <f>IF(expected_production[[#This Row],[Base Expected (kWh)]]="","",expected_production[[#This Row],[Base Expected (kWh)]]*expected_production[[#This Row],[Degradation Factor]])</f>
        <v>46619.216861782712</v>
      </c>
    </row>
    <row r="1358" spans="1:7" ht="15" hidden="1" customHeight="1" x14ac:dyDescent="0.3">
      <c r="A1358" t="s">
        <v>220</v>
      </c>
      <c r="B1358" s="2">
        <v>45992</v>
      </c>
      <c r="C1358" s="52">
        <v>47656.800000000003</v>
      </c>
      <c r="D1358" s="48">
        <f>_xlfn.XLOOKUP(expected_production[[#This Row],[Site Name]],Table1[[Site Name ]],Table1[Commisioned Date],"")</f>
        <v>45924</v>
      </c>
      <c r="E1358" s="47">
        <f>IF(ISNUMBER(expected_production[[#This Row],[Commissioned Date]]),MAX(0,(expected_production[[#This Row],[Date]]-expected_production[[#This Row],[Commissioned Date]])/365.25),"")</f>
        <v>0.18617385352498289</v>
      </c>
      <c r="F1358" s="49">
        <f>IF(expected_production[[#This Row],[Age (yrs)]]="",1,(1-DegradationRate)^expected_production[[#This Row],[Age (yrs)]])</f>
        <v>0.99869305516492024</v>
      </c>
      <c r="G1358" s="52">
        <f>IF(expected_production[[#This Row],[Base Expected (kWh)]]="","",expected_production[[#This Row],[Base Expected (kWh)]]*expected_production[[#This Row],[Degradation Factor]])</f>
        <v>47594.515191383573</v>
      </c>
    </row>
    <row r="1359" spans="1:7" ht="15" hidden="1" customHeight="1" x14ac:dyDescent="0.3">
      <c r="A1359" t="s">
        <v>220</v>
      </c>
      <c r="B1359" s="2">
        <v>46023</v>
      </c>
      <c r="C1359" s="52">
        <v>46872</v>
      </c>
      <c r="D1359" s="48">
        <f>_xlfn.XLOOKUP(expected_production[[#This Row],[Site Name]],Table1[[Site Name ]],Table1[Commisioned Date],"")</f>
        <v>45924</v>
      </c>
      <c r="E1359" s="47">
        <f>IF(ISNUMBER(expected_production[[#This Row],[Commissioned Date]]),MAX(0,(expected_production[[#This Row],[Date]]-expected_production[[#This Row],[Commissioned Date]])/365.25),"")</f>
        <v>0.27104722792607805</v>
      </c>
      <c r="F1359" s="49">
        <f>IF(expected_production[[#This Row],[Age (yrs)]]="",1,(1-DegradationRate)^expected_production[[#This Row],[Age (yrs)]])</f>
        <v>0.99809780905680967</v>
      </c>
      <c r="G1359" s="52">
        <f>IF(expected_production[[#This Row],[Base Expected (kWh)]]="","",expected_production[[#This Row],[Base Expected (kWh)]]*expected_production[[#This Row],[Degradation Factor]])</f>
        <v>46782.840506110784</v>
      </c>
    </row>
    <row r="1360" spans="1:7" ht="15" hidden="1" customHeight="1" x14ac:dyDescent="0.3">
      <c r="A1360" t="s">
        <v>220</v>
      </c>
      <c r="B1360" s="2">
        <v>46054</v>
      </c>
      <c r="C1360" s="52">
        <v>40989.599999999999</v>
      </c>
      <c r="D1360" s="48">
        <f>_xlfn.XLOOKUP(expected_production[[#This Row],[Site Name]],Table1[[Site Name ]],Table1[Commisioned Date],"")</f>
        <v>45924</v>
      </c>
      <c r="E1360" s="47">
        <f>IF(ISNUMBER(expected_production[[#This Row],[Commissioned Date]]),MAX(0,(expected_production[[#This Row],[Date]]-expected_production[[#This Row],[Commissioned Date]])/365.25),"")</f>
        <v>0.35592060232717315</v>
      </c>
      <c r="F1360" s="49">
        <f>IF(expected_production[[#This Row],[Age (yrs)]]="",1,(1-DegradationRate)^expected_production[[#This Row],[Age (yrs)]])</f>
        <v>0.9975029177303083</v>
      </c>
      <c r="G1360" s="52">
        <f>IF(expected_production[[#This Row],[Base Expected (kWh)]]="","",expected_production[[#This Row],[Base Expected (kWh)]]*expected_production[[#This Row],[Degradation Factor]])</f>
        <v>40887.245596598244</v>
      </c>
    </row>
    <row r="1361" spans="1:7" ht="15" hidden="1" customHeight="1" x14ac:dyDescent="0.3">
      <c r="A1361" t="s">
        <v>220</v>
      </c>
      <c r="B1361" s="2">
        <v>46082</v>
      </c>
      <c r="C1361" s="52">
        <v>39989.699999999997</v>
      </c>
      <c r="D1361" s="48">
        <f>_xlfn.XLOOKUP(expected_production[[#This Row],[Site Name]],Table1[[Site Name ]],Table1[Commisioned Date],"")</f>
        <v>45924</v>
      </c>
      <c r="E1361" s="47">
        <f>IF(ISNUMBER(expected_production[[#This Row],[Commissioned Date]]),MAX(0,(expected_production[[#This Row],[Date]]-expected_production[[#This Row],[Commissioned Date]])/365.25),"")</f>
        <v>0.432580424366872</v>
      </c>
      <c r="F1361" s="49">
        <f>IF(expected_production[[#This Row],[Age (yrs)]]="",1,(1-DegradationRate)^expected_production[[#This Row],[Age (yrs)]])</f>
        <v>0.9969659012986466</v>
      </c>
      <c r="G1361" s="52">
        <f>IF(expected_production[[#This Row],[Base Expected (kWh)]]="","",expected_production[[#This Row],[Base Expected (kWh)]]*expected_production[[#This Row],[Degradation Factor]])</f>
        <v>39868.367303162486</v>
      </c>
    </row>
    <row r="1362" spans="1:7" ht="15" hidden="1" customHeight="1" x14ac:dyDescent="0.3">
      <c r="A1362" t="s">
        <v>220</v>
      </c>
      <c r="B1362" s="2">
        <v>46113</v>
      </c>
      <c r="C1362" s="52">
        <v>34783.199999999997</v>
      </c>
      <c r="D1362" s="48">
        <f>_xlfn.XLOOKUP(expected_production[[#This Row],[Site Name]],Table1[[Site Name ]],Table1[Commisioned Date],"")</f>
        <v>45924</v>
      </c>
      <c r="E1362" s="47">
        <f>IF(ISNUMBER(expected_production[[#This Row],[Commissioned Date]]),MAX(0,(expected_production[[#This Row],[Date]]-expected_production[[#This Row],[Commissioned Date]])/365.25),"")</f>
        <v>0.51745379876796715</v>
      </c>
      <c r="F1362" s="49">
        <f>IF(expected_production[[#This Row],[Age (yrs)]]="",1,(1-DegradationRate)^expected_production[[#This Row],[Age (yrs)]])</f>
        <v>0.99637168461755732</v>
      </c>
      <c r="G1362" s="52">
        <f>IF(expected_production[[#This Row],[Base Expected (kWh)]]="","",expected_production[[#This Row],[Base Expected (kWh)]]*expected_production[[#This Row],[Degradation Factor]])</f>
        <v>34656.995580389419</v>
      </c>
    </row>
    <row r="1363" spans="1:7" ht="15" hidden="1" customHeight="1" x14ac:dyDescent="0.3">
      <c r="A1363" t="s">
        <v>220</v>
      </c>
      <c r="B1363" s="2">
        <v>46143</v>
      </c>
      <c r="C1363" s="52">
        <v>32139</v>
      </c>
      <c r="D1363" s="48">
        <f>_xlfn.XLOOKUP(expected_production[[#This Row],[Site Name]],Table1[[Site Name ]],Table1[Commisioned Date],"")</f>
        <v>45924</v>
      </c>
      <c r="E1363" s="47">
        <f>IF(ISNUMBER(expected_production[[#This Row],[Commissioned Date]]),MAX(0,(expected_production[[#This Row],[Date]]-expected_production[[#This Row],[Commissioned Date]])/365.25),"")</f>
        <v>0.59958932238193019</v>
      </c>
      <c r="F1363" s="49">
        <f>IF(expected_production[[#This Row],[Age (yrs)]]="",1,(1-DegradationRate)^expected_production[[#This Row],[Age (yrs)]])</f>
        <v>0.99579697343381679</v>
      </c>
      <c r="G1363" s="52">
        <f>IF(expected_production[[#This Row],[Base Expected (kWh)]]="","",expected_production[[#This Row],[Base Expected (kWh)]]*expected_production[[#This Row],[Degradation Factor]])</f>
        <v>32003.918929189436</v>
      </c>
    </row>
    <row r="1364" spans="1:7" ht="15" hidden="1" customHeight="1" x14ac:dyDescent="0.3">
      <c r="A1364" t="s">
        <v>220</v>
      </c>
      <c r="B1364" s="2">
        <v>46174</v>
      </c>
      <c r="C1364" s="52">
        <v>28357.200000000001</v>
      </c>
      <c r="D1364" s="48">
        <f>_xlfn.XLOOKUP(expected_production[[#This Row],[Site Name]],Table1[[Site Name ]],Table1[Commisioned Date],"")</f>
        <v>45924</v>
      </c>
      <c r="E1364" s="47">
        <f>IF(ISNUMBER(expected_production[[#This Row],[Commissioned Date]]),MAX(0,(expected_production[[#This Row],[Date]]-expected_production[[#This Row],[Commissioned Date]])/365.25),"")</f>
        <v>0.68446269678302529</v>
      </c>
      <c r="F1364" s="49">
        <f>IF(expected_production[[#This Row],[Age (yrs)]]="",1,(1-DegradationRate)^expected_production[[#This Row],[Age (yrs)]])</f>
        <v>0.99520345346305172</v>
      </c>
      <c r="G1364" s="52">
        <f>IF(expected_production[[#This Row],[Base Expected (kWh)]]="","",expected_production[[#This Row],[Base Expected (kWh)]]*expected_production[[#This Row],[Degradation Factor]])</f>
        <v>28221.183370542451</v>
      </c>
    </row>
    <row r="1365" spans="1:7" ht="15" hidden="1" customHeight="1" x14ac:dyDescent="0.3">
      <c r="A1365" t="s">
        <v>220</v>
      </c>
      <c r="B1365" s="2">
        <v>46204</v>
      </c>
      <c r="C1365" s="52">
        <v>31229.1</v>
      </c>
      <c r="D1365" s="48">
        <f>_xlfn.XLOOKUP(expected_production[[#This Row],[Site Name]],Table1[[Site Name ]],Table1[Commisioned Date],"")</f>
        <v>45924</v>
      </c>
      <c r="E1365" s="47">
        <f>IF(ISNUMBER(expected_production[[#This Row],[Commissioned Date]]),MAX(0,(expected_production[[#This Row],[Date]]-expected_production[[#This Row],[Commissioned Date]])/365.25),"")</f>
        <v>0.76659822039698833</v>
      </c>
      <c r="F1365" s="49">
        <f>IF(expected_production[[#This Row],[Age (yrs)]]="",1,(1-DegradationRate)^expected_production[[#This Row],[Age (yrs)]])</f>
        <v>0.99462941611972633</v>
      </c>
      <c r="G1365" s="52">
        <f>IF(expected_production[[#This Row],[Base Expected (kWh)]]="","",expected_production[[#This Row],[Base Expected (kWh)]]*expected_production[[#This Row],[Degradation Factor]])</f>
        <v>31061.381498944545</v>
      </c>
    </row>
    <row r="1366" spans="1:7" ht="15" hidden="1" customHeight="1" x14ac:dyDescent="0.3">
      <c r="A1366" t="s">
        <v>220</v>
      </c>
      <c r="B1366" s="2">
        <v>46235</v>
      </c>
      <c r="C1366" s="52">
        <v>36815.4</v>
      </c>
      <c r="D1366" s="48">
        <f>_xlfn.XLOOKUP(expected_production[[#This Row],[Site Name]],Table1[[Site Name ]],Table1[Commisioned Date],"")</f>
        <v>45924</v>
      </c>
      <c r="E1366" s="47">
        <f>IF(ISNUMBER(expected_production[[#This Row],[Commissioned Date]]),MAX(0,(expected_production[[#This Row],[Date]]-expected_production[[#This Row],[Commissioned Date]])/365.25),"")</f>
        <v>0.85147159479808354</v>
      </c>
      <c r="F1366" s="49">
        <f>IF(expected_production[[#This Row],[Age (yrs)]]="",1,(1-DegradationRate)^expected_production[[#This Row],[Age (yrs)]])</f>
        <v>0.9940365920424028</v>
      </c>
      <c r="G1366" s="52">
        <f>IF(expected_production[[#This Row],[Base Expected (kWh)]]="","",expected_production[[#This Row],[Base Expected (kWh)]]*expected_production[[#This Row],[Degradation Factor]])</f>
        <v>36595.854750677878</v>
      </c>
    </row>
    <row r="1367" spans="1:7" ht="15" hidden="1" customHeight="1" x14ac:dyDescent="0.3">
      <c r="A1367" t="s">
        <v>220</v>
      </c>
      <c r="B1367" s="2">
        <v>46266</v>
      </c>
      <c r="C1367" s="52">
        <v>40778.1</v>
      </c>
      <c r="D1367" s="48">
        <f>_xlfn.XLOOKUP(expected_production[[#This Row],[Site Name]],Table1[[Site Name ]],Table1[Commisioned Date],"")</f>
        <v>45924</v>
      </c>
      <c r="E1367" s="47">
        <f>IF(ISNUMBER(expected_production[[#This Row],[Commissioned Date]]),MAX(0,(expected_production[[#This Row],[Date]]-expected_production[[#This Row],[Commissioned Date]])/365.25),"")</f>
        <v>0.93634496919917864</v>
      </c>
      <c r="F1367" s="49">
        <f>IF(expected_production[[#This Row],[Age (yrs)]]="",1,(1-DegradationRate)^expected_production[[#This Row],[Age (yrs)]])</f>
        <v>0.99344412130309745</v>
      </c>
      <c r="G1367" s="52">
        <f>IF(expected_production[[#This Row],[Base Expected (kWh)]]="","",expected_production[[#This Row],[Base Expected (kWh)]]*expected_production[[#This Row],[Degradation Factor]])</f>
        <v>40510.76372290984</v>
      </c>
    </row>
    <row r="1368" spans="1:7" ht="15" hidden="1" customHeight="1" x14ac:dyDescent="0.3">
      <c r="A1368" t="s">
        <v>220</v>
      </c>
      <c r="B1368" s="2">
        <v>46296</v>
      </c>
      <c r="C1368" s="52">
        <v>46212.3</v>
      </c>
      <c r="D1368" s="48">
        <f>_xlfn.XLOOKUP(expected_production[[#This Row],[Site Name]],Table1[[Site Name ]],Table1[Commisioned Date],"")</f>
        <v>45924</v>
      </c>
      <c r="E1368" s="47">
        <f>IF(ISNUMBER(expected_production[[#This Row],[Commissioned Date]]),MAX(0,(expected_production[[#This Row],[Date]]-expected_production[[#This Row],[Commissioned Date]])/365.25),"")</f>
        <v>1.0184804928131417</v>
      </c>
      <c r="F1368" s="49">
        <f>IF(expected_production[[#This Row],[Age (yrs)]]="",1,(1-DegradationRate)^expected_production[[#This Row],[Age (yrs)]])</f>
        <v>0.99287109874961788</v>
      </c>
      <c r="G1368" s="52">
        <f>IF(expected_production[[#This Row],[Base Expected (kWh)]]="","",expected_production[[#This Row],[Base Expected (kWh)]]*expected_production[[#This Row],[Degradation Factor]])</f>
        <v>45882.857076746972</v>
      </c>
    </row>
    <row r="1369" spans="1:7" ht="15" hidden="1" customHeight="1" x14ac:dyDescent="0.3">
      <c r="A1369" t="s">
        <v>220</v>
      </c>
      <c r="B1369" s="2">
        <v>46327</v>
      </c>
      <c r="C1369" s="52">
        <v>46653.3</v>
      </c>
      <c r="D1369" s="48">
        <f>_xlfn.XLOOKUP(expected_production[[#This Row],[Site Name]],Table1[[Site Name ]],Table1[Commisioned Date],"")</f>
        <v>45924</v>
      </c>
      <c r="E1369" s="47">
        <f>IF(ISNUMBER(expected_production[[#This Row],[Commissioned Date]]),MAX(0,(expected_production[[#This Row],[Date]]-expected_production[[#This Row],[Commissioned Date]])/365.25),"")</f>
        <v>1.1033538672142369</v>
      </c>
      <c r="F1369" s="49">
        <f>IF(expected_production[[#This Row],[Age (yrs)]]="",1,(1-DegradationRate)^expected_production[[#This Row],[Age (yrs)]])</f>
        <v>0.99227932267354557</v>
      </c>
      <c r="G1369" s="52">
        <f>IF(expected_production[[#This Row],[Base Expected (kWh)]]="","",expected_production[[#This Row],[Base Expected (kWh)]]*expected_production[[#This Row],[Degradation Factor]])</f>
        <v>46293.104924485728</v>
      </c>
    </row>
    <row r="1370" spans="1:7" ht="15" hidden="1" customHeight="1" x14ac:dyDescent="0.3">
      <c r="A1370" t="s">
        <v>220</v>
      </c>
      <c r="B1370" s="2">
        <v>46357</v>
      </c>
      <c r="C1370" s="52">
        <v>47656.800000000003</v>
      </c>
      <c r="D1370" s="48">
        <f>_xlfn.XLOOKUP(expected_production[[#This Row],[Site Name]],Table1[[Site Name ]],Table1[Commisioned Date],"")</f>
        <v>45924</v>
      </c>
      <c r="E1370" s="47">
        <f>IF(ISNUMBER(expected_production[[#This Row],[Commissioned Date]]),MAX(0,(expected_production[[#This Row],[Date]]-expected_production[[#This Row],[Commissioned Date]])/365.25),"")</f>
        <v>1.1854893908281998</v>
      </c>
      <c r="F1370" s="49">
        <f>IF(expected_production[[#This Row],[Age (yrs)]]="",1,(1-DegradationRate)^expected_production[[#This Row],[Age (yrs)]])</f>
        <v>0.99170697198058722</v>
      </c>
      <c r="G1370" s="52">
        <f>IF(expected_production[[#This Row],[Base Expected (kWh)]]="","",expected_production[[#This Row],[Base Expected (kWh)]]*expected_production[[#This Row],[Degradation Factor]])</f>
        <v>47261.58082228445</v>
      </c>
    </row>
    <row r="1371" spans="1:7" ht="15" hidden="1" customHeight="1" x14ac:dyDescent="0.3">
      <c r="A1371" t="s">
        <v>222</v>
      </c>
      <c r="B1371" s="2">
        <v>45292</v>
      </c>
      <c r="C1371" s="52">
        <v>12369.6</v>
      </c>
      <c r="D1371" s="48">
        <f>_xlfn.XLOOKUP(expected_production[[#This Row],[Site Name]],Table1[[Site Name ]],Table1[Commisioned Date],"")</f>
        <v>45924</v>
      </c>
      <c r="E1371" s="47">
        <f>IF(ISNUMBER(expected_production[[#This Row],[Commissioned Date]]),MAX(0,(expected_production[[#This Row],[Date]]-expected_production[[#This Row],[Commissioned Date]])/365.25),"")</f>
        <v>0</v>
      </c>
      <c r="F1371" s="49">
        <f>IF(expected_production[[#This Row],[Age (yrs)]]="",1,(1-DegradationRate)^expected_production[[#This Row],[Age (yrs)]])</f>
        <v>1</v>
      </c>
      <c r="G1371" s="52">
        <f>IF(expected_production[[#This Row],[Base Expected (kWh)]]="","",expected_production[[#This Row],[Base Expected (kWh)]]*expected_production[[#This Row],[Degradation Factor]])</f>
        <v>12369.6</v>
      </c>
    </row>
    <row r="1372" spans="1:7" ht="15" hidden="1" customHeight="1" x14ac:dyDescent="0.3">
      <c r="A1372" t="s">
        <v>222</v>
      </c>
      <c r="B1372" s="2">
        <v>45323</v>
      </c>
      <c r="C1372" s="52">
        <v>10801.8</v>
      </c>
      <c r="D1372" s="48">
        <f>_xlfn.XLOOKUP(expected_production[[#This Row],[Site Name]],Table1[[Site Name ]],Table1[Commisioned Date],"")</f>
        <v>45924</v>
      </c>
      <c r="E1372" s="47">
        <f>IF(ISNUMBER(expected_production[[#This Row],[Commissioned Date]]),MAX(0,(expected_production[[#This Row],[Date]]-expected_production[[#This Row],[Commissioned Date]])/365.25),"")</f>
        <v>0</v>
      </c>
      <c r="F1372" s="49">
        <f>IF(expected_production[[#This Row],[Age (yrs)]]="",1,(1-DegradationRate)^expected_production[[#This Row],[Age (yrs)]])</f>
        <v>1</v>
      </c>
      <c r="G1372" s="52">
        <f>IF(expected_production[[#This Row],[Base Expected (kWh)]]="","",expected_production[[#This Row],[Base Expected (kWh)]]*expected_production[[#This Row],[Degradation Factor]])</f>
        <v>10801.8</v>
      </c>
    </row>
    <row r="1373" spans="1:7" ht="15" hidden="1" customHeight="1" x14ac:dyDescent="0.3">
      <c r="A1373" t="s">
        <v>222</v>
      </c>
      <c r="B1373" s="2">
        <v>45352</v>
      </c>
      <c r="C1373" s="52">
        <v>10537.2</v>
      </c>
      <c r="D1373" s="48">
        <f>_xlfn.XLOOKUP(expected_production[[#This Row],[Site Name]],Table1[[Site Name ]],Table1[Commisioned Date],"")</f>
        <v>45924</v>
      </c>
      <c r="E1373" s="47">
        <f>IF(ISNUMBER(expected_production[[#This Row],[Commissioned Date]]),MAX(0,(expected_production[[#This Row],[Date]]-expected_production[[#This Row],[Commissioned Date]])/365.25),"")</f>
        <v>0</v>
      </c>
      <c r="F1373" s="49">
        <f>IF(expected_production[[#This Row],[Age (yrs)]]="",1,(1-DegradationRate)^expected_production[[#This Row],[Age (yrs)]])</f>
        <v>1</v>
      </c>
      <c r="G1373" s="52">
        <f>IF(expected_production[[#This Row],[Base Expected (kWh)]]="","",expected_production[[#This Row],[Base Expected (kWh)]]*expected_production[[#This Row],[Degradation Factor]])</f>
        <v>10537.2</v>
      </c>
    </row>
    <row r="1374" spans="1:7" ht="15" hidden="1" customHeight="1" x14ac:dyDescent="0.3">
      <c r="A1374" t="s">
        <v>222</v>
      </c>
      <c r="B1374" s="2">
        <v>45383</v>
      </c>
      <c r="C1374" s="52">
        <v>9173.7000000000007</v>
      </c>
      <c r="D1374" s="48">
        <f>_xlfn.XLOOKUP(expected_production[[#This Row],[Site Name]],Table1[[Site Name ]],Table1[Commisioned Date],"")</f>
        <v>45924</v>
      </c>
      <c r="E1374" s="47">
        <f>IF(ISNUMBER(expected_production[[#This Row],[Commissioned Date]]),MAX(0,(expected_production[[#This Row],[Date]]-expected_production[[#This Row],[Commissioned Date]])/365.25),"")</f>
        <v>0</v>
      </c>
      <c r="F1374" s="49">
        <f>IF(expected_production[[#This Row],[Age (yrs)]]="",1,(1-DegradationRate)^expected_production[[#This Row],[Age (yrs)]])</f>
        <v>1</v>
      </c>
      <c r="G1374" s="52">
        <f>IF(expected_production[[#This Row],[Base Expected (kWh)]]="","",expected_production[[#This Row],[Base Expected (kWh)]]*expected_production[[#This Row],[Degradation Factor]])</f>
        <v>9173.7000000000007</v>
      </c>
    </row>
    <row r="1375" spans="1:7" ht="15" hidden="1" customHeight="1" x14ac:dyDescent="0.3">
      <c r="A1375" t="s">
        <v>222</v>
      </c>
      <c r="B1375" s="2">
        <v>45413</v>
      </c>
      <c r="C1375" s="52">
        <v>8503.2000000000007</v>
      </c>
      <c r="D1375" s="48">
        <f>_xlfn.XLOOKUP(expected_production[[#This Row],[Site Name]],Table1[[Site Name ]],Table1[Commisioned Date],"")</f>
        <v>45924</v>
      </c>
      <c r="E1375" s="47">
        <f>IF(ISNUMBER(expected_production[[#This Row],[Commissioned Date]]),MAX(0,(expected_production[[#This Row],[Date]]-expected_production[[#This Row],[Commissioned Date]])/365.25),"")</f>
        <v>0</v>
      </c>
      <c r="F1375" s="49">
        <f>IF(expected_production[[#This Row],[Age (yrs)]]="",1,(1-DegradationRate)^expected_production[[#This Row],[Age (yrs)]])</f>
        <v>1</v>
      </c>
      <c r="G1375" s="52">
        <f>IF(expected_production[[#This Row],[Base Expected (kWh)]]="","",expected_production[[#This Row],[Base Expected (kWh)]]*expected_production[[#This Row],[Degradation Factor]])</f>
        <v>8503.2000000000007</v>
      </c>
    </row>
    <row r="1376" spans="1:7" ht="15" hidden="1" customHeight="1" x14ac:dyDescent="0.3">
      <c r="A1376" t="s">
        <v>222</v>
      </c>
      <c r="B1376" s="2">
        <v>45444</v>
      </c>
      <c r="C1376" s="52">
        <v>7545.6</v>
      </c>
      <c r="D1376" s="48">
        <f>_xlfn.XLOOKUP(expected_production[[#This Row],[Site Name]],Table1[[Site Name ]],Table1[Commisioned Date],"")</f>
        <v>45924</v>
      </c>
      <c r="E1376" s="47">
        <f>IF(ISNUMBER(expected_production[[#This Row],[Commissioned Date]]),MAX(0,(expected_production[[#This Row],[Date]]-expected_production[[#This Row],[Commissioned Date]])/365.25),"")</f>
        <v>0</v>
      </c>
      <c r="F1376" s="49">
        <f>IF(expected_production[[#This Row],[Age (yrs)]]="",1,(1-DegradationRate)^expected_production[[#This Row],[Age (yrs)]])</f>
        <v>1</v>
      </c>
      <c r="G1376" s="52">
        <f>IF(expected_production[[#This Row],[Base Expected (kWh)]]="","",expected_production[[#This Row],[Base Expected (kWh)]]*expected_production[[#This Row],[Degradation Factor]])</f>
        <v>7545.6</v>
      </c>
    </row>
    <row r="1377" spans="1:7" ht="15" hidden="1" customHeight="1" x14ac:dyDescent="0.3">
      <c r="A1377" t="s">
        <v>222</v>
      </c>
      <c r="B1377" s="2">
        <v>45474</v>
      </c>
      <c r="C1377" s="52">
        <v>8307</v>
      </c>
      <c r="D1377" s="48">
        <f>_xlfn.XLOOKUP(expected_production[[#This Row],[Site Name]],Table1[[Site Name ]],Table1[Commisioned Date],"")</f>
        <v>45924</v>
      </c>
      <c r="E1377" s="47">
        <f>IF(ISNUMBER(expected_production[[#This Row],[Commissioned Date]]),MAX(0,(expected_production[[#This Row],[Date]]-expected_production[[#This Row],[Commissioned Date]])/365.25),"")</f>
        <v>0</v>
      </c>
      <c r="F1377" s="49">
        <f>IF(expected_production[[#This Row],[Age (yrs)]]="",1,(1-DegradationRate)^expected_production[[#This Row],[Age (yrs)]])</f>
        <v>1</v>
      </c>
      <c r="G1377" s="52">
        <f>IF(expected_production[[#This Row],[Base Expected (kWh)]]="","",expected_production[[#This Row],[Base Expected (kWh)]]*expected_production[[#This Row],[Degradation Factor]])</f>
        <v>8307</v>
      </c>
    </row>
    <row r="1378" spans="1:7" ht="15" hidden="1" customHeight="1" x14ac:dyDescent="0.3">
      <c r="A1378" t="s">
        <v>222</v>
      </c>
      <c r="B1378" s="2">
        <v>45505</v>
      </c>
      <c r="C1378" s="52">
        <v>9720.9</v>
      </c>
      <c r="D1378" s="48">
        <f>_xlfn.XLOOKUP(expected_production[[#This Row],[Site Name]],Table1[[Site Name ]],Table1[Commisioned Date],"")</f>
        <v>45924</v>
      </c>
      <c r="E1378" s="47">
        <f>IF(ISNUMBER(expected_production[[#This Row],[Commissioned Date]]),MAX(0,(expected_production[[#This Row],[Date]]-expected_production[[#This Row],[Commissioned Date]])/365.25),"")</f>
        <v>0</v>
      </c>
      <c r="F1378" s="49">
        <f>IF(expected_production[[#This Row],[Age (yrs)]]="",1,(1-DegradationRate)^expected_production[[#This Row],[Age (yrs)]])</f>
        <v>1</v>
      </c>
      <c r="G1378" s="52">
        <f>IF(expected_production[[#This Row],[Base Expected (kWh)]]="","",expected_production[[#This Row],[Base Expected (kWh)]]*expected_production[[#This Row],[Degradation Factor]])</f>
        <v>9720.9</v>
      </c>
    </row>
    <row r="1379" spans="1:7" ht="15" hidden="1" customHeight="1" x14ac:dyDescent="0.3">
      <c r="A1379" t="s">
        <v>222</v>
      </c>
      <c r="B1379" s="2">
        <v>45536</v>
      </c>
      <c r="C1379" s="52">
        <v>10755.9</v>
      </c>
      <c r="D1379" s="48">
        <f>_xlfn.XLOOKUP(expected_production[[#This Row],[Site Name]],Table1[[Site Name ]],Table1[Commisioned Date],"")</f>
        <v>45924</v>
      </c>
      <c r="E1379" s="47">
        <f>IF(ISNUMBER(expected_production[[#This Row],[Commissioned Date]]),MAX(0,(expected_production[[#This Row],[Date]]-expected_production[[#This Row],[Commissioned Date]])/365.25),"")</f>
        <v>0</v>
      </c>
      <c r="F1379" s="49">
        <f>IF(expected_production[[#This Row],[Age (yrs)]]="",1,(1-DegradationRate)^expected_production[[#This Row],[Age (yrs)]])</f>
        <v>1</v>
      </c>
      <c r="G1379" s="52">
        <f>IF(expected_production[[#This Row],[Base Expected (kWh)]]="","",expected_production[[#This Row],[Base Expected (kWh)]]*expected_production[[#This Row],[Degradation Factor]])</f>
        <v>10755.9</v>
      </c>
    </row>
    <row r="1380" spans="1:7" ht="15" hidden="1" customHeight="1" x14ac:dyDescent="0.3">
      <c r="A1380" t="s">
        <v>222</v>
      </c>
      <c r="B1380" s="2">
        <v>45566</v>
      </c>
      <c r="C1380" s="52">
        <v>12190.5</v>
      </c>
      <c r="D1380" s="48">
        <f>_xlfn.XLOOKUP(expected_production[[#This Row],[Site Name]],Table1[[Site Name ]],Table1[Commisioned Date],"")</f>
        <v>45924</v>
      </c>
      <c r="E1380" s="47">
        <f>IF(ISNUMBER(expected_production[[#This Row],[Commissioned Date]]),MAX(0,(expected_production[[#This Row],[Date]]-expected_production[[#This Row],[Commissioned Date]])/365.25),"")</f>
        <v>0</v>
      </c>
      <c r="F1380" s="49">
        <f>IF(expected_production[[#This Row],[Age (yrs)]]="",1,(1-DegradationRate)^expected_production[[#This Row],[Age (yrs)]])</f>
        <v>1</v>
      </c>
      <c r="G1380" s="52">
        <f>IF(expected_production[[#This Row],[Base Expected (kWh)]]="","",expected_production[[#This Row],[Base Expected (kWh)]]*expected_production[[#This Row],[Degradation Factor]])</f>
        <v>12190.5</v>
      </c>
    </row>
    <row r="1381" spans="1:7" ht="15" hidden="1" customHeight="1" x14ac:dyDescent="0.3">
      <c r="A1381" t="s">
        <v>222</v>
      </c>
      <c r="B1381" s="2">
        <v>45597</v>
      </c>
      <c r="C1381" s="52">
        <v>12263.4</v>
      </c>
      <c r="D1381" s="48">
        <f>_xlfn.XLOOKUP(expected_production[[#This Row],[Site Name]],Table1[[Site Name ]],Table1[Commisioned Date],"")</f>
        <v>45924</v>
      </c>
      <c r="E1381" s="47">
        <f>IF(ISNUMBER(expected_production[[#This Row],[Commissioned Date]]),MAX(0,(expected_production[[#This Row],[Date]]-expected_production[[#This Row],[Commissioned Date]])/365.25),"")</f>
        <v>0</v>
      </c>
      <c r="F1381" s="49">
        <f>IF(expected_production[[#This Row],[Age (yrs)]]="",1,(1-DegradationRate)^expected_production[[#This Row],[Age (yrs)]])</f>
        <v>1</v>
      </c>
      <c r="G1381" s="52">
        <f>IF(expected_production[[#This Row],[Base Expected (kWh)]]="","",expected_production[[#This Row],[Base Expected (kWh)]]*expected_production[[#This Row],[Degradation Factor]])</f>
        <v>12263.4</v>
      </c>
    </row>
    <row r="1382" spans="1:7" ht="15" hidden="1" customHeight="1" x14ac:dyDescent="0.3">
      <c r="A1382" t="s">
        <v>222</v>
      </c>
      <c r="B1382" s="2">
        <v>45627</v>
      </c>
      <c r="C1382" s="52">
        <v>12539.7</v>
      </c>
      <c r="D1382" s="48">
        <f>_xlfn.XLOOKUP(expected_production[[#This Row],[Site Name]],Table1[[Site Name ]],Table1[Commisioned Date],"")</f>
        <v>45924</v>
      </c>
      <c r="E1382" s="47">
        <f>IF(ISNUMBER(expected_production[[#This Row],[Commissioned Date]]),MAX(0,(expected_production[[#This Row],[Date]]-expected_production[[#This Row],[Commissioned Date]])/365.25),"")</f>
        <v>0</v>
      </c>
      <c r="F1382" s="49">
        <f>IF(expected_production[[#This Row],[Age (yrs)]]="",1,(1-DegradationRate)^expected_production[[#This Row],[Age (yrs)]])</f>
        <v>1</v>
      </c>
      <c r="G1382" s="52">
        <f>IF(expected_production[[#This Row],[Base Expected (kWh)]]="","",expected_production[[#This Row],[Base Expected (kWh)]]*expected_production[[#This Row],[Degradation Factor]])</f>
        <v>12539.7</v>
      </c>
    </row>
    <row r="1383" spans="1:7" ht="15" hidden="1" customHeight="1" x14ac:dyDescent="0.3">
      <c r="A1383" t="s">
        <v>222</v>
      </c>
      <c r="B1383" s="2">
        <v>45658</v>
      </c>
      <c r="C1383" s="52">
        <v>12369.6</v>
      </c>
      <c r="D1383" s="48">
        <f>_xlfn.XLOOKUP(expected_production[[#This Row],[Site Name]],Table1[[Site Name ]],Table1[Commisioned Date],"")</f>
        <v>45924</v>
      </c>
      <c r="E1383" s="47">
        <f>IF(ISNUMBER(expected_production[[#This Row],[Commissioned Date]]),MAX(0,(expected_production[[#This Row],[Date]]-expected_production[[#This Row],[Commissioned Date]])/365.25),"")</f>
        <v>0</v>
      </c>
      <c r="F1383" s="49">
        <f>IF(expected_production[[#This Row],[Age (yrs)]]="",1,(1-DegradationRate)^expected_production[[#This Row],[Age (yrs)]])</f>
        <v>1</v>
      </c>
      <c r="G1383" s="52">
        <f>IF(expected_production[[#This Row],[Base Expected (kWh)]]="","",expected_production[[#This Row],[Base Expected (kWh)]]*expected_production[[#This Row],[Degradation Factor]])</f>
        <v>12369.6</v>
      </c>
    </row>
    <row r="1384" spans="1:7" ht="15" hidden="1" customHeight="1" x14ac:dyDescent="0.3">
      <c r="A1384" t="s">
        <v>222</v>
      </c>
      <c r="B1384" s="2">
        <v>45689</v>
      </c>
      <c r="C1384" s="52">
        <v>10801.8</v>
      </c>
      <c r="D1384" s="48">
        <f>_xlfn.XLOOKUP(expected_production[[#This Row],[Site Name]],Table1[[Site Name ]],Table1[Commisioned Date],"")</f>
        <v>45924</v>
      </c>
      <c r="E1384" s="47">
        <f>IF(ISNUMBER(expected_production[[#This Row],[Commissioned Date]]),MAX(0,(expected_production[[#This Row],[Date]]-expected_production[[#This Row],[Commissioned Date]])/365.25),"")</f>
        <v>0</v>
      </c>
      <c r="F1384" s="49">
        <f>IF(expected_production[[#This Row],[Age (yrs)]]="",1,(1-DegradationRate)^expected_production[[#This Row],[Age (yrs)]])</f>
        <v>1</v>
      </c>
      <c r="G1384" s="52">
        <f>IF(expected_production[[#This Row],[Base Expected (kWh)]]="","",expected_production[[#This Row],[Base Expected (kWh)]]*expected_production[[#This Row],[Degradation Factor]])</f>
        <v>10801.8</v>
      </c>
    </row>
    <row r="1385" spans="1:7" ht="15" hidden="1" customHeight="1" x14ac:dyDescent="0.3">
      <c r="A1385" t="s">
        <v>222</v>
      </c>
      <c r="B1385" s="2">
        <v>45717</v>
      </c>
      <c r="C1385" s="52">
        <v>10537.2</v>
      </c>
      <c r="D1385" s="48">
        <f>_xlfn.XLOOKUP(expected_production[[#This Row],[Site Name]],Table1[[Site Name ]],Table1[Commisioned Date],"")</f>
        <v>45924</v>
      </c>
      <c r="E1385" s="47">
        <f>IF(ISNUMBER(expected_production[[#This Row],[Commissioned Date]]),MAX(0,(expected_production[[#This Row],[Date]]-expected_production[[#This Row],[Commissioned Date]])/365.25),"")</f>
        <v>0</v>
      </c>
      <c r="F1385" s="49">
        <f>IF(expected_production[[#This Row],[Age (yrs)]]="",1,(1-DegradationRate)^expected_production[[#This Row],[Age (yrs)]])</f>
        <v>1</v>
      </c>
      <c r="G1385" s="52">
        <f>IF(expected_production[[#This Row],[Base Expected (kWh)]]="","",expected_production[[#This Row],[Base Expected (kWh)]]*expected_production[[#This Row],[Degradation Factor]])</f>
        <v>10537.2</v>
      </c>
    </row>
    <row r="1386" spans="1:7" ht="15" hidden="1" customHeight="1" x14ac:dyDescent="0.3">
      <c r="A1386" t="s">
        <v>222</v>
      </c>
      <c r="B1386" s="2">
        <v>45748</v>
      </c>
      <c r="C1386" s="52">
        <v>9173.7000000000007</v>
      </c>
      <c r="D1386" s="48">
        <f>_xlfn.XLOOKUP(expected_production[[#This Row],[Site Name]],Table1[[Site Name ]],Table1[Commisioned Date],"")</f>
        <v>45924</v>
      </c>
      <c r="E1386" s="47">
        <f>IF(ISNUMBER(expected_production[[#This Row],[Commissioned Date]]),MAX(0,(expected_production[[#This Row],[Date]]-expected_production[[#This Row],[Commissioned Date]])/365.25),"")</f>
        <v>0</v>
      </c>
      <c r="F1386" s="49">
        <f>IF(expected_production[[#This Row],[Age (yrs)]]="",1,(1-DegradationRate)^expected_production[[#This Row],[Age (yrs)]])</f>
        <v>1</v>
      </c>
      <c r="G1386" s="52">
        <f>IF(expected_production[[#This Row],[Base Expected (kWh)]]="","",expected_production[[#This Row],[Base Expected (kWh)]]*expected_production[[#This Row],[Degradation Factor]])</f>
        <v>9173.7000000000007</v>
      </c>
    </row>
    <row r="1387" spans="1:7" ht="15" hidden="1" customHeight="1" x14ac:dyDescent="0.3">
      <c r="A1387" t="s">
        <v>222</v>
      </c>
      <c r="B1387" s="2">
        <v>45778</v>
      </c>
      <c r="C1387" s="52">
        <v>8503.2000000000007</v>
      </c>
      <c r="D1387" s="48">
        <f>_xlfn.XLOOKUP(expected_production[[#This Row],[Site Name]],Table1[[Site Name ]],Table1[Commisioned Date],"")</f>
        <v>45924</v>
      </c>
      <c r="E1387" s="47">
        <f>IF(ISNUMBER(expected_production[[#This Row],[Commissioned Date]]),MAX(0,(expected_production[[#This Row],[Date]]-expected_production[[#This Row],[Commissioned Date]])/365.25),"")</f>
        <v>0</v>
      </c>
      <c r="F1387" s="49">
        <f>IF(expected_production[[#This Row],[Age (yrs)]]="",1,(1-DegradationRate)^expected_production[[#This Row],[Age (yrs)]])</f>
        <v>1</v>
      </c>
      <c r="G1387" s="52">
        <f>IF(expected_production[[#This Row],[Base Expected (kWh)]]="","",expected_production[[#This Row],[Base Expected (kWh)]]*expected_production[[#This Row],[Degradation Factor]])</f>
        <v>8503.2000000000007</v>
      </c>
    </row>
    <row r="1388" spans="1:7" ht="15" hidden="1" customHeight="1" x14ac:dyDescent="0.3">
      <c r="A1388" t="s">
        <v>222</v>
      </c>
      <c r="B1388" s="2">
        <v>45809</v>
      </c>
      <c r="C1388" s="52">
        <v>7545.6</v>
      </c>
      <c r="D1388" s="48">
        <f>_xlfn.XLOOKUP(expected_production[[#This Row],[Site Name]],Table1[[Site Name ]],Table1[Commisioned Date],"")</f>
        <v>45924</v>
      </c>
      <c r="E1388" s="47">
        <f>IF(ISNUMBER(expected_production[[#This Row],[Commissioned Date]]),MAX(0,(expected_production[[#This Row],[Date]]-expected_production[[#This Row],[Commissioned Date]])/365.25),"")</f>
        <v>0</v>
      </c>
      <c r="F1388" s="49">
        <f>IF(expected_production[[#This Row],[Age (yrs)]]="",1,(1-DegradationRate)^expected_production[[#This Row],[Age (yrs)]])</f>
        <v>1</v>
      </c>
      <c r="G1388" s="52">
        <f>IF(expected_production[[#This Row],[Base Expected (kWh)]]="","",expected_production[[#This Row],[Base Expected (kWh)]]*expected_production[[#This Row],[Degradation Factor]])</f>
        <v>7545.6</v>
      </c>
    </row>
    <row r="1389" spans="1:7" ht="15" hidden="1" customHeight="1" x14ac:dyDescent="0.3">
      <c r="A1389" t="s">
        <v>222</v>
      </c>
      <c r="B1389" s="2">
        <v>45839</v>
      </c>
      <c r="C1389" s="52">
        <v>8307</v>
      </c>
      <c r="D1389" s="48">
        <f>_xlfn.XLOOKUP(expected_production[[#This Row],[Site Name]],Table1[[Site Name ]],Table1[Commisioned Date],"")</f>
        <v>45924</v>
      </c>
      <c r="E1389" s="47">
        <f>IF(ISNUMBER(expected_production[[#This Row],[Commissioned Date]]),MAX(0,(expected_production[[#This Row],[Date]]-expected_production[[#This Row],[Commissioned Date]])/365.25),"")</f>
        <v>0</v>
      </c>
      <c r="F1389" s="49">
        <f>IF(expected_production[[#This Row],[Age (yrs)]]="",1,(1-DegradationRate)^expected_production[[#This Row],[Age (yrs)]])</f>
        <v>1</v>
      </c>
      <c r="G1389" s="52">
        <f>IF(expected_production[[#This Row],[Base Expected (kWh)]]="","",expected_production[[#This Row],[Base Expected (kWh)]]*expected_production[[#This Row],[Degradation Factor]])</f>
        <v>8307</v>
      </c>
    </row>
    <row r="1390" spans="1:7" ht="15" hidden="1" customHeight="1" x14ac:dyDescent="0.3">
      <c r="A1390" t="s">
        <v>222</v>
      </c>
      <c r="B1390" s="2">
        <v>45870</v>
      </c>
      <c r="C1390" s="52">
        <v>9720.9</v>
      </c>
      <c r="D1390" s="48">
        <f>_xlfn.XLOOKUP(expected_production[[#This Row],[Site Name]],Table1[[Site Name ]],Table1[Commisioned Date],"")</f>
        <v>45924</v>
      </c>
      <c r="E1390" s="47">
        <f>IF(ISNUMBER(expected_production[[#This Row],[Commissioned Date]]),MAX(0,(expected_production[[#This Row],[Date]]-expected_production[[#This Row],[Commissioned Date]])/365.25),"")</f>
        <v>0</v>
      </c>
      <c r="F1390" s="49">
        <f>IF(expected_production[[#This Row],[Age (yrs)]]="",1,(1-DegradationRate)^expected_production[[#This Row],[Age (yrs)]])</f>
        <v>1</v>
      </c>
      <c r="G1390" s="52">
        <f>IF(expected_production[[#This Row],[Base Expected (kWh)]]="","",expected_production[[#This Row],[Base Expected (kWh)]]*expected_production[[#This Row],[Degradation Factor]])</f>
        <v>9720.9</v>
      </c>
    </row>
    <row r="1391" spans="1:7" ht="15" hidden="1" customHeight="1" x14ac:dyDescent="0.3">
      <c r="A1391" t="s">
        <v>222</v>
      </c>
      <c r="B1391" s="2">
        <v>45901</v>
      </c>
      <c r="C1391" s="52">
        <v>10755.9</v>
      </c>
      <c r="D1391" s="48">
        <f>_xlfn.XLOOKUP(expected_production[[#This Row],[Site Name]],Table1[[Site Name ]],Table1[Commisioned Date],"")</f>
        <v>45924</v>
      </c>
      <c r="E1391" s="47">
        <f>IF(ISNUMBER(expected_production[[#This Row],[Commissioned Date]]),MAX(0,(expected_production[[#This Row],[Date]]-expected_production[[#This Row],[Commissioned Date]])/365.25),"")</f>
        <v>0</v>
      </c>
      <c r="F1391" s="49">
        <f>IF(expected_production[[#This Row],[Age (yrs)]]="",1,(1-DegradationRate)^expected_production[[#This Row],[Age (yrs)]])</f>
        <v>1</v>
      </c>
      <c r="G1391" s="52">
        <f>IF(expected_production[[#This Row],[Base Expected (kWh)]]="","",expected_production[[#This Row],[Base Expected (kWh)]]*expected_production[[#This Row],[Degradation Factor]])</f>
        <v>10755.9</v>
      </c>
    </row>
    <row r="1392" spans="1:7" ht="15" hidden="1" customHeight="1" x14ac:dyDescent="0.3">
      <c r="A1392" t="s">
        <v>222</v>
      </c>
      <c r="B1392" s="2">
        <v>45931</v>
      </c>
      <c r="C1392" s="52">
        <v>12190.5</v>
      </c>
      <c r="D1392" s="48">
        <f>_xlfn.XLOOKUP(expected_production[[#This Row],[Site Name]],Table1[[Site Name ]],Table1[Commisioned Date],"")</f>
        <v>45924</v>
      </c>
      <c r="E1392" s="47">
        <f>IF(ISNUMBER(expected_production[[#This Row],[Commissioned Date]]),MAX(0,(expected_production[[#This Row],[Date]]-expected_production[[#This Row],[Commissioned Date]])/365.25),"")</f>
        <v>1.9164955509924708E-2</v>
      </c>
      <c r="F1392" s="49">
        <f>IF(expected_production[[#This Row],[Age (yrs)]]="",1,(1-DegradationRate)^expected_production[[#This Row],[Age (yrs)]])</f>
        <v>0.99986538262899027</v>
      </c>
      <c r="G1392" s="52">
        <f>IF(expected_production[[#This Row],[Base Expected (kWh)]]="","",expected_production[[#This Row],[Base Expected (kWh)]]*expected_production[[#This Row],[Degradation Factor]])</f>
        <v>12188.858946938706</v>
      </c>
    </row>
    <row r="1393" spans="1:7" ht="15" hidden="1" customHeight="1" x14ac:dyDescent="0.3">
      <c r="A1393" t="s">
        <v>222</v>
      </c>
      <c r="B1393" s="2">
        <v>45962</v>
      </c>
      <c r="C1393" s="52">
        <v>12263.4</v>
      </c>
      <c r="D1393" s="48">
        <f>_xlfn.XLOOKUP(expected_production[[#This Row],[Site Name]],Table1[[Site Name ]],Table1[Commisioned Date],"")</f>
        <v>45924</v>
      </c>
      <c r="E1393" s="47">
        <f>IF(ISNUMBER(expected_production[[#This Row],[Commissioned Date]]),MAX(0,(expected_production[[#This Row],[Date]]-expected_production[[#This Row],[Commissioned Date]])/365.25),"")</f>
        <v>0.10403832991101986</v>
      </c>
      <c r="F1393" s="49">
        <f>IF(expected_production[[#This Row],[Age (yrs)]]="",1,(1-DegradationRate)^expected_production[[#This Row],[Age (yrs)]])</f>
        <v>0.9992694377843091</v>
      </c>
      <c r="G1393" s="52">
        <f>IF(expected_production[[#This Row],[Base Expected (kWh)]]="","",expected_production[[#This Row],[Base Expected (kWh)]]*expected_production[[#This Row],[Degradation Factor]])</f>
        <v>12254.440823324096</v>
      </c>
    </row>
    <row r="1394" spans="1:7" ht="15" hidden="1" customHeight="1" x14ac:dyDescent="0.3">
      <c r="A1394" t="s">
        <v>222</v>
      </c>
      <c r="B1394" s="2">
        <v>45992</v>
      </c>
      <c r="C1394" s="52">
        <v>12539.7</v>
      </c>
      <c r="D1394" s="48">
        <f>_xlfn.XLOOKUP(expected_production[[#This Row],[Site Name]],Table1[[Site Name ]],Table1[Commisioned Date],"")</f>
        <v>45924</v>
      </c>
      <c r="E1394" s="47">
        <f>IF(ISNUMBER(expected_production[[#This Row],[Commissioned Date]]),MAX(0,(expected_production[[#This Row],[Date]]-expected_production[[#This Row],[Commissioned Date]])/365.25),"")</f>
        <v>0.18617385352498289</v>
      </c>
      <c r="F1394" s="49">
        <f>IF(expected_production[[#This Row],[Age (yrs)]]="",1,(1-DegradationRate)^expected_production[[#This Row],[Age (yrs)]])</f>
        <v>0.99869305516492024</v>
      </c>
      <c r="G1394" s="52">
        <f>IF(expected_production[[#This Row],[Base Expected (kWh)]]="","",expected_production[[#This Row],[Base Expected (kWh)]]*expected_production[[#This Row],[Degradation Factor]])</f>
        <v>12523.311303851551</v>
      </c>
    </row>
    <row r="1395" spans="1:7" ht="15" hidden="1" customHeight="1" x14ac:dyDescent="0.3">
      <c r="A1395" t="s">
        <v>222</v>
      </c>
      <c r="B1395" s="2">
        <v>46023</v>
      </c>
      <c r="C1395" s="52">
        <v>12369.6</v>
      </c>
      <c r="D1395" s="48">
        <f>_xlfn.XLOOKUP(expected_production[[#This Row],[Site Name]],Table1[[Site Name ]],Table1[Commisioned Date],"")</f>
        <v>45924</v>
      </c>
      <c r="E1395" s="47">
        <f>IF(ISNUMBER(expected_production[[#This Row],[Commissioned Date]]),MAX(0,(expected_production[[#This Row],[Date]]-expected_production[[#This Row],[Commissioned Date]])/365.25),"")</f>
        <v>0.27104722792607805</v>
      </c>
      <c r="F1395" s="49">
        <f>IF(expected_production[[#This Row],[Age (yrs)]]="",1,(1-DegradationRate)^expected_production[[#This Row],[Age (yrs)]])</f>
        <v>0.99809780905680967</v>
      </c>
      <c r="G1395" s="52">
        <f>IF(expected_production[[#This Row],[Base Expected (kWh)]]="","",expected_production[[#This Row],[Base Expected (kWh)]]*expected_production[[#This Row],[Degradation Factor]])</f>
        <v>12346.070658909113</v>
      </c>
    </row>
    <row r="1396" spans="1:7" ht="15" hidden="1" customHeight="1" x14ac:dyDescent="0.3">
      <c r="A1396" t="s">
        <v>222</v>
      </c>
      <c r="B1396" s="2">
        <v>46054</v>
      </c>
      <c r="C1396" s="52">
        <v>10801.8</v>
      </c>
      <c r="D1396" s="48">
        <f>_xlfn.XLOOKUP(expected_production[[#This Row],[Site Name]],Table1[[Site Name ]],Table1[Commisioned Date],"")</f>
        <v>45924</v>
      </c>
      <c r="E1396" s="47">
        <f>IF(ISNUMBER(expected_production[[#This Row],[Commissioned Date]]),MAX(0,(expected_production[[#This Row],[Date]]-expected_production[[#This Row],[Commissioned Date]])/365.25),"")</f>
        <v>0.35592060232717315</v>
      </c>
      <c r="F1396" s="49">
        <f>IF(expected_production[[#This Row],[Age (yrs)]]="",1,(1-DegradationRate)^expected_production[[#This Row],[Age (yrs)]])</f>
        <v>0.9975029177303083</v>
      </c>
      <c r="G1396" s="52">
        <f>IF(expected_production[[#This Row],[Base Expected (kWh)]]="","",expected_production[[#This Row],[Base Expected (kWh)]]*expected_production[[#This Row],[Degradation Factor]])</f>
        <v>10774.827016739244</v>
      </c>
    </row>
    <row r="1397" spans="1:7" ht="15" hidden="1" customHeight="1" x14ac:dyDescent="0.3">
      <c r="A1397" t="s">
        <v>222</v>
      </c>
      <c r="B1397" s="2">
        <v>46082</v>
      </c>
      <c r="C1397" s="52">
        <v>10537.2</v>
      </c>
      <c r="D1397" s="48">
        <f>_xlfn.XLOOKUP(expected_production[[#This Row],[Site Name]],Table1[[Site Name ]],Table1[Commisioned Date],"")</f>
        <v>45924</v>
      </c>
      <c r="E1397" s="47">
        <f>IF(ISNUMBER(expected_production[[#This Row],[Commissioned Date]]),MAX(0,(expected_production[[#This Row],[Date]]-expected_production[[#This Row],[Commissioned Date]])/365.25),"")</f>
        <v>0.432580424366872</v>
      </c>
      <c r="F1397" s="49">
        <f>IF(expected_production[[#This Row],[Age (yrs)]]="",1,(1-DegradationRate)^expected_production[[#This Row],[Age (yrs)]])</f>
        <v>0.9969659012986466</v>
      </c>
      <c r="G1397" s="52">
        <f>IF(expected_production[[#This Row],[Base Expected (kWh)]]="","",expected_production[[#This Row],[Base Expected (kWh)]]*expected_production[[#This Row],[Degradation Factor]])</f>
        <v>10505.229095164099</v>
      </c>
    </row>
    <row r="1398" spans="1:7" ht="15" hidden="1" customHeight="1" x14ac:dyDescent="0.3">
      <c r="A1398" t="s">
        <v>222</v>
      </c>
      <c r="B1398" s="2">
        <v>46113</v>
      </c>
      <c r="C1398" s="52">
        <v>9173.7000000000007</v>
      </c>
      <c r="D1398" s="48">
        <f>_xlfn.XLOOKUP(expected_production[[#This Row],[Site Name]],Table1[[Site Name ]],Table1[Commisioned Date],"")</f>
        <v>45924</v>
      </c>
      <c r="E1398" s="47">
        <f>IF(ISNUMBER(expected_production[[#This Row],[Commissioned Date]]),MAX(0,(expected_production[[#This Row],[Date]]-expected_production[[#This Row],[Commissioned Date]])/365.25),"")</f>
        <v>0.51745379876796715</v>
      </c>
      <c r="F1398" s="49">
        <f>IF(expected_production[[#This Row],[Age (yrs)]]="",1,(1-DegradationRate)^expected_production[[#This Row],[Age (yrs)]])</f>
        <v>0.99637168461755732</v>
      </c>
      <c r="G1398" s="52">
        <f>IF(expected_production[[#This Row],[Base Expected (kWh)]]="","",expected_production[[#This Row],[Base Expected (kWh)]]*expected_production[[#This Row],[Degradation Factor]])</f>
        <v>9140.4149231760857</v>
      </c>
    </row>
    <row r="1399" spans="1:7" ht="15" hidden="1" customHeight="1" x14ac:dyDescent="0.3">
      <c r="A1399" t="s">
        <v>222</v>
      </c>
      <c r="B1399" s="2">
        <v>46143</v>
      </c>
      <c r="C1399" s="52">
        <v>8503.2000000000007</v>
      </c>
      <c r="D1399" s="48">
        <f>_xlfn.XLOOKUP(expected_production[[#This Row],[Site Name]],Table1[[Site Name ]],Table1[Commisioned Date],"")</f>
        <v>45924</v>
      </c>
      <c r="E1399" s="47">
        <f>IF(ISNUMBER(expected_production[[#This Row],[Commissioned Date]]),MAX(0,(expected_production[[#This Row],[Date]]-expected_production[[#This Row],[Commissioned Date]])/365.25),"")</f>
        <v>0.59958932238193019</v>
      </c>
      <c r="F1399" s="49">
        <f>IF(expected_production[[#This Row],[Age (yrs)]]="",1,(1-DegradationRate)^expected_production[[#This Row],[Age (yrs)]])</f>
        <v>0.99579697343381679</v>
      </c>
      <c r="G1399" s="52">
        <f>IF(expected_production[[#This Row],[Base Expected (kWh)]]="","",expected_production[[#This Row],[Base Expected (kWh)]]*expected_production[[#This Row],[Degradation Factor]])</f>
        <v>8467.4608245024319</v>
      </c>
    </row>
    <row r="1400" spans="1:7" ht="15" hidden="1" customHeight="1" x14ac:dyDescent="0.3">
      <c r="A1400" t="s">
        <v>222</v>
      </c>
      <c r="B1400" s="2">
        <v>46174</v>
      </c>
      <c r="C1400" s="52">
        <v>7545.6</v>
      </c>
      <c r="D1400" s="48">
        <f>_xlfn.XLOOKUP(expected_production[[#This Row],[Site Name]],Table1[[Site Name ]],Table1[Commisioned Date],"")</f>
        <v>45924</v>
      </c>
      <c r="E1400" s="47">
        <f>IF(ISNUMBER(expected_production[[#This Row],[Commissioned Date]]),MAX(0,(expected_production[[#This Row],[Date]]-expected_production[[#This Row],[Commissioned Date]])/365.25),"")</f>
        <v>0.68446269678302529</v>
      </c>
      <c r="F1400" s="49">
        <f>IF(expected_production[[#This Row],[Age (yrs)]]="",1,(1-DegradationRate)^expected_production[[#This Row],[Age (yrs)]])</f>
        <v>0.99520345346305172</v>
      </c>
      <c r="G1400" s="52">
        <f>IF(expected_production[[#This Row],[Base Expected (kWh)]]="","",expected_production[[#This Row],[Base Expected (kWh)]]*expected_production[[#This Row],[Degradation Factor]])</f>
        <v>7509.4071784508033</v>
      </c>
    </row>
    <row r="1401" spans="1:7" ht="15" hidden="1" customHeight="1" x14ac:dyDescent="0.3">
      <c r="A1401" t="s">
        <v>222</v>
      </c>
      <c r="B1401" s="2">
        <v>46204</v>
      </c>
      <c r="C1401" s="52">
        <v>8307</v>
      </c>
      <c r="D1401" s="48">
        <f>_xlfn.XLOOKUP(expected_production[[#This Row],[Site Name]],Table1[[Site Name ]],Table1[Commisioned Date],"")</f>
        <v>45924</v>
      </c>
      <c r="E1401" s="47">
        <f>IF(ISNUMBER(expected_production[[#This Row],[Commissioned Date]]),MAX(0,(expected_production[[#This Row],[Date]]-expected_production[[#This Row],[Commissioned Date]])/365.25),"")</f>
        <v>0.76659822039698833</v>
      </c>
      <c r="F1401" s="49">
        <f>IF(expected_production[[#This Row],[Age (yrs)]]="",1,(1-DegradationRate)^expected_production[[#This Row],[Age (yrs)]])</f>
        <v>0.99462941611972633</v>
      </c>
      <c r="G1401" s="52">
        <f>IF(expected_production[[#This Row],[Base Expected (kWh)]]="","",expected_production[[#This Row],[Base Expected (kWh)]]*expected_production[[#This Row],[Degradation Factor]])</f>
        <v>8262.3865597065669</v>
      </c>
    </row>
    <row r="1402" spans="1:7" ht="15" hidden="1" customHeight="1" x14ac:dyDescent="0.3">
      <c r="A1402" t="s">
        <v>222</v>
      </c>
      <c r="B1402" s="2">
        <v>46235</v>
      </c>
      <c r="C1402" s="52">
        <v>9720.9</v>
      </c>
      <c r="D1402" s="48">
        <f>_xlfn.XLOOKUP(expected_production[[#This Row],[Site Name]],Table1[[Site Name ]],Table1[Commisioned Date],"")</f>
        <v>45924</v>
      </c>
      <c r="E1402" s="47">
        <f>IF(ISNUMBER(expected_production[[#This Row],[Commissioned Date]]),MAX(0,(expected_production[[#This Row],[Date]]-expected_production[[#This Row],[Commissioned Date]])/365.25),"")</f>
        <v>0.85147159479808354</v>
      </c>
      <c r="F1402" s="49">
        <f>IF(expected_production[[#This Row],[Age (yrs)]]="",1,(1-DegradationRate)^expected_production[[#This Row],[Age (yrs)]])</f>
        <v>0.9940365920424028</v>
      </c>
      <c r="G1402" s="52">
        <f>IF(expected_production[[#This Row],[Base Expected (kWh)]]="","",expected_production[[#This Row],[Base Expected (kWh)]]*expected_production[[#This Row],[Degradation Factor]])</f>
        <v>9662.930307584993</v>
      </c>
    </row>
    <row r="1403" spans="1:7" ht="15" hidden="1" customHeight="1" x14ac:dyDescent="0.3">
      <c r="A1403" t="s">
        <v>222</v>
      </c>
      <c r="B1403" s="2">
        <v>46266</v>
      </c>
      <c r="C1403" s="52">
        <v>10755.9</v>
      </c>
      <c r="D1403" s="48">
        <f>_xlfn.XLOOKUP(expected_production[[#This Row],[Site Name]],Table1[[Site Name ]],Table1[Commisioned Date],"")</f>
        <v>45924</v>
      </c>
      <c r="E1403" s="47">
        <f>IF(ISNUMBER(expected_production[[#This Row],[Commissioned Date]]),MAX(0,(expected_production[[#This Row],[Date]]-expected_production[[#This Row],[Commissioned Date]])/365.25),"")</f>
        <v>0.93634496919917864</v>
      </c>
      <c r="F1403" s="49">
        <f>IF(expected_production[[#This Row],[Age (yrs)]]="",1,(1-DegradationRate)^expected_production[[#This Row],[Age (yrs)]])</f>
        <v>0.99344412130309745</v>
      </c>
      <c r="G1403" s="52">
        <f>IF(expected_production[[#This Row],[Base Expected (kWh)]]="","",expected_production[[#This Row],[Base Expected (kWh)]]*expected_production[[#This Row],[Degradation Factor]])</f>
        <v>10685.385624323986</v>
      </c>
    </row>
    <row r="1404" spans="1:7" ht="15" hidden="1" customHeight="1" x14ac:dyDescent="0.3">
      <c r="A1404" t="s">
        <v>222</v>
      </c>
      <c r="B1404" s="2">
        <v>46296</v>
      </c>
      <c r="C1404" s="52">
        <v>12190.5</v>
      </c>
      <c r="D1404" s="48">
        <f>_xlfn.XLOOKUP(expected_production[[#This Row],[Site Name]],Table1[[Site Name ]],Table1[Commisioned Date],"")</f>
        <v>45924</v>
      </c>
      <c r="E1404" s="47">
        <f>IF(ISNUMBER(expected_production[[#This Row],[Commissioned Date]]),MAX(0,(expected_production[[#This Row],[Date]]-expected_production[[#This Row],[Commissioned Date]])/365.25),"")</f>
        <v>1.0184804928131417</v>
      </c>
      <c r="F1404" s="49">
        <f>IF(expected_production[[#This Row],[Age (yrs)]]="",1,(1-DegradationRate)^expected_production[[#This Row],[Age (yrs)]])</f>
        <v>0.99287109874961788</v>
      </c>
      <c r="G1404" s="52">
        <f>IF(expected_production[[#This Row],[Base Expected (kWh)]]="","",expected_production[[#This Row],[Base Expected (kWh)]]*expected_production[[#This Row],[Degradation Factor]])</f>
        <v>12103.595129307218</v>
      </c>
    </row>
    <row r="1405" spans="1:7" ht="15" hidden="1" customHeight="1" x14ac:dyDescent="0.3">
      <c r="A1405" t="s">
        <v>222</v>
      </c>
      <c r="B1405" s="2">
        <v>46327</v>
      </c>
      <c r="C1405" s="52">
        <v>12263.4</v>
      </c>
      <c r="D1405" s="48">
        <f>_xlfn.XLOOKUP(expected_production[[#This Row],[Site Name]],Table1[[Site Name ]],Table1[Commisioned Date],"")</f>
        <v>45924</v>
      </c>
      <c r="E1405" s="47">
        <f>IF(ISNUMBER(expected_production[[#This Row],[Commissioned Date]]),MAX(0,(expected_production[[#This Row],[Date]]-expected_production[[#This Row],[Commissioned Date]])/365.25),"")</f>
        <v>1.1033538672142369</v>
      </c>
      <c r="F1405" s="49">
        <f>IF(expected_production[[#This Row],[Age (yrs)]]="",1,(1-DegradationRate)^expected_production[[#This Row],[Age (yrs)]])</f>
        <v>0.99227932267354557</v>
      </c>
      <c r="G1405" s="52">
        <f>IF(expected_production[[#This Row],[Base Expected (kWh)]]="","",expected_production[[#This Row],[Base Expected (kWh)]]*expected_production[[#This Row],[Degradation Factor]])</f>
        <v>12168.718245674758</v>
      </c>
    </row>
    <row r="1406" spans="1:7" ht="15" hidden="1" customHeight="1" x14ac:dyDescent="0.3">
      <c r="A1406" t="s">
        <v>222</v>
      </c>
      <c r="B1406" s="2">
        <v>46357</v>
      </c>
      <c r="C1406" s="52">
        <v>12539.7</v>
      </c>
      <c r="D1406" s="48">
        <f>_xlfn.XLOOKUP(expected_production[[#This Row],[Site Name]],Table1[[Site Name ]],Table1[Commisioned Date],"")</f>
        <v>45924</v>
      </c>
      <c r="E1406" s="47">
        <f>IF(ISNUMBER(expected_production[[#This Row],[Commissioned Date]]),MAX(0,(expected_production[[#This Row],[Date]]-expected_production[[#This Row],[Commissioned Date]])/365.25),"")</f>
        <v>1.1854893908281998</v>
      </c>
      <c r="F1406" s="49">
        <f>IF(expected_production[[#This Row],[Age (yrs)]]="",1,(1-DegradationRate)^expected_production[[#This Row],[Age (yrs)]])</f>
        <v>0.99170697198058722</v>
      </c>
      <c r="G1406" s="52">
        <f>IF(expected_production[[#This Row],[Base Expected (kWh)]]="","",expected_production[[#This Row],[Base Expected (kWh)]]*expected_production[[#This Row],[Degradation Factor]])</f>
        <v>12435.70791654497</v>
      </c>
    </row>
    <row r="1407" spans="1:7" ht="15" hidden="1" customHeight="1" x14ac:dyDescent="0.3">
      <c r="A1407" t="s">
        <v>142</v>
      </c>
      <c r="B1407" s="2">
        <v>45292</v>
      </c>
      <c r="C1407" s="52">
        <v>5685.3</v>
      </c>
      <c r="D1407" s="48">
        <f>_xlfn.XLOOKUP(expected_production[[#This Row],[Site Name]],Table1[[Site Name ]],Table1[Commisioned Date],"")</f>
        <v>45174</v>
      </c>
      <c r="E1407" s="47">
        <f>IF(ISNUMBER(expected_production[[#This Row],[Commissioned Date]]),MAX(0,(expected_production[[#This Row],[Date]]-expected_production[[#This Row],[Commissioned Date]])/365.25),"")</f>
        <v>0.32306639288158795</v>
      </c>
      <c r="F1407" s="49">
        <f>IF(expected_production[[#This Row],[Age (yrs)]]="",1,(1-DegradationRate)^expected_production[[#This Row],[Age (yrs)]])</f>
        <v>0.99773315617080582</v>
      </c>
      <c r="G1407" s="52">
        <f>IF(expected_production[[#This Row],[Base Expected (kWh)]]="","",expected_production[[#This Row],[Base Expected (kWh)]]*expected_production[[#This Row],[Degradation Factor]])</f>
        <v>5672.4123127778821</v>
      </c>
    </row>
    <row r="1408" spans="1:7" ht="15" hidden="1" customHeight="1" x14ac:dyDescent="0.3">
      <c r="A1408" t="s">
        <v>142</v>
      </c>
      <c r="B1408" s="2">
        <v>45323</v>
      </c>
      <c r="C1408" s="52">
        <v>4780.8</v>
      </c>
      <c r="D1408" s="48">
        <f>_xlfn.XLOOKUP(expected_production[[#This Row],[Site Name]],Table1[[Site Name ]],Table1[Commisioned Date],"")</f>
        <v>45174</v>
      </c>
      <c r="E1408" s="47">
        <f>IF(ISNUMBER(expected_production[[#This Row],[Commissioned Date]]),MAX(0,(expected_production[[#This Row],[Date]]-expected_production[[#This Row],[Commissioned Date]])/365.25),"")</f>
        <v>0.40793976728268311</v>
      </c>
      <c r="F1408" s="49">
        <f>IF(expected_production[[#This Row],[Age (yrs)]]="",1,(1-DegradationRate)^expected_production[[#This Row],[Age (yrs)]])</f>
        <v>0.99713848218657009</v>
      </c>
      <c r="G1408" s="52">
        <f>IF(expected_production[[#This Row],[Base Expected (kWh)]]="","",expected_production[[#This Row],[Base Expected (kWh)]]*expected_production[[#This Row],[Degradation Factor]])</f>
        <v>4767.1196556375544</v>
      </c>
    </row>
    <row r="1409" spans="1:7" ht="15" hidden="1" customHeight="1" x14ac:dyDescent="0.3">
      <c r="A1409" t="s">
        <v>142</v>
      </c>
      <c r="B1409" s="2">
        <v>45352</v>
      </c>
      <c r="C1409" s="52">
        <v>4935.6000000000004</v>
      </c>
      <c r="D1409" s="48">
        <f>_xlfn.XLOOKUP(expected_production[[#This Row],[Site Name]],Table1[[Site Name ]],Table1[Commisioned Date],"")</f>
        <v>45174</v>
      </c>
      <c r="E1409" s="47">
        <f>IF(ISNUMBER(expected_production[[#This Row],[Commissioned Date]]),MAX(0,(expected_production[[#This Row],[Date]]-expected_production[[#This Row],[Commissioned Date]])/365.25),"")</f>
        <v>0.48733744010951402</v>
      </c>
      <c r="F1409" s="49">
        <f>IF(expected_production[[#This Row],[Age (yrs)]]="",1,(1-DegradationRate)^expected_production[[#This Row],[Age (yrs)]])</f>
        <v>0.99658249514750141</v>
      </c>
      <c r="G1409" s="52">
        <f>IF(expected_production[[#This Row],[Base Expected (kWh)]]="","",expected_production[[#This Row],[Base Expected (kWh)]]*expected_production[[#This Row],[Degradation Factor]])</f>
        <v>4918.7325630500081</v>
      </c>
    </row>
    <row r="1410" spans="1:7" ht="15" hidden="1" customHeight="1" x14ac:dyDescent="0.3">
      <c r="A1410" t="s">
        <v>142</v>
      </c>
      <c r="B1410" s="2">
        <v>45383</v>
      </c>
      <c r="C1410" s="52">
        <v>4359.6000000000004</v>
      </c>
      <c r="D1410" s="48">
        <f>_xlfn.XLOOKUP(expected_production[[#This Row],[Site Name]],Table1[[Site Name ]],Table1[Commisioned Date],"")</f>
        <v>45174</v>
      </c>
      <c r="E1410" s="47">
        <f>IF(ISNUMBER(expected_production[[#This Row],[Commissioned Date]]),MAX(0,(expected_production[[#This Row],[Date]]-expected_production[[#This Row],[Commissioned Date]])/365.25),"")</f>
        <v>0.57221081451060918</v>
      </c>
      <c r="F1410" s="49">
        <f>IF(expected_production[[#This Row],[Age (yrs)]]="",1,(1-DegradationRate)^expected_production[[#This Row],[Age (yrs)]])</f>
        <v>0.99598850698609409</v>
      </c>
      <c r="G1410" s="52">
        <f>IF(expected_production[[#This Row],[Base Expected (kWh)]]="","",expected_production[[#This Row],[Base Expected (kWh)]]*expected_production[[#This Row],[Degradation Factor]])</f>
        <v>4342.1114950565761</v>
      </c>
    </row>
    <row r="1411" spans="1:7" ht="15" hidden="1" customHeight="1" x14ac:dyDescent="0.3">
      <c r="A1411" t="s">
        <v>142</v>
      </c>
      <c r="B1411" s="2">
        <v>45413</v>
      </c>
      <c r="C1411" s="52">
        <v>4194</v>
      </c>
      <c r="D1411" s="48">
        <f>_xlfn.XLOOKUP(expected_production[[#This Row],[Site Name]],Table1[[Site Name ]],Table1[Commisioned Date],"")</f>
        <v>45174</v>
      </c>
      <c r="E1411" s="47">
        <f>IF(ISNUMBER(expected_production[[#This Row],[Commissioned Date]]),MAX(0,(expected_production[[#This Row],[Date]]-expected_production[[#This Row],[Commissioned Date]])/365.25),"")</f>
        <v>0.65434633812457221</v>
      </c>
      <c r="F1411" s="49">
        <f>IF(expected_production[[#This Row],[Age (yrs)]]="",1,(1-DegradationRate)^expected_production[[#This Row],[Age (yrs)]])</f>
        <v>0.99541401682074815</v>
      </c>
      <c r="G1411" s="52">
        <f>IF(expected_production[[#This Row],[Base Expected (kWh)]]="","",expected_production[[#This Row],[Base Expected (kWh)]]*expected_production[[#This Row],[Degradation Factor]])</f>
        <v>4174.7663865462173</v>
      </c>
    </row>
    <row r="1412" spans="1:7" ht="15" hidden="1" customHeight="1" x14ac:dyDescent="0.3">
      <c r="A1412" t="s">
        <v>142</v>
      </c>
      <c r="B1412" s="2">
        <v>45444</v>
      </c>
      <c r="C1412" s="52">
        <v>3818.7</v>
      </c>
      <c r="D1412" s="48">
        <f>_xlfn.XLOOKUP(expected_production[[#This Row],[Site Name]],Table1[[Site Name ]],Table1[Commisioned Date],"")</f>
        <v>45174</v>
      </c>
      <c r="E1412" s="47">
        <f>IF(ISNUMBER(expected_production[[#This Row],[Commissioned Date]]),MAX(0,(expected_production[[#This Row],[Date]]-expected_production[[#This Row],[Commissioned Date]])/365.25),"")</f>
        <v>0.73921971252566732</v>
      </c>
      <c r="F1412" s="49">
        <f>IF(expected_production[[#This Row],[Age (yrs)]]="",1,(1-DegradationRate)^expected_production[[#This Row],[Age (yrs)]])</f>
        <v>0.99482072510172903</v>
      </c>
      <c r="G1412" s="52">
        <f>IF(expected_production[[#This Row],[Base Expected (kWh)]]="","",expected_production[[#This Row],[Base Expected (kWh)]]*expected_production[[#This Row],[Degradation Factor]])</f>
        <v>3798.9219029459723</v>
      </c>
    </row>
    <row r="1413" spans="1:7" ht="15" hidden="1" customHeight="1" x14ac:dyDescent="0.3">
      <c r="A1413" t="s">
        <v>142</v>
      </c>
      <c r="B1413" s="2">
        <v>45474</v>
      </c>
      <c r="C1413" s="52">
        <v>4217.3999999999996</v>
      </c>
      <c r="D1413" s="48">
        <f>_xlfn.XLOOKUP(expected_production[[#This Row],[Site Name]],Table1[[Site Name ]],Table1[Commisioned Date],"")</f>
        <v>45174</v>
      </c>
      <c r="E1413" s="47">
        <f>IF(ISNUMBER(expected_production[[#This Row],[Commissioned Date]]),MAX(0,(expected_production[[#This Row],[Date]]-expected_production[[#This Row],[Commissioned Date]])/365.25),"")</f>
        <v>0.82135523613963035</v>
      </c>
      <c r="F1413" s="49">
        <f>IF(expected_production[[#This Row],[Age (yrs)]]="",1,(1-DegradationRate)^expected_production[[#This Row],[Age (yrs)]])</f>
        <v>0.9942469085176574</v>
      </c>
      <c r="G1413" s="52">
        <f>IF(expected_production[[#This Row],[Base Expected (kWh)]]="","",expected_production[[#This Row],[Base Expected (kWh)]]*expected_production[[#This Row],[Degradation Factor]])</f>
        <v>4193.1369119823676</v>
      </c>
    </row>
    <row r="1414" spans="1:7" ht="15" hidden="1" customHeight="1" x14ac:dyDescent="0.3">
      <c r="A1414" t="s">
        <v>142</v>
      </c>
      <c r="B1414" s="2">
        <v>45505</v>
      </c>
      <c r="C1414" s="52">
        <v>4844.7</v>
      </c>
      <c r="D1414" s="48">
        <f>_xlfn.XLOOKUP(expected_production[[#This Row],[Site Name]],Table1[[Site Name ]],Table1[Commisioned Date],"")</f>
        <v>45174</v>
      </c>
      <c r="E1414" s="47">
        <f>IF(ISNUMBER(expected_production[[#This Row],[Commissioned Date]]),MAX(0,(expected_production[[#This Row],[Date]]-expected_production[[#This Row],[Commissioned Date]])/365.25),"")</f>
        <v>0.90622861054072557</v>
      </c>
      <c r="F1414" s="49">
        <f>IF(expected_production[[#This Row],[Age (yrs)]]="",1,(1-DegradationRate)^expected_production[[#This Row],[Age (yrs)]])</f>
        <v>0.99365431242445801</v>
      </c>
      <c r="G1414" s="52">
        <f>IF(expected_production[[#This Row],[Base Expected (kWh)]]="","",expected_production[[#This Row],[Base Expected (kWh)]]*expected_production[[#This Row],[Degradation Factor]])</f>
        <v>4813.9570474027714</v>
      </c>
    </row>
    <row r="1415" spans="1:7" ht="15" hidden="1" customHeight="1" x14ac:dyDescent="0.3">
      <c r="A1415" t="s">
        <v>142</v>
      </c>
      <c r="B1415" s="2">
        <v>45536</v>
      </c>
      <c r="C1415" s="52">
        <v>5300.1</v>
      </c>
      <c r="D1415" s="48">
        <f>_xlfn.XLOOKUP(expected_production[[#This Row],[Site Name]],Table1[[Site Name ]],Table1[Commisioned Date],"")</f>
        <v>45174</v>
      </c>
      <c r="E1415" s="47">
        <f>IF(ISNUMBER(expected_production[[#This Row],[Commissioned Date]]),MAX(0,(expected_production[[#This Row],[Date]]-expected_production[[#This Row],[Commissioned Date]])/365.25),"")</f>
        <v>0.99110198494182067</v>
      </c>
      <c r="F1415" s="49">
        <f>IF(expected_production[[#This Row],[Age (yrs)]]="",1,(1-DegradationRate)^expected_production[[#This Row],[Age (yrs)]])</f>
        <v>0.99306206953339249</v>
      </c>
      <c r="G1415" s="52">
        <f>IF(expected_production[[#This Row],[Base Expected (kWh)]]="","",expected_production[[#This Row],[Base Expected (kWh)]]*expected_production[[#This Row],[Degradation Factor]])</f>
        <v>5263.3282747339335</v>
      </c>
    </row>
    <row r="1416" spans="1:7" ht="15" hidden="1" customHeight="1" x14ac:dyDescent="0.3">
      <c r="A1416" t="s">
        <v>142</v>
      </c>
      <c r="B1416" s="2">
        <v>45566</v>
      </c>
      <c r="C1416" s="52">
        <v>5667.3</v>
      </c>
      <c r="D1416" s="48">
        <f>_xlfn.XLOOKUP(expected_production[[#This Row],[Site Name]],Table1[[Site Name ]],Table1[Commisioned Date],"")</f>
        <v>45174</v>
      </c>
      <c r="E1416" s="47">
        <f>IF(ISNUMBER(expected_production[[#This Row],[Commissioned Date]]),MAX(0,(expected_production[[#This Row],[Date]]-expected_production[[#This Row],[Commissioned Date]])/365.25),"")</f>
        <v>1.0732375085557837</v>
      </c>
      <c r="F1416" s="49">
        <f>IF(expected_production[[#This Row],[Age (yrs)]]="",1,(1-DegradationRate)^expected_production[[#This Row],[Age (yrs)]])</f>
        <v>0.99248926734890608</v>
      </c>
      <c r="G1416" s="52">
        <f>IF(expected_production[[#This Row],[Base Expected (kWh)]]="","",expected_production[[#This Row],[Base Expected (kWh)]]*expected_production[[#This Row],[Degradation Factor]])</f>
        <v>5624.734424846456</v>
      </c>
    </row>
    <row r="1417" spans="1:7" ht="15" hidden="1" customHeight="1" x14ac:dyDescent="0.3">
      <c r="A1417" t="s">
        <v>142</v>
      </c>
      <c r="B1417" s="2">
        <v>45597</v>
      </c>
      <c r="C1417" s="52">
        <v>5624.1</v>
      </c>
      <c r="D1417" s="48">
        <f>_xlfn.XLOOKUP(expected_production[[#This Row],[Site Name]],Table1[[Site Name ]],Table1[Commisioned Date],"")</f>
        <v>45174</v>
      </c>
      <c r="E1417" s="47">
        <f>IF(ISNUMBER(expected_production[[#This Row],[Commissioned Date]]),MAX(0,(expected_production[[#This Row],[Date]]-expected_production[[#This Row],[Commissioned Date]])/365.25),"")</f>
        <v>1.1581108829568789</v>
      </c>
      <c r="F1417" s="49">
        <f>IF(expected_production[[#This Row],[Age (yrs)]]="",1,(1-DegradationRate)^expected_production[[#This Row],[Age (yrs)]])</f>
        <v>0.99189771885392486</v>
      </c>
      <c r="G1417" s="52">
        <f>IF(expected_production[[#This Row],[Base Expected (kWh)]]="","",expected_production[[#This Row],[Base Expected (kWh)]]*expected_production[[#This Row],[Degradation Factor]])</f>
        <v>5578.5319606063595</v>
      </c>
    </row>
    <row r="1418" spans="1:7" ht="15" hidden="1" customHeight="1" x14ac:dyDescent="0.3">
      <c r="A1418" t="s">
        <v>142</v>
      </c>
      <c r="B1418" s="2">
        <v>45627</v>
      </c>
      <c r="C1418" s="52">
        <v>5995.8</v>
      </c>
      <c r="D1418" s="48">
        <f>_xlfn.XLOOKUP(expected_production[[#This Row],[Site Name]],Table1[[Site Name ]],Table1[Commisioned Date],"")</f>
        <v>45174</v>
      </c>
      <c r="E1418" s="47">
        <f>IF(ISNUMBER(expected_production[[#This Row],[Commissioned Date]]),MAX(0,(expected_production[[#This Row],[Date]]-expected_production[[#This Row],[Commissioned Date]])/365.25),"")</f>
        <v>1.2402464065708418</v>
      </c>
      <c r="F1418" s="49">
        <f>IF(expected_production[[#This Row],[Age (yrs)]]="",1,(1-DegradationRate)^expected_production[[#This Row],[Age (yrs)]])</f>
        <v>0.99132558827158002</v>
      </c>
      <c r="G1418" s="52">
        <f>IF(expected_production[[#This Row],[Base Expected (kWh)]]="","",expected_production[[#This Row],[Base Expected (kWh)]]*expected_production[[#This Row],[Degradation Factor]])</f>
        <v>5943.7899621587394</v>
      </c>
    </row>
    <row r="1419" spans="1:7" ht="15" hidden="1" customHeight="1" x14ac:dyDescent="0.3">
      <c r="A1419" t="s">
        <v>142</v>
      </c>
      <c r="B1419" s="2">
        <v>45658</v>
      </c>
      <c r="C1419" s="52">
        <v>5685.3</v>
      </c>
      <c r="D1419" s="48">
        <f>_xlfn.XLOOKUP(expected_production[[#This Row],[Site Name]],Table1[[Site Name ]],Table1[Commisioned Date],"")</f>
        <v>45174</v>
      </c>
      <c r="E1419" s="47">
        <f>IF(ISNUMBER(expected_production[[#This Row],[Commissioned Date]]),MAX(0,(expected_production[[#This Row],[Date]]-expected_production[[#This Row],[Commissioned Date]])/365.25),"")</f>
        <v>1.3251197809719371</v>
      </c>
      <c r="F1419" s="49">
        <f>IF(expected_production[[#This Row],[Age (yrs)]]="",1,(1-DegradationRate)^expected_production[[#This Row],[Age (yrs)]])</f>
        <v>0.99073473335851403</v>
      </c>
      <c r="G1419" s="52">
        <f>IF(expected_production[[#This Row],[Base Expected (kWh)]]="","",expected_production[[#This Row],[Base Expected (kWh)]]*expected_production[[#This Row],[Degradation Factor]])</f>
        <v>5632.6241795631604</v>
      </c>
    </row>
    <row r="1420" spans="1:7" ht="15" hidden="1" customHeight="1" x14ac:dyDescent="0.3">
      <c r="A1420" t="s">
        <v>142</v>
      </c>
      <c r="B1420" s="2">
        <v>45689</v>
      </c>
      <c r="C1420" s="52">
        <v>4780.8</v>
      </c>
      <c r="D1420" s="48">
        <f>_xlfn.XLOOKUP(expected_production[[#This Row],[Site Name]],Table1[[Site Name ]],Table1[Commisioned Date],"")</f>
        <v>45174</v>
      </c>
      <c r="E1420" s="47">
        <f>IF(ISNUMBER(expected_production[[#This Row],[Commissioned Date]]),MAX(0,(expected_production[[#This Row],[Date]]-expected_production[[#This Row],[Commissioned Date]])/365.25),"")</f>
        <v>1.4099931553730323</v>
      </c>
      <c r="F1420" s="49">
        <f>IF(expected_production[[#This Row],[Age (yrs)]]="",1,(1-DegradationRate)^expected_production[[#This Row],[Age (yrs)]])</f>
        <v>0.99014423060979495</v>
      </c>
      <c r="G1420" s="52">
        <f>IF(expected_production[[#This Row],[Base Expected (kWh)]]="","",expected_production[[#This Row],[Base Expected (kWh)]]*expected_production[[#This Row],[Degradation Factor]])</f>
        <v>4733.6815376993081</v>
      </c>
    </row>
    <row r="1421" spans="1:7" ht="15" hidden="1" customHeight="1" x14ac:dyDescent="0.3">
      <c r="A1421" t="s">
        <v>142</v>
      </c>
      <c r="B1421" s="2">
        <v>45717</v>
      </c>
      <c r="C1421" s="52">
        <v>4935.6000000000004</v>
      </c>
      <c r="D1421" s="48">
        <f>_xlfn.XLOOKUP(expected_production[[#This Row],[Site Name]],Table1[[Site Name ]],Table1[Commisioned Date],"")</f>
        <v>45174</v>
      </c>
      <c r="E1421" s="47">
        <f>IF(ISNUMBER(expected_production[[#This Row],[Commissioned Date]]),MAX(0,(expected_production[[#This Row],[Date]]-expected_production[[#This Row],[Commissioned Date]])/365.25),"")</f>
        <v>1.4866529774127311</v>
      </c>
      <c r="F1421" s="49">
        <f>IF(expected_production[[#This Row],[Age (yrs)]]="",1,(1-DegradationRate)^expected_production[[#This Row],[Age (yrs)]])</f>
        <v>0.98961117580654445</v>
      </c>
      <c r="G1421" s="52">
        <f>IF(expected_production[[#This Row],[Base Expected (kWh)]]="","",expected_production[[#This Row],[Base Expected (kWh)]]*expected_production[[#This Row],[Degradation Factor]])</f>
        <v>4884.3249193107813</v>
      </c>
    </row>
    <row r="1422" spans="1:7" ht="15" hidden="1" customHeight="1" x14ac:dyDescent="0.3">
      <c r="A1422" t="s">
        <v>142</v>
      </c>
      <c r="B1422" s="2">
        <v>45748</v>
      </c>
      <c r="C1422" s="52">
        <v>4359.6000000000004</v>
      </c>
      <c r="D1422" s="48">
        <f>_xlfn.XLOOKUP(expected_production[[#This Row],[Site Name]],Table1[[Site Name ]],Table1[Commisioned Date],"")</f>
        <v>45174</v>
      </c>
      <c r="E1422" s="47">
        <f>IF(ISNUMBER(expected_production[[#This Row],[Commissioned Date]]),MAX(0,(expected_production[[#This Row],[Date]]-expected_production[[#This Row],[Commissioned Date]])/365.25),"")</f>
        <v>1.5715263518138261</v>
      </c>
      <c r="F1422" s="49">
        <f>IF(expected_production[[#This Row],[Age (yrs)]]="",1,(1-DegradationRate)^expected_production[[#This Row],[Age (yrs)]])</f>
        <v>0.98902134272630504</v>
      </c>
      <c r="G1422" s="52">
        <f>IF(expected_production[[#This Row],[Base Expected (kWh)]]="","",expected_production[[#This Row],[Base Expected (kWh)]]*expected_production[[#This Row],[Degradation Factor]])</f>
        <v>4311.7374457495998</v>
      </c>
    </row>
    <row r="1423" spans="1:7" ht="15" hidden="1" customHeight="1" x14ac:dyDescent="0.3">
      <c r="A1423" t="s">
        <v>142</v>
      </c>
      <c r="B1423" s="2">
        <v>45778</v>
      </c>
      <c r="C1423" s="52">
        <v>4194</v>
      </c>
      <c r="D1423" s="48">
        <f>_xlfn.XLOOKUP(expected_production[[#This Row],[Site Name]],Table1[[Site Name ]],Table1[Commisioned Date],"")</f>
        <v>45174</v>
      </c>
      <c r="E1423" s="47">
        <f>IF(ISNUMBER(expected_production[[#This Row],[Commissioned Date]]),MAX(0,(expected_production[[#This Row],[Date]]-expected_production[[#This Row],[Commissioned Date]])/365.25),"")</f>
        <v>1.6536618754277892</v>
      </c>
      <c r="F1423" s="49">
        <f>IF(expected_production[[#This Row],[Age (yrs)]]="",1,(1-DegradationRate)^expected_production[[#This Row],[Age (yrs)]])</f>
        <v>0.98845087124924669</v>
      </c>
      <c r="G1423" s="52">
        <f>IF(expected_production[[#This Row],[Base Expected (kWh)]]="","",expected_production[[#This Row],[Base Expected (kWh)]]*expected_production[[#This Row],[Degradation Factor]])</f>
        <v>4145.5629540193404</v>
      </c>
    </row>
    <row r="1424" spans="1:7" ht="15" hidden="1" customHeight="1" x14ac:dyDescent="0.3">
      <c r="A1424" t="s">
        <v>142</v>
      </c>
      <c r="B1424" s="2">
        <v>45809</v>
      </c>
      <c r="C1424" s="52">
        <v>3818.7</v>
      </c>
      <c r="D1424" s="48">
        <f>_xlfn.XLOOKUP(expected_production[[#This Row],[Site Name]],Table1[[Site Name ]],Table1[Commisioned Date],"")</f>
        <v>45174</v>
      </c>
      <c r="E1424" s="47">
        <f>IF(ISNUMBER(expected_production[[#This Row],[Commissioned Date]]),MAX(0,(expected_production[[#This Row],[Date]]-expected_production[[#This Row],[Commissioned Date]])/365.25),"")</f>
        <v>1.7385352498288844</v>
      </c>
      <c r="F1424" s="49">
        <f>IF(expected_production[[#This Row],[Age (yrs)]]="",1,(1-DegradationRate)^expected_production[[#This Row],[Age (yrs)]])</f>
        <v>0.98786172973962394</v>
      </c>
      <c r="G1424" s="52">
        <f>IF(expected_production[[#This Row],[Base Expected (kWh)]]="","",expected_production[[#This Row],[Base Expected (kWh)]]*expected_production[[#This Row],[Degradation Factor]])</f>
        <v>3772.3475873567018</v>
      </c>
    </row>
    <row r="1425" spans="1:7" ht="15" hidden="1" customHeight="1" x14ac:dyDescent="0.3">
      <c r="A1425" t="s">
        <v>142</v>
      </c>
      <c r="B1425" s="2">
        <v>45839</v>
      </c>
      <c r="C1425" s="52">
        <v>4217.3999999999996</v>
      </c>
      <c r="D1425" s="48">
        <f>_xlfn.XLOOKUP(expected_production[[#This Row],[Site Name]],Table1[[Site Name ]],Table1[Commisioned Date],"")</f>
        <v>45174</v>
      </c>
      <c r="E1425" s="47">
        <f>IF(ISNUMBER(expected_production[[#This Row],[Commissioned Date]]),MAX(0,(expected_production[[#This Row],[Date]]-expected_production[[#This Row],[Commissioned Date]])/365.25),"")</f>
        <v>1.8206707734428473</v>
      </c>
      <c r="F1425" s="49">
        <f>IF(expected_production[[#This Row],[Age (yrs)]]="",1,(1-DegradationRate)^expected_production[[#This Row],[Age (yrs)]])</f>
        <v>0.98729192713198699</v>
      </c>
      <c r="G1425" s="52">
        <f>IF(expected_production[[#This Row],[Base Expected (kWh)]]="","",expected_production[[#This Row],[Base Expected (kWh)]]*expected_production[[#This Row],[Degradation Factor]])</f>
        <v>4163.8049734864417</v>
      </c>
    </row>
    <row r="1426" spans="1:7" ht="15" hidden="1" customHeight="1" x14ac:dyDescent="0.3">
      <c r="A1426" t="s">
        <v>142</v>
      </c>
      <c r="B1426" s="2">
        <v>45870</v>
      </c>
      <c r="C1426" s="52">
        <v>4844.7</v>
      </c>
      <c r="D1426" s="48">
        <f>_xlfn.XLOOKUP(expected_production[[#This Row],[Site Name]],Table1[[Site Name ]],Table1[Commisioned Date],"")</f>
        <v>45174</v>
      </c>
      <c r="E1426" s="47">
        <f>IF(ISNUMBER(expected_production[[#This Row],[Commissioned Date]]),MAX(0,(expected_production[[#This Row],[Date]]-expected_production[[#This Row],[Commissioned Date]])/365.25),"")</f>
        <v>1.9055441478439425</v>
      </c>
      <c r="F1426" s="49">
        <f>IF(expected_production[[#This Row],[Age (yrs)]]="",1,(1-DegradationRate)^expected_production[[#This Row],[Age (yrs)]])</f>
        <v>0.98670347638212452</v>
      </c>
      <c r="G1426" s="52">
        <f>IF(expected_production[[#This Row],[Base Expected (kWh)]]="","",expected_production[[#This Row],[Base Expected (kWh)]]*expected_production[[#This Row],[Degradation Factor]])</f>
        <v>4780.2823320284788</v>
      </c>
    </row>
    <row r="1427" spans="1:7" ht="15" hidden="1" customHeight="1" x14ac:dyDescent="0.3">
      <c r="A1427" t="s">
        <v>142</v>
      </c>
      <c r="B1427" s="2">
        <v>45901</v>
      </c>
      <c r="C1427" s="52">
        <v>5300.1</v>
      </c>
      <c r="D1427" s="48">
        <f>_xlfn.XLOOKUP(expected_production[[#This Row],[Site Name]],Table1[[Site Name ]],Table1[Commisioned Date],"")</f>
        <v>45174</v>
      </c>
      <c r="E1427" s="47">
        <f>IF(ISNUMBER(expected_production[[#This Row],[Commissioned Date]]),MAX(0,(expected_production[[#This Row],[Date]]-expected_production[[#This Row],[Commissioned Date]])/365.25),"")</f>
        <v>1.9904175222450375</v>
      </c>
      <c r="F1427" s="49">
        <f>IF(expected_production[[#This Row],[Age (yrs)]]="",1,(1-DegradationRate)^expected_production[[#This Row],[Age (yrs)]])</f>
        <v>0.9861153763636672</v>
      </c>
      <c r="G1427" s="52">
        <f>IF(expected_production[[#This Row],[Base Expected (kWh)]]="","",expected_production[[#This Row],[Base Expected (kWh)]]*expected_production[[#This Row],[Degradation Factor]])</f>
        <v>5226.5101062650729</v>
      </c>
    </row>
    <row r="1428" spans="1:7" ht="15" hidden="1" customHeight="1" x14ac:dyDescent="0.3">
      <c r="A1428" t="s">
        <v>142</v>
      </c>
      <c r="B1428" s="2">
        <v>45931</v>
      </c>
      <c r="C1428" s="52">
        <v>5667.3</v>
      </c>
      <c r="D1428" s="48">
        <f>_xlfn.XLOOKUP(expected_production[[#This Row],[Site Name]],Table1[[Site Name ]],Table1[Commisioned Date],"")</f>
        <v>45174</v>
      </c>
      <c r="E1428" s="47">
        <f>IF(ISNUMBER(expected_production[[#This Row],[Commissioned Date]]),MAX(0,(expected_production[[#This Row],[Date]]-expected_production[[#This Row],[Commissioned Date]])/365.25),"")</f>
        <v>2.0725530458590007</v>
      </c>
      <c r="F1428" s="49">
        <f>IF(expected_production[[#This Row],[Age (yrs)]]="",1,(1-DegradationRate)^expected_production[[#This Row],[Age (yrs)]])</f>
        <v>0.98554658105966153</v>
      </c>
      <c r="G1428" s="52">
        <f>IF(expected_production[[#This Row],[Base Expected (kWh)]]="","",expected_production[[#This Row],[Base Expected (kWh)]]*expected_production[[#This Row],[Degradation Factor]])</f>
        <v>5585.3881388394202</v>
      </c>
    </row>
    <row r="1429" spans="1:7" ht="15" hidden="1" customHeight="1" x14ac:dyDescent="0.3">
      <c r="A1429" t="s">
        <v>142</v>
      </c>
      <c r="B1429" s="2">
        <v>45962</v>
      </c>
      <c r="C1429" s="52">
        <v>5624.1</v>
      </c>
      <c r="D1429" s="48">
        <f>_xlfn.XLOOKUP(expected_production[[#This Row],[Site Name]],Table1[[Site Name ]],Table1[Commisioned Date],"")</f>
        <v>45174</v>
      </c>
      <c r="E1429" s="47">
        <f>IF(ISNUMBER(expected_production[[#This Row],[Commissioned Date]]),MAX(0,(expected_production[[#This Row],[Date]]-expected_production[[#This Row],[Commissioned Date]])/365.25),"")</f>
        <v>2.1574264202600957</v>
      </c>
      <c r="F1429" s="49">
        <f>IF(expected_production[[#This Row],[Age (yrs)]]="",1,(1-DegradationRate)^expected_production[[#This Row],[Age (yrs)]])</f>
        <v>0.9849591705798314</v>
      </c>
      <c r="G1429" s="52">
        <f>IF(expected_production[[#This Row],[Base Expected (kWh)]]="","",expected_production[[#This Row],[Base Expected (kWh)]]*expected_production[[#This Row],[Degradation Factor]])</f>
        <v>5539.50887125803</v>
      </c>
    </row>
    <row r="1430" spans="1:7" ht="15" hidden="1" customHeight="1" x14ac:dyDescent="0.3">
      <c r="A1430" t="s">
        <v>142</v>
      </c>
      <c r="B1430" s="2">
        <v>45992</v>
      </c>
      <c r="C1430" s="52">
        <v>5995.8</v>
      </c>
      <c r="D1430" s="48">
        <f>_xlfn.XLOOKUP(expected_production[[#This Row],[Site Name]],Table1[[Site Name ]],Table1[Commisioned Date],"")</f>
        <v>45174</v>
      </c>
      <c r="E1430" s="47">
        <f>IF(ISNUMBER(expected_production[[#This Row],[Commissioned Date]]),MAX(0,(expected_production[[#This Row],[Date]]-expected_production[[#This Row],[Commissioned Date]])/365.25),"")</f>
        <v>2.239561943874059</v>
      </c>
      <c r="F1430" s="49">
        <f>IF(expected_production[[#This Row],[Age (yrs)]]="",1,(1-DegradationRate)^expected_production[[#This Row],[Age (yrs)]])</f>
        <v>0.98439104217995888</v>
      </c>
      <c r="G1430" s="52">
        <f>IF(expected_production[[#This Row],[Base Expected (kWh)]]="","",expected_production[[#This Row],[Base Expected (kWh)]]*expected_production[[#This Row],[Degradation Factor]])</f>
        <v>5902.2118107025972</v>
      </c>
    </row>
    <row r="1431" spans="1:7" ht="15" hidden="1" customHeight="1" x14ac:dyDescent="0.3">
      <c r="A1431" t="s">
        <v>142</v>
      </c>
      <c r="B1431" s="2">
        <v>46023</v>
      </c>
      <c r="C1431" s="52">
        <v>5685.3</v>
      </c>
      <c r="D1431" s="48">
        <f>_xlfn.XLOOKUP(expected_production[[#This Row],[Site Name]],Table1[[Site Name ]],Table1[Commisioned Date],"")</f>
        <v>45174</v>
      </c>
      <c r="E1431" s="47">
        <f>IF(ISNUMBER(expected_production[[#This Row],[Commissioned Date]]),MAX(0,(expected_production[[#This Row],[Date]]-expected_production[[#This Row],[Commissioned Date]])/365.25),"")</f>
        <v>2.324435318275154</v>
      </c>
      <c r="F1431" s="49">
        <f>IF(expected_production[[#This Row],[Age (yrs)]]="",1,(1-DegradationRate)^expected_production[[#This Row],[Age (yrs)]])</f>
        <v>0.98380432043028199</v>
      </c>
      <c r="G1431" s="52">
        <f>IF(expected_production[[#This Row],[Base Expected (kWh)]]="","",expected_production[[#This Row],[Base Expected (kWh)]]*expected_production[[#This Row],[Degradation Factor]])</f>
        <v>5593.222702942282</v>
      </c>
    </row>
    <row r="1432" spans="1:7" ht="15" hidden="1" customHeight="1" x14ac:dyDescent="0.3">
      <c r="A1432" t="s">
        <v>142</v>
      </c>
      <c r="B1432" s="2">
        <v>46054</v>
      </c>
      <c r="C1432" s="52">
        <v>4780.8</v>
      </c>
      <c r="D1432" s="48">
        <f>_xlfn.XLOOKUP(expected_production[[#This Row],[Site Name]],Table1[[Site Name ]],Table1[Commisioned Date],"")</f>
        <v>45174</v>
      </c>
      <c r="E1432" s="47">
        <f>IF(ISNUMBER(expected_production[[#This Row],[Commissioned Date]]),MAX(0,(expected_production[[#This Row],[Date]]-expected_production[[#This Row],[Commissioned Date]])/365.25),"")</f>
        <v>2.409308692676249</v>
      </c>
      <c r="F1432" s="49">
        <f>IF(expected_production[[#This Row],[Age (yrs)]]="",1,(1-DegradationRate)^expected_production[[#This Row],[Age (yrs)]])</f>
        <v>0.98321794838148291</v>
      </c>
      <c r="G1432" s="52">
        <f>IF(expected_production[[#This Row],[Base Expected (kWh)]]="","",expected_production[[#This Row],[Base Expected (kWh)]]*expected_production[[#This Row],[Degradation Factor]])</f>
        <v>4700.5683676221934</v>
      </c>
    </row>
    <row r="1433" spans="1:7" ht="15" hidden="1" customHeight="1" x14ac:dyDescent="0.3">
      <c r="A1433" t="s">
        <v>142</v>
      </c>
      <c r="B1433" s="2">
        <v>46082</v>
      </c>
      <c r="C1433" s="52">
        <v>4935.6000000000004</v>
      </c>
      <c r="D1433" s="48">
        <f>_xlfn.XLOOKUP(expected_production[[#This Row],[Site Name]],Table1[[Site Name ]],Table1[Commisioned Date],"")</f>
        <v>45174</v>
      </c>
      <c r="E1433" s="47">
        <f>IF(ISNUMBER(expected_production[[#This Row],[Commissioned Date]]),MAX(0,(expected_production[[#This Row],[Date]]-expected_production[[#This Row],[Commissioned Date]])/365.25),"")</f>
        <v>2.4859685147159478</v>
      </c>
      <c r="F1433" s="49">
        <f>IF(expected_production[[#This Row],[Age (yrs)]]="",1,(1-DegradationRate)^expected_production[[#This Row],[Age (yrs)]])</f>
        <v>0.98268862241681598</v>
      </c>
      <c r="G1433" s="52">
        <f>IF(expected_production[[#This Row],[Base Expected (kWh)]]="","",expected_production[[#This Row],[Base Expected (kWh)]]*expected_production[[#This Row],[Degradation Factor]])</f>
        <v>4850.1579648004372</v>
      </c>
    </row>
    <row r="1434" spans="1:7" ht="15" hidden="1" customHeight="1" x14ac:dyDescent="0.3">
      <c r="A1434" t="s">
        <v>142</v>
      </c>
      <c r="B1434" s="2">
        <v>46113</v>
      </c>
      <c r="C1434" s="52">
        <v>4359.6000000000004</v>
      </c>
      <c r="D1434" s="48">
        <f>_xlfn.XLOOKUP(expected_production[[#This Row],[Site Name]],Table1[[Site Name ]],Table1[Commisioned Date],"")</f>
        <v>45174</v>
      </c>
      <c r="E1434" s="47">
        <f>IF(ISNUMBER(expected_production[[#This Row],[Commissioned Date]]),MAX(0,(expected_production[[#This Row],[Date]]-expected_production[[#This Row],[Commissioned Date]])/365.25),"")</f>
        <v>2.5708418891170433</v>
      </c>
      <c r="F1434" s="49">
        <f>IF(expected_production[[#This Row],[Age (yrs)]]="",1,(1-DegradationRate)^expected_production[[#This Row],[Age (yrs)]])</f>
        <v>0.98210291535201466</v>
      </c>
      <c r="G1434" s="52">
        <f>IF(expected_production[[#This Row],[Base Expected (kWh)]]="","",expected_production[[#This Row],[Base Expected (kWh)]]*expected_production[[#This Row],[Degradation Factor]])</f>
        <v>4281.5758697686433</v>
      </c>
    </row>
    <row r="1435" spans="1:7" ht="15" hidden="1" customHeight="1" x14ac:dyDescent="0.3">
      <c r="A1435" t="s">
        <v>142</v>
      </c>
      <c r="B1435" s="2">
        <v>46143</v>
      </c>
      <c r="C1435" s="52">
        <v>4194</v>
      </c>
      <c r="D1435" s="48">
        <f>_xlfn.XLOOKUP(expected_production[[#This Row],[Site Name]],Table1[[Site Name ]],Table1[Commisioned Date],"")</f>
        <v>45174</v>
      </c>
      <c r="E1435" s="47">
        <f>IF(ISNUMBER(expected_production[[#This Row],[Commissioned Date]]),MAX(0,(expected_production[[#This Row],[Date]]-expected_production[[#This Row],[Commissioned Date]])/365.25),"")</f>
        <v>2.6529774127310062</v>
      </c>
      <c r="F1435" s="49">
        <f>IF(expected_production[[#This Row],[Age (yrs)]]="",1,(1-DegradationRate)^expected_production[[#This Row],[Age (yrs)]])</f>
        <v>0.98153643445161276</v>
      </c>
      <c r="G1435" s="52">
        <f>IF(expected_production[[#This Row],[Base Expected (kWh)]]="","",expected_production[[#This Row],[Base Expected (kWh)]]*expected_production[[#This Row],[Degradation Factor]])</f>
        <v>4116.5638060900637</v>
      </c>
    </row>
    <row r="1436" spans="1:7" ht="15" hidden="1" customHeight="1" x14ac:dyDescent="0.3">
      <c r="A1436" t="s">
        <v>142</v>
      </c>
      <c r="B1436" s="2">
        <v>46174</v>
      </c>
      <c r="C1436" s="52">
        <v>3818.7</v>
      </c>
      <c r="D1436" s="48">
        <f>_xlfn.XLOOKUP(expected_production[[#This Row],[Site Name]],Table1[[Site Name ]],Table1[Commisioned Date],"")</f>
        <v>45174</v>
      </c>
      <c r="E1436" s="47">
        <f>IF(ISNUMBER(expected_production[[#This Row],[Commissioned Date]]),MAX(0,(expected_production[[#This Row],[Date]]-expected_production[[#This Row],[Commissioned Date]])/365.25),"")</f>
        <v>2.7378507871321012</v>
      </c>
      <c r="F1436" s="49">
        <f>IF(expected_production[[#This Row],[Age (yrs)]]="",1,(1-DegradationRate)^expected_production[[#This Row],[Age (yrs)]])</f>
        <v>0.98095141411973563</v>
      </c>
      <c r="G1436" s="52">
        <f>IF(expected_production[[#This Row],[Base Expected (kWh)]]="","",expected_production[[#This Row],[Base Expected (kWh)]]*expected_production[[#This Row],[Degradation Factor]])</f>
        <v>3745.9591650990342</v>
      </c>
    </row>
    <row r="1437" spans="1:7" ht="15" hidden="1" customHeight="1" x14ac:dyDescent="0.3">
      <c r="A1437" t="s">
        <v>142</v>
      </c>
      <c r="B1437" s="2">
        <v>46204</v>
      </c>
      <c r="C1437" s="52">
        <v>4217.3999999999996</v>
      </c>
      <c r="D1437" s="48">
        <f>_xlfn.XLOOKUP(expected_production[[#This Row],[Site Name]],Table1[[Site Name ]],Table1[Commisioned Date],"")</f>
        <v>45174</v>
      </c>
      <c r="E1437" s="47">
        <f>IF(ISNUMBER(expected_production[[#This Row],[Commissioned Date]]),MAX(0,(expected_production[[#This Row],[Date]]-expected_production[[#This Row],[Commissioned Date]])/365.25),"")</f>
        <v>2.8199863107460645</v>
      </c>
      <c r="F1437" s="49">
        <f>IF(expected_production[[#This Row],[Age (yrs)]]="",1,(1-DegradationRate)^expected_production[[#This Row],[Age (yrs)]])</f>
        <v>0.98038559740986275</v>
      </c>
      <c r="G1437" s="52">
        <f>IF(expected_production[[#This Row],[Base Expected (kWh)]]="","",expected_production[[#This Row],[Base Expected (kWh)]]*expected_production[[#This Row],[Degradation Factor]])</f>
        <v>4134.6782185163547</v>
      </c>
    </row>
    <row r="1438" spans="1:7" ht="15" hidden="1" customHeight="1" x14ac:dyDescent="0.3">
      <c r="A1438" t="s">
        <v>142</v>
      </c>
      <c r="B1438" s="2">
        <v>46235</v>
      </c>
      <c r="C1438" s="52">
        <v>4844.7</v>
      </c>
      <c r="D1438" s="48">
        <f>_xlfn.XLOOKUP(expected_production[[#This Row],[Site Name]],Table1[[Site Name ]],Table1[Commisioned Date],"")</f>
        <v>45174</v>
      </c>
      <c r="E1438" s="47">
        <f>IF(ISNUMBER(expected_production[[#This Row],[Commissioned Date]]),MAX(0,(expected_production[[#This Row],[Date]]-expected_production[[#This Row],[Commissioned Date]])/365.25),"")</f>
        <v>2.9048596851471595</v>
      </c>
      <c r="F1438" s="49">
        <f>IF(expected_production[[#This Row],[Age (yrs)]]="",1,(1-DegradationRate)^expected_production[[#This Row],[Age (yrs)]])</f>
        <v>0.97980126300572545</v>
      </c>
      <c r="G1438" s="52">
        <f>IF(expected_production[[#This Row],[Base Expected (kWh)]]="","",expected_production[[#This Row],[Base Expected (kWh)]]*expected_production[[#This Row],[Degradation Factor]])</f>
        <v>4746.8431788838379</v>
      </c>
    </row>
    <row r="1439" spans="1:7" ht="15" hidden="1" customHeight="1" x14ac:dyDescent="0.3">
      <c r="A1439" t="s">
        <v>142</v>
      </c>
      <c r="B1439" s="2">
        <v>46266</v>
      </c>
      <c r="C1439" s="52">
        <v>5300.1</v>
      </c>
      <c r="D1439" s="48">
        <f>_xlfn.XLOOKUP(expected_production[[#This Row],[Site Name]],Table1[[Site Name ]],Table1[Commisioned Date],"")</f>
        <v>45174</v>
      </c>
      <c r="E1439" s="47">
        <f>IF(ISNUMBER(expected_production[[#This Row],[Commissioned Date]]),MAX(0,(expected_production[[#This Row],[Date]]-expected_production[[#This Row],[Commissioned Date]])/365.25),"")</f>
        <v>2.9897330595482545</v>
      </c>
      <c r="F1439" s="49">
        <f>IF(expected_production[[#This Row],[Age (yrs)]]="",1,(1-DegradationRate)^expected_production[[#This Row],[Age (yrs)]])</f>
        <v>0.97921727687954818</v>
      </c>
      <c r="G1439" s="52">
        <f>IF(expected_production[[#This Row],[Base Expected (kWh)]]="","",expected_production[[#This Row],[Base Expected (kWh)]]*expected_production[[#This Row],[Degradation Factor]])</f>
        <v>5189.9494891892937</v>
      </c>
    </row>
    <row r="1440" spans="1:7" ht="15" hidden="1" customHeight="1" x14ac:dyDescent="0.3">
      <c r="A1440" t="s">
        <v>142</v>
      </c>
      <c r="B1440" s="2">
        <v>46296</v>
      </c>
      <c r="C1440" s="52">
        <v>5667.3</v>
      </c>
      <c r="D1440" s="48">
        <f>_xlfn.XLOOKUP(expected_production[[#This Row],[Site Name]],Table1[[Site Name ]],Table1[Commisioned Date],"")</f>
        <v>45174</v>
      </c>
      <c r="E1440" s="47">
        <f>IF(ISNUMBER(expected_production[[#This Row],[Commissioned Date]]),MAX(0,(expected_production[[#This Row],[Date]]-expected_production[[#This Row],[Commissioned Date]])/365.25),"")</f>
        <v>3.0718685831622174</v>
      </c>
      <c r="F1440" s="49">
        <f>IF(expected_production[[#This Row],[Age (yrs)]]="",1,(1-DegradationRate)^expected_production[[#This Row],[Age (yrs)]])</f>
        <v>0.97865246042699039</v>
      </c>
      <c r="G1440" s="52">
        <f>IF(expected_production[[#This Row],[Base Expected (kWh)]]="","",expected_production[[#This Row],[Base Expected (kWh)]]*expected_production[[#This Row],[Degradation Factor]])</f>
        <v>5546.317088977883</v>
      </c>
    </row>
    <row r="1441" spans="1:7" ht="15" hidden="1" customHeight="1" x14ac:dyDescent="0.3">
      <c r="A1441" t="s">
        <v>142</v>
      </c>
      <c r="B1441" s="2">
        <v>46327</v>
      </c>
      <c r="C1441" s="52">
        <v>5624.1</v>
      </c>
      <c r="D1441" s="48">
        <f>_xlfn.XLOOKUP(expected_production[[#This Row],[Site Name]],Table1[[Site Name ]],Table1[Commisioned Date],"")</f>
        <v>45174</v>
      </c>
      <c r="E1441" s="47">
        <f>IF(ISNUMBER(expected_production[[#This Row],[Commissioned Date]]),MAX(0,(expected_production[[#This Row],[Date]]-expected_production[[#This Row],[Commissioned Date]])/365.25),"")</f>
        <v>3.1567419575633129</v>
      </c>
      <c r="F1441" s="49">
        <f>IF(expected_production[[#This Row],[Age (yrs)]]="",1,(1-DegradationRate)^expected_production[[#This Row],[Age (yrs)]])</f>
        <v>0.97806915901596192</v>
      </c>
      <c r="G1441" s="52">
        <f>IF(expected_production[[#This Row],[Base Expected (kWh)]]="","",expected_production[[#This Row],[Base Expected (kWh)]]*expected_production[[#This Row],[Degradation Factor]])</f>
        <v>5500.7587572216717</v>
      </c>
    </row>
    <row r="1442" spans="1:7" ht="15" hidden="1" customHeight="1" x14ac:dyDescent="0.3">
      <c r="A1442" t="s">
        <v>142</v>
      </c>
      <c r="B1442" s="2">
        <v>46357</v>
      </c>
      <c r="C1442" s="52">
        <v>5995.8</v>
      </c>
      <c r="D1442" s="48">
        <f>_xlfn.XLOOKUP(expected_production[[#This Row],[Site Name]],Table1[[Site Name ]],Table1[Commisioned Date],"")</f>
        <v>45174</v>
      </c>
      <c r="E1442" s="47">
        <f>IF(ISNUMBER(expected_production[[#This Row],[Commissioned Date]]),MAX(0,(expected_production[[#This Row],[Date]]-expected_production[[#This Row],[Commissioned Date]])/365.25),"")</f>
        <v>3.2388774811772758</v>
      </c>
      <c r="F1442" s="49">
        <f>IF(expected_production[[#This Row],[Age (yrs)]]="",1,(1-DegradationRate)^expected_production[[#This Row],[Age (yrs)]])</f>
        <v>0.97750500480239255</v>
      </c>
      <c r="G1442" s="52">
        <f>IF(expected_production[[#This Row],[Base Expected (kWh)]]="","",expected_production[[#This Row],[Base Expected (kWh)]]*expected_production[[#This Row],[Degradation Factor]])</f>
        <v>5860.924507794185</v>
      </c>
    </row>
    <row r="1443" spans="1:7" ht="15" hidden="1" customHeight="1" x14ac:dyDescent="0.3">
      <c r="A1443" t="s">
        <v>145</v>
      </c>
      <c r="B1443" s="2">
        <v>45292</v>
      </c>
      <c r="C1443" s="52">
        <v>41208.480000000003</v>
      </c>
      <c r="D1443" s="48">
        <f>_xlfn.XLOOKUP(expected_production[[#This Row],[Site Name]],Table1[[Site Name ]],Table1[Commisioned Date],"")</f>
        <v>45101</v>
      </c>
      <c r="E1443" s="47">
        <f>IF(ISNUMBER(expected_production[[#This Row],[Commissioned Date]]),MAX(0,(expected_production[[#This Row],[Date]]-expected_production[[#This Row],[Commissioned Date]])/365.25),"")</f>
        <v>0.5229295003422314</v>
      </c>
      <c r="F1443" s="49">
        <f>IF(expected_production[[#This Row],[Age (yrs)]]="",1,(1-DegradationRate)^expected_production[[#This Row],[Age (yrs)]])</f>
        <v>0.99633336022160601</v>
      </c>
      <c r="G1443" s="52">
        <f>IF(expected_production[[#This Row],[Base Expected (kWh)]]="","",expected_production[[#This Row],[Base Expected (kWh)]]*expected_production[[#This Row],[Degradation Factor]])</f>
        <v>41057.38334802485</v>
      </c>
    </row>
    <row r="1444" spans="1:7" ht="15" hidden="1" customHeight="1" x14ac:dyDescent="0.3">
      <c r="A1444" t="s">
        <v>145</v>
      </c>
      <c r="B1444" s="2">
        <v>45323</v>
      </c>
      <c r="C1444" s="52">
        <v>35976.15</v>
      </c>
      <c r="D1444" s="48">
        <f>_xlfn.XLOOKUP(expected_production[[#This Row],[Site Name]],Table1[[Site Name ]],Table1[Commisioned Date],"")</f>
        <v>45101</v>
      </c>
      <c r="E1444" s="47">
        <f>IF(ISNUMBER(expected_production[[#This Row],[Commissioned Date]]),MAX(0,(expected_production[[#This Row],[Date]]-expected_production[[#This Row],[Commissioned Date]])/365.25),"")</f>
        <v>0.6078028747433265</v>
      </c>
      <c r="F1444" s="49">
        <f>IF(expected_production[[#This Row],[Age (yrs)]]="",1,(1-DegradationRate)^expected_production[[#This Row],[Age (yrs)]])</f>
        <v>0.9957395205508629</v>
      </c>
      <c r="G1444" s="52">
        <f>IF(expected_production[[#This Row],[Base Expected (kWh)]]="","",expected_production[[#This Row],[Base Expected (kWh)]]*expected_production[[#This Row],[Degradation Factor]])</f>
        <v>35822.874352265928</v>
      </c>
    </row>
    <row r="1445" spans="1:7" ht="15" hidden="1" customHeight="1" x14ac:dyDescent="0.3">
      <c r="A1445" t="s">
        <v>145</v>
      </c>
      <c r="B1445" s="2">
        <v>45352</v>
      </c>
      <c r="C1445" s="52">
        <v>36559.980000000003</v>
      </c>
      <c r="D1445" s="48">
        <f>_xlfn.XLOOKUP(expected_production[[#This Row],[Site Name]],Table1[[Site Name ]],Table1[Commisioned Date],"")</f>
        <v>45101</v>
      </c>
      <c r="E1445" s="47">
        <f>IF(ISNUMBER(expected_production[[#This Row],[Commissioned Date]]),MAX(0,(expected_production[[#This Row],[Date]]-expected_production[[#This Row],[Commissioned Date]])/365.25),"")</f>
        <v>0.68720054757015747</v>
      </c>
      <c r="F1445" s="49">
        <f>IF(expected_production[[#This Row],[Age (yrs)]]="",1,(1-DegradationRate)^expected_production[[#This Row],[Age (yrs)]])</f>
        <v>0.99518431354842052</v>
      </c>
      <c r="G1445" s="52">
        <f>IF(expected_production[[#This Row],[Base Expected (kWh)]]="","",expected_production[[#This Row],[Base Expected (kWh)]]*expected_production[[#This Row],[Degradation Factor]])</f>
        <v>36383.918599643985</v>
      </c>
    </row>
    <row r="1446" spans="1:7" ht="15" hidden="1" customHeight="1" x14ac:dyDescent="0.3">
      <c r="A1446" t="s">
        <v>145</v>
      </c>
      <c r="B1446" s="2">
        <v>45383</v>
      </c>
      <c r="C1446" s="52">
        <v>33604.11</v>
      </c>
      <c r="D1446" s="48">
        <f>_xlfn.XLOOKUP(expected_production[[#This Row],[Site Name]],Table1[[Site Name ]],Table1[Commisioned Date],"")</f>
        <v>45101</v>
      </c>
      <c r="E1446" s="47">
        <f>IF(ISNUMBER(expected_production[[#This Row],[Commissioned Date]]),MAX(0,(expected_production[[#This Row],[Date]]-expected_production[[#This Row],[Commissioned Date]])/365.25),"")</f>
        <v>0.77207392197125257</v>
      </c>
      <c r="F1446" s="49">
        <f>IF(expected_production[[#This Row],[Age (yrs)]]="",1,(1-DegradationRate)^expected_production[[#This Row],[Age (yrs)]])</f>
        <v>0.99459115873831261</v>
      </c>
      <c r="G1446" s="52">
        <f>IF(expected_production[[#This Row],[Base Expected (kWh)]]="","",expected_production[[#This Row],[Base Expected (kWh)]]*expected_production[[#This Row],[Degradation Factor]])</f>
        <v>33422.350703269716</v>
      </c>
    </row>
    <row r="1447" spans="1:7" ht="15" hidden="1" customHeight="1" x14ac:dyDescent="0.3">
      <c r="A1447" t="s">
        <v>145</v>
      </c>
      <c r="B1447" s="2">
        <v>45413</v>
      </c>
      <c r="C1447" s="52">
        <v>32958.629999999997</v>
      </c>
      <c r="D1447" s="48">
        <f>_xlfn.XLOOKUP(expected_production[[#This Row],[Site Name]],Table1[[Site Name ]],Table1[Commisioned Date],"")</f>
        <v>45101</v>
      </c>
      <c r="E1447" s="47">
        <f>IF(ISNUMBER(expected_production[[#This Row],[Commissioned Date]]),MAX(0,(expected_production[[#This Row],[Date]]-expected_production[[#This Row],[Commissioned Date]])/365.25),"")</f>
        <v>0.85420944558521561</v>
      </c>
      <c r="F1447" s="49">
        <f>IF(expected_production[[#This Row],[Age (yrs)]]="",1,(1-DegradationRate)^expected_production[[#This Row],[Age (yrs)]])</f>
        <v>0.99401747456904022</v>
      </c>
      <c r="G1447" s="52">
        <f>IF(expected_production[[#This Row],[Base Expected (kWh)]]="","",expected_production[[#This Row],[Base Expected (kWh)]]*expected_production[[#This Row],[Degradation Factor]])</f>
        <v>32761.454157855402</v>
      </c>
    </row>
    <row r="1448" spans="1:7" ht="15" hidden="1" customHeight="1" x14ac:dyDescent="0.3">
      <c r="A1448" t="s">
        <v>145</v>
      </c>
      <c r="B1448" s="2">
        <v>45444</v>
      </c>
      <c r="C1448" s="52">
        <v>30018.22119</v>
      </c>
      <c r="D1448" s="48">
        <f>_xlfn.XLOOKUP(expected_production[[#This Row],[Site Name]],Table1[[Site Name ]],Table1[Commisioned Date],"")</f>
        <v>45101</v>
      </c>
      <c r="E1448" s="47">
        <f>IF(ISNUMBER(expected_production[[#This Row],[Commissioned Date]]),MAX(0,(expected_production[[#This Row],[Date]]-expected_production[[#This Row],[Commissioned Date]])/365.25),"")</f>
        <v>0.93908281998631071</v>
      </c>
      <c r="F1448" s="49">
        <f>IF(expected_production[[#This Row],[Age (yrs)]]="",1,(1-DegradationRate)^expected_production[[#This Row],[Age (yrs)]])</f>
        <v>0.99342501522422844</v>
      </c>
      <c r="G1448" s="52">
        <f>IF(expected_production[[#This Row],[Base Expected (kWh)]]="","",expected_production[[#This Row],[Base Expected (kWh)]]*expected_production[[#This Row],[Degradation Factor]])</f>
        <v>29820.851842680007</v>
      </c>
    </row>
    <row r="1449" spans="1:7" ht="15" hidden="1" customHeight="1" x14ac:dyDescent="0.3">
      <c r="A1449" t="s">
        <v>145</v>
      </c>
      <c r="B1449" s="2">
        <v>45474</v>
      </c>
      <c r="C1449" s="52">
        <v>32459.809590000001</v>
      </c>
      <c r="D1449" s="48">
        <f>_xlfn.XLOOKUP(expected_production[[#This Row],[Site Name]],Table1[[Site Name ]],Table1[Commisioned Date],"")</f>
        <v>45101</v>
      </c>
      <c r="E1449" s="47">
        <f>IF(ISNUMBER(expected_production[[#This Row],[Commissioned Date]]),MAX(0,(expected_production[[#This Row],[Date]]-expected_production[[#This Row],[Commissioned Date]])/365.25),"")</f>
        <v>1.0212183436002737</v>
      </c>
      <c r="F1449" s="49">
        <f>IF(expected_production[[#This Row],[Age (yrs)]]="",1,(1-DegradationRate)^expected_production[[#This Row],[Age (yrs)]])</f>
        <v>0.99285200369121185</v>
      </c>
      <c r="G1449" s="52">
        <f>IF(expected_production[[#This Row],[Base Expected (kWh)]]="","",expected_production[[#This Row],[Base Expected (kWh)]]*expected_production[[#This Row],[Degradation Factor]])</f>
        <v>32227.786990866716</v>
      </c>
    </row>
    <row r="1450" spans="1:7" ht="15" hidden="1" customHeight="1" x14ac:dyDescent="0.3">
      <c r="A1450" t="s">
        <v>145</v>
      </c>
      <c r="B1450" s="2">
        <v>45505</v>
      </c>
      <c r="C1450" s="52">
        <v>36506.12571</v>
      </c>
      <c r="D1450" s="48">
        <f>_xlfn.XLOOKUP(expected_production[[#This Row],[Site Name]],Table1[[Site Name ]],Table1[Commisioned Date],"")</f>
        <v>45101</v>
      </c>
      <c r="E1450" s="47">
        <f>IF(ISNUMBER(expected_production[[#This Row],[Commissioned Date]]),MAX(0,(expected_production[[#This Row],[Date]]-expected_production[[#This Row],[Commissioned Date]])/365.25),"")</f>
        <v>1.106091718001369</v>
      </c>
      <c r="F1450" s="49">
        <f>IF(expected_production[[#This Row],[Age (yrs)]]="",1,(1-DegradationRate)^expected_production[[#This Row],[Age (yrs)]])</f>
        <v>0.99226023899627325</v>
      </c>
      <c r="G1450" s="52">
        <f>IF(expected_production[[#This Row],[Base Expected (kWh)]]="","",expected_production[[#This Row],[Base Expected (kWh)]]*expected_production[[#This Row],[Degradation Factor]])</f>
        <v>36223.577021832592</v>
      </c>
    </row>
    <row r="1451" spans="1:7" ht="15" hidden="1" customHeight="1" x14ac:dyDescent="0.3">
      <c r="A1451" t="s">
        <v>145</v>
      </c>
      <c r="B1451" s="2">
        <v>45536</v>
      </c>
      <c r="C1451" s="52">
        <v>37370.869830000003</v>
      </c>
      <c r="D1451" s="48">
        <f>_xlfn.XLOOKUP(expected_production[[#This Row],[Site Name]],Table1[[Site Name ]],Table1[Commisioned Date],"")</f>
        <v>45101</v>
      </c>
      <c r="E1451" s="47">
        <f>IF(ISNUMBER(expected_production[[#This Row],[Commissioned Date]]),MAX(0,(expected_production[[#This Row],[Date]]-expected_production[[#This Row],[Commissioned Date]])/365.25),"")</f>
        <v>1.1909650924024642</v>
      </c>
      <c r="F1451" s="49">
        <f>IF(expected_production[[#This Row],[Age (yrs)]]="",1,(1-DegradationRate)^expected_production[[#This Row],[Age (yrs)]])</f>
        <v>0.99166882700793424</v>
      </c>
      <c r="G1451" s="52">
        <f>IF(expected_production[[#This Row],[Base Expected (kWh)]]="","",expected_production[[#This Row],[Base Expected (kWh)]]*expected_production[[#This Row],[Degradation Factor]])</f>
        <v>37059.526648582301</v>
      </c>
    </row>
    <row r="1452" spans="1:7" ht="15" hidden="1" customHeight="1" x14ac:dyDescent="0.3">
      <c r="A1452" t="s">
        <v>145</v>
      </c>
      <c r="B1452" s="2">
        <v>45566</v>
      </c>
      <c r="C1452" s="52">
        <v>40182.986250000002</v>
      </c>
      <c r="D1452" s="48">
        <f>_xlfn.XLOOKUP(expected_production[[#This Row],[Site Name]],Table1[[Site Name ]],Table1[Commisioned Date],"")</f>
        <v>45101</v>
      </c>
      <c r="E1452" s="47">
        <f>IF(ISNUMBER(expected_production[[#This Row],[Commissioned Date]]),MAX(0,(expected_production[[#This Row],[Date]]-expected_production[[#This Row],[Commissioned Date]])/365.25),"")</f>
        <v>1.2731006160164271</v>
      </c>
      <c r="F1452" s="49">
        <f>IF(expected_production[[#This Row],[Age (yrs)]]="",1,(1-DegradationRate)^expected_production[[#This Row],[Age (yrs)]])</f>
        <v>0.99109682845132419</v>
      </c>
      <c r="G1452" s="52">
        <f>IF(expected_production[[#This Row],[Base Expected (kWh)]]="","",expected_production[[#This Row],[Base Expected (kWh)]]*expected_production[[#This Row],[Degradation Factor]])</f>
        <v>39825.230230078167</v>
      </c>
    </row>
    <row r="1453" spans="1:7" ht="15" hidden="1" customHeight="1" x14ac:dyDescent="0.3">
      <c r="A1453" t="s">
        <v>145</v>
      </c>
      <c r="B1453" s="2">
        <v>45597</v>
      </c>
      <c r="C1453" s="52">
        <v>40330.536119999997</v>
      </c>
      <c r="D1453" s="48">
        <f>_xlfn.XLOOKUP(expected_production[[#This Row],[Site Name]],Table1[[Site Name ]],Table1[Commisioned Date],"")</f>
        <v>45101</v>
      </c>
      <c r="E1453" s="47">
        <f>IF(ISNUMBER(expected_production[[#This Row],[Commissioned Date]]),MAX(0,(expected_production[[#This Row],[Date]]-expected_production[[#This Row],[Commissioned Date]])/365.25),"")</f>
        <v>1.3579739904175223</v>
      </c>
      <c r="F1453" s="49">
        <f>IF(expected_production[[#This Row],[Age (yrs)]]="",1,(1-DegradationRate)^expected_production[[#This Row],[Age (yrs)]])</f>
        <v>0.99050610988484844</v>
      </c>
      <c r="G1453" s="52">
        <f>IF(expected_production[[#This Row],[Base Expected (kWh)]]="","",expected_production[[#This Row],[Base Expected (kWh)]]*expected_production[[#This Row],[Degradation Factor]])</f>
        <v>39947.64244179157</v>
      </c>
    </row>
    <row r="1454" spans="1:7" ht="15" hidden="1" customHeight="1" x14ac:dyDescent="0.3">
      <c r="A1454" t="s">
        <v>145</v>
      </c>
      <c r="B1454" s="2">
        <v>45627</v>
      </c>
      <c r="C1454" s="52">
        <v>42601.427819999997</v>
      </c>
      <c r="D1454" s="48">
        <f>_xlfn.XLOOKUP(expected_production[[#This Row],[Site Name]],Table1[[Site Name ]],Table1[Commisioned Date],"")</f>
        <v>45101</v>
      </c>
      <c r="E1454" s="47">
        <f>IF(ISNUMBER(expected_production[[#This Row],[Commissioned Date]]),MAX(0,(expected_production[[#This Row],[Date]]-expected_production[[#This Row],[Commissioned Date]])/365.25),"")</f>
        <v>1.4401095140314852</v>
      </c>
      <c r="F1454" s="49">
        <f>IF(expected_production[[#This Row],[Age (yrs)]]="",1,(1-DegradationRate)^expected_production[[#This Row],[Age (yrs)]])</f>
        <v>0.98993478198813811</v>
      </c>
      <c r="G1454" s="52">
        <f>IF(expected_production[[#This Row],[Base Expected (kWh)]]="","",expected_production[[#This Row],[Base Expected (kWh)]]*expected_production[[#This Row],[Degradation Factor]])</f>
        <v>42172.635161375096</v>
      </c>
    </row>
    <row r="1455" spans="1:7" ht="15" hidden="1" customHeight="1" x14ac:dyDescent="0.3">
      <c r="A1455" t="s">
        <v>145</v>
      </c>
      <c r="B1455" s="2">
        <v>45658</v>
      </c>
      <c r="C1455" s="52">
        <v>41208.480000000003</v>
      </c>
      <c r="D1455" s="48">
        <f>_xlfn.XLOOKUP(expected_production[[#This Row],[Site Name]],Table1[[Site Name ]],Table1[Commisioned Date],"")</f>
        <v>45101</v>
      </c>
      <c r="E1455" s="47">
        <f>IF(ISNUMBER(expected_production[[#This Row],[Commissioned Date]]),MAX(0,(expected_production[[#This Row],[Date]]-expected_production[[#This Row],[Commissioned Date]])/365.25),"")</f>
        <v>1.5249828884325805</v>
      </c>
      <c r="F1455" s="49">
        <f>IF(expected_production[[#This Row],[Age (yrs)]]="",1,(1-DegradationRate)^expected_production[[#This Row],[Age (yrs)]])</f>
        <v>0.98934475603049854</v>
      </c>
      <c r="G1455" s="52">
        <f>IF(expected_production[[#This Row],[Base Expected (kWh)]]="","",expected_production[[#This Row],[Base Expected (kWh)]]*expected_production[[#This Row],[Degradation Factor]])</f>
        <v>40769.393591987682</v>
      </c>
    </row>
    <row r="1456" spans="1:7" ht="15" hidden="1" customHeight="1" x14ac:dyDescent="0.3">
      <c r="A1456" t="s">
        <v>145</v>
      </c>
      <c r="B1456" s="2">
        <v>45689</v>
      </c>
      <c r="C1456" s="52">
        <v>35976.15</v>
      </c>
      <c r="D1456" s="48">
        <f>_xlfn.XLOOKUP(expected_production[[#This Row],[Site Name]],Table1[[Site Name ]],Table1[Commisioned Date],"")</f>
        <v>45101</v>
      </c>
      <c r="E1456" s="47">
        <f>IF(ISNUMBER(expected_production[[#This Row],[Commissioned Date]]),MAX(0,(expected_production[[#This Row],[Date]]-expected_production[[#This Row],[Commissioned Date]])/365.25),"")</f>
        <v>1.6098562628336757</v>
      </c>
      <c r="F1456" s="49">
        <f>IF(expected_production[[#This Row],[Age (yrs)]]="",1,(1-DegradationRate)^expected_production[[#This Row],[Age (yrs)]])</f>
        <v>0.98875508174312754</v>
      </c>
      <c r="G1456" s="52">
        <f>IF(expected_production[[#This Row],[Base Expected (kWh)]]="","",expected_production[[#This Row],[Base Expected (kWh)]]*expected_production[[#This Row],[Degradation Factor]])</f>
        <v>35571.601134053017</v>
      </c>
    </row>
    <row r="1457" spans="1:7" ht="15" hidden="1" customHeight="1" x14ac:dyDescent="0.3">
      <c r="A1457" t="s">
        <v>145</v>
      </c>
      <c r="B1457" s="2">
        <v>45717</v>
      </c>
      <c r="C1457" s="52">
        <v>36559.980000000003</v>
      </c>
      <c r="D1457" s="48">
        <f>_xlfn.XLOOKUP(expected_production[[#This Row],[Site Name]],Table1[[Site Name ]],Table1[Commisioned Date],"")</f>
        <v>45101</v>
      </c>
      <c r="E1457" s="47">
        <f>IF(ISNUMBER(expected_production[[#This Row],[Commissioned Date]]),MAX(0,(expected_production[[#This Row],[Date]]-expected_production[[#This Row],[Commissioned Date]])/365.25),"")</f>
        <v>1.6865160848733745</v>
      </c>
      <c r="F1457" s="49">
        <f>IF(expected_production[[#This Row],[Age (yrs)]]="",1,(1-DegradationRate)^expected_production[[#This Row],[Age (yrs)]])</f>
        <v>0.98822277480312049</v>
      </c>
      <c r="G1457" s="52">
        <f>IF(expected_production[[#This Row],[Base Expected (kWh)]]="","",expected_production[[#This Row],[Base Expected (kWh)]]*expected_production[[#This Row],[Degradation Factor]])</f>
        <v>36129.404882346593</v>
      </c>
    </row>
    <row r="1458" spans="1:7" ht="15" hidden="1" customHeight="1" x14ac:dyDescent="0.3">
      <c r="A1458" t="s">
        <v>145</v>
      </c>
      <c r="B1458" s="2">
        <v>45748</v>
      </c>
      <c r="C1458" s="52">
        <v>33604.11</v>
      </c>
      <c r="D1458" s="48">
        <f>_xlfn.XLOOKUP(expected_production[[#This Row],[Site Name]],Table1[[Site Name ]],Table1[Commisioned Date],"")</f>
        <v>45101</v>
      </c>
      <c r="E1458" s="47">
        <f>IF(ISNUMBER(expected_production[[#This Row],[Commissioned Date]]),MAX(0,(expected_production[[#This Row],[Date]]-expected_production[[#This Row],[Commissioned Date]])/365.25),"")</f>
        <v>1.7713894592744694</v>
      </c>
      <c r="F1458" s="49">
        <f>IF(expected_production[[#This Row],[Age (yrs)]]="",1,(1-DegradationRate)^expected_production[[#This Row],[Age (yrs)]])</f>
        <v>0.98763376924470025</v>
      </c>
      <c r="G1458" s="52">
        <f>IF(expected_production[[#This Row],[Base Expected (kWh)]]="","",expected_production[[#This Row],[Base Expected (kWh)]]*expected_production[[#This Row],[Degradation Factor]])</f>
        <v>33188.553821413523</v>
      </c>
    </row>
    <row r="1459" spans="1:7" ht="15" hidden="1" customHeight="1" x14ac:dyDescent="0.3">
      <c r="A1459" t="s">
        <v>145</v>
      </c>
      <c r="B1459" s="2">
        <v>45778</v>
      </c>
      <c r="C1459" s="52">
        <v>32958.629999999997</v>
      </c>
      <c r="D1459" s="48">
        <f>_xlfn.XLOOKUP(expected_production[[#This Row],[Site Name]],Table1[[Site Name ]],Table1[Commisioned Date],"")</f>
        <v>45101</v>
      </c>
      <c r="E1459" s="47">
        <f>IF(ISNUMBER(expected_production[[#This Row],[Commissioned Date]]),MAX(0,(expected_production[[#This Row],[Date]]-expected_production[[#This Row],[Commissioned Date]])/365.25),"")</f>
        <v>1.8535249828884326</v>
      </c>
      <c r="F1459" s="49">
        <f>IF(expected_production[[#This Row],[Age (yrs)]]="",1,(1-DegradationRate)^expected_production[[#This Row],[Age (yrs)]])</f>
        <v>0.98706409812559115</v>
      </c>
      <c r="G1459" s="52">
        <f>IF(expected_production[[#This Row],[Base Expected (kWh)]]="","",expected_production[[#This Row],[Base Expected (kWh)]]*expected_production[[#This Row],[Degradation Factor]])</f>
        <v>32532.280396405051</v>
      </c>
    </row>
    <row r="1460" spans="1:7" ht="15" hidden="1" customHeight="1" x14ac:dyDescent="0.3">
      <c r="A1460" t="s">
        <v>145</v>
      </c>
      <c r="B1460" s="2">
        <v>45809</v>
      </c>
      <c r="C1460" s="52">
        <v>30018.22119</v>
      </c>
      <c r="D1460" s="48">
        <f>_xlfn.XLOOKUP(expected_production[[#This Row],[Site Name]],Table1[[Site Name ]],Table1[Commisioned Date],"")</f>
        <v>45101</v>
      </c>
      <c r="E1460" s="47">
        <f>IF(ISNUMBER(expected_production[[#This Row],[Commissioned Date]]),MAX(0,(expected_production[[#This Row],[Date]]-expected_production[[#This Row],[Commissioned Date]])/365.25),"")</f>
        <v>1.9383983572895278</v>
      </c>
      <c r="F1460" s="49">
        <f>IF(expected_production[[#This Row],[Age (yrs)]]="",1,(1-DegradationRate)^expected_production[[#This Row],[Age (yrs)]])</f>
        <v>0.98647578316753037</v>
      </c>
      <c r="G1460" s="52">
        <f>IF(expected_production[[#This Row],[Base Expected (kWh)]]="","",expected_production[[#This Row],[Base Expected (kWh)]]*expected_production[[#This Row],[Degradation Factor]])</f>
        <v>29612.248257701405</v>
      </c>
    </row>
    <row r="1461" spans="1:7" ht="15" hidden="1" customHeight="1" x14ac:dyDescent="0.3">
      <c r="A1461" t="s">
        <v>145</v>
      </c>
      <c r="B1461" s="2">
        <v>45839</v>
      </c>
      <c r="C1461" s="52">
        <v>32459.809590000001</v>
      </c>
      <c r="D1461" s="48">
        <f>_xlfn.XLOOKUP(expected_production[[#This Row],[Site Name]],Table1[[Site Name ]],Table1[Commisioned Date],"")</f>
        <v>45101</v>
      </c>
      <c r="E1461" s="47">
        <f>IF(ISNUMBER(expected_production[[#This Row],[Commissioned Date]]),MAX(0,(expected_production[[#This Row],[Date]]-expected_production[[#This Row],[Commissioned Date]])/365.25),"")</f>
        <v>2.020533880903491</v>
      </c>
      <c r="F1461" s="49">
        <f>IF(expected_production[[#This Row],[Age (yrs)]]="",1,(1-DegradationRate)^expected_production[[#This Row],[Age (yrs)]])</f>
        <v>0.98590677997943466</v>
      </c>
      <c r="G1461" s="52">
        <f>IF(expected_production[[#This Row],[Base Expected (kWh)]]="","",expected_production[[#This Row],[Base Expected (kWh)]]*expected_production[[#This Row],[Degradation Factor]])</f>
        <v>32002.346351622473</v>
      </c>
    </row>
    <row r="1462" spans="1:7" ht="15" hidden="1" customHeight="1" x14ac:dyDescent="0.3">
      <c r="A1462" t="s">
        <v>145</v>
      </c>
      <c r="B1462" s="2">
        <v>45870</v>
      </c>
      <c r="C1462" s="52">
        <v>36506.12571</v>
      </c>
      <c r="D1462" s="48">
        <f>_xlfn.XLOOKUP(expected_production[[#This Row],[Site Name]],Table1[[Site Name ]],Table1[Commisioned Date],"")</f>
        <v>45101</v>
      </c>
      <c r="E1462" s="47">
        <f>IF(ISNUMBER(expected_production[[#This Row],[Commissioned Date]]),MAX(0,(expected_production[[#This Row],[Date]]-expected_production[[#This Row],[Commissioned Date]])/365.25),"")</f>
        <v>2.1054072553045859</v>
      </c>
      <c r="F1462" s="49">
        <f>IF(expected_production[[#This Row],[Age (yrs)]]="",1,(1-DegradationRate)^expected_production[[#This Row],[Age (yrs)]])</f>
        <v>0.9853191548120146</v>
      </c>
      <c r="G1462" s="52">
        <f>IF(expected_production[[#This Row],[Base Expected (kWh)]]="","",expected_production[[#This Row],[Base Expected (kWh)]]*expected_production[[#This Row],[Degradation Factor]])</f>
        <v>35970.184930038355</v>
      </c>
    </row>
    <row r="1463" spans="1:7" ht="15" hidden="1" customHeight="1" x14ac:dyDescent="0.3">
      <c r="A1463" t="s">
        <v>145</v>
      </c>
      <c r="B1463" s="2">
        <v>45901</v>
      </c>
      <c r="C1463" s="52">
        <v>37370.869830000003</v>
      </c>
      <c r="D1463" s="48">
        <f>_xlfn.XLOOKUP(expected_production[[#This Row],[Site Name]],Table1[[Site Name ]],Table1[Commisioned Date],"")</f>
        <v>45101</v>
      </c>
      <c r="E1463" s="47">
        <f>IF(ISNUMBER(expected_production[[#This Row],[Commissioned Date]]),MAX(0,(expected_production[[#This Row],[Date]]-expected_production[[#This Row],[Commissioned Date]])/365.25),"")</f>
        <v>2.1902806297056809</v>
      </c>
      <c r="F1463" s="49">
        <f>IF(expected_production[[#This Row],[Age (yrs)]]="",1,(1-DegradationRate)^expected_production[[#This Row],[Age (yrs)]])</f>
        <v>0.98473187988393196</v>
      </c>
      <c r="G1463" s="52">
        <f>IF(expected_production[[#This Row],[Base Expected (kWh)]]="","",expected_production[[#This Row],[Base Expected (kWh)]]*expected_production[[#This Row],[Degradation Factor]])</f>
        <v>36800.286900593623</v>
      </c>
    </row>
    <row r="1464" spans="1:7" ht="15" hidden="1" customHeight="1" x14ac:dyDescent="0.3">
      <c r="A1464" t="s">
        <v>145</v>
      </c>
      <c r="B1464" s="2">
        <v>45931</v>
      </c>
      <c r="C1464" s="52">
        <v>40182.986250000002</v>
      </c>
      <c r="D1464" s="48">
        <f>_xlfn.XLOOKUP(expected_production[[#This Row],[Site Name]],Table1[[Site Name ]],Table1[Commisioned Date],"")</f>
        <v>45101</v>
      </c>
      <c r="E1464" s="47">
        <f>IF(ISNUMBER(expected_production[[#This Row],[Commissioned Date]]),MAX(0,(expected_production[[#This Row],[Date]]-expected_production[[#This Row],[Commissioned Date]])/365.25),"")</f>
        <v>2.2724161533196439</v>
      </c>
      <c r="F1464" s="49">
        <f>IF(expected_production[[#This Row],[Age (yrs)]]="",1,(1-DegradationRate)^expected_production[[#This Row],[Age (yrs)]])</f>
        <v>0.98416388258624432</v>
      </c>
      <c r="G1464" s="52">
        <f>IF(expected_production[[#This Row],[Base Expected (kWh)]]="","",expected_production[[#This Row],[Base Expected (kWh)]]*expected_production[[#This Row],[Degradation Factor]])</f>
        <v>39546.643761709674</v>
      </c>
    </row>
    <row r="1465" spans="1:7" ht="15" hidden="1" customHeight="1" x14ac:dyDescent="0.3">
      <c r="A1465" t="s">
        <v>145</v>
      </c>
      <c r="B1465" s="2">
        <v>45962</v>
      </c>
      <c r="C1465" s="52">
        <v>40330.536119999997</v>
      </c>
      <c r="D1465" s="48">
        <f>_xlfn.XLOOKUP(expected_production[[#This Row],[Site Name]],Table1[[Site Name ]],Table1[Commisioned Date],"")</f>
        <v>45101</v>
      </c>
      <c r="E1465" s="47">
        <f>IF(ISNUMBER(expected_production[[#This Row],[Commissioned Date]]),MAX(0,(expected_production[[#This Row],[Date]]-expected_production[[#This Row],[Commissioned Date]])/365.25),"")</f>
        <v>2.3572895277207393</v>
      </c>
      <c r="F1465" s="49">
        <f>IF(expected_production[[#This Row],[Age (yrs)]]="",1,(1-DegradationRate)^expected_production[[#This Row],[Age (yrs)]])</f>
        <v>0.9835772962293825</v>
      </c>
      <c r="G1465" s="52">
        <f>IF(expected_production[[#This Row],[Base Expected (kWh)]]="","",expected_production[[#This Row],[Base Expected (kWh)]]*expected_production[[#This Row],[Degradation Factor]])</f>
        <v>39668.199672391049</v>
      </c>
    </row>
    <row r="1466" spans="1:7" ht="15" hidden="1" customHeight="1" x14ac:dyDescent="0.3">
      <c r="A1466" t="s">
        <v>145</v>
      </c>
      <c r="B1466" s="2">
        <v>45992</v>
      </c>
      <c r="C1466" s="52">
        <v>42601.427819999997</v>
      </c>
      <c r="D1466" s="48">
        <f>_xlfn.XLOOKUP(expected_production[[#This Row],[Site Name]],Table1[[Site Name ]],Table1[Commisioned Date],"")</f>
        <v>45101</v>
      </c>
      <c r="E1466" s="47">
        <f>IF(ISNUMBER(expected_production[[#This Row],[Commissioned Date]]),MAX(0,(expected_production[[#This Row],[Date]]-expected_production[[#This Row],[Commissioned Date]])/365.25),"")</f>
        <v>2.4394250513347022</v>
      </c>
      <c r="F1466" s="49">
        <f>IF(expected_production[[#This Row],[Age (yrs)]]="",1,(1-DegradationRate)^expected_production[[#This Row],[Age (yrs)]])</f>
        <v>0.98300996490017745</v>
      </c>
      <c r="G1466" s="52">
        <f>IF(expected_production[[#This Row],[Base Expected (kWh)]]="","",expected_production[[#This Row],[Base Expected (kWh)]]*expected_production[[#This Row],[Degradation Factor]])</f>
        <v>41877.628066035642</v>
      </c>
    </row>
    <row r="1467" spans="1:7" ht="15" hidden="1" customHeight="1" x14ac:dyDescent="0.3">
      <c r="A1467" t="s">
        <v>145</v>
      </c>
      <c r="B1467" s="2">
        <v>46023</v>
      </c>
      <c r="C1467" s="52">
        <v>41208.480000000003</v>
      </c>
      <c r="D1467" s="48">
        <f>_xlfn.XLOOKUP(expected_production[[#This Row],[Site Name]],Table1[[Site Name ]],Table1[Commisioned Date],"")</f>
        <v>45101</v>
      </c>
      <c r="E1467" s="47">
        <f>IF(ISNUMBER(expected_production[[#This Row],[Commissioned Date]]),MAX(0,(expected_production[[#This Row],[Date]]-expected_production[[#This Row],[Commissioned Date]])/365.25),"")</f>
        <v>2.5242984257357972</v>
      </c>
      <c r="F1467" s="49">
        <f>IF(expected_production[[#This Row],[Age (yrs)]]="",1,(1-DegradationRate)^expected_production[[#This Row],[Age (yrs)]])</f>
        <v>0.9824240663071967</v>
      </c>
      <c r="G1467" s="52">
        <f>IF(expected_production[[#This Row],[Base Expected (kWh)]]="","",expected_production[[#This Row],[Base Expected (kWh)]]*expected_production[[#This Row],[Degradation Factor]])</f>
        <v>40484.20248793879</v>
      </c>
    </row>
    <row r="1468" spans="1:7" ht="15" hidden="1" customHeight="1" x14ac:dyDescent="0.3">
      <c r="A1468" t="s">
        <v>145</v>
      </c>
      <c r="B1468" s="2">
        <v>46054</v>
      </c>
      <c r="C1468" s="52">
        <v>35976.15</v>
      </c>
      <c r="D1468" s="48">
        <f>_xlfn.XLOOKUP(expected_production[[#This Row],[Site Name]],Table1[[Site Name ]],Table1[Commisioned Date],"")</f>
        <v>45101</v>
      </c>
      <c r="E1468" s="47">
        <f>IF(ISNUMBER(expected_production[[#This Row],[Commissioned Date]]),MAX(0,(expected_production[[#This Row],[Date]]-expected_production[[#This Row],[Commissioned Date]])/365.25),"")</f>
        <v>2.6091718001368926</v>
      </c>
      <c r="F1468" s="49">
        <f>IF(expected_production[[#This Row],[Age (yrs)]]="",1,(1-DegradationRate)^expected_production[[#This Row],[Age (yrs)]])</f>
        <v>0.98183851692447177</v>
      </c>
      <c r="G1468" s="52">
        <f>IF(expected_production[[#This Row],[Base Expected (kWh)]]="","",expected_production[[#This Row],[Base Expected (kWh)]]*expected_production[[#This Row],[Degradation Factor]])</f>
        <v>35322.769760652336</v>
      </c>
    </row>
    <row r="1469" spans="1:7" ht="15" hidden="1" customHeight="1" x14ac:dyDescent="0.3">
      <c r="A1469" t="s">
        <v>145</v>
      </c>
      <c r="B1469" s="2">
        <v>46082</v>
      </c>
      <c r="C1469" s="52">
        <v>36559.980000000003</v>
      </c>
      <c r="D1469" s="48">
        <f>_xlfn.XLOOKUP(expected_production[[#This Row],[Site Name]],Table1[[Site Name ]],Table1[Commisioned Date],"")</f>
        <v>45101</v>
      </c>
      <c r="E1469" s="47">
        <f>IF(ISNUMBER(expected_production[[#This Row],[Commissioned Date]]),MAX(0,(expected_production[[#This Row],[Date]]-expected_production[[#This Row],[Commissioned Date]])/365.25),"")</f>
        <v>2.6858316221765914</v>
      </c>
      <c r="F1469" s="49">
        <f>IF(expected_production[[#This Row],[Age (yrs)]]="",1,(1-DegradationRate)^expected_production[[#This Row],[Age (yrs)]])</f>
        <v>0.98130993359157626</v>
      </c>
      <c r="G1469" s="52">
        <f>IF(expected_production[[#This Row],[Base Expected (kWh)]]="","",expected_production[[#This Row],[Base Expected (kWh)]]*expected_production[[#This Row],[Degradation Factor]])</f>
        <v>35876.671545909361</v>
      </c>
    </row>
    <row r="1470" spans="1:7" ht="15" hidden="1" customHeight="1" x14ac:dyDescent="0.3">
      <c r="A1470" t="s">
        <v>145</v>
      </c>
      <c r="B1470" s="2">
        <v>46113</v>
      </c>
      <c r="C1470" s="52">
        <v>33604.11</v>
      </c>
      <c r="D1470" s="48">
        <f>_xlfn.XLOOKUP(expected_production[[#This Row],[Site Name]],Table1[[Site Name ]],Table1[Commisioned Date],"")</f>
        <v>45101</v>
      </c>
      <c r="E1470" s="47">
        <f>IF(ISNUMBER(expected_production[[#This Row],[Commissioned Date]]),MAX(0,(expected_production[[#This Row],[Date]]-expected_production[[#This Row],[Commissioned Date]])/365.25),"")</f>
        <v>2.7707049965776864</v>
      </c>
      <c r="F1470" s="49">
        <f>IF(expected_production[[#This Row],[Age (yrs)]]="",1,(1-DegradationRate)^expected_production[[#This Row],[Age (yrs)]])</f>
        <v>0.98072504825989237</v>
      </c>
      <c r="G1470" s="52">
        <f>IF(expected_production[[#This Row],[Base Expected (kWh)]]="","",expected_production[[#This Row],[Base Expected (kWh)]]*expected_production[[#This Row],[Degradation Factor]])</f>
        <v>32956.392401480734</v>
      </c>
    </row>
    <row r="1471" spans="1:7" ht="15" hidden="1" customHeight="1" x14ac:dyDescent="0.3">
      <c r="A1471" t="s">
        <v>145</v>
      </c>
      <c r="B1471" s="2">
        <v>46143</v>
      </c>
      <c r="C1471" s="52">
        <v>32958.629999999997</v>
      </c>
      <c r="D1471" s="48">
        <f>_xlfn.XLOOKUP(expected_production[[#This Row],[Site Name]],Table1[[Site Name ]],Table1[Commisioned Date],"")</f>
        <v>45101</v>
      </c>
      <c r="E1471" s="47">
        <f>IF(ISNUMBER(expected_production[[#This Row],[Commissioned Date]]),MAX(0,(expected_production[[#This Row],[Date]]-expected_production[[#This Row],[Commissioned Date]])/365.25),"")</f>
        <v>2.8528405201916494</v>
      </c>
      <c r="F1471" s="49">
        <f>IF(expected_production[[#This Row],[Age (yrs)]]="",1,(1-DegradationRate)^expected_production[[#This Row],[Age (yrs)]])</f>
        <v>0.98015936211875532</v>
      </c>
      <c r="G1471" s="52">
        <f>IF(expected_production[[#This Row],[Base Expected (kWh)]]="","",expected_production[[#This Row],[Base Expected (kWh)]]*expected_production[[#This Row],[Degradation Factor]])</f>
        <v>32304.70975710807</v>
      </c>
    </row>
    <row r="1472" spans="1:7" ht="15" hidden="1" customHeight="1" x14ac:dyDescent="0.3">
      <c r="A1472" t="s">
        <v>145</v>
      </c>
      <c r="B1472" s="2">
        <v>46174</v>
      </c>
      <c r="C1472" s="52">
        <v>30018.22119</v>
      </c>
      <c r="D1472" s="48">
        <f>_xlfn.XLOOKUP(expected_production[[#This Row],[Site Name]],Table1[[Site Name ]],Table1[Commisioned Date],"")</f>
        <v>45101</v>
      </c>
      <c r="E1472" s="47">
        <f>IF(ISNUMBER(expected_production[[#This Row],[Commissioned Date]]),MAX(0,(expected_production[[#This Row],[Date]]-expected_production[[#This Row],[Commissioned Date]])/365.25),"")</f>
        <v>2.9377138945927448</v>
      </c>
      <c r="F1472" s="49">
        <f>IF(expected_production[[#This Row],[Age (yrs)]]="",1,(1-DegradationRate)^expected_production[[#This Row],[Age (yrs)]])</f>
        <v>0.97957516255652555</v>
      </c>
      <c r="G1472" s="52">
        <f>IF(expected_production[[#This Row],[Base Expected (kWh)]]="","",expected_production[[#This Row],[Base Expected (kWh)]]*expected_production[[#This Row],[Degradation Factor]])</f>
        <v>29405.103901851991</v>
      </c>
    </row>
    <row r="1473" spans="1:7" ht="15" hidden="1" customHeight="1" x14ac:dyDescent="0.3">
      <c r="A1473" t="s">
        <v>145</v>
      </c>
      <c r="B1473" s="2">
        <v>46204</v>
      </c>
      <c r="C1473" s="52">
        <v>32459.809590000001</v>
      </c>
      <c r="D1473" s="48">
        <f>_xlfn.XLOOKUP(expected_production[[#This Row],[Site Name]],Table1[[Site Name ]],Table1[Commisioned Date],"")</f>
        <v>45101</v>
      </c>
      <c r="E1473" s="47">
        <f>IF(ISNUMBER(expected_production[[#This Row],[Commissioned Date]]),MAX(0,(expected_production[[#This Row],[Date]]-expected_production[[#This Row],[Commissioned Date]])/365.25),"")</f>
        <v>3.0198494182067077</v>
      </c>
      <c r="F1473" s="49">
        <f>IF(expected_production[[#This Row],[Age (yrs)]]="",1,(1-DegradationRate)^expected_production[[#This Row],[Age (yrs)]])</f>
        <v>0.97901013967407391</v>
      </c>
      <c r="G1473" s="52">
        <f>IF(expected_production[[#This Row],[Base Expected (kWh)]]="","",expected_production[[#This Row],[Base Expected (kWh)]]*expected_production[[#This Row],[Degradation Factor]])</f>
        <v>31778.482720499745</v>
      </c>
    </row>
    <row r="1474" spans="1:7" ht="15" hidden="1" customHeight="1" x14ac:dyDescent="0.3">
      <c r="A1474" t="s">
        <v>145</v>
      </c>
      <c r="B1474" s="2">
        <v>46235</v>
      </c>
      <c r="C1474" s="52">
        <v>36506.12571</v>
      </c>
      <c r="D1474" s="48">
        <f>_xlfn.XLOOKUP(expected_production[[#This Row],[Site Name]],Table1[[Site Name ]],Table1[Commisioned Date],"")</f>
        <v>45101</v>
      </c>
      <c r="E1474" s="47">
        <f>IF(ISNUMBER(expected_production[[#This Row],[Commissioned Date]]),MAX(0,(expected_production[[#This Row],[Date]]-expected_production[[#This Row],[Commissioned Date]])/365.25),"")</f>
        <v>3.1047227926078027</v>
      </c>
      <c r="F1474" s="49">
        <f>IF(expected_production[[#This Row],[Age (yrs)]]="",1,(1-DegradationRate)^expected_production[[#This Row],[Age (yrs)]])</f>
        <v>0.97842662507724365</v>
      </c>
      <c r="G1474" s="52">
        <f>IF(expected_production[[#This Row],[Base Expected (kWh)]]="","",expected_production[[#This Row],[Base Expected (kWh)]]*expected_production[[#This Row],[Degradation Factor]])</f>
        <v>35718.565373080899</v>
      </c>
    </row>
    <row r="1475" spans="1:7" ht="15" hidden="1" customHeight="1" x14ac:dyDescent="0.3">
      <c r="A1475" t="s">
        <v>145</v>
      </c>
      <c r="B1475" s="2">
        <v>46266</v>
      </c>
      <c r="C1475" s="52">
        <v>37370.869830000003</v>
      </c>
      <c r="D1475" s="48">
        <f>_xlfn.XLOOKUP(expected_production[[#This Row],[Site Name]],Table1[[Site Name ]],Table1[Commisioned Date],"")</f>
        <v>45101</v>
      </c>
      <c r="E1475" s="47">
        <f>IF(ISNUMBER(expected_production[[#This Row],[Commissioned Date]]),MAX(0,(expected_production[[#This Row],[Date]]-expected_production[[#This Row],[Commissioned Date]])/365.25),"")</f>
        <v>3.1895961670088981</v>
      </c>
      <c r="F1475" s="49">
        <f>IF(expected_production[[#This Row],[Age (yrs)]]="",1,(1-DegradationRate)^expected_production[[#This Row],[Age (yrs)]])</f>
        <v>0.97784345826974761</v>
      </c>
      <c r="G1475" s="52">
        <f>IF(expected_production[[#This Row],[Base Expected (kWh)]]="","",expected_production[[#This Row],[Base Expected (kWh)]]*expected_production[[#This Row],[Degradation Factor]])</f>
        <v>36542.86059311578</v>
      </c>
    </row>
    <row r="1476" spans="1:7" ht="15" hidden="1" customHeight="1" x14ac:dyDescent="0.3">
      <c r="A1476" t="s">
        <v>145</v>
      </c>
      <c r="B1476" s="2">
        <v>46296</v>
      </c>
      <c r="C1476" s="52">
        <v>40182.986250000002</v>
      </c>
      <c r="D1476" s="48">
        <f>_xlfn.XLOOKUP(expected_production[[#This Row],[Site Name]],Table1[[Site Name ]],Table1[Commisioned Date],"")</f>
        <v>45101</v>
      </c>
      <c r="E1476" s="47">
        <f>IF(ISNUMBER(expected_production[[#This Row],[Commissioned Date]]),MAX(0,(expected_production[[#This Row],[Date]]-expected_production[[#This Row],[Commissioned Date]])/365.25),"")</f>
        <v>3.2717316906228611</v>
      </c>
      <c r="F1476" s="49">
        <f>IF(expected_production[[#This Row],[Age (yrs)]]="",1,(1-DegradationRate)^expected_production[[#This Row],[Age (yrs)]])</f>
        <v>0.97727943424127384</v>
      </c>
      <c r="G1476" s="52">
        <f>IF(expected_production[[#This Row],[Base Expected (kWh)]]="","",expected_production[[#This Row],[Base Expected (kWh)]]*expected_production[[#This Row],[Degradation Factor]])</f>
        <v>39270.00606852489</v>
      </c>
    </row>
    <row r="1477" spans="1:7" ht="15" hidden="1" customHeight="1" x14ac:dyDescent="0.3">
      <c r="A1477" t="s">
        <v>145</v>
      </c>
      <c r="B1477" s="2">
        <v>46327</v>
      </c>
      <c r="C1477" s="52">
        <v>40330.536119999997</v>
      </c>
      <c r="D1477" s="48">
        <f>_xlfn.XLOOKUP(expected_production[[#This Row],[Site Name]],Table1[[Site Name ]],Table1[Commisioned Date],"")</f>
        <v>45101</v>
      </c>
      <c r="E1477" s="47">
        <f>IF(ISNUMBER(expected_production[[#This Row],[Commissioned Date]]),MAX(0,(expected_production[[#This Row],[Date]]-expected_production[[#This Row],[Commissioned Date]])/365.25),"")</f>
        <v>3.3566050650239561</v>
      </c>
      <c r="F1477" s="49">
        <f>IF(expected_production[[#This Row],[Age (yrs)]]="",1,(1-DegradationRate)^expected_production[[#This Row],[Age (yrs)]])</f>
        <v>0.97669695118828759</v>
      </c>
      <c r="G1477" s="52">
        <f>IF(expected_production[[#This Row],[Base Expected (kWh)]]="","",expected_production[[#This Row],[Base Expected (kWh)]]*expected_production[[#This Row],[Degradation Factor]])</f>
        <v>39390.711668193107</v>
      </c>
    </row>
    <row r="1478" spans="1:7" ht="15" hidden="1" customHeight="1" x14ac:dyDescent="0.3">
      <c r="A1478" t="s">
        <v>145</v>
      </c>
      <c r="B1478" s="2">
        <v>46357</v>
      </c>
      <c r="C1478" s="52">
        <v>42601.427819999997</v>
      </c>
      <c r="D1478" s="48">
        <f>_xlfn.XLOOKUP(expected_production[[#This Row],[Site Name]],Table1[[Site Name ]],Table1[Commisioned Date],"")</f>
        <v>45101</v>
      </c>
      <c r="E1478" s="47">
        <f>IF(ISNUMBER(expected_production[[#This Row],[Commissioned Date]]),MAX(0,(expected_production[[#This Row],[Date]]-expected_production[[#This Row],[Commissioned Date]])/365.25),"")</f>
        <v>3.4387405886379194</v>
      </c>
      <c r="F1478" s="49">
        <f>IF(expected_production[[#This Row],[Age (yrs)]]="",1,(1-DegradationRate)^expected_production[[#This Row],[Age (yrs)]])</f>
        <v>0.97613358846969667</v>
      </c>
      <c r="G1478" s="52">
        <f>IF(expected_production[[#This Row],[Base Expected (kWh)]]="","",expected_production[[#This Row],[Base Expected (kWh)]]*expected_production[[#This Row],[Degradation Factor]])</f>
        <v>41584.684611869365</v>
      </c>
    </row>
    <row r="1479" spans="1:7" ht="15" hidden="1" customHeight="1" x14ac:dyDescent="0.3">
      <c r="A1479" t="s">
        <v>152</v>
      </c>
      <c r="B1479" s="2">
        <v>45292</v>
      </c>
      <c r="C1479" s="52">
        <v>11540.96</v>
      </c>
      <c r="D1479" s="48">
        <f>_xlfn.XLOOKUP(expected_production[[#This Row],[Site Name]],Table1[[Site Name ]],Table1[Commisioned Date],"")</f>
        <v>44161</v>
      </c>
      <c r="E1479" s="47">
        <f>IF(ISNUMBER(expected_production[[#This Row],[Commissioned Date]]),MAX(0,(expected_production[[#This Row],[Date]]-expected_production[[#This Row],[Commissioned Date]])/365.25),"")</f>
        <v>3.0965092402464065</v>
      </c>
      <c r="F1479" s="49">
        <f>IF(expected_production[[#This Row],[Age (yrs)]]="",1,(1-DegradationRate)^expected_production[[#This Row],[Age (yrs)]])</f>
        <v>0.97848307902851239</v>
      </c>
      <c r="G1479" s="52">
        <f>IF(expected_production[[#This Row],[Base Expected (kWh)]]="","",expected_production[[#This Row],[Base Expected (kWh)]]*expected_production[[#This Row],[Degradation Factor]])</f>
        <v>11292.6340757449</v>
      </c>
    </row>
    <row r="1480" spans="1:7" ht="15" hidden="1" customHeight="1" x14ac:dyDescent="0.3">
      <c r="A1480" t="s">
        <v>152</v>
      </c>
      <c r="B1480" s="2">
        <v>45323</v>
      </c>
      <c r="C1480" s="52">
        <v>9862.32</v>
      </c>
      <c r="D1480" s="48">
        <f>_xlfn.XLOOKUP(expected_production[[#This Row],[Site Name]],Table1[[Site Name ]],Table1[Commisioned Date],"")</f>
        <v>44161</v>
      </c>
      <c r="E1480" s="47">
        <f>IF(ISNUMBER(expected_production[[#This Row],[Commissioned Date]]),MAX(0,(expected_production[[#This Row],[Date]]-expected_production[[#This Row],[Commissioned Date]])/365.25),"")</f>
        <v>3.1813826146475015</v>
      </c>
      <c r="F1480" s="49">
        <f>IF(expected_production[[#This Row],[Age (yrs)]]="",1,(1-DegradationRate)^expected_production[[#This Row],[Age (yrs)]])</f>
        <v>0.9778998785730455</v>
      </c>
      <c r="G1480" s="52">
        <f>IF(expected_production[[#This Row],[Base Expected (kWh)]]="","",expected_production[[#This Row],[Base Expected (kWh)]]*expected_production[[#This Row],[Degradation Factor]])</f>
        <v>9644.3615304485174</v>
      </c>
    </row>
    <row r="1481" spans="1:7" ht="15" hidden="1" customHeight="1" x14ac:dyDescent="0.3">
      <c r="A1481" t="s">
        <v>152</v>
      </c>
      <c r="B1481" s="2">
        <v>45352</v>
      </c>
      <c r="C1481" s="52">
        <v>10345.44</v>
      </c>
      <c r="D1481" s="48">
        <f>_xlfn.XLOOKUP(expected_production[[#This Row],[Site Name]],Table1[[Site Name ]],Table1[Commisioned Date],"")</f>
        <v>44161</v>
      </c>
      <c r="E1481" s="47">
        <f>IF(ISNUMBER(expected_production[[#This Row],[Commissioned Date]]),MAX(0,(expected_production[[#This Row],[Date]]-expected_production[[#This Row],[Commissioned Date]])/365.25),"")</f>
        <v>3.2607802874743328</v>
      </c>
      <c r="F1481" s="49">
        <f>IF(expected_production[[#This Row],[Age (yrs)]]="",1,(1-DegradationRate)^expected_production[[#This Row],[Age (yrs)]])</f>
        <v>0.97735461864405238</v>
      </c>
      <c r="G1481" s="52">
        <f>IF(expected_production[[#This Row],[Base Expected (kWh)]]="","",expected_production[[#This Row],[Base Expected (kWh)]]*expected_production[[#This Row],[Degradation Factor]])</f>
        <v>10111.163565904926</v>
      </c>
    </row>
    <row r="1482" spans="1:7" ht="15" hidden="1" customHeight="1" x14ac:dyDescent="0.3">
      <c r="A1482" t="s">
        <v>152</v>
      </c>
      <c r="B1482" s="2">
        <v>45383</v>
      </c>
      <c r="C1482" s="52">
        <v>8819.52</v>
      </c>
      <c r="D1482" s="48">
        <f>_xlfn.XLOOKUP(expected_production[[#This Row],[Site Name]],Table1[[Site Name ]],Table1[Commisioned Date],"")</f>
        <v>44161</v>
      </c>
      <c r="E1482" s="47">
        <f>IF(ISNUMBER(expected_production[[#This Row],[Commissioned Date]]),MAX(0,(expected_production[[#This Row],[Date]]-expected_production[[#This Row],[Commissioned Date]])/365.25),"")</f>
        <v>3.3456536618754278</v>
      </c>
      <c r="F1482" s="49">
        <f>IF(expected_production[[#This Row],[Age (yrs)]]="",1,(1-DegradationRate)^expected_production[[#This Row],[Age (yrs)]])</f>
        <v>0.9767720907792764</v>
      </c>
      <c r="G1482" s="52">
        <f>IF(expected_production[[#This Row],[Base Expected (kWh)]]="","",expected_production[[#This Row],[Base Expected (kWh)]]*expected_production[[#This Row],[Degradation Factor]])</f>
        <v>8614.660990069644</v>
      </c>
    </row>
    <row r="1483" spans="1:7" ht="15" hidden="1" customHeight="1" x14ac:dyDescent="0.3">
      <c r="A1483" t="s">
        <v>152</v>
      </c>
      <c r="B1483" s="2">
        <v>45413</v>
      </c>
      <c r="C1483" s="52">
        <v>8538.08</v>
      </c>
      <c r="D1483" s="48">
        <f>_xlfn.XLOOKUP(expected_production[[#This Row],[Site Name]],Table1[[Site Name ]],Table1[Commisioned Date],"")</f>
        <v>44161</v>
      </c>
      <c r="E1483" s="47">
        <f>IF(ISNUMBER(expected_production[[#This Row],[Commissioned Date]]),MAX(0,(expected_production[[#This Row],[Date]]-expected_production[[#This Row],[Commissioned Date]])/365.25),"")</f>
        <v>3.4277891854893907</v>
      </c>
      <c r="F1483" s="49">
        <f>IF(expected_production[[#This Row],[Age (yrs)]]="",1,(1-DegradationRate)^expected_production[[#This Row],[Age (yrs)]])</f>
        <v>0.97620868471986799</v>
      </c>
      <c r="G1483" s="52">
        <f>IF(expected_production[[#This Row],[Base Expected (kWh)]]="","",expected_production[[#This Row],[Base Expected (kWh)]]*expected_production[[#This Row],[Degradation Factor]])</f>
        <v>8334.9478468330108</v>
      </c>
    </row>
    <row r="1484" spans="1:7" ht="15" hidden="1" customHeight="1" x14ac:dyDescent="0.3">
      <c r="A1484" t="s">
        <v>152</v>
      </c>
      <c r="B1484" s="2">
        <v>45444</v>
      </c>
      <c r="C1484" s="52">
        <v>7700</v>
      </c>
      <c r="D1484" s="48">
        <f>_xlfn.XLOOKUP(expected_production[[#This Row],[Site Name]],Table1[[Site Name ]],Table1[Commisioned Date],"")</f>
        <v>44161</v>
      </c>
      <c r="E1484" s="47">
        <f>IF(ISNUMBER(expected_production[[#This Row],[Commissioned Date]]),MAX(0,(expected_production[[#This Row],[Date]]-expected_production[[#This Row],[Commissioned Date]])/365.25),"")</f>
        <v>3.5126625598904861</v>
      </c>
      <c r="F1484" s="49">
        <f>IF(expected_production[[#This Row],[Age (yrs)]]="",1,(1-DegradationRate)^expected_production[[#This Row],[Age (yrs)]])</f>
        <v>0.97562683986045096</v>
      </c>
      <c r="G1484" s="52">
        <f>IF(expected_production[[#This Row],[Base Expected (kWh)]]="","",expected_production[[#This Row],[Base Expected (kWh)]]*expected_production[[#This Row],[Degradation Factor]])</f>
        <v>7512.3266669254726</v>
      </c>
    </row>
    <row r="1485" spans="1:7" ht="15" hidden="1" customHeight="1" x14ac:dyDescent="0.3">
      <c r="A1485" t="s">
        <v>152</v>
      </c>
      <c r="B1485" s="2">
        <v>45474</v>
      </c>
      <c r="C1485" s="52">
        <v>8487.2000000000007</v>
      </c>
      <c r="D1485" s="48">
        <f>_xlfn.XLOOKUP(expected_production[[#This Row],[Site Name]],Table1[[Site Name ]],Table1[Commisioned Date],"")</f>
        <v>44161</v>
      </c>
      <c r="E1485" s="47">
        <f>IF(ISNUMBER(expected_production[[#This Row],[Commissioned Date]]),MAX(0,(expected_production[[#This Row],[Date]]-expected_production[[#This Row],[Commissioned Date]])/365.25),"")</f>
        <v>3.5947980835044491</v>
      </c>
      <c r="F1485" s="49">
        <f>IF(expected_production[[#This Row],[Age (yrs)]]="",1,(1-DegradationRate)^expected_production[[#This Row],[Age (yrs)]])</f>
        <v>0.97506409438636565</v>
      </c>
      <c r="G1485" s="52">
        <f>IF(expected_production[[#This Row],[Base Expected (kWh)]]="","",expected_production[[#This Row],[Base Expected (kWh)]]*expected_production[[#This Row],[Degradation Factor]])</f>
        <v>8275.5639818759628</v>
      </c>
    </row>
    <row r="1486" spans="1:7" ht="15" hidden="1" customHeight="1" x14ac:dyDescent="0.3">
      <c r="A1486" t="s">
        <v>152</v>
      </c>
      <c r="B1486" s="2">
        <v>45505</v>
      </c>
      <c r="C1486" s="52">
        <v>9810.48</v>
      </c>
      <c r="D1486" s="48">
        <f>_xlfn.XLOOKUP(expected_production[[#This Row],[Site Name]],Table1[[Site Name ]],Table1[Commisioned Date],"")</f>
        <v>44161</v>
      </c>
      <c r="E1486" s="47">
        <f>IF(ISNUMBER(expected_production[[#This Row],[Commissioned Date]]),MAX(0,(expected_production[[#This Row],[Date]]-expected_production[[#This Row],[Commissioned Date]])/365.25),"")</f>
        <v>3.6796714579055441</v>
      </c>
      <c r="F1486" s="49">
        <f>IF(expected_production[[#This Row],[Age (yrs)]]="",1,(1-DegradationRate)^expected_production[[#This Row],[Age (yrs)]])</f>
        <v>0.9744829317314937</v>
      </c>
      <c r="G1486" s="52">
        <f>IF(expected_production[[#This Row],[Base Expected (kWh)]]="","",expected_production[[#This Row],[Base Expected (kWh)]]*expected_production[[#This Row],[Degradation Factor]])</f>
        <v>9560.1453120931837</v>
      </c>
    </row>
    <row r="1487" spans="1:7" ht="15" hidden="1" customHeight="1" x14ac:dyDescent="0.3">
      <c r="A1487" t="s">
        <v>152</v>
      </c>
      <c r="B1487" s="2">
        <v>45536</v>
      </c>
      <c r="C1487" s="52">
        <v>10706.48</v>
      </c>
      <c r="D1487" s="48">
        <f>_xlfn.XLOOKUP(expected_production[[#This Row],[Site Name]],Table1[[Site Name ]],Table1[Commisioned Date],"")</f>
        <v>44161</v>
      </c>
      <c r="E1487" s="47">
        <f>IF(ISNUMBER(expected_production[[#This Row],[Commissioned Date]]),MAX(0,(expected_production[[#This Row],[Date]]-expected_production[[#This Row],[Commissioned Date]])/365.25),"")</f>
        <v>3.7645448323066395</v>
      </c>
      <c r="F1487" s="49">
        <f>IF(expected_production[[#This Row],[Age (yrs)]]="",1,(1-DegradationRate)^expected_production[[#This Row],[Age (yrs)]])</f>
        <v>0.97390211546413963</v>
      </c>
      <c r="G1487" s="52">
        <f>IF(expected_production[[#This Row],[Base Expected (kWh)]]="","",expected_production[[#This Row],[Base Expected (kWh)]]*expected_production[[#This Row],[Degradation Factor]])</f>
        <v>10427.063521174501</v>
      </c>
    </row>
    <row r="1488" spans="1:7" ht="15" hidden="1" customHeight="1" x14ac:dyDescent="0.3">
      <c r="A1488" t="s">
        <v>152</v>
      </c>
      <c r="B1488" s="2">
        <v>45566</v>
      </c>
      <c r="C1488" s="52">
        <v>11410.4</v>
      </c>
      <c r="D1488" s="48">
        <f>_xlfn.XLOOKUP(expected_production[[#This Row],[Site Name]],Table1[[Site Name ]],Table1[Commisioned Date],"")</f>
        <v>44161</v>
      </c>
      <c r="E1488" s="47">
        <f>IF(ISNUMBER(expected_production[[#This Row],[Commissioned Date]]),MAX(0,(expected_production[[#This Row],[Date]]-expected_production[[#This Row],[Commissioned Date]])/365.25),"")</f>
        <v>3.8466803559206024</v>
      </c>
      <c r="F1488" s="49">
        <f>IF(expected_production[[#This Row],[Age (yrs)]]="",1,(1-DegradationRate)^expected_production[[#This Row],[Age (yrs)]])</f>
        <v>0.97334036481800323</v>
      </c>
      <c r="G1488" s="52">
        <f>IF(expected_production[[#This Row],[Base Expected (kWh)]]="","",expected_production[[#This Row],[Base Expected (kWh)]]*expected_production[[#This Row],[Degradation Factor]])</f>
        <v>11106.202898719344</v>
      </c>
    </row>
    <row r="1489" spans="1:7" ht="15" hidden="1" customHeight="1" x14ac:dyDescent="0.3">
      <c r="A1489" t="s">
        <v>152</v>
      </c>
      <c r="B1489" s="2">
        <v>45597</v>
      </c>
      <c r="C1489" s="52">
        <v>11340.4</v>
      </c>
      <c r="D1489" s="48">
        <f>_xlfn.XLOOKUP(expected_production[[#This Row],[Site Name]],Table1[[Site Name ]],Table1[Commisioned Date],"")</f>
        <v>44161</v>
      </c>
      <c r="E1489" s="47">
        <f>IF(ISNUMBER(expected_production[[#This Row],[Commissioned Date]]),MAX(0,(expected_production[[#This Row],[Date]]-expected_production[[#This Row],[Commissioned Date]])/365.25),"")</f>
        <v>3.9315537303216974</v>
      </c>
      <c r="F1489" s="49">
        <f>IF(expected_production[[#This Row],[Age (yrs)]]="",1,(1-DegradationRate)^expected_production[[#This Row],[Age (yrs)]])</f>
        <v>0.97276022954918517</v>
      </c>
      <c r="G1489" s="52">
        <f>IF(expected_production[[#This Row],[Base Expected (kWh)]]="","",expected_production[[#This Row],[Base Expected (kWh)]]*expected_production[[#This Row],[Degradation Factor]])</f>
        <v>11031.490107179579</v>
      </c>
    </row>
    <row r="1490" spans="1:7" ht="15" hidden="1" customHeight="1" x14ac:dyDescent="0.3">
      <c r="A1490" t="s">
        <v>152</v>
      </c>
      <c r="B1490" s="2">
        <v>45627</v>
      </c>
      <c r="C1490" s="52">
        <v>12102.56</v>
      </c>
      <c r="D1490" s="48">
        <f>_xlfn.XLOOKUP(expected_production[[#This Row],[Site Name]],Table1[[Site Name ]],Table1[Commisioned Date],"")</f>
        <v>44161</v>
      </c>
      <c r="E1490" s="47">
        <f>IF(ISNUMBER(expected_production[[#This Row],[Commissioned Date]]),MAX(0,(expected_production[[#This Row],[Date]]-expected_production[[#This Row],[Commissioned Date]])/365.25),"")</f>
        <v>4.0136892539356603</v>
      </c>
      <c r="F1490" s="49">
        <f>IF(expected_production[[#This Row],[Age (yrs)]]="",1,(1-DegradationRate)^expected_production[[#This Row],[Age (yrs)]])</f>
        <v>0.97219913754742426</v>
      </c>
      <c r="G1490" s="52">
        <f>IF(expected_production[[#This Row],[Base Expected (kWh)]]="","",expected_production[[#This Row],[Base Expected (kWh)]]*expected_production[[#This Row],[Degradation Factor]])</f>
        <v>11766.098394115954</v>
      </c>
    </row>
    <row r="1491" spans="1:7" ht="15" hidden="1" customHeight="1" x14ac:dyDescent="0.3">
      <c r="A1491" t="s">
        <v>152</v>
      </c>
      <c r="B1491" s="2">
        <v>45658</v>
      </c>
      <c r="C1491" s="52">
        <v>11540.96</v>
      </c>
      <c r="D1491" s="48">
        <f>_xlfn.XLOOKUP(expected_production[[#This Row],[Site Name]],Table1[[Site Name ]],Table1[Commisioned Date],"")</f>
        <v>44161</v>
      </c>
      <c r="E1491" s="47">
        <f>IF(ISNUMBER(expected_production[[#This Row],[Commissioned Date]]),MAX(0,(expected_production[[#This Row],[Date]]-expected_production[[#This Row],[Commissioned Date]])/365.25),"")</f>
        <v>4.0985626283367553</v>
      </c>
      <c r="F1491" s="49">
        <f>IF(expected_production[[#This Row],[Age (yrs)]]="",1,(1-DegradationRate)^expected_production[[#This Row],[Age (yrs)]])</f>
        <v>0.97161968247868147</v>
      </c>
      <c r="G1491" s="52">
        <f>IF(expected_production[[#This Row],[Base Expected (kWh)]]="","",expected_production[[#This Row],[Base Expected (kWh)]]*expected_production[[#This Row],[Degradation Factor]])</f>
        <v>11213.423890699163</v>
      </c>
    </row>
    <row r="1492" spans="1:7" ht="15" hidden="1" customHeight="1" x14ac:dyDescent="0.3">
      <c r="A1492" t="s">
        <v>152</v>
      </c>
      <c r="B1492" s="2">
        <v>45689</v>
      </c>
      <c r="C1492" s="52">
        <v>9862.32</v>
      </c>
      <c r="D1492" s="48">
        <f>_xlfn.XLOOKUP(expected_production[[#This Row],[Site Name]],Table1[[Site Name ]],Table1[Commisioned Date],"")</f>
        <v>44161</v>
      </c>
      <c r="E1492" s="47">
        <f>IF(ISNUMBER(expected_production[[#This Row],[Commissioned Date]]),MAX(0,(expected_production[[#This Row],[Date]]-expected_production[[#This Row],[Commissioned Date]])/365.25),"")</f>
        <v>4.1834360027378512</v>
      </c>
      <c r="F1492" s="49">
        <f>IF(expected_production[[#This Row],[Age (yrs)]]="",1,(1-DegradationRate)^expected_production[[#This Row],[Age (yrs)]])</f>
        <v>0.97104057277969236</v>
      </c>
      <c r="G1492" s="52">
        <f>IF(expected_production[[#This Row],[Base Expected (kWh)]]="","",expected_production[[#This Row],[Base Expected (kWh)]]*expected_production[[#This Row],[Degradation Factor]])</f>
        <v>9576.7128617366161</v>
      </c>
    </row>
    <row r="1493" spans="1:7" ht="15" hidden="1" customHeight="1" x14ac:dyDescent="0.3">
      <c r="A1493" t="s">
        <v>152</v>
      </c>
      <c r="B1493" s="2">
        <v>45717</v>
      </c>
      <c r="C1493" s="52">
        <v>10345.44</v>
      </c>
      <c r="D1493" s="48">
        <f>_xlfn.XLOOKUP(expected_production[[#This Row],[Site Name]],Table1[[Site Name ]],Table1[Commisioned Date],"")</f>
        <v>44161</v>
      </c>
      <c r="E1493" s="47">
        <f>IF(ISNUMBER(expected_production[[#This Row],[Commissioned Date]]),MAX(0,(expected_production[[#This Row],[Date]]-expected_production[[#This Row],[Commissioned Date]])/365.25),"")</f>
        <v>4.26009582477755</v>
      </c>
      <c r="F1493" s="49">
        <f>IF(expected_production[[#This Row],[Age (yrs)]]="",1,(1-DegradationRate)^expected_production[[#This Row],[Age (yrs)]])</f>
        <v>0.9705178026362431</v>
      </c>
      <c r="G1493" s="52">
        <f>IF(expected_production[[#This Row],[Base Expected (kWh)]]="","",expected_production[[#This Row],[Base Expected (kWh)]]*expected_production[[#This Row],[Degradation Factor]])</f>
        <v>10040.433696105096</v>
      </c>
    </row>
    <row r="1494" spans="1:7" ht="15" hidden="1" customHeight="1" x14ac:dyDescent="0.3">
      <c r="A1494" t="s">
        <v>152</v>
      </c>
      <c r="B1494" s="2">
        <v>45748</v>
      </c>
      <c r="C1494" s="52">
        <v>8819.52</v>
      </c>
      <c r="D1494" s="48">
        <f>_xlfn.XLOOKUP(expected_production[[#This Row],[Site Name]],Table1[[Site Name ]],Table1[Commisioned Date],"")</f>
        <v>44161</v>
      </c>
      <c r="E1494" s="47">
        <f>IF(ISNUMBER(expected_production[[#This Row],[Commissioned Date]]),MAX(0,(expected_production[[#This Row],[Date]]-expected_production[[#This Row],[Commissioned Date]])/365.25),"")</f>
        <v>4.344969199178645</v>
      </c>
      <c r="F1494" s="49">
        <f>IF(expected_production[[#This Row],[Age (yrs)]]="",1,(1-DegradationRate)^expected_production[[#This Row],[Age (yrs)]])</f>
        <v>0.96993934968527529</v>
      </c>
      <c r="G1494" s="52">
        <f>IF(expected_production[[#This Row],[Base Expected (kWh)]]="","",expected_production[[#This Row],[Base Expected (kWh)]]*expected_production[[#This Row],[Degradation Factor]])</f>
        <v>8554.3994933362792</v>
      </c>
    </row>
    <row r="1495" spans="1:7" ht="15" hidden="1" customHeight="1" x14ac:dyDescent="0.3">
      <c r="A1495" t="s">
        <v>152</v>
      </c>
      <c r="B1495" s="2">
        <v>45778</v>
      </c>
      <c r="C1495" s="52">
        <v>8538.08</v>
      </c>
      <c r="D1495" s="48">
        <f>_xlfn.XLOOKUP(expected_production[[#This Row],[Site Name]],Table1[[Site Name ]],Table1[Commisioned Date],"")</f>
        <v>44161</v>
      </c>
      <c r="E1495" s="47">
        <f>IF(ISNUMBER(expected_production[[#This Row],[Commissioned Date]]),MAX(0,(expected_production[[#This Row],[Date]]-expected_production[[#This Row],[Commissioned Date]])/365.25),"")</f>
        <v>4.4271047227926079</v>
      </c>
      <c r="F1495" s="49">
        <f>IF(expected_production[[#This Row],[Age (yrs)]]="",1,(1-DegradationRate)^expected_production[[#This Row],[Age (yrs)]])</f>
        <v>0.96937988477833326</v>
      </c>
      <c r="G1495" s="52">
        <f>IF(expected_production[[#This Row],[Base Expected (kWh)]]="","",expected_production[[#This Row],[Base Expected (kWh)]]*expected_production[[#This Row],[Degradation Factor]])</f>
        <v>8276.6430066281919</v>
      </c>
    </row>
    <row r="1496" spans="1:7" ht="15" hidden="1" customHeight="1" x14ac:dyDescent="0.3">
      <c r="A1496" t="s">
        <v>152</v>
      </c>
      <c r="B1496" s="2">
        <v>45809</v>
      </c>
      <c r="C1496" s="52">
        <v>7700</v>
      </c>
      <c r="D1496" s="48">
        <f>_xlfn.XLOOKUP(expected_production[[#This Row],[Site Name]],Table1[[Site Name ]],Table1[Commisioned Date],"")</f>
        <v>44161</v>
      </c>
      <c r="E1496" s="47">
        <f>IF(ISNUMBER(expected_production[[#This Row],[Commissioned Date]]),MAX(0,(expected_production[[#This Row],[Date]]-expected_production[[#This Row],[Commissioned Date]])/365.25),"")</f>
        <v>4.5119780971937029</v>
      </c>
      <c r="F1496" s="49">
        <f>IF(expected_production[[#This Row],[Age (yrs)]]="",1,(1-DegradationRate)^expected_production[[#This Row],[Age (yrs)]])</f>
        <v>0.96880211005494776</v>
      </c>
      <c r="G1496" s="52">
        <f>IF(expected_production[[#This Row],[Base Expected (kWh)]]="","",expected_production[[#This Row],[Base Expected (kWh)]]*expected_production[[#This Row],[Degradation Factor]])</f>
        <v>7459.7762474230976</v>
      </c>
    </row>
    <row r="1497" spans="1:7" ht="15" hidden="1" customHeight="1" x14ac:dyDescent="0.3">
      <c r="A1497" t="s">
        <v>152</v>
      </c>
      <c r="B1497" s="2">
        <v>45839</v>
      </c>
      <c r="C1497" s="52">
        <v>8487.2000000000007</v>
      </c>
      <c r="D1497" s="48">
        <f>_xlfn.XLOOKUP(expected_production[[#This Row],[Site Name]],Table1[[Site Name ]],Table1[Commisioned Date],"")</f>
        <v>44161</v>
      </c>
      <c r="E1497" s="47">
        <f>IF(ISNUMBER(expected_production[[#This Row],[Commissioned Date]]),MAX(0,(expected_production[[#This Row],[Date]]-expected_production[[#This Row],[Commissioned Date]])/365.25),"")</f>
        <v>4.5941136208076658</v>
      </c>
      <c r="F1497" s="49">
        <f>IF(expected_production[[#This Row],[Age (yrs)]]="",1,(1-DegradationRate)^expected_production[[#This Row],[Age (yrs)]])</f>
        <v>0.96824330111238555</v>
      </c>
      <c r="G1497" s="52">
        <f>IF(expected_production[[#This Row],[Base Expected (kWh)]]="","",expected_production[[#This Row],[Base Expected (kWh)]]*expected_production[[#This Row],[Degradation Factor]])</f>
        <v>8217.67454520104</v>
      </c>
    </row>
    <row r="1498" spans="1:7" ht="15" hidden="1" customHeight="1" x14ac:dyDescent="0.3">
      <c r="A1498" t="s">
        <v>152</v>
      </c>
      <c r="B1498" s="2">
        <v>45870</v>
      </c>
      <c r="C1498" s="52">
        <v>9810.48</v>
      </c>
      <c r="D1498" s="48">
        <f>_xlfn.XLOOKUP(expected_production[[#This Row],[Site Name]],Table1[[Site Name ]],Table1[Commisioned Date],"")</f>
        <v>44161</v>
      </c>
      <c r="E1498" s="47">
        <f>IF(ISNUMBER(expected_production[[#This Row],[Commissioned Date]]),MAX(0,(expected_production[[#This Row],[Date]]-expected_production[[#This Row],[Commissioned Date]])/365.25),"")</f>
        <v>4.6789869952087608</v>
      </c>
      <c r="F1498" s="49">
        <f>IF(expected_production[[#This Row],[Age (yrs)]]="",1,(1-DegradationRate)^expected_production[[#This Row],[Age (yrs)]])</f>
        <v>0.96766620382137047</v>
      </c>
      <c r="G1498" s="52">
        <f>IF(expected_production[[#This Row],[Base Expected (kWh)]]="","",expected_production[[#This Row],[Base Expected (kWh)]]*expected_production[[#This Row],[Degradation Factor]])</f>
        <v>9493.2699392654777</v>
      </c>
    </row>
    <row r="1499" spans="1:7" ht="15" hidden="1" customHeight="1" x14ac:dyDescent="0.3">
      <c r="A1499" t="s">
        <v>152</v>
      </c>
      <c r="B1499" s="2">
        <v>45901</v>
      </c>
      <c r="C1499" s="52">
        <v>10706.48</v>
      </c>
      <c r="D1499" s="48">
        <f>_xlfn.XLOOKUP(expected_production[[#This Row],[Site Name]],Table1[[Site Name ]],Table1[Commisioned Date],"")</f>
        <v>44161</v>
      </c>
      <c r="E1499" s="47">
        <f>IF(ISNUMBER(expected_production[[#This Row],[Commissioned Date]]),MAX(0,(expected_production[[#This Row],[Date]]-expected_production[[#This Row],[Commissioned Date]])/365.25),"")</f>
        <v>4.7638603696098567</v>
      </c>
      <c r="F1499" s="49">
        <f>IF(expected_production[[#This Row],[Age (yrs)]]="",1,(1-DegradationRate)^expected_production[[#This Row],[Age (yrs)]])</f>
        <v>0.96708945049481443</v>
      </c>
      <c r="G1499" s="52">
        <f>IF(expected_production[[#This Row],[Base Expected (kWh)]]="","",expected_production[[#This Row],[Base Expected (kWh)]]*expected_production[[#This Row],[Degradation Factor]])</f>
        <v>10354.123859933721</v>
      </c>
    </row>
    <row r="1500" spans="1:7" ht="15" hidden="1" customHeight="1" x14ac:dyDescent="0.3">
      <c r="A1500" t="s">
        <v>152</v>
      </c>
      <c r="B1500" s="2">
        <v>45931</v>
      </c>
      <c r="C1500" s="52">
        <v>11410.4</v>
      </c>
      <c r="D1500" s="48">
        <f>_xlfn.XLOOKUP(expected_production[[#This Row],[Site Name]],Table1[[Site Name ]],Table1[Commisioned Date],"")</f>
        <v>44161</v>
      </c>
      <c r="E1500" s="47">
        <f>IF(ISNUMBER(expected_production[[#This Row],[Commissioned Date]]),MAX(0,(expected_production[[#This Row],[Date]]-expected_production[[#This Row],[Commissioned Date]])/365.25),"")</f>
        <v>4.8459958932238196</v>
      </c>
      <c r="F1500" s="49">
        <f>IF(expected_production[[#This Row],[Age (yrs)]]="",1,(1-DegradationRate)^expected_production[[#This Row],[Age (yrs)]])</f>
        <v>0.96653162942115523</v>
      </c>
      <c r="G1500" s="52">
        <f>IF(expected_production[[#This Row],[Base Expected (kWh)]]="","",expected_production[[#This Row],[Base Expected (kWh)]]*expected_production[[#This Row],[Degradation Factor]])</f>
        <v>11028.512504347149</v>
      </c>
    </row>
    <row r="1501" spans="1:7" ht="15" hidden="1" customHeight="1" x14ac:dyDescent="0.3">
      <c r="A1501" t="s">
        <v>152</v>
      </c>
      <c r="B1501" s="2">
        <v>45962</v>
      </c>
      <c r="C1501" s="52">
        <v>11340.4</v>
      </c>
      <c r="D1501" s="48">
        <f>_xlfn.XLOOKUP(expected_production[[#This Row],[Site Name]],Table1[[Site Name ]],Table1[Commisioned Date],"")</f>
        <v>44161</v>
      </c>
      <c r="E1501" s="47">
        <f>IF(ISNUMBER(expected_production[[#This Row],[Commissioned Date]]),MAX(0,(expected_production[[#This Row],[Date]]-expected_production[[#This Row],[Commissioned Date]])/365.25),"")</f>
        <v>4.9308692676249146</v>
      </c>
      <c r="F1501" s="49">
        <f>IF(expected_production[[#This Row],[Age (yrs)]]="",1,(1-DegradationRate)^expected_production[[#This Row],[Age (yrs)]])</f>
        <v>0.96595555232939689</v>
      </c>
      <c r="G1501" s="52">
        <f>IF(expected_production[[#This Row],[Base Expected (kWh)]]="","",expected_production[[#This Row],[Base Expected (kWh)]]*expected_production[[#This Row],[Degradation Factor]])</f>
        <v>10954.322345636292</v>
      </c>
    </row>
    <row r="1502" spans="1:7" ht="15" hidden="1" customHeight="1" x14ac:dyDescent="0.3">
      <c r="A1502" t="s">
        <v>152</v>
      </c>
      <c r="B1502" s="2">
        <v>45992</v>
      </c>
      <c r="C1502" s="52">
        <v>12102.56</v>
      </c>
      <c r="D1502" s="48">
        <f>_xlfn.XLOOKUP(expected_production[[#This Row],[Site Name]],Table1[[Site Name ]],Table1[Commisioned Date],"")</f>
        <v>44161</v>
      </c>
      <c r="E1502" s="47">
        <f>IF(ISNUMBER(expected_production[[#This Row],[Commissioned Date]]),MAX(0,(expected_production[[#This Row],[Date]]-expected_production[[#This Row],[Commissioned Date]])/365.25),"")</f>
        <v>5.0130047912388775</v>
      </c>
      <c r="F1502" s="49">
        <f>IF(expected_production[[#This Row],[Age (yrs)]]="",1,(1-DegradationRate)^expected_production[[#This Row],[Age (yrs)]])</f>
        <v>0.96539838529274724</v>
      </c>
      <c r="G1502" s="52">
        <f>IF(expected_production[[#This Row],[Base Expected (kWh)]]="","",expected_production[[#This Row],[Base Expected (kWh)]]*expected_production[[#This Row],[Degradation Factor]])</f>
        <v>11683.79188190859</v>
      </c>
    </row>
    <row r="1503" spans="1:7" ht="15" hidden="1" customHeight="1" x14ac:dyDescent="0.3">
      <c r="A1503" t="s">
        <v>152</v>
      </c>
      <c r="B1503" s="2">
        <v>46023</v>
      </c>
      <c r="C1503" s="52">
        <v>11540.96</v>
      </c>
      <c r="D1503" s="48">
        <f>_xlfn.XLOOKUP(expected_production[[#This Row],[Site Name]],Table1[[Site Name ]],Table1[Commisioned Date],"")</f>
        <v>44161</v>
      </c>
      <c r="E1503" s="47">
        <f>IF(ISNUMBER(expected_production[[#This Row],[Commissioned Date]]),MAX(0,(expected_production[[#This Row],[Date]]-expected_production[[#This Row],[Commissioned Date]])/365.25),"")</f>
        <v>5.0978781656399725</v>
      </c>
      <c r="F1503" s="49">
        <f>IF(expected_production[[#This Row],[Age (yrs)]]="",1,(1-DegradationRate)^expected_production[[#This Row],[Age (yrs)]])</f>
        <v>0.96482298364291119</v>
      </c>
      <c r="G1503" s="52">
        <f>IF(expected_production[[#This Row],[Base Expected (kWh)]]="","",expected_production[[#This Row],[Base Expected (kWh)]]*expected_production[[#This Row],[Degradation Factor]])</f>
        <v>11134.983461303491</v>
      </c>
    </row>
    <row r="1504" spans="1:7" ht="15" hidden="1" customHeight="1" x14ac:dyDescent="0.3">
      <c r="A1504" t="s">
        <v>152</v>
      </c>
      <c r="B1504" s="2">
        <v>46054</v>
      </c>
      <c r="C1504" s="52">
        <v>9862.32</v>
      </c>
      <c r="D1504" s="48">
        <f>_xlfn.XLOOKUP(expected_production[[#This Row],[Site Name]],Table1[[Site Name ]],Table1[Commisioned Date],"")</f>
        <v>44161</v>
      </c>
      <c r="E1504" s="47">
        <f>IF(ISNUMBER(expected_production[[#This Row],[Commissioned Date]]),MAX(0,(expected_production[[#This Row],[Date]]-expected_production[[#This Row],[Commissioned Date]])/365.25),"")</f>
        <v>5.1827515400410675</v>
      </c>
      <c r="F1504" s="49">
        <f>IF(expected_production[[#This Row],[Age (yrs)]]="",1,(1-DegradationRate)^expected_production[[#This Row],[Age (yrs)]])</f>
        <v>0.96424792494688949</v>
      </c>
      <c r="G1504" s="52">
        <f>IF(expected_production[[#This Row],[Base Expected (kWh)]]="","",expected_production[[#This Row],[Base Expected (kWh)]]*expected_production[[#This Row],[Degradation Factor]])</f>
        <v>9509.7215951622074</v>
      </c>
    </row>
    <row r="1505" spans="1:7" ht="15" hidden="1" customHeight="1" x14ac:dyDescent="0.3">
      <c r="A1505" t="s">
        <v>152</v>
      </c>
      <c r="B1505" s="2">
        <v>46082</v>
      </c>
      <c r="C1505" s="52">
        <v>10345.44</v>
      </c>
      <c r="D1505" s="48">
        <f>_xlfn.XLOOKUP(expected_production[[#This Row],[Site Name]],Table1[[Site Name ]],Table1[Commisioned Date],"")</f>
        <v>44161</v>
      </c>
      <c r="E1505" s="47">
        <f>IF(ISNUMBER(expected_production[[#This Row],[Commissioned Date]]),MAX(0,(expected_production[[#This Row],[Date]]-expected_production[[#This Row],[Commissioned Date]])/365.25),"")</f>
        <v>5.2594113620807663</v>
      </c>
      <c r="F1505" s="49">
        <f>IF(expected_production[[#This Row],[Age (yrs)]]="",1,(1-DegradationRate)^expected_production[[#This Row],[Age (yrs)]])</f>
        <v>0.96372881169850866</v>
      </c>
      <c r="G1505" s="52">
        <f>IF(expected_production[[#This Row],[Base Expected (kWh)]]="","",expected_production[[#This Row],[Base Expected (kWh)]]*expected_production[[#This Row],[Degradation Factor]])</f>
        <v>9970.1985976982196</v>
      </c>
    </row>
    <row r="1506" spans="1:7" ht="15" hidden="1" customHeight="1" x14ac:dyDescent="0.3">
      <c r="A1506" t="s">
        <v>152</v>
      </c>
      <c r="B1506" s="2">
        <v>46113</v>
      </c>
      <c r="C1506" s="52">
        <v>8819.52</v>
      </c>
      <c r="D1506" s="48">
        <f>_xlfn.XLOOKUP(expected_production[[#This Row],[Site Name]],Table1[[Site Name ]],Table1[Commisioned Date],"")</f>
        <v>44161</v>
      </c>
      <c r="E1506" s="47">
        <f>IF(ISNUMBER(expected_production[[#This Row],[Commissioned Date]]),MAX(0,(expected_production[[#This Row],[Date]]-expected_production[[#This Row],[Commissioned Date]])/365.25),"")</f>
        <v>5.3442847364818613</v>
      </c>
      <c r="F1506" s="49">
        <f>IF(expected_production[[#This Row],[Age (yrs)]]="",1,(1-DegradationRate)^expected_production[[#This Row],[Age (yrs)]])</f>
        <v>0.96315440515640771</v>
      </c>
      <c r="G1506" s="52">
        <f>IF(expected_production[[#This Row],[Base Expected (kWh)]]="","",expected_production[[#This Row],[Base Expected (kWh)]]*expected_production[[#This Row],[Degradation Factor]])</f>
        <v>8494.5595393650419</v>
      </c>
    </row>
    <row r="1507" spans="1:7" ht="15" hidden="1" customHeight="1" x14ac:dyDescent="0.3">
      <c r="A1507" t="s">
        <v>152</v>
      </c>
      <c r="B1507" s="2">
        <v>46143</v>
      </c>
      <c r="C1507" s="52">
        <v>8538.08</v>
      </c>
      <c r="D1507" s="48">
        <f>_xlfn.XLOOKUP(expected_production[[#This Row],[Site Name]],Table1[[Site Name ]],Table1[Commisioned Date],"")</f>
        <v>44161</v>
      </c>
      <c r="E1507" s="47">
        <f>IF(ISNUMBER(expected_production[[#This Row],[Commissioned Date]]),MAX(0,(expected_production[[#This Row],[Date]]-expected_production[[#This Row],[Commissioned Date]])/365.25),"")</f>
        <v>5.4264202600958251</v>
      </c>
      <c r="F1507" s="49">
        <f>IF(expected_production[[#This Row],[Age (yrs)]]="",1,(1-DegradationRate)^expected_production[[#This Row],[Age (yrs)]])</f>
        <v>0.96259885383268173</v>
      </c>
      <c r="G1507" s="52">
        <f>IF(expected_production[[#This Row],[Base Expected (kWh)]]="","",expected_production[[#This Row],[Base Expected (kWh)]]*expected_production[[#This Row],[Degradation Factor]])</f>
        <v>8218.7460219317436</v>
      </c>
    </row>
    <row r="1508" spans="1:7" ht="15" hidden="1" customHeight="1" x14ac:dyDescent="0.3">
      <c r="A1508" t="s">
        <v>152</v>
      </c>
      <c r="B1508" s="2">
        <v>46174</v>
      </c>
      <c r="C1508" s="52">
        <v>7700</v>
      </c>
      <c r="D1508" s="48">
        <f>_xlfn.XLOOKUP(expected_production[[#This Row],[Site Name]],Table1[[Site Name ]],Table1[Commisioned Date],"")</f>
        <v>44161</v>
      </c>
      <c r="E1508" s="47">
        <f>IF(ISNUMBER(expected_production[[#This Row],[Commissioned Date]]),MAX(0,(expected_production[[#This Row],[Date]]-expected_production[[#This Row],[Commissioned Date]])/365.25),"")</f>
        <v>5.5112936344969201</v>
      </c>
      <c r="F1508" s="49">
        <f>IF(expected_production[[#This Row],[Age (yrs)]]="",1,(1-DegradationRate)^expected_production[[#This Row],[Age (yrs)]])</f>
        <v>0.96202512077380808</v>
      </c>
      <c r="G1508" s="52">
        <f>IF(expected_production[[#This Row],[Base Expected (kWh)]]="","",expected_production[[#This Row],[Base Expected (kWh)]]*expected_production[[#This Row],[Degradation Factor]])</f>
        <v>7407.5934299583223</v>
      </c>
    </row>
    <row r="1509" spans="1:7" ht="15" hidden="1" customHeight="1" x14ac:dyDescent="0.3">
      <c r="A1509" t="s">
        <v>152</v>
      </c>
      <c r="B1509" s="2">
        <v>46204</v>
      </c>
      <c r="C1509" s="52">
        <v>8487.2000000000007</v>
      </c>
      <c r="D1509" s="48">
        <f>_xlfn.XLOOKUP(expected_production[[#This Row],[Site Name]],Table1[[Site Name ]],Table1[Commisioned Date],"")</f>
        <v>44161</v>
      </c>
      <c r="E1509" s="47">
        <f>IF(ISNUMBER(expected_production[[#This Row],[Commissioned Date]]),MAX(0,(expected_production[[#This Row],[Date]]-expected_production[[#This Row],[Commissioned Date]])/365.25),"")</f>
        <v>5.593429158110883</v>
      </c>
      <c r="F1509" s="49">
        <f>IF(expected_production[[#This Row],[Age (yrs)]]="",1,(1-DegradationRate)^expected_production[[#This Row],[Age (yrs)]])</f>
        <v>0.9614702208258431</v>
      </c>
      <c r="G1509" s="52">
        <f>IF(expected_production[[#This Row],[Base Expected (kWh)]]="","",expected_production[[#This Row],[Base Expected (kWh)]]*expected_production[[#This Row],[Degradation Factor]])</f>
        <v>8160.1900581930959</v>
      </c>
    </row>
    <row r="1510" spans="1:7" ht="15" hidden="1" customHeight="1" x14ac:dyDescent="0.3">
      <c r="A1510" t="s">
        <v>152</v>
      </c>
      <c r="B1510" s="2">
        <v>46235</v>
      </c>
      <c r="C1510" s="52">
        <v>9810.48</v>
      </c>
      <c r="D1510" s="48">
        <f>_xlfn.XLOOKUP(expected_production[[#This Row],[Site Name]],Table1[[Site Name ]],Table1[Commisioned Date],"")</f>
        <v>44161</v>
      </c>
      <c r="E1510" s="47">
        <f>IF(ISNUMBER(expected_production[[#This Row],[Commissioned Date]]),MAX(0,(expected_production[[#This Row],[Date]]-expected_production[[#This Row],[Commissioned Date]])/365.25),"")</f>
        <v>5.678302532511978</v>
      </c>
      <c r="F1510" s="49">
        <f>IF(expected_production[[#This Row],[Age (yrs)]]="",1,(1-DegradationRate)^expected_production[[#This Row],[Age (yrs)]])</f>
        <v>0.96089716046054774</v>
      </c>
      <c r="G1510" s="52">
        <f>IF(expected_production[[#This Row],[Base Expected (kWh)]]="","",expected_production[[#This Row],[Base Expected (kWh)]]*expected_production[[#This Row],[Degradation Factor]])</f>
        <v>9426.8623747549937</v>
      </c>
    </row>
    <row r="1511" spans="1:7" ht="15" hidden="1" customHeight="1" x14ac:dyDescent="0.3">
      <c r="A1511" t="s">
        <v>152</v>
      </c>
      <c r="B1511" s="2">
        <v>46266</v>
      </c>
      <c r="C1511" s="52">
        <v>10706.48</v>
      </c>
      <c r="D1511" s="48">
        <f>_xlfn.XLOOKUP(expected_production[[#This Row],[Site Name]],Table1[[Site Name ]],Table1[Commisioned Date],"")</f>
        <v>44161</v>
      </c>
      <c r="E1511" s="47">
        <f>IF(ISNUMBER(expected_production[[#This Row],[Commissioned Date]]),MAX(0,(expected_production[[#This Row],[Date]]-expected_production[[#This Row],[Commissioned Date]])/365.25),"")</f>
        <v>5.763175906913073</v>
      </c>
      <c r="F1511" s="49">
        <f>IF(expected_production[[#This Row],[Age (yrs)]]="",1,(1-DegradationRate)^expected_production[[#This Row],[Age (yrs)]])</f>
        <v>0.96032444165360242</v>
      </c>
      <c r="G1511" s="52">
        <f>IF(expected_production[[#This Row],[Base Expected (kWh)]]="","",expected_production[[#This Row],[Base Expected (kWh)]]*expected_production[[#This Row],[Degradation Factor]])</f>
        <v>10281.694428075461</v>
      </c>
    </row>
    <row r="1512" spans="1:7" ht="15" hidden="1" customHeight="1" x14ac:dyDescent="0.3">
      <c r="A1512" t="s">
        <v>152</v>
      </c>
      <c r="B1512" s="2">
        <v>46296</v>
      </c>
      <c r="C1512" s="52">
        <v>11410.4</v>
      </c>
      <c r="D1512" s="48">
        <f>_xlfn.XLOOKUP(expected_production[[#This Row],[Site Name]],Table1[[Site Name ]],Table1[Commisioned Date],"")</f>
        <v>44161</v>
      </c>
      <c r="E1512" s="47">
        <f>IF(ISNUMBER(expected_production[[#This Row],[Commissioned Date]]),MAX(0,(expected_production[[#This Row],[Date]]-expected_production[[#This Row],[Commissioned Date]])/365.25),"")</f>
        <v>5.8453114305270359</v>
      </c>
      <c r="F1512" s="49">
        <f>IF(expected_production[[#This Row],[Age (yrs)]]="",1,(1-DegradationRate)^expected_production[[#This Row],[Age (yrs)]])</f>
        <v>0.95977052266417462</v>
      </c>
      <c r="G1512" s="52">
        <f>IF(expected_production[[#This Row],[Base Expected (kWh)]]="","",expected_production[[#This Row],[Base Expected (kWh)]]*expected_production[[#This Row],[Degradation Factor]])</f>
        <v>10951.365571807297</v>
      </c>
    </row>
    <row r="1513" spans="1:7" ht="15" hidden="1" customHeight="1" x14ac:dyDescent="0.3">
      <c r="A1513" t="s">
        <v>152</v>
      </c>
      <c r="B1513" s="2">
        <v>46327</v>
      </c>
      <c r="C1513" s="52">
        <v>11340.4</v>
      </c>
      <c r="D1513" s="48">
        <f>_xlfn.XLOOKUP(expected_production[[#This Row],[Site Name]],Table1[[Site Name ]],Table1[Commisioned Date],"")</f>
        <v>44161</v>
      </c>
      <c r="E1513" s="47">
        <f>IF(ISNUMBER(expected_production[[#This Row],[Commissioned Date]]),MAX(0,(expected_production[[#This Row],[Date]]-expected_production[[#This Row],[Commissioned Date]])/365.25),"")</f>
        <v>5.9301848049281318</v>
      </c>
      <c r="F1513" s="49">
        <f>IF(expected_production[[#This Row],[Age (yrs)]]="",1,(1-DegradationRate)^expected_production[[#This Row],[Age (yrs)]])</f>
        <v>0.95919847536161207</v>
      </c>
      <c r="G1513" s="52">
        <f>IF(expected_production[[#This Row],[Base Expected (kWh)]]="","",expected_production[[#This Row],[Base Expected (kWh)]]*expected_production[[#This Row],[Degradation Factor]])</f>
        <v>10877.694389990826</v>
      </c>
    </row>
    <row r="1514" spans="1:7" ht="15" hidden="1" customHeight="1" x14ac:dyDescent="0.3">
      <c r="A1514" t="s">
        <v>152</v>
      </c>
      <c r="B1514" s="2">
        <v>46357</v>
      </c>
      <c r="C1514" s="52">
        <v>12102.56</v>
      </c>
      <c r="D1514" s="48">
        <f>_xlfn.XLOOKUP(expected_production[[#This Row],[Site Name]],Table1[[Site Name ]],Table1[Commisioned Date],"")</f>
        <v>44161</v>
      </c>
      <c r="E1514" s="47">
        <f>IF(ISNUMBER(expected_production[[#This Row],[Commissioned Date]]),MAX(0,(expected_production[[#This Row],[Date]]-expected_production[[#This Row],[Commissioned Date]])/365.25),"")</f>
        <v>6.0123203285420947</v>
      </c>
      <c r="F1514" s="49">
        <f>IF(expected_production[[#This Row],[Age (yrs)]]="",1,(1-DegradationRate)^expected_production[[#This Row],[Age (yrs)]])</f>
        <v>0.95864520583405732</v>
      </c>
      <c r="G1514" s="52">
        <f>IF(expected_production[[#This Row],[Base Expected (kWh)]]="","",expected_production[[#This Row],[Base Expected (kWh)]]*expected_production[[#This Row],[Degradation Factor]])</f>
        <v>11602.061122319028</v>
      </c>
    </row>
    <row r="1515" spans="1:7" ht="15" hidden="1" customHeight="1" x14ac:dyDescent="0.3">
      <c r="A1515" t="s">
        <v>149</v>
      </c>
      <c r="B1515" s="2">
        <v>45292</v>
      </c>
      <c r="C1515" s="52">
        <v>8591.0249999999996</v>
      </c>
      <c r="D1515" s="48">
        <f>_xlfn.XLOOKUP(expected_production[[#This Row],[Site Name]],Table1[[Site Name ]],Table1[Commisioned Date],"")</f>
        <v>44688</v>
      </c>
      <c r="E1515" s="47">
        <f>IF(ISNUMBER(expected_production[[#This Row],[Commissioned Date]]),MAX(0,(expected_production[[#This Row],[Date]]-expected_production[[#This Row],[Commissioned Date]])/365.25),"")</f>
        <v>1.6536618754277892</v>
      </c>
      <c r="F1515" s="49">
        <f>IF(expected_production[[#This Row],[Age (yrs)]]="",1,(1-DegradationRate)^expected_production[[#This Row],[Age (yrs)]])</f>
        <v>0.98845087124924669</v>
      </c>
      <c r="G1515" s="52">
        <f>IF(expected_production[[#This Row],[Base Expected (kWh)]]="","",expected_production[[#This Row],[Base Expected (kWh)]]*expected_production[[#This Row],[Degradation Factor]])</f>
        <v>8491.8061461740599</v>
      </c>
    </row>
    <row r="1516" spans="1:7" ht="15" hidden="1" customHeight="1" x14ac:dyDescent="0.3">
      <c r="A1516" t="s">
        <v>149</v>
      </c>
      <c r="B1516" s="2">
        <v>45323</v>
      </c>
      <c r="C1516" s="52">
        <v>7466.4750000000004</v>
      </c>
      <c r="D1516" s="48">
        <f>_xlfn.XLOOKUP(expected_production[[#This Row],[Site Name]],Table1[[Site Name ]],Table1[Commisioned Date],"")</f>
        <v>44688</v>
      </c>
      <c r="E1516" s="47">
        <f>IF(ISNUMBER(expected_production[[#This Row],[Commissioned Date]]),MAX(0,(expected_production[[#This Row],[Date]]-expected_production[[#This Row],[Commissioned Date]])/365.25),"")</f>
        <v>1.7385352498288844</v>
      </c>
      <c r="F1516" s="49">
        <f>IF(expected_production[[#This Row],[Age (yrs)]]="",1,(1-DegradationRate)^expected_production[[#This Row],[Age (yrs)]])</f>
        <v>0.98786172973962394</v>
      </c>
      <c r="G1516" s="52">
        <f>IF(expected_production[[#This Row],[Base Expected (kWh)]]="","",expected_production[[#This Row],[Base Expected (kWh)]]*expected_production[[#This Row],[Degradation Factor]])</f>
        <v>7375.8449085576594</v>
      </c>
    </row>
    <row r="1517" spans="1:7" ht="15" hidden="1" customHeight="1" x14ac:dyDescent="0.3">
      <c r="A1517" t="s">
        <v>149</v>
      </c>
      <c r="B1517" s="2">
        <v>45352</v>
      </c>
      <c r="C1517" s="52">
        <v>7931.85</v>
      </c>
      <c r="D1517" s="48">
        <f>_xlfn.XLOOKUP(expected_production[[#This Row],[Site Name]],Table1[[Site Name ]],Table1[Commisioned Date],"")</f>
        <v>44688</v>
      </c>
      <c r="E1517" s="47">
        <f>IF(ISNUMBER(expected_production[[#This Row],[Commissioned Date]]),MAX(0,(expected_production[[#This Row],[Date]]-expected_production[[#This Row],[Commissioned Date]])/365.25),"")</f>
        <v>1.8179329226557153</v>
      </c>
      <c r="F1517" s="49">
        <f>IF(expected_production[[#This Row],[Age (yrs)]]="",1,(1-DegradationRate)^expected_production[[#This Row],[Age (yrs)]])</f>
        <v>0.98731091525604009</v>
      </c>
      <c r="G1517" s="52">
        <f>IF(expected_production[[#This Row],[Base Expected (kWh)]]="","",expected_production[[#This Row],[Base Expected (kWh)]]*expected_production[[#This Row],[Degradation Factor]])</f>
        <v>7831.2020831736218</v>
      </c>
    </row>
    <row r="1518" spans="1:7" ht="15" hidden="1" customHeight="1" x14ac:dyDescent="0.3">
      <c r="A1518" t="s">
        <v>149</v>
      </c>
      <c r="B1518" s="2">
        <v>45383</v>
      </c>
      <c r="C1518" s="52">
        <v>6987.15</v>
      </c>
      <c r="D1518" s="48">
        <f>_xlfn.XLOOKUP(expected_production[[#This Row],[Site Name]],Table1[[Site Name ]],Table1[Commisioned Date],"")</f>
        <v>44688</v>
      </c>
      <c r="E1518" s="47">
        <f>IF(ISNUMBER(expected_production[[#This Row],[Commissioned Date]]),MAX(0,(expected_production[[#This Row],[Date]]-expected_production[[#This Row],[Commissioned Date]])/365.25),"")</f>
        <v>1.9028062970568105</v>
      </c>
      <c r="F1518" s="49">
        <f>IF(expected_production[[#This Row],[Age (yrs)]]="",1,(1-DegradationRate)^expected_production[[#This Row],[Age (yrs)]])</f>
        <v>0.98672245318877938</v>
      </c>
      <c r="G1518" s="52">
        <f>IF(expected_production[[#This Row],[Base Expected (kWh)]]="","",expected_production[[#This Row],[Base Expected (kWh)]]*expected_production[[#This Row],[Degradation Factor]])</f>
        <v>6894.3777887979795</v>
      </c>
    </row>
    <row r="1519" spans="1:7" ht="15" hidden="1" customHeight="1" x14ac:dyDescent="0.3">
      <c r="A1519" t="s">
        <v>149</v>
      </c>
      <c r="B1519" s="2">
        <v>45413</v>
      </c>
      <c r="C1519" s="52">
        <v>6858.5249999999996</v>
      </c>
      <c r="D1519" s="48">
        <f>_xlfn.XLOOKUP(expected_production[[#This Row],[Site Name]],Table1[[Site Name ]],Table1[Commisioned Date],"")</f>
        <v>44688</v>
      </c>
      <c r="E1519" s="47">
        <f>IF(ISNUMBER(expected_production[[#This Row],[Commissioned Date]]),MAX(0,(expected_production[[#This Row],[Date]]-expected_production[[#This Row],[Commissioned Date]])/365.25),"")</f>
        <v>1.9849418206707734</v>
      </c>
      <c r="F1519" s="49">
        <f>IF(expected_production[[#This Row],[Age (yrs)]]="",1,(1-DegradationRate)^expected_production[[#This Row],[Age (yrs)]])</f>
        <v>0.9861533077204262</v>
      </c>
      <c r="G1519" s="52">
        <f>IF(expected_production[[#This Row],[Base Expected (kWh)]]="","",expected_production[[#This Row],[Base Expected (kWh)]]*expected_production[[#This Row],[Degradation Factor]])</f>
        <v>6763.5571148332356</v>
      </c>
    </row>
    <row r="1520" spans="1:7" ht="15" hidden="1" customHeight="1" x14ac:dyDescent="0.3">
      <c r="A1520" t="s">
        <v>149</v>
      </c>
      <c r="B1520" s="2">
        <v>45444</v>
      </c>
      <c r="C1520" s="52">
        <v>6375.45</v>
      </c>
      <c r="D1520" s="48">
        <f>_xlfn.XLOOKUP(expected_production[[#This Row],[Site Name]],Table1[[Site Name ]],Table1[Commisioned Date],"")</f>
        <v>44688</v>
      </c>
      <c r="E1520" s="47">
        <f>IF(ISNUMBER(expected_production[[#This Row],[Commissioned Date]]),MAX(0,(expected_production[[#This Row],[Date]]-expected_production[[#This Row],[Commissioned Date]])/365.25),"")</f>
        <v>2.0698151950718686</v>
      </c>
      <c r="F1520" s="49">
        <f>IF(expected_production[[#This Row],[Age (yrs)]]="",1,(1-DegradationRate)^expected_production[[#This Row],[Age (yrs)]])</f>
        <v>0.98556553561628957</v>
      </c>
      <c r="G1520" s="52">
        <f>IF(expected_production[[#This Row],[Base Expected (kWh)]]="","",expected_production[[#This Row],[Base Expected (kWh)]]*expected_production[[#This Row],[Degradation Factor]])</f>
        <v>6283.4237940448729</v>
      </c>
    </row>
    <row r="1521" spans="1:7" ht="15" hidden="1" customHeight="1" x14ac:dyDescent="0.3">
      <c r="A1521" t="s">
        <v>149</v>
      </c>
      <c r="B1521" s="2">
        <v>45474</v>
      </c>
      <c r="C1521" s="52">
        <v>6946.7250000000004</v>
      </c>
      <c r="D1521" s="48">
        <f>_xlfn.XLOOKUP(expected_production[[#This Row],[Site Name]],Table1[[Site Name ]],Table1[Commisioned Date],"")</f>
        <v>44688</v>
      </c>
      <c r="E1521" s="47">
        <f>IF(ISNUMBER(expected_production[[#This Row],[Commissioned Date]]),MAX(0,(expected_production[[#This Row],[Date]]-expected_production[[#This Row],[Commissioned Date]])/365.25),"")</f>
        <v>2.1519507186858315</v>
      </c>
      <c r="F1521" s="49">
        <f>IF(expected_production[[#This Row],[Age (yrs)]]="",1,(1-DegradationRate)^expected_production[[#This Row],[Age (yrs)]])</f>
        <v>0.98499705746263211</v>
      </c>
      <c r="G1521" s="52">
        <f>IF(expected_production[[#This Row],[Base Expected (kWh)]]="","",expected_production[[#This Row],[Base Expected (kWh)]]*expected_production[[#This Row],[Degradation Factor]])</f>
        <v>6842.503684002103</v>
      </c>
    </row>
    <row r="1522" spans="1:7" ht="15" hidden="1" customHeight="1" x14ac:dyDescent="0.3">
      <c r="A1522" t="s">
        <v>149</v>
      </c>
      <c r="B1522" s="2">
        <v>45505</v>
      </c>
      <c r="C1522" s="52">
        <v>7852.65</v>
      </c>
      <c r="D1522" s="48">
        <f>_xlfn.XLOOKUP(expected_production[[#This Row],[Site Name]],Table1[[Site Name ]],Table1[Commisioned Date],"")</f>
        <v>44688</v>
      </c>
      <c r="E1522" s="47">
        <f>IF(ISNUMBER(expected_production[[#This Row],[Commissioned Date]]),MAX(0,(expected_production[[#This Row],[Date]]-expected_production[[#This Row],[Commissioned Date]])/365.25),"")</f>
        <v>2.236824093086927</v>
      </c>
      <c r="F1522" s="49">
        <f>IF(expected_production[[#This Row],[Age (yrs)]]="",1,(1-DegradationRate)^expected_production[[#This Row],[Age (yrs)]])</f>
        <v>0.98440997451264789</v>
      </c>
      <c r="G1522" s="52">
        <f>IF(expected_production[[#This Row],[Base Expected (kWh)]]="","",expected_production[[#This Row],[Base Expected (kWh)]]*expected_production[[#This Row],[Degradation Factor]])</f>
        <v>7730.2269863567444</v>
      </c>
    </row>
    <row r="1523" spans="1:7" ht="15" hidden="1" customHeight="1" x14ac:dyDescent="0.3">
      <c r="A1523" t="s">
        <v>149</v>
      </c>
      <c r="B1523" s="2">
        <v>45536</v>
      </c>
      <c r="C1523" s="52">
        <v>8347.0499999999993</v>
      </c>
      <c r="D1523" s="48">
        <f>_xlfn.XLOOKUP(expected_production[[#This Row],[Site Name]],Table1[[Site Name ]],Table1[Commisioned Date],"")</f>
        <v>44688</v>
      </c>
      <c r="E1523" s="47">
        <f>IF(ISNUMBER(expected_production[[#This Row],[Commissioned Date]]),MAX(0,(expected_production[[#This Row],[Date]]-expected_production[[#This Row],[Commissioned Date]])/365.25),"")</f>
        <v>2.321697467488022</v>
      </c>
      <c r="F1523" s="49">
        <f>IF(expected_production[[#This Row],[Age (yrs)]]="",1,(1-DegradationRate)^expected_production[[#This Row],[Age (yrs)]])</f>
        <v>0.98382324147882594</v>
      </c>
      <c r="G1523" s="52">
        <f>IF(expected_production[[#This Row],[Base Expected (kWh)]]="","",expected_production[[#This Row],[Base Expected (kWh)]]*expected_production[[#This Row],[Degradation Factor]])</f>
        <v>8212.021787785834</v>
      </c>
    </row>
    <row r="1524" spans="1:7" ht="15" hidden="1" customHeight="1" x14ac:dyDescent="0.3">
      <c r="A1524" t="s">
        <v>149</v>
      </c>
      <c r="B1524" s="2">
        <v>45566</v>
      </c>
      <c r="C1524" s="52">
        <v>8786.625</v>
      </c>
      <c r="D1524" s="48">
        <f>_xlfn.XLOOKUP(expected_production[[#This Row],[Site Name]],Table1[[Site Name ]],Table1[Commisioned Date],"")</f>
        <v>44688</v>
      </c>
      <c r="E1524" s="47">
        <f>IF(ISNUMBER(expected_production[[#This Row],[Commissioned Date]]),MAX(0,(expected_production[[#This Row],[Date]]-expected_production[[#This Row],[Commissioned Date]])/365.25),"")</f>
        <v>2.4038329911019849</v>
      </c>
      <c r="F1524" s="49">
        <f>IF(expected_production[[#This Row],[Age (yrs)]]="",1,(1-DegradationRate)^expected_production[[#This Row],[Age (yrs)]])</f>
        <v>0.98325576828741457</v>
      </c>
      <c r="G1524" s="52">
        <f>IF(expected_production[[#This Row],[Base Expected (kWh)]]="","",expected_production[[#This Row],[Base Expected (kWh)]]*expected_production[[#This Row],[Degradation Factor]])</f>
        <v>8639.4997150284034</v>
      </c>
    </row>
    <row r="1525" spans="1:7" ht="15" hidden="1" customHeight="1" x14ac:dyDescent="0.3">
      <c r="A1525" t="s">
        <v>149</v>
      </c>
      <c r="B1525" s="2">
        <v>45597</v>
      </c>
      <c r="C1525" s="52">
        <v>8551.7999999999993</v>
      </c>
      <c r="D1525" s="48">
        <f>_xlfn.XLOOKUP(expected_production[[#This Row],[Site Name]],Table1[[Site Name ]],Table1[Commisioned Date],"")</f>
        <v>44688</v>
      </c>
      <c r="E1525" s="47">
        <f>IF(ISNUMBER(expected_production[[#This Row],[Commissioned Date]]),MAX(0,(expected_production[[#This Row],[Date]]-expected_production[[#This Row],[Commissioned Date]])/365.25),"")</f>
        <v>2.4887063655030799</v>
      </c>
      <c r="F1525" s="49">
        <f>IF(expected_production[[#This Row],[Age (yrs)]]="",1,(1-DegradationRate)^expected_production[[#This Row],[Age (yrs)]])</f>
        <v>0.98266972318945034</v>
      </c>
      <c r="G1525" s="52">
        <f>IF(expected_production[[#This Row],[Base Expected (kWh)]]="","",expected_production[[#This Row],[Base Expected (kWh)]]*expected_production[[#This Row],[Degradation Factor]])</f>
        <v>8403.5949387715409</v>
      </c>
    </row>
    <row r="1526" spans="1:7" ht="15" hidden="1" customHeight="1" x14ac:dyDescent="0.3">
      <c r="A1526" t="s">
        <v>149</v>
      </c>
      <c r="B1526" s="2">
        <v>45627</v>
      </c>
      <c r="C1526" s="52">
        <v>9109.0499999999993</v>
      </c>
      <c r="D1526" s="48">
        <f>_xlfn.XLOOKUP(expected_production[[#This Row],[Site Name]],Table1[[Site Name ]],Table1[Commisioned Date],"")</f>
        <v>44688</v>
      </c>
      <c r="E1526" s="47">
        <f>IF(ISNUMBER(expected_production[[#This Row],[Commissioned Date]]),MAX(0,(expected_production[[#This Row],[Date]]-expected_production[[#This Row],[Commissioned Date]])/365.25),"")</f>
        <v>2.5708418891170433</v>
      </c>
      <c r="F1526" s="49">
        <f>IF(expected_production[[#This Row],[Age (yrs)]]="",1,(1-DegradationRate)^expected_production[[#This Row],[Age (yrs)]])</f>
        <v>0.98210291535201466</v>
      </c>
      <c r="G1526" s="52">
        <f>IF(expected_production[[#This Row],[Base Expected (kWh)]]="","",expected_production[[#This Row],[Base Expected (kWh)]]*expected_production[[#This Row],[Degradation Factor]])</f>
        <v>8946.024561087268</v>
      </c>
    </row>
    <row r="1527" spans="1:7" ht="15" hidden="1" customHeight="1" x14ac:dyDescent="0.3">
      <c r="A1527" t="s">
        <v>149</v>
      </c>
      <c r="B1527" s="2">
        <v>45658</v>
      </c>
      <c r="C1527" s="52">
        <v>8591.0249999999996</v>
      </c>
      <c r="D1527" s="48">
        <f>_xlfn.XLOOKUP(expected_production[[#This Row],[Site Name]],Table1[[Site Name ]],Table1[Commisioned Date],"")</f>
        <v>44688</v>
      </c>
      <c r="E1527" s="47">
        <f>IF(ISNUMBER(expected_production[[#This Row],[Commissioned Date]]),MAX(0,(expected_production[[#This Row],[Date]]-expected_production[[#This Row],[Commissioned Date]])/365.25),"")</f>
        <v>2.6557152635181382</v>
      </c>
      <c r="F1527" s="49">
        <f>IF(expected_production[[#This Row],[Age (yrs)]]="",1,(1-DegradationRate)^expected_production[[#This Row],[Age (yrs)]])</f>
        <v>0.98151755738331348</v>
      </c>
      <c r="G1527" s="52">
        <f>IF(expected_production[[#This Row],[Base Expected (kWh)]]="","",expected_production[[#This Row],[Base Expected (kWh)]]*expected_production[[#This Row],[Degradation Factor]])</f>
        <v>8432.2418734189796</v>
      </c>
    </row>
    <row r="1528" spans="1:7" ht="15" hidden="1" customHeight="1" x14ac:dyDescent="0.3">
      <c r="A1528" t="s">
        <v>149</v>
      </c>
      <c r="B1528" s="2">
        <v>45689</v>
      </c>
      <c r="C1528" s="52">
        <v>7466.4750000000004</v>
      </c>
      <c r="D1528" s="48">
        <f>_xlfn.XLOOKUP(expected_production[[#This Row],[Site Name]],Table1[[Site Name ]],Table1[Commisioned Date],"")</f>
        <v>44688</v>
      </c>
      <c r="E1528" s="47">
        <f>IF(ISNUMBER(expected_production[[#This Row],[Commissioned Date]]),MAX(0,(expected_production[[#This Row],[Date]]-expected_production[[#This Row],[Commissioned Date]])/365.25),"")</f>
        <v>2.7405886379192332</v>
      </c>
      <c r="F1528" s="49">
        <f>IF(expected_production[[#This Row],[Age (yrs)]]="",1,(1-DegradationRate)^expected_production[[#This Row],[Age (yrs)]])</f>
        <v>0.98093254830264243</v>
      </c>
      <c r="G1528" s="52">
        <f>IF(expected_production[[#This Row],[Base Expected (kWh)]]="","",expected_production[[#This Row],[Base Expected (kWh)]]*expected_production[[#This Row],[Degradation Factor]])</f>
        <v>7324.1083485879726</v>
      </c>
    </row>
    <row r="1529" spans="1:7" ht="15" hidden="1" customHeight="1" x14ac:dyDescent="0.3">
      <c r="A1529" t="s">
        <v>149</v>
      </c>
      <c r="B1529" s="2">
        <v>45717</v>
      </c>
      <c r="C1529" s="52">
        <v>7931.85</v>
      </c>
      <c r="D1529" s="48">
        <f>_xlfn.XLOOKUP(expected_production[[#This Row],[Site Name]],Table1[[Site Name ]],Table1[Commisioned Date],"")</f>
        <v>44688</v>
      </c>
      <c r="E1529" s="47">
        <f>IF(ISNUMBER(expected_production[[#This Row],[Commissioned Date]]),MAX(0,(expected_production[[#This Row],[Date]]-expected_production[[#This Row],[Commissioned Date]])/365.25),"")</f>
        <v>2.817248459958932</v>
      </c>
      <c r="F1529" s="49">
        <f>IF(expected_production[[#This Row],[Age (yrs)]]="",1,(1-DegradationRate)^expected_production[[#This Row],[Age (yrs)]])</f>
        <v>0.98040445270770515</v>
      </c>
      <c r="G1529" s="52">
        <f>IF(expected_production[[#This Row],[Base Expected (kWh)]]="","",expected_production[[#This Row],[Base Expected (kWh)]]*expected_production[[#This Row],[Degradation Factor]])</f>
        <v>7776.4210582096111</v>
      </c>
    </row>
    <row r="1530" spans="1:7" ht="15" hidden="1" customHeight="1" x14ac:dyDescent="0.3">
      <c r="A1530" t="s">
        <v>149</v>
      </c>
      <c r="B1530" s="2">
        <v>45748</v>
      </c>
      <c r="C1530" s="52">
        <v>6987.15</v>
      </c>
      <c r="D1530" s="48">
        <f>_xlfn.XLOOKUP(expected_production[[#This Row],[Site Name]],Table1[[Site Name ]],Table1[Commisioned Date],"")</f>
        <v>44688</v>
      </c>
      <c r="E1530" s="47">
        <f>IF(ISNUMBER(expected_production[[#This Row],[Commissioned Date]]),MAX(0,(expected_production[[#This Row],[Date]]-expected_production[[#This Row],[Commissioned Date]])/365.25),"")</f>
        <v>2.9021218343600275</v>
      </c>
      <c r="F1530" s="49">
        <f>IF(expected_production[[#This Row],[Age (yrs)]]="",1,(1-DegradationRate)^expected_production[[#This Row],[Age (yrs)]])</f>
        <v>0.97982010706533751</v>
      </c>
      <c r="G1530" s="52">
        <f>IF(expected_production[[#This Row],[Base Expected (kWh)]]="","",expected_production[[#This Row],[Base Expected (kWh)]]*expected_production[[#This Row],[Degradation Factor]])</f>
        <v>6846.1500610815729</v>
      </c>
    </row>
    <row r="1531" spans="1:7" ht="15" hidden="1" customHeight="1" x14ac:dyDescent="0.3">
      <c r="A1531" t="s">
        <v>149</v>
      </c>
      <c r="B1531" s="2">
        <v>45778</v>
      </c>
      <c r="C1531" s="52">
        <v>6858.5249999999996</v>
      </c>
      <c r="D1531" s="48">
        <f>_xlfn.XLOOKUP(expected_production[[#This Row],[Site Name]],Table1[[Site Name ]],Table1[Commisioned Date],"")</f>
        <v>44688</v>
      </c>
      <c r="E1531" s="47">
        <f>IF(ISNUMBER(expected_production[[#This Row],[Commissioned Date]]),MAX(0,(expected_production[[#This Row],[Date]]-expected_production[[#This Row],[Commissioned Date]])/365.25),"")</f>
        <v>2.9842573579739904</v>
      </c>
      <c r="F1531" s="49">
        <f>IF(expected_production[[#This Row],[Age (yrs)]]="",1,(1-DegradationRate)^expected_production[[#This Row],[Age (yrs)]])</f>
        <v>0.97925494289791082</v>
      </c>
      <c r="G1531" s="52">
        <f>IF(expected_production[[#This Row],[Base Expected (kWh)]]="","",expected_production[[#This Row],[Base Expected (kWh)]]*expected_production[[#This Row],[Degradation Factor]])</f>
        <v>6716.2445072388937</v>
      </c>
    </row>
    <row r="1532" spans="1:7" ht="15" hidden="1" customHeight="1" x14ac:dyDescent="0.3">
      <c r="A1532" t="s">
        <v>149</v>
      </c>
      <c r="B1532" s="2">
        <v>45809</v>
      </c>
      <c r="C1532" s="52">
        <v>6375.45</v>
      </c>
      <c r="D1532" s="48">
        <f>_xlfn.XLOOKUP(expected_production[[#This Row],[Site Name]],Table1[[Site Name ]],Table1[Commisioned Date],"")</f>
        <v>44688</v>
      </c>
      <c r="E1532" s="47">
        <f>IF(ISNUMBER(expected_production[[#This Row],[Commissioned Date]]),MAX(0,(expected_production[[#This Row],[Date]]-expected_production[[#This Row],[Commissioned Date]])/365.25),"")</f>
        <v>3.0691307323750854</v>
      </c>
      <c r="F1532" s="49">
        <f>IF(expected_production[[#This Row],[Age (yrs)]]="",1,(1-DegradationRate)^expected_production[[#This Row],[Age (yrs)]])</f>
        <v>0.97867128239221945</v>
      </c>
      <c r="G1532" s="52">
        <f>IF(expected_production[[#This Row],[Base Expected (kWh)]]="","",expected_production[[#This Row],[Base Expected (kWh)]]*expected_production[[#This Row],[Degradation Factor]])</f>
        <v>6239.4698273274753</v>
      </c>
    </row>
    <row r="1533" spans="1:7" ht="15" hidden="1" customHeight="1" x14ac:dyDescent="0.3">
      <c r="A1533" t="s">
        <v>149</v>
      </c>
      <c r="B1533" s="2">
        <v>45839</v>
      </c>
      <c r="C1533" s="52">
        <v>6946.7250000000004</v>
      </c>
      <c r="D1533" s="48">
        <f>_xlfn.XLOOKUP(expected_production[[#This Row],[Site Name]],Table1[[Site Name ]],Table1[Commisioned Date],"")</f>
        <v>44688</v>
      </c>
      <c r="E1533" s="47">
        <f>IF(ISNUMBER(expected_production[[#This Row],[Commissioned Date]]),MAX(0,(expected_production[[#This Row],[Date]]-expected_production[[#This Row],[Commissioned Date]])/365.25),"")</f>
        <v>3.1512662559890487</v>
      </c>
      <c r="F1533" s="49">
        <f>IF(expected_production[[#This Row],[Age (yrs)]]="",1,(1-DegradationRate)^expected_production[[#This Row],[Age (yrs)]])</f>
        <v>0.97810678087147185</v>
      </c>
      <c r="G1533" s="52">
        <f>IF(expected_production[[#This Row],[Base Expected (kWh)]]="","",expected_production[[#This Row],[Base Expected (kWh)]]*expected_production[[#This Row],[Degradation Factor]])</f>
        <v>6794.6388273493758</v>
      </c>
    </row>
    <row r="1534" spans="1:7" ht="15" hidden="1" customHeight="1" x14ac:dyDescent="0.3">
      <c r="A1534" t="s">
        <v>149</v>
      </c>
      <c r="B1534" s="2">
        <v>45870</v>
      </c>
      <c r="C1534" s="52">
        <v>7852.65</v>
      </c>
      <c r="D1534" s="48">
        <f>_xlfn.XLOOKUP(expected_production[[#This Row],[Site Name]],Table1[[Site Name ]],Table1[Commisioned Date],"")</f>
        <v>44688</v>
      </c>
      <c r="E1534" s="47">
        <f>IF(ISNUMBER(expected_production[[#This Row],[Commissioned Date]]),MAX(0,(expected_production[[#This Row],[Date]]-expected_production[[#This Row],[Commissioned Date]])/365.25),"")</f>
        <v>3.2361396303901437</v>
      </c>
      <c r="F1534" s="49">
        <f>IF(expected_production[[#This Row],[Age (yrs)]]="",1,(1-DegradationRate)^expected_production[[#This Row],[Age (yrs)]])</f>
        <v>0.97752380469914413</v>
      </c>
      <c r="G1534" s="52">
        <f>IF(expected_production[[#This Row],[Base Expected (kWh)]]="","",expected_production[[#This Row],[Base Expected (kWh)]]*expected_production[[#This Row],[Degradation Factor]])</f>
        <v>7676.1523049707339</v>
      </c>
    </row>
    <row r="1535" spans="1:7" ht="15" hidden="1" customHeight="1" x14ac:dyDescent="0.3">
      <c r="A1535" t="s">
        <v>149</v>
      </c>
      <c r="B1535" s="2">
        <v>45901</v>
      </c>
      <c r="C1535" s="52">
        <v>8347.0499999999993</v>
      </c>
      <c r="D1535" s="48">
        <f>_xlfn.XLOOKUP(expected_production[[#This Row],[Site Name]],Table1[[Site Name ]],Table1[Commisioned Date],"")</f>
        <v>44688</v>
      </c>
      <c r="E1535" s="47">
        <f>IF(ISNUMBER(expected_production[[#This Row],[Commissioned Date]]),MAX(0,(expected_production[[#This Row],[Date]]-expected_production[[#This Row],[Commissioned Date]])/365.25),"")</f>
        <v>3.3210130047912387</v>
      </c>
      <c r="F1535" s="49">
        <f>IF(expected_production[[#This Row],[Age (yrs)]]="",1,(1-DegradationRate)^expected_production[[#This Row],[Age (yrs)]])</f>
        <v>0.97694117599523622</v>
      </c>
      <c r="G1535" s="52">
        <f>IF(expected_production[[#This Row],[Base Expected (kWh)]]="","",expected_production[[#This Row],[Base Expected (kWh)]]*expected_production[[#This Row],[Degradation Factor]])</f>
        <v>8154.5768430910357</v>
      </c>
    </row>
    <row r="1536" spans="1:7" ht="15" hidden="1" customHeight="1" x14ac:dyDescent="0.3">
      <c r="A1536" t="s">
        <v>149</v>
      </c>
      <c r="B1536" s="2">
        <v>45931</v>
      </c>
      <c r="C1536" s="52">
        <v>8786.625</v>
      </c>
      <c r="D1536" s="48">
        <f>_xlfn.XLOOKUP(expected_production[[#This Row],[Site Name]],Table1[[Site Name ]],Table1[Commisioned Date],"")</f>
        <v>44688</v>
      </c>
      <c r="E1536" s="47">
        <f>IF(ISNUMBER(expected_production[[#This Row],[Commissioned Date]]),MAX(0,(expected_production[[#This Row],[Date]]-expected_production[[#This Row],[Commissioned Date]])/365.25),"")</f>
        <v>3.4031485284052021</v>
      </c>
      <c r="F1536" s="49">
        <f>IF(expected_production[[#This Row],[Age (yrs)]]="",1,(1-DegradationRate)^expected_production[[#This Row],[Age (yrs)]])</f>
        <v>0.97637767240679707</v>
      </c>
      <c r="G1536" s="52">
        <f>IF(expected_production[[#This Row],[Base Expected (kWh)]]="","",expected_production[[#This Row],[Base Expected (kWh)]]*expected_production[[#This Row],[Degradation Factor]])</f>
        <v>8579.0644658113724</v>
      </c>
    </row>
    <row r="1537" spans="1:7" ht="15" hidden="1" customHeight="1" x14ac:dyDescent="0.3">
      <c r="A1537" t="s">
        <v>149</v>
      </c>
      <c r="B1537" s="2">
        <v>45962</v>
      </c>
      <c r="C1537" s="52">
        <v>8551.7999999999993</v>
      </c>
      <c r="D1537" s="48">
        <f>_xlfn.XLOOKUP(expected_production[[#This Row],[Site Name]],Table1[[Site Name ]],Table1[Commisioned Date],"")</f>
        <v>44688</v>
      </c>
      <c r="E1537" s="47">
        <f>IF(ISNUMBER(expected_production[[#This Row],[Commissioned Date]]),MAX(0,(expected_production[[#This Row],[Date]]-expected_production[[#This Row],[Commissioned Date]])/365.25),"")</f>
        <v>3.4880219028062971</v>
      </c>
      <c r="F1537" s="49">
        <f>IF(expected_production[[#This Row],[Age (yrs)]]="",1,(1-DegradationRate)^expected_production[[#This Row],[Age (yrs)]])</f>
        <v>0.9757957268264803</v>
      </c>
      <c r="G1537" s="52">
        <f>IF(expected_production[[#This Row],[Base Expected (kWh)]]="","",expected_production[[#This Row],[Base Expected (kWh)]]*expected_production[[#This Row],[Degradation Factor]])</f>
        <v>8344.8098966746929</v>
      </c>
    </row>
    <row r="1538" spans="1:7" ht="15" hidden="1" customHeight="1" x14ac:dyDescent="0.3">
      <c r="A1538" t="s">
        <v>149</v>
      </c>
      <c r="B1538" s="2">
        <v>45992</v>
      </c>
      <c r="C1538" s="52">
        <v>9109.0499999999993</v>
      </c>
      <c r="D1538" s="48">
        <f>_xlfn.XLOOKUP(expected_production[[#This Row],[Site Name]],Table1[[Site Name ]],Table1[Commisioned Date],"")</f>
        <v>44688</v>
      </c>
      <c r="E1538" s="47">
        <f>IF(ISNUMBER(expected_production[[#This Row],[Commissioned Date]]),MAX(0,(expected_production[[#This Row],[Date]]-expected_production[[#This Row],[Commissioned Date]])/365.25),"")</f>
        <v>3.57015742642026</v>
      </c>
      <c r="F1538" s="49">
        <f>IF(expected_production[[#This Row],[Age (yrs)]]="",1,(1-DegradationRate)^expected_production[[#This Row],[Age (yrs)]])</f>
        <v>0.97523288393771568</v>
      </c>
      <c r="G1538" s="52">
        <f>IF(expected_production[[#This Row],[Base Expected (kWh)]]="","",expected_production[[#This Row],[Base Expected (kWh)]]*expected_production[[#This Row],[Degradation Factor]])</f>
        <v>8883.4451014328479</v>
      </c>
    </row>
    <row r="1539" spans="1:7" ht="15" hidden="1" customHeight="1" x14ac:dyDescent="0.3">
      <c r="A1539" t="s">
        <v>149</v>
      </c>
      <c r="B1539" s="2">
        <v>46023</v>
      </c>
      <c r="C1539" s="52">
        <v>8591.0249999999996</v>
      </c>
      <c r="D1539" s="48">
        <f>_xlfn.XLOOKUP(expected_production[[#This Row],[Site Name]],Table1[[Site Name ]],Table1[Commisioned Date],"")</f>
        <v>44688</v>
      </c>
      <c r="E1539" s="47">
        <f>IF(ISNUMBER(expected_production[[#This Row],[Commissioned Date]]),MAX(0,(expected_production[[#This Row],[Date]]-expected_production[[#This Row],[Commissioned Date]])/365.25),"")</f>
        <v>3.6550308008213555</v>
      </c>
      <c r="F1539" s="49">
        <f>IF(expected_production[[#This Row],[Age (yrs)]]="",1,(1-DegradationRate)^expected_production[[#This Row],[Age (yrs)]])</f>
        <v>0.97465162068003786</v>
      </c>
      <c r="G1539" s="52">
        <f>IF(expected_production[[#This Row],[Base Expected (kWh)]]="","",expected_production[[#This Row],[Base Expected (kWh)]]*expected_production[[#This Row],[Degradation Factor]])</f>
        <v>8373.2564395527224</v>
      </c>
    </row>
    <row r="1540" spans="1:7" ht="15" hidden="1" customHeight="1" x14ac:dyDescent="0.3">
      <c r="A1540" t="s">
        <v>149</v>
      </c>
      <c r="B1540" s="2">
        <v>46054</v>
      </c>
      <c r="C1540" s="52">
        <v>7466.4750000000004</v>
      </c>
      <c r="D1540" s="48">
        <f>_xlfn.XLOOKUP(expected_production[[#This Row],[Site Name]],Table1[[Site Name ]],Table1[Commisioned Date],"")</f>
        <v>44688</v>
      </c>
      <c r="E1540" s="47">
        <f>IF(ISNUMBER(expected_production[[#This Row],[Commissioned Date]]),MAX(0,(expected_production[[#This Row],[Date]]-expected_production[[#This Row],[Commissioned Date]])/365.25),"")</f>
        <v>3.7399041752224504</v>
      </c>
      <c r="F1540" s="49">
        <f>IF(expected_production[[#This Row],[Age (yrs)]]="",1,(1-DegradationRate)^expected_production[[#This Row],[Age (yrs)]])</f>
        <v>0.97407070386983974</v>
      </c>
      <c r="G1540" s="52">
        <f>IF(expected_production[[#This Row],[Base Expected (kWh)]]="","",expected_production[[#This Row],[Base Expected (kWh)]]*expected_production[[#This Row],[Degradation Factor]])</f>
        <v>7272.8745586765617</v>
      </c>
    </row>
    <row r="1541" spans="1:7" ht="15" hidden="1" customHeight="1" x14ac:dyDescent="0.3">
      <c r="A1541" t="s">
        <v>149</v>
      </c>
      <c r="B1541" s="2">
        <v>46082</v>
      </c>
      <c r="C1541" s="52">
        <v>7931.85</v>
      </c>
      <c r="D1541" s="48">
        <f>_xlfn.XLOOKUP(expected_production[[#This Row],[Site Name]],Table1[[Site Name ]],Table1[Commisioned Date],"")</f>
        <v>44688</v>
      </c>
      <c r="E1541" s="47">
        <f>IF(ISNUMBER(expected_production[[#This Row],[Commissioned Date]]),MAX(0,(expected_production[[#This Row],[Date]]-expected_production[[#This Row],[Commissioned Date]])/365.25),"")</f>
        <v>3.8165639972621492</v>
      </c>
      <c r="F1541" s="49">
        <f>IF(expected_production[[#This Row],[Age (yrs)]]="",1,(1-DegradationRate)^expected_production[[#This Row],[Age (yrs)]])</f>
        <v>0.97354630242270546</v>
      </c>
      <c r="G1541" s="52">
        <f>IF(expected_production[[#This Row],[Base Expected (kWh)]]="","",expected_production[[#This Row],[Base Expected (kWh)]]*expected_production[[#This Row],[Degradation Factor]])</f>
        <v>7722.0232388715367</v>
      </c>
    </row>
    <row r="1542" spans="1:7" ht="15" hidden="1" customHeight="1" x14ac:dyDescent="0.3">
      <c r="A1542" t="s">
        <v>149</v>
      </c>
      <c r="B1542" s="2">
        <v>46113</v>
      </c>
      <c r="C1542" s="52">
        <v>6987.15</v>
      </c>
      <c r="D1542" s="48">
        <f>_xlfn.XLOOKUP(expected_production[[#This Row],[Site Name]],Table1[[Site Name ]],Table1[Commisioned Date],"")</f>
        <v>44688</v>
      </c>
      <c r="E1542" s="47">
        <f>IF(ISNUMBER(expected_production[[#This Row],[Commissioned Date]]),MAX(0,(expected_production[[#This Row],[Date]]-expected_production[[#This Row],[Commissioned Date]])/365.25),"")</f>
        <v>3.9014373716632442</v>
      </c>
      <c r="F1542" s="49">
        <f>IF(expected_production[[#This Row],[Age (yrs)]]="",1,(1-DegradationRate)^expected_production[[#This Row],[Age (yrs)]])</f>
        <v>0.97296604440991008</v>
      </c>
      <c r="G1542" s="52">
        <f>IF(expected_production[[#This Row],[Base Expected (kWh)]]="","",expected_production[[#This Row],[Base Expected (kWh)]]*expected_production[[#This Row],[Degradation Factor]])</f>
        <v>6798.2596971987032</v>
      </c>
    </row>
    <row r="1543" spans="1:7" ht="15" hidden="1" customHeight="1" x14ac:dyDescent="0.3">
      <c r="A1543" t="s">
        <v>149</v>
      </c>
      <c r="B1543" s="2">
        <v>46143</v>
      </c>
      <c r="C1543" s="52">
        <v>6858.5249999999996</v>
      </c>
      <c r="D1543" s="48">
        <f>_xlfn.XLOOKUP(expected_production[[#This Row],[Site Name]],Table1[[Site Name ]],Table1[Commisioned Date],"")</f>
        <v>44688</v>
      </c>
      <c r="E1543" s="47">
        <f>IF(ISNUMBER(expected_production[[#This Row],[Commissioned Date]]),MAX(0,(expected_production[[#This Row],[Date]]-expected_production[[#This Row],[Commissioned Date]])/365.25),"")</f>
        <v>3.9835728952772076</v>
      </c>
      <c r="F1543" s="49">
        <f>IF(expected_production[[#This Row],[Age (yrs)]]="",1,(1-DegradationRate)^expected_production[[#This Row],[Age (yrs)]])</f>
        <v>0.9724048336933121</v>
      </c>
      <c r="G1543" s="52">
        <f>IF(expected_production[[#This Row],[Base Expected (kWh)]]="","",expected_production[[#This Row],[Base Expected (kWh)]]*expected_production[[#This Row],[Degradation Factor]])</f>
        <v>6669.2628620064233</v>
      </c>
    </row>
    <row r="1544" spans="1:7" ht="15" hidden="1" customHeight="1" x14ac:dyDescent="0.3">
      <c r="A1544" t="s">
        <v>149</v>
      </c>
      <c r="B1544" s="2">
        <v>46174</v>
      </c>
      <c r="C1544" s="52">
        <v>6375.45</v>
      </c>
      <c r="D1544" s="48">
        <f>_xlfn.XLOOKUP(expected_production[[#This Row],[Site Name]],Table1[[Site Name ]],Table1[Commisioned Date],"")</f>
        <v>44688</v>
      </c>
      <c r="E1544" s="47">
        <f>IF(ISNUMBER(expected_production[[#This Row],[Commissioned Date]]),MAX(0,(expected_production[[#This Row],[Date]]-expected_production[[#This Row],[Commissioned Date]])/365.25),"")</f>
        <v>4.0684462696783026</v>
      </c>
      <c r="F1544" s="49">
        <f>IF(expected_production[[#This Row],[Age (yrs)]]="",1,(1-DegradationRate)^expected_production[[#This Row],[Age (yrs)]])</f>
        <v>0.97182525602450742</v>
      </c>
      <c r="G1544" s="52">
        <f>IF(expected_production[[#This Row],[Base Expected (kWh)]]="","",expected_production[[#This Row],[Base Expected (kWh)]]*expected_production[[#This Row],[Degradation Factor]])</f>
        <v>6195.8233285214455</v>
      </c>
    </row>
    <row r="1545" spans="1:7" ht="15" hidden="1" customHeight="1" x14ac:dyDescent="0.3">
      <c r="A1545" t="s">
        <v>149</v>
      </c>
      <c r="B1545" s="2">
        <v>46204</v>
      </c>
      <c r="C1545" s="52">
        <v>6946.7250000000004</v>
      </c>
      <c r="D1545" s="48">
        <f>_xlfn.XLOOKUP(expected_production[[#This Row],[Site Name]],Table1[[Site Name ]],Table1[Commisioned Date],"")</f>
        <v>44688</v>
      </c>
      <c r="E1545" s="47">
        <f>IF(ISNUMBER(expected_production[[#This Row],[Commissioned Date]]),MAX(0,(expected_production[[#This Row],[Date]]-expected_production[[#This Row],[Commissioned Date]])/365.25),"")</f>
        <v>4.1505817932922655</v>
      </c>
      <c r="F1545" s="49">
        <f>IF(expected_production[[#This Row],[Age (yrs)]]="",1,(1-DegradationRate)^expected_production[[#This Row],[Age (yrs)]])</f>
        <v>0.97126470331922532</v>
      </c>
      <c r="G1545" s="52">
        <f>IF(expected_production[[#This Row],[Base Expected (kWh)]]="","",expected_production[[#This Row],[Base Expected (kWh)]]*expected_production[[#This Row],[Degradation Factor]])</f>
        <v>6747.1087961652456</v>
      </c>
    </row>
    <row r="1546" spans="1:7" ht="15" hidden="1" customHeight="1" x14ac:dyDescent="0.3">
      <c r="A1546" t="s">
        <v>149</v>
      </c>
      <c r="B1546" s="2">
        <v>46235</v>
      </c>
      <c r="C1546" s="52">
        <v>7852.65</v>
      </c>
      <c r="D1546" s="48">
        <f>_xlfn.XLOOKUP(expected_production[[#This Row],[Site Name]],Table1[[Site Name ]],Table1[Commisioned Date],"")</f>
        <v>44688</v>
      </c>
      <c r="E1546" s="47">
        <f>IF(ISNUMBER(expected_production[[#This Row],[Commissioned Date]]),MAX(0,(expected_production[[#This Row],[Date]]-expected_production[[#This Row],[Commissioned Date]])/365.25),"")</f>
        <v>4.2354551676933605</v>
      </c>
      <c r="F1546" s="49">
        <f>IF(expected_production[[#This Row],[Age (yrs)]]="",1,(1-DegradationRate)^expected_production[[#This Row],[Age (yrs)]])</f>
        <v>0.97068580519671821</v>
      </c>
      <c r="G1546" s="52">
        <f>IF(expected_production[[#This Row],[Base Expected (kWh)]]="","",expected_production[[#This Row],[Base Expected (kWh)]]*expected_production[[#This Row],[Degradation Factor]])</f>
        <v>7622.4558881780085</v>
      </c>
    </row>
    <row r="1547" spans="1:7" ht="15" hidden="1" customHeight="1" x14ac:dyDescent="0.3">
      <c r="A1547" t="s">
        <v>149</v>
      </c>
      <c r="B1547" s="2">
        <v>46266</v>
      </c>
      <c r="C1547" s="52">
        <v>8347.0499999999993</v>
      </c>
      <c r="D1547" s="48">
        <f>_xlfn.XLOOKUP(expected_production[[#This Row],[Site Name]],Table1[[Site Name ]],Table1[Commisioned Date],"")</f>
        <v>44688</v>
      </c>
      <c r="E1547" s="47">
        <f>IF(ISNUMBER(expected_production[[#This Row],[Commissioned Date]]),MAX(0,(expected_production[[#This Row],[Date]]-expected_production[[#This Row],[Commissioned Date]])/365.25),"")</f>
        <v>4.3203285420944555</v>
      </c>
      <c r="F1547" s="49">
        <f>IF(expected_production[[#This Row],[Age (yrs)]]="",1,(1-DegradationRate)^expected_production[[#This Row],[Age (yrs)]])</f>
        <v>0.97010725211201077</v>
      </c>
      <c r="G1547" s="52">
        <f>IF(expected_production[[#This Row],[Base Expected (kWh)]]="","",expected_production[[#This Row],[Base Expected (kWh)]]*expected_production[[#This Row],[Degradation Factor]])</f>
        <v>8097.5337387415584</v>
      </c>
    </row>
    <row r="1548" spans="1:7" ht="15" hidden="1" customHeight="1" x14ac:dyDescent="0.3">
      <c r="A1548" t="s">
        <v>149</v>
      </c>
      <c r="B1548" s="2">
        <v>46296</v>
      </c>
      <c r="C1548" s="52">
        <v>8786.625</v>
      </c>
      <c r="D1548" s="48">
        <f>_xlfn.XLOOKUP(expected_production[[#This Row],[Site Name]],Table1[[Site Name ]],Table1[Commisioned Date],"")</f>
        <v>44688</v>
      </c>
      <c r="E1548" s="47">
        <f>IF(ISNUMBER(expected_production[[#This Row],[Commissioned Date]]),MAX(0,(expected_production[[#This Row],[Date]]-expected_production[[#This Row],[Commissioned Date]])/365.25),"")</f>
        <v>4.4024640657084193</v>
      </c>
      <c r="F1548" s="49">
        <f>IF(expected_production[[#This Row],[Age (yrs)]]="",1,(1-DegradationRate)^expected_production[[#This Row],[Age (yrs)]])</f>
        <v>0.9695476903582757</v>
      </c>
      <c r="G1548" s="52">
        <f>IF(expected_production[[#This Row],[Base Expected (kWh)]]="","",expected_production[[#This Row],[Base Expected (kWh)]]*expected_production[[#This Row],[Degradation Factor]])</f>
        <v>8519.0519747942835</v>
      </c>
    </row>
    <row r="1549" spans="1:7" ht="15" hidden="1" customHeight="1" x14ac:dyDescent="0.3">
      <c r="A1549" t="s">
        <v>149</v>
      </c>
      <c r="B1549" s="2">
        <v>46327</v>
      </c>
      <c r="C1549" s="52">
        <v>8551.7999999999993</v>
      </c>
      <c r="D1549" s="48">
        <f>_xlfn.XLOOKUP(expected_production[[#This Row],[Site Name]],Table1[[Site Name ]],Table1[Commisioned Date],"")</f>
        <v>44688</v>
      </c>
      <c r="E1549" s="47">
        <f>IF(ISNUMBER(expected_production[[#This Row],[Commissioned Date]]),MAX(0,(expected_production[[#This Row],[Date]]-expected_production[[#This Row],[Commissioned Date]])/365.25),"")</f>
        <v>4.4873374401095143</v>
      </c>
      <c r="F1549" s="49">
        <f>IF(expected_production[[#This Row],[Age (yrs)]]="",1,(1-DegradationRate)^expected_production[[#This Row],[Age (yrs)]])</f>
        <v>0.96896981561855589</v>
      </c>
      <c r="G1549" s="52">
        <f>IF(expected_production[[#This Row],[Base Expected (kWh)]]="","",expected_production[[#This Row],[Base Expected (kWh)]]*expected_production[[#This Row],[Degradation Factor]])</f>
        <v>8286.4360692067658</v>
      </c>
    </row>
    <row r="1550" spans="1:7" ht="15" hidden="1" customHeight="1" x14ac:dyDescent="0.3">
      <c r="A1550" t="s">
        <v>149</v>
      </c>
      <c r="B1550" s="2">
        <v>46357</v>
      </c>
      <c r="C1550" s="52">
        <v>9109.0499999999993</v>
      </c>
      <c r="D1550" s="48">
        <f>_xlfn.XLOOKUP(expected_production[[#This Row],[Site Name]],Table1[[Site Name ]],Table1[Commisioned Date],"")</f>
        <v>44688</v>
      </c>
      <c r="E1550" s="47">
        <f>IF(ISNUMBER(expected_production[[#This Row],[Commissioned Date]]),MAX(0,(expected_production[[#This Row],[Date]]-expected_production[[#This Row],[Commissioned Date]])/365.25),"")</f>
        <v>4.5694729637234772</v>
      </c>
      <c r="F1550" s="49">
        <f>IF(expected_production[[#This Row],[Age (yrs)]]="",1,(1-DegradationRate)^expected_production[[#This Row],[Age (yrs)]])</f>
        <v>0.96841090994275203</v>
      </c>
      <c r="G1550" s="52">
        <f>IF(expected_production[[#This Row],[Base Expected (kWh)]]="","",expected_production[[#This Row],[Base Expected (kWh)]]*expected_production[[#This Row],[Degradation Factor]])</f>
        <v>8821.3033992140245</v>
      </c>
    </row>
    <row r="1551" spans="1:7" ht="15" hidden="1" customHeight="1" x14ac:dyDescent="0.3">
      <c r="A1551" t="s">
        <v>155</v>
      </c>
      <c r="B1551" s="2">
        <v>45292</v>
      </c>
      <c r="C1551" s="52">
        <v>4894.29</v>
      </c>
      <c r="D1551" s="48">
        <f>_xlfn.XLOOKUP(expected_production[[#This Row],[Site Name]],Table1[[Site Name ]],Table1[Commisioned Date],"")</f>
        <v>45092</v>
      </c>
      <c r="E1551" s="47">
        <f>IF(ISNUMBER(expected_production[[#This Row],[Commissioned Date]]),MAX(0,(expected_production[[#This Row],[Date]]-expected_production[[#This Row],[Commissioned Date]])/365.25),"")</f>
        <v>0.54757015742642023</v>
      </c>
      <c r="F1551" s="49">
        <f>IF(expected_production[[#This Row],[Age (yrs)]]="",1,(1-DegradationRate)^expected_production[[#This Row],[Age (yrs)]])</f>
        <v>0.99616091868109125</v>
      </c>
      <c r="G1551" s="52">
        <f>IF(expected_production[[#This Row],[Base Expected (kWh)]]="","",expected_production[[#This Row],[Base Expected (kWh)]]*expected_production[[#This Row],[Degradation Factor]])</f>
        <v>4875.5004226916781</v>
      </c>
    </row>
    <row r="1552" spans="1:7" ht="15" hidden="1" customHeight="1" x14ac:dyDescent="0.3">
      <c r="A1552" t="s">
        <v>155</v>
      </c>
      <c r="B1552" s="2">
        <v>45323</v>
      </c>
      <c r="C1552" s="52">
        <v>4527.45</v>
      </c>
      <c r="D1552" s="48">
        <f>_xlfn.XLOOKUP(expected_production[[#This Row],[Site Name]],Table1[[Site Name ]],Table1[Commisioned Date],"")</f>
        <v>45092</v>
      </c>
      <c r="E1552" s="47">
        <f>IF(ISNUMBER(expected_production[[#This Row],[Commissioned Date]]),MAX(0,(expected_production[[#This Row],[Date]]-expected_production[[#This Row],[Commissioned Date]])/365.25),"")</f>
        <v>0.63244353182751545</v>
      </c>
      <c r="F1552" s="49">
        <f>IF(expected_production[[#This Row],[Age (yrs)]]="",1,(1-DegradationRate)^expected_production[[#This Row],[Age (yrs)]])</f>
        <v>0.99556718178983106</v>
      </c>
      <c r="G1552" s="52">
        <f>IF(expected_production[[#This Row],[Base Expected (kWh)]]="","",expected_production[[#This Row],[Base Expected (kWh)]]*expected_production[[#This Row],[Degradation Factor]])</f>
        <v>4507.3806371943701</v>
      </c>
    </row>
    <row r="1553" spans="1:7" ht="15" hidden="1" customHeight="1" x14ac:dyDescent="0.3">
      <c r="A1553" t="s">
        <v>155</v>
      </c>
      <c r="B1553" s="2">
        <v>45352</v>
      </c>
      <c r="C1553" s="52">
        <v>4754.25</v>
      </c>
      <c r="D1553" s="48">
        <f>_xlfn.XLOOKUP(expected_production[[#This Row],[Site Name]],Table1[[Site Name ]],Table1[Commisioned Date],"")</f>
        <v>45092</v>
      </c>
      <c r="E1553" s="47">
        <f>IF(ISNUMBER(expected_production[[#This Row],[Commissioned Date]]),MAX(0,(expected_production[[#This Row],[Date]]-expected_production[[#This Row],[Commissioned Date]])/365.25),"")</f>
        <v>0.7118412046543463</v>
      </c>
      <c r="F1553" s="49">
        <f>IF(expected_production[[#This Row],[Age (yrs)]]="",1,(1-DegradationRate)^expected_production[[#This Row],[Age (yrs)]])</f>
        <v>0.99501207088047827</v>
      </c>
      <c r="G1553" s="52">
        <f>IF(expected_production[[#This Row],[Base Expected (kWh)]]="","",expected_production[[#This Row],[Base Expected (kWh)]]*expected_production[[#This Row],[Degradation Factor]])</f>
        <v>4730.536137983514</v>
      </c>
    </row>
    <row r="1554" spans="1:7" ht="15" hidden="1" customHeight="1" x14ac:dyDescent="0.3">
      <c r="A1554" t="s">
        <v>155</v>
      </c>
      <c r="B1554" s="2">
        <v>45383</v>
      </c>
      <c r="C1554" s="52">
        <v>4171.59</v>
      </c>
      <c r="D1554" s="48">
        <f>_xlfn.XLOOKUP(expected_production[[#This Row],[Site Name]],Table1[[Site Name ]],Table1[Commisioned Date],"")</f>
        <v>45092</v>
      </c>
      <c r="E1554" s="47">
        <f>IF(ISNUMBER(expected_production[[#This Row],[Commissioned Date]]),MAX(0,(expected_production[[#This Row],[Date]]-expected_production[[#This Row],[Commissioned Date]])/365.25),"")</f>
        <v>0.79671457905544152</v>
      </c>
      <c r="F1554" s="49">
        <f>IF(expected_production[[#This Row],[Age (yrs)]]="",1,(1-DegradationRate)^expected_production[[#This Row],[Age (yrs)]])</f>
        <v>0.99441901873132033</v>
      </c>
      <c r="G1554" s="52">
        <f>IF(expected_production[[#This Row],[Base Expected (kWh)]]="","",expected_production[[#This Row],[Base Expected (kWh)]]*expected_production[[#This Row],[Degradation Factor]])</f>
        <v>4148.3084343493883</v>
      </c>
    </row>
    <row r="1555" spans="1:7" ht="15" hidden="1" customHeight="1" x14ac:dyDescent="0.3">
      <c r="A1555" t="s">
        <v>155</v>
      </c>
      <c r="B1555" s="2">
        <v>45413</v>
      </c>
      <c r="C1555" s="52">
        <v>4117.5</v>
      </c>
      <c r="D1555" s="48">
        <f>_xlfn.XLOOKUP(expected_production[[#This Row],[Site Name]],Table1[[Site Name ]],Table1[Commisioned Date],"")</f>
        <v>45092</v>
      </c>
      <c r="E1555" s="47">
        <f>IF(ISNUMBER(expected_production[[#This Row],[Commissioned Date]]),MAX(0,(expected_production[[#This Row],[Date]]-expected_production[[#This Row],[Commissioned Date]])/365.25),"")</f>
        <v>0.87885010266940455</v>
      </c>
      <c r="F1555" s="49">
        <f>IF(expected_production[[#This Row],[Age (yrs)]]="",1,(1-DegradationRate)^expected_production[[#This Row],[Age (yrs)]])</f>
        <v>0.99384543385309432</v>
      </c>
      <c r="G1555" s="52">
        <f>IF(expected_production[[#This Row],[Base Expected (kWh)]]="","",expected_production[[#This Row],[Base Expected (kWh)]]*expected_production[[#This Row],[Degradation Factor]])</f>
        <v>4092.1585738901158</v>
      </c>
    </row>
    <row r="1556" spans="1:7" ht="15" hidden="1" customHeight="1" x14ac:dyDescent="0.3">
      <c r="A1556" t="s">
        <v>155</v>
      </c>
      <c r="B1556" s="2">
        <v>45444</v>
      </c>
      <c r="C1556" s="52">
        <v>3729.06</v>
      </c>
      <c r="D1556" s="48">
        <f>_xlfn.XLOOKUP(expected_production[[#This Row],[Site Name]],Table1[[Site Name ]],Table1[Commisioned Date],"")</f>
        <v>45092</v>
      </c>
      <c r="E1556" s="47">
        <f>IF(ISNUMBER(expected_production[[#This Row],[Commissioned Date]]),MAX(0,(expected_production[[#This Row],[Date]]-expected_production[[#This Row],[Commissioned Date]])/365.25),"")</f>
        <v>0.96372347707049966</v>
      </c>
      <c r="F1556" s="49">
        <f>IF(expected_production[[#This Row],[Age (yrs)]]="",1,(1-DegradationRate)^expected_production[[#This Row],[Age (yrs)]])</f>
        <v>0.99325307704886401</v>
      </c>
      <c r="G1556" s="52">
        <f>IF(expected_production[[#This Row],[Base Expected (kWh)]]="","",expected_production[[#This Row],[Base Expected (kWh)]]*expected_production[[#This Row],[Degradation Factor]])</f>
        <v>3703.9003194998368</v>
      </c>
    </row>
    <row r="1557" spans="1:7" ht="15" hidden="1" customHeight="1" x14ac:dyDescent="0.3">
      <c r="A1557" t="s">
        <v>155</v>
      </c>
      <c r="B1557" s="2">
        <v>45474</v>
      </c>
      <c r="C1557" s="52">
        <v>4105.53</v>
      </c>
      <c r="D1557" s="48">
        <f>_xlfn.XLOOKUP(expected_production[[#This Row],[Site Name]],Table1[[Site Name ]],Table1[Commisioned Date],"")</f>
        <v>45092</v>
      </c>
      <c r="E1557" s="47">
        <f>IF(ISNUMBER(expected_production[[#This Row],[Commissioned Date]]),MAX(0,(expected_production[[#This Row],[Date]]-expected_production[[#This Row],[Commissioned Date]])/365.25),"")</f>
        <v>1.0458590006844628</v>
      </c>
      <c r="F1557" s="49">
        <f>IF(expected_production[[#This Row],[Age (yrs)]]="",1,(1-DegradationRate)^expected_production[[#This Row],[Age (yrs)]])</f>
        <v>0.99268016469047649</v>
      </c>
      <c r="G1557" s="52">
        <f>IF(expected_production[[#This Row],[Base Expected (kWh)]]="","",expected_production[[#This Row],[Base Expected (kWh)]]*expected_production[[#This Row],[Degradation Factor]])</f>
        <v>4075.4781965416919</v>
      </c>
    </row>
    <row r="1558" spans="1:7" ht="15" hidden="1" customHeight="1" x14ac:dyDescent="0.3">
      <c r="A1558" t="s">
        <v>155</v>
      </c>
      <c r="B1558" s="2">
        <v>45505</v>
      </c>
      <c r="C1558" s="52">
        <v>4624.83</v>
      </c>
      <c r="D1558" s="48">
        <f>_xlfn.XLOOKUP(expected_production[[#This Row],[Site Name]],Table1[[Site Name ]],Table1[Commisioned Date],"")</f>
        <v>45092</v>
      </c>
      <c r="E1558" s="47">
        <f>IF(ISNUMBER(expected_production[[#This Row],[Commissioned Date]]),MAX(0,(expected_production[[#This Row],[Date]]-expected_production[[#This Row],[Commissioned Date]])/365.25),"")</f>
        <v>1.1307323750855578</v>
      </c>
      <c r="F1558" s="49">
        <f>IF(expected_production[[#This Row],[Age (yrs)]]="",1,(1-DegradationRate)^expected_production[[#This Row],[Age (yrs)]])</f>
        <v>0.99208850241589208</v>
      </c>
      <c r="G1558" s="52">
        <f>IF(expected_production[[#This Row],[Base Expected (kWh)]]="","",expected_production[[#This Row],[Base Expected (kWh)]]*expected_production[[#This Row],[Degradation Factor]])</f>
        <v>4588.2406686280901</v>
      </c>
    </row>
    <row r="1559" spans="1:7" ht="15" hidden="1" customHeight="1" x14ac:dyDescent="0.3">
      <c r="A1559" t="s">
        <v>155</v>
      </c>
      <c r="B1559" s="2">
        <v>45536</v>
      </c>
      <c r="C1559" s="52">
        <v>4797</v>
      </c>
      <c r="D1559" s="48">
        <f>_xlfn.XLOOKUP(expected_production[[#This Row],[Site Name]],Table1[[Site Name ]],Table1[Commisioned Date],"")</f>
        <v>45092</v>
      </c>
      <c r="E1559" s="47">
        <f>IF(ISNUMBER(expected_production[[#This Row],[Commissioned Date]]),MAX(0,(expected_production[[#This Row],[Date]]-expected_production[[#This Row],[Commissioned Date]])/365.25),"")</f>
        <v>1.215605749486653</v>
      </c>
      <c r="F1559" s="49">
        <f>IF(expected_production[[#This Row],[Age (yrs)]]="",1,(1-DegradationRate)^expected_production[[#This Row],[Age (yrs)]])</f>
        <v>0.99149719278686221</v>
      </c>
      <c r="G1559" s="52">
        <f>IF(expected_production[[#This Row],[Base Expected (kWh)]]="","",expected_production[[#This Row],[Base Expected (kWh)]]*expected_production[[#This Row],[Degradation Factor]])</f>
        <v>4756.212033798578</v>
      </c>
    </row>
    <row r="1560" spans="1:7" ht="15" hidden="1" customHeight="1" x14ac:dyDescent="0.3">
      <c r="A1560" t="s">
        <v>155</v>
      </c>
      <c r="B1560" s="2">
        <v>45566</v>
      </c>
      <c r="C1560" s="52">
        <v>5068.9799999999996</v>
      </c>
      <c r="D1560" s="48">
        <f>_xlfn.XLOOKUP(expected_production[[#This Row],[Site Name]],Table1[[Site Name ]],Table1[Commisioned Date],"")</f>
        <v>45092</v>
      </c>
      <c r="E1560" s="47">
        <f>IF(ISNUMBER(expected_production[[#This Row],[Commissioned Date]]),MAX(0,(expected_production[[#This Row],[Date]]-expected_production[[#This Row],[Commissioned Date]])/365.25),"")</f>
        <v>1.2977412731006159</v>
      </c>
      <c r="F1560" s="49">
        <f>IF(expected_production[[#This Row],[Age (yrs)]]="",1,(1-DegradationRate)^expected_production[[#This Row],[Age (yrs)]])</f>
        <v>0.99092529322955925</v>
      </c>
      <c r="G1560" s="52">
        <f>IF(expected_production[[#This Row],[Base Expected (kWh)]]="","",expected_production[[#This Row],[Base Expected (kWh)]]*expected_production[[#This Row],[Degradation Factor]])</f>
        <v>5022.9804928747708</v>
      </c>
    </row>
    <row r="1561" spans="1:7" ht="15" hidden="1" customHeight="1" x14ac:dyDescent="0.3">
      <c r="A1561" t="s">
        <v>155</v>
      </c>
      <c r="B1561" s="2">
        <v>45597</v>
      </c>
      <c r="C1561" s="52">
        <v>4862.88</v>
      </c>
      <c r="D1561" s="48">
        <f>_xlfn.XLOOKUP(expected_production[[#This Row],[Site Name]],Table1[[Site Name ]],Table1[Commisioned Date],"")</f>
        <v>45092</v>
      </c>
      <c r="E1561" s="47">
        <f>IF(ISNUMBER(expected_production[[#This Row],[Commissioned Date]]),MAX(0,(expected_production[[#This Row],[Date]]-expected_production[[#This Row],[Commissioned Date]])/365.25),"")</f>
        <v>1.3826146475017111</v>
      </c>
      <c r="F1561" s="49">
        <f>IF(expected_production[[#This Row],[Age (yrs)]]="",1,(1-DegradationRate)^expected_production[[#This Row],[Age (yrs)]])</f>
        <v>0.99033467690237775</v>
      </c>
      <c r="G1561" s="52">
        <f>IF(expected_production[[#This Row],[Base Expected (kWh)]]="","",expected_production[[#This Row],[Base Expected (kWh)]]*expected_production[[#This Row],[Degradation Factor]])</f>
        <v>4815.8786936150345</v>
      </c>
    </row>
    <row r="1562" spans="1:7" ht="15" hidden="1" customHeight="1" x14ac:dyDescent="0.3">
      <c r="A1562" t="s">
        <v>155</v>
      </c>
      <c r="B1562" s="2">
        <v>45627</v>
      </c>
      <c r="C1562" s="52">
        <v>5082.3900000000003</v>
      </c>
      <c r="D1562" s="48">
        <f>_xlfn.XLOOKUP(expected_production[[#This Row],[Site Name]],Table1[[Site Name ]],Table1[Commisioned Date],"")</f>
        <v>45092</v>
      </c>
      <c r="E1562" s="47">
        <f>IF(ISNUMBER(expected_production[[#This Row],[Commissioned Date]]),MAX(0,(expected_production[[#This Row],[Date]]-expected_production[[#This Row],[Commissioned Date]])/365.25),"")</f>
        <v>1.4647501711156743</v>
      </c>
      <c r="F1562" s="49">
        <f>IF(expected_production[[#This Row],[Age (yrs)]]="",1,(1-DegradationRate)^expected_production[[#This Row],[Age (yrs)]])</f>
        <v>0.98976344788889925</v>
      </c>
      <c r="G1562" s="52">
        <f>IF(expected_production[[#This Row],[Base Expected (kWh)]]="","",expected_production[[#This Row],[Base Expected (kWh)]]*expected_production[[#This Row],[Degradation Factor]])</f>
        <v>5030.3638499160634</v>
      </c>
    </row>
    <row r="1563" spans="1:7" ht="15" hidden="1" customHeight="1" x14ac:dyDescent="0.3">
      <c r="A1563" t="s">
        <v>155</v>
      </c>
      <c r="B1563" s="2">
        <v>45658</v>
      </c>
      <c r="C1563" s="52">
        <v>4894.29</v>
      </c>
      <c r="D1563" s="48">
        <f>_xlfn.XLOOKUP(expected_production[[#This Row],[Site Name]],Table1[[Site Name ]],Table1[Commisioned Date],"")</f>
        <v>45092</v>
      </c>
      <c r="E1563" s="47">
        <f>IF(ISNUMBER(expected_production[[#This Row],[Commissioned Date]]),MAX(0,(expected_production[[#This Row],[Date]]-expected_production[[#This Row],[Commissioned Date]])/365.25),"")</f>
        <v>1.5496235455167693</v>
      </c>
      <c r="F1563" s="49">
        <f>IF(expected_production[[#This Row],[Age (yrs)]]="",1,(1-DegradationRate)^expected_production[[#This Row],[Age (yrs)]])</f>
        <v>0.98917352405067993</v>
      </c>
      <c r="G1563" s="52">
        <f>IF(expected_production[[#This Row],[Base Expected (kWh)]]="","",expected_production[[#This Row],[Base Expected (kWh)]]*expected_production[[#This Row],[Degradation Factor]])</f>
        <v>4841.3020870260025</v>
      </c>
    </row>
    <row r="1564" spans="1:7" ht="15" hidden="1" customHeight="1" x14ac:dyDescent="0.3">
      <c r="A1564" t="s">
        <v>155</v>
      </c>
      <c r="B1564" s="2">
        <v>45689</v>
      </c>
      <c r="C1564" s="52">
        <v>4527.45</v>
      </c>
      <c r="D1564" s="48">
        <f>_xlfn.XLOOKUP(expected_production[[#This Row],[Site Name]],Table1[[Site Name ]],Table1[Commisioned Date],"")</f>
        <v>45092</v>
      </c>
      <c r="E1564" s="47">
        <f>IF(ISNUMBER(expected_production[[#This Row],[Commissioned Date]]),MAX(0,(expected_production[[#This Row],[Date]]-expected_production[[#This Row],[Commissioned Date]])/365.25),"")</f>
        <v>1.6344969199178645</v>
      </c>
      <c r="F1564" s="49">
        <f>IF(expected_production[[#This Row],[Age (yrs)]]="",1,(1-DegradationRate)^expected_production[[#This Row],[Age (yrs)]])</f>
        <v>0.98858395182186332</v>
      </c>
      <c r="G1564" s="52">
        <f>IF(expected_production[[#This Row],[Base Expected (kWh)]]="","",expected_production[[#This Row],[Base Expected (kWh)]]*expected_production[[#This Row],[Degradation Factor]])</f>
        <v>4475.7644126758951</v>
      </c>
    </row>
    <row r="1565" spans="1:7" ht="15" hidden="1" customHeight="1" x14ac:dyDescent="0.3">
      <c r="A1565" t="s">
        <v>155</v>
      </c>
      <c r="B1565" s="2">
        <v>45717</v>
      </c>
      <c r="C1565" s="52">
        <v>4754.25</v>
      </c>
      <c r="D1565" s="48">
        <f>_xlfn.XLOOKUP(expected_production[[#This Row],[Site Name]],Table1[[Site Name ]],Table1[Commisioned Date],"")</f>
        <v>45092</v>
      </c>
      <c r="E1565" s="47">
        <f>IF(ISNUMBER(expected_production[[#This Row],[Commissioned Date]]),MAX(0,(expected_production[[#This Row],[Date]]-expected_production[[#This Row],[Commissioned Date]])/365.25),"")</f>
        <v>1.7111567419575633</v>
      </c>
      <c r="F1565" s="49">
        <f>IF(expected_production[[#This Row],[Age (yrs)]]="",1,(1-DegradationRate)^expected_production[[#This Row],[Age (yrs)]])</f>
        <v>0.98805173701149118</v>
      </c>
      <c r="G1565" s="52">
        <f>IF(expected_production[[#This Row],[Base Expected (kWh)]]="","",expected_production[[#This Row],[Base Expected (kWh)]]*expected_production[[#This Row],[Degradation Factor]])</f>
        <v>4697.4449706868818</v>
      </c>
    </row>
    <row r="1566" spans="1:7" ht="15" hidden="1" customHeight="1" x14ac:dyDescent="0.3">
      <c r="A1566" t="s">
        <v>155</v>
      </c>
      <c r="B1566" s="2">
        <v>45748</v>
      </c>
      <c r="C1566" s="52">
        <v>4171.59</v>
      </c>
      <c r="D1566" s="48">
        <f>_xlfn.XLOOKUP(expected_production[[#This Row],[Site Name]],Table1[[Site Name ]],Table1[Commisioned Date],"")</f>
        <v>45092</v>
      </c>
      <c r="E1566" s="47">
        <f>IF(ISNUMBER(expected_production[[#This Row],[Commissioned Date]]),MAX(0,(expected_production[[#This Row],[Date]]-expected_production[[#This Row],[Commissioned Date]])/365.25),"")</f>
        <v>1.7960301163586585</v>
      </c>
      <c r="F1566" s="49">
        <f>IF(expected_production[[#This Row],[Age (yrs)]]="",1,(1-DegradationRate)^expected_production[[#This Row],[Age (yrs)]])</f>
        <v>0.98746283339588448</v>
      </c>
      <c r="G1566" s="52">
        <f>IF(expected_production[[#This Row],[Base Expected (kWh)]]="","",expected_production[[#This Row],[Base Expected (kWh)]]*expected_production[[#This Row],[Degradation Factor]])</f>
        <v>4119.2900811659383</v>
      </c>
    </row>
    <row r="1567" spans="1:7" ht="15" hidden="1" customHeight="1" x14ac:dyDescent="0.3">
      <c r="A1567" t="s">
        <v>155</v>
      </c>
      <c r="B1567" s="2">
        <v>45778</v>
      </c>
      <c r="C1567" s="52">
        <v>4117.5</v>
      </c>
      <c r="D1567" s="48">
        <f>_xlfn.XLOOKUP(expected_production[[#This Row],[Site Name]],Table1[[Site Name ]],Table1[Commisioned Date],"")</f>
        <v>45092</v>
      </c>
      <c r="E1567" s="47">
        <f>IF(ISNUMBER(expected_production[[#This Row],[Commissioned Date]]),MAX(0,(expected_production[[#This Row],[Date]]-expected_production[[#This Row],[Commissioned Date]])/365.25),"")</f>
        <v>1.8781656399726214</v>
      </c>
      <c r="F1567" s="49">
        <f>IF(expected_production[[#This Row],[Age (yrs)]]="",1,(1-DegradationRate)^expected_production[[#This Row],[Age (yrs)]])</f>
        <v>0.98689326087325846</v>
      </c>
      <c r="G1567" s="52">
        <f>IF(expected_production[[#This Row],[Base Expected (kWh)]]="","",expected_production[[#This Row],[Base Expected (kWh)]]*expected_production[[#This Row],[Degradation Factor]])</f>
        <v>4063.5330016456419</v>
      </c>
    </row>
    <row r="1568" spans="1:7" ht="15" hidden="1" customHeight="1" x14ac:dyDescent="0.3">
      <c r="A1568" t="s">
        <v>155</v>
      </c>
      <c r="B1568" s="2">
        <v>45809</v>
      </c>
      <c r="C1568" s="52">
        <v>3729.06</v>
      </c>
      <c r="D1568" s="48">
        <f>_xlfn.XLOOKUP(expected_production[[#This Row],[Site Name]],Table1[[Site Name ]],Table1[Commisioned Date],"")</f>
        <v>45092</v>
      </c>
      <c r="E1568" s="47">
        <f>IF(ISNUMBER(expected_production[[#This Row],[Commissioned Date]]),MAX(0,(expected_production[[#This Row],[Date]]-expected_production[[#This Row],[Commissioned Date]])/365.25),"")</f>
        <v>1.9630390143737166</v>
      </c>
      <c r="F1568" s="49">
        <f>IF(expected_production[[#This Row],[Age (yrs)]]="",1,(1-DegradationRate)^expected_production[[#This Row],[Age (yrs)]])</f>
        <v>0.98630504773848471</v>
      </c>
      <c r="G1568" s="52">
        <f>IF(expected_production[[#This Row],[Base Expected (kWh)]]="","",expected_production[[#This Row],[Base Expected (kWh)]]*expected_production[[#This Row],[Degradation Factor]])</f>
        <v>3677.9907013196739</v>
      </c>
    </row>
    <row r="1569" spans="1:7" ht="15" hidden="1" customHeight="1" x14ac:dyDescent="0.3">
      <c r="A1569" t="s">
        <v>155</v>
      </c>
      <c r="B1569" s="2">
        <v>45839</v>
      </c>
      <c r="C1569" s="52">
        <v>4105.53</v>
      </c>
      <c r="D1569" s="48">
        <f>_xlfn.XLOOKUP(expected_production[[#This Row],[Site Name]],Table1[[Site Name ]],Table1[Commisioned Date],"")</f>
        <v>45092</v>
      </c>
      <c r="E1569" s="47">
        <f>IF(ISNUMBER(expected_production[[#This Row],[Commissioned Date]]),MAX(0,(expected_production[[#This Row],[Date]]-expected_production[[#This Row],[Commissioned Date]])/365.25),"")</f>
        <v>2.0451745379876796</v>
      </c>
      <c r="F1569" s="49">
        <f>IF(expected_production[[#This Row],[Age (yrs)]]="",1,(1-DegradationRate)^expected_production[[#This Row],[Age (yrs)]])</f>
        <v>0.98573614303126922</v>
      </c>
      <c r="G1569" s="52">
        <f>IF(expected_production[[#This Row],[Base Expected (kWh)]]="","",expected_production[[#This Row],[Base Expected (kWh)]]*expected_production[[#This Row],[Degradation Factor]])</f>
        <v>4046.9693072991663</v>
      </c>
    </row>
    <row r="1570" spans="1:7" ht="15" hidden="1" customHeight="1" x14ac:dyDescent="0.3">
      <c r="A1570" t="s">
        <v>155</v>
      </c>
      <c r="B1570" s="2">
        <v>45870</v>
      </c>
      <c r="C1570" s="52">
        <v>4624.83</v>
      </c>
      <c r="D1570" s="48">
        <f>_xlfn.XLOOKUP(expected_production[[#This Row],[Site Name]],Table1[[Site Name ]],Table1[Commisioned Date],"")</f>
        <v>45092</v>
      </c>
      <c r="E1570" s="47">
        <f>IF(ISNUMBER(expected_production[[#This Row],[Commissioned Date]]),MAX(0,(expected_production[[#This Row],[Date]]-expected_production[[#This Row],[Commissioned Date]])/365.25),"")</f>
        <v>2.130047912388775</v>
      </c>
      <c r="F1570" s="49">
        <f>IF(expected_production[[#This Row],[Age (yrs)]]="",1,(1-DegradationRate)^expected_production[[#This Row],[Age (yrs)]])</f>
        <v>0.98514861956774979</v>
      </c>
      <c r="G1570" s="52">
        <f>IF(expected_production[[#This Row],[Base Expected (kWh)]]="","",expected_production[[#This Row],[Base Expected (kWh)]]*expected_production[[#This Row],[Degradation Factor]])</f>
        <v>4556.144890235516</v>
      </c>
    </row>
    <row r="1571" spans="1:7" ht="15" hidden="1" customHeight="1" x14ac:dyDescent="0.3">
      <c r="A1571" t="s">
        <v>155</v>
      </c>
      <c r="B1571" s="2">
        <v>45901</v>
      </c>
      <c r="C1571" s="52">
        <v>4797</v>
      </c>
      <c r="D1571" s="48">
        <f>_xlfn.XLOOKUP(expected_production[[#This Row],[Site Name]],Table1[[Site Name ]],Table1[Commisioned Date],"")</f>
        <v>45092</v>
      </c>
      <c r="E1571" s="47">
        <f>IF(ISNUMBER(expected_production[[#This Row],[Commissioned Date]]),MAX(0,(expected_production[[#This Row],[Date]]-expected_production[[#This Row],[Commissioned Date]])/365.25),"")</f>
        <v>2.21492128678987</v>
      </c>
      <c r="F1571" s="49">
        <f>IF(expected_production[[#This Row],[Age (yrs)]]="",1,(1-DegradationRate)^expected_production[[#This Row],[Age (yrs)]])</f>
        <v>0.98456144628294973</v>
      </c>
      <c r="G1571" s="52">
        <f>IF(expected_production[[#This Row],[Base Expected (kWh)]]="","",expected_production[[#This Row],[Base Expected (kWh)]]*expected_production[[#This Row],[Degradation Factor]])</f>
        <v>4722.9412578193096</v>
      </c>
    </row>
    <row r="1572" spans="1:7" ht="15" hidden="1" customHeight="1" x14ac:dyDescent="0.3">
      <c r="A1572" t="s">
        <v>155</v>
      </c>
      <c r="B1572" s="2">
        <v>45931</v>
      </c>
      <c r="C1572" s="52">
        <v>5068.9799999999996</v>
      </c>
      <c r="D1572" s="48">
        <f>_xlfn.XLOOKUP(expected_production[[#This Row],[Site Name]],Table1[[Site Name ]],Table1[Commisioned Date],"")</f>
        <v>45092</v>
      </c>
      <c r="E1572" s="47">
        <f>IF(ISNUMBER(expected_production[[#This Row],[Commissioned Date]]),MAX(0,(expected_production[[#This Row],[Date]]-expected_production[[#This Row],[Commissioned Date]])/365.25),"")</f>
        <v>2.2970568104038329</v>
      </c>
      <c r="F1572" s="49">
        <f>IF(expected_production[[#This Row],[Age (yrs)]]="",1,(1-DegradationRate)^expected_production[[#This Row],[Age (yrs)]])</f>
        <v>0.9839935472920468</v>
      </c>
      <c r="G1572" s="52">
        <f>IF(expected_production[[#This Row],[Base Expected (kWh)]]="","",expected_production[[#This Row],[Base Expected (kWh)]]*expected_production[[#This Row],[Degradation Factor]])</f>
        <v>4987.8436113524385</v>
      </c>
    </row>
    <row r="1573" spans="1:7" ht="15" hidden="1" customHeight="1" x14ac:dyDescent="0.3">
      <c r="A1573" t="s">
        <v>155</v>
      </c>
      <c r="B1573" s="2">
        <v>45962</v>
      </c>
      <c r="C1573" s="52">
        <v>4862.88</v>
      </c>
      <c r="D1573" s="48">
        <f>_xlfn.XLOOKUP(expected_production[[#This Row],[Site Name]],Table1[[Site Name ]],Table1[Commisioned Date],"")</f>
        <v>45092</v>
      </c>
      <c r="E1573" s="47">
        <f>IF(ISNUMBER(expected_production[[#This Row],[Commissioned Date]]),MAX(0,(expected_production[[#This Row],[Date]]-expected_production[[#This Row],[Commissioned Date]])/365.25),"")</f>
        <v>2.3819301848049284</v>
      </c>
      <c r="F1573" s="49">
        <f>IF(expected_production[[#This Row],[Age (yrs)]]="",1,(1-DegradationRate)^expected_production[[#This Row],[Age (yrs)]])</f>
        <v>0.98340706245929232</v>
      </c>
      <c r="G1573" s="52">
        <f>IF(expected_production[[#This Row],[Base Expected (kWh)]]="","",expected_production[[#This Row],[Base Expected (kWh)]]*expected_production[[#This Row],[Degradation Factor]])</f>
        <v>4782.190535892044</v>
      </c>
    </row>
    <row r="1574" spans="1:7" ht="15" hidden="1" customHeight="1" x14ac:dyDescent="0.3">
      <c r="A1574" t="s">
        <v>155</v>
      </c>
      <c r="B1574" s="2">
        <v>45992</v>
      </c>
      <c r="C1574" s="52">
        <v>5082.3900000000003</v>
      </c>
      <c r="D1574" s="48">
        <f>_xlfn.XLOOKUP(expected_production[[#This Row],[Site Name]],Table1[[Site Name ]],Table1[Commisioned Date],"")</f>
        <v>45092</v>
      </c>
      <c r="E1574" s="47">
        <f>IF(ISNUMBER(expected_production[[#This Row],[Commissioned Date]]),MAX(0,(expected_production[[#This Row],[Date]]-expected_production[[#This Row],[Commissioned Date]])/365.25),"")</f>
        <v>2.4640657084188913</v>
      </c>
      <c r="F1574" s="49">
        <f>IF(expected_production[[#This Row],[Age (yrs)]]="",1,(1-DegradationRate)^expected_production[[#This Row],[Age (yrs)]])</f>
        <v>0.98283982932160852</v>
      </c>
      <c r="G1574" s="52">
        <f>IF(expected_production[[#This Row],[Base Expected (kWh)]]="","",expected_production[[#This Row],[Base Expected (kWh)]]*expected_production[[#This Row],[Degradation Factor]])</f>
        <v>4995.1753201458505</v>
      </c>
    </row>
    <row r="1575" spans="1:7" ht="15" hidden="1" customHeight="1" x14ac:dyDescent="0.3">
      <c r="A1575" t="s">
        <v>155</v>
      </c>
      <c r="B1575" s="2">
        <v>46023</v>
      </c>
      <c r="C1575" s="52">
        <v>4894.29</v>
      </c>
      <c r="D1575" s="48">
        <f>_xlfn.XLOOKUP(expected_production[[#This Row],[Site Name]],Table1[[Site Name ]],Table1[Commisioned Date],"")</f>
        <v>45092</v>
      </c>
      <c r="E1575" s="47">
        <f>IF(ISNUMBER(expected_production[[#This Row],[Commissioned Date]]),MAX(0,(expected_production[[#This Row],[Date]]-expected_production[[#This Row],[Commissioned Date]])/365.25),"")</f>
        <v>2.5489390828199863</v>
      </c>
      <c r="F1575" s="49">
        <f>IF(expected_production[[#This Row],[Age (yrs)]]="",1,(1-DegradationRate)^expected_production[[#This Row],[Age (yrs)]])</f>
        <v>0.98225403213369966</v>
      </c>
      <c r="G1575" s="52">
        <f>IF(expected_production[[#This Row],[Base Expected (kWh)]]="","",expected_production[[#This Row],[Base Expected (kWh)]]*expected_production[[#This Row],[Degradation Factor]])</f>
        <v>4807.4360869316451</v>
      </c>
    </row>
    <row r="1576" spans="1:7" ht="15" hidden="1" customHeight="1" x14ac:dyDescent="0.3">
      <c r="A1576" t="s">
        <v>155</v>
      </c>
      <c r="B1576" s="2">
        <v>46054</v>
      </c>
      <c r="C1576" s="52">
        <v>4527.45</v>
      </c>
      <c r="D1576" s="48">
        <f>_xlfn.XLOOKUP(expected_production[[#This Row],[Site Name]],Table1[[Site Name ]],Table1[Commisioned Date],"")</f>
        <v>45092</v>
      </c>
      <c r="E1576" s="47">
        <f>IF(ISNUMBER(expected_production[[#This Row],[Commissioned Date]]),MAX(0,(expected_production[[#This Row],[Date]]-expected_production[[#This Row],[Commissioned Date]])/365.25),"")</f>
        <v>2.6338124572210813</v>
      </c>
      <c r="F1576" s="49">
        <f>IF(expected_production[[#This Row],[Age (yrs)]]="",1,(1-DegradationRate)^expected_production[[#This Row],[Age (yrs)]])</f>
        <v>0.98166858409560664</v>
      </c>
      <c r="G1576" s="52">
        <f>IF(expected_production[[#This Row],[Base Expected (kWh)]]="","",expected_production[[#This Row],[Base Expected (kWh)]]*expected_production[[#This Row],[Degradation Factor]])</f>
        <v>4444.455431063654</v>
      </c>
    </row>
    <row r="1577" spans="1:7" ht="15" hidden="1" customHeight="1" x14ac:dyDescent="0.3">
      <c r="A1577" t="s">
        <v>155</v>
      </c>
      <c r="B1577" s="2">
        <v>46082</v>
      </c>
      <c r="C1577" s="52">
        <v>4754.25</v>
      </c>
      <c r="D1577" s="48">
        <f>_xlfn.XLOOKUP(expected_production[[#This Row],[Site Name]],Table1[[Site Name ]],Table1[Commisioned Date],"")</f>
        <v>45092</v>
      </c>
      <c r="E1577" s="47">
        <f>IF(ISNUMBER(expected_production[[#This Row],[Commissioned Date]]),MAX(0,(expected_production[[#This Row],[Date]]-expected_production[[#This Row],[Commissioned Date]])/365.25),"")</f>
        <v>2.7104722792607805</v>
      </c>
      <c r="F1577" s="49">
        <f>IF(expected_production[[#This Row],[Age (yrs)]]="",1,(1-DegradationRate)^expected_production[[#This Row],[Age (yrs)]])</f>
        <v>0.98114009224787846</v>
      </c>
      <c r="G1577" s="52">
        <f>IF(expected_production[[#This Row],[Base Expected (kWh)]]="","",expected_production[[#This Row],[Base Expected (kWh)]]*expected_production[[#This Row],[Degradation Factor]])</f>
        <v>4664.5852835694759</v>
      </c>
    </row>
    <row r="1578" spans="1:7" ht="15" hidden="1" customHeight="1" x14ac:dyDescent="0.3">
      <c r="A1578" t="s">
        <v>155</v>
      </c>
      <c r="B1578" s="2">
        <v>46113</v>
      </c>
      <c r="C1578" s="52">
        <v>4171.59</v>
      </c>
      <c r="D1578" s="48">
        <f>_xlfn.XLOOKUP(expected_production[[#This Row],[Site Name]],Table1[[Site Name ]],Table1[Commisioned Date],"")</f>
        <v>45092</v>
      </c>
      <c r="E1578" s="47">
        <f>IF(ISNUMBER(expected_production[[#This Row],[Commissioned Date]]),MAX(0,(expected_production[[#This Row],[Date]]-expected_production[[#This Row],[Commissioned Date]])/365.25),"")</f>
        <v>2.7953456536618755</v>
      </c>
      <c r="F1578" s="49">
        <f>IF(expected_production[[#This Row],[Age (yrs)]]="",1,(1-DegradationRate)^expected_production[[#This Row],[Age (yrs)]])</f>
        <v>0.98055530814589498</v>
      </c>
      <c r="G1578" s="52">
        <f>IF(expected_production[[#This Row],[Base Expected (kWh)]]="","",expected_production[[#This Row],[Base Expected (kWh)]]*expected_production[[#This Row],[Degradation Factor]])</f>
        <v>4090.4747179083342</v>
      </c>
    </row>
    <row r="1579" spans="1:7" ht="15" hidden="1" customHeight="1" x14ac:dyDescent="0.3">
      <c r="A1579" t="s">
        <v>155</v>
      </c>
      <c r="B1579" s="2">
        <v>46143</v>
      </c>
      <c r="C1579" s="52">
        <v>4117.5</v>
      </c>
      <c r="D1579" s="48">
        <f>_xlfn.XLOOKUP(expected_production[[#This Row],[Site Name]],Table1[[Site Name ]],Table1[Commisioned Date],"")</f>
        <v>45092</v>
      </c>
      <c r="E1579" s="47">
        <f>IF(ISNUMBER(expected_production[[#This Row],[Commissioned Date]]),MAX(0,(expected_production[[#This Row],[Date]]-expected_production[[#This Row],[Commissioned Date]])/365.25),"")</f>
        <v>2.8774811772758384</v>
      </c>
      <c r="F1579" s="49">
        <f>IF(expected_production[[#This Row],[Age (yrs)]]="",1,(1-DegradationRate)^expected_production[[#This Row],[Age (yrs)]])</f>
        <v>0.97998971991153649</v>
      </c>
      <c r="G1579" s="52">
        <f>IF(expected_production[[#This Row],[Base Expected (kWh)]]="","",expected_production[[#This Row],[Base Expected (kWh)]]*expected_production[[#This Row],[Degradation Factor]])</f>
        <v>4035.1076717357514</v>
      </c>
    </row>
    <row r="1580" spans="1:7" ht="15" hidden="1" customHeight="1" x14ac:dyDescent="0.3">
      <c r="A1580" t="s">
        <v>155</v>
      </c>
      <c r="B1580" s="2">
        <v>46174</v>
      </c>
      <c r="C1580" s="52">
        <v>3729.06</v>
      </c>
      <c r="D1580" s="48">
        <f>_xlfn.XLOOKUP(expected_production[[#This Row],[Site Name]],Table1[[Site Name ]],Table1[Commisioned Date],"")</f>
        <v>45092</v>
      </c>
      <c r="E1580" s="47">
        <f>IF(ISNUMBER(expected_production[[#This Row],[Commissioned Date]]),MAX(0,(expected_production[[#This Row],[Date]]-expected_production[[#This Row],[Commissioned Date]])/365.25),"")</f>
        <v>2.9623545516769334</v>
      </c>
      <c r="F1580" s="49">
        <f>IF(expected_production[[#This Row],[Age (yrs)]]="",1,(1-DegradationRate)^expected_production[[#This Row],[Age (yrs)]])</f>
        <v>0.97940562146031673</v>
      </c>
      <c r="G1580" s="52">
        <f>IF(expected_production[[#This Row],[Base Expected (kWh)]]="","",expected_production[[#This Row],[Base Expected (kWh)]]*expected_production[[#This Row],[Degradation Factor]])</f>
        <v>3652.2623267628087</v>
      </c>
    </row>
    <row r="1581" spans="1:7" ht="15" hidden="1" customHeight="1" x14ac:dyDescent="0.3">
      <c r="A1581" t="s">
        <v>155</v>
      </c>
      <c r="B1581" s="2">
        <v>46204</v>
      </c>
      <c r="C1581" s="52">
        <v>4105.53</v>
      </c>
      <c r="D1581" s="48">
        <f>_xlfn.XLOOKUP(expected_production[[#This Row],[Site Name]],Table1[[Site Name ]],Table1[Commisioned Date],"")</f>
        <v>45092</v>
      </c>
      <c r="E1581" s="47">
        <f>IF(ISNUMBER(expected_production[[#This Row],[Commissioned Date]]),MAX(0,(expected_production[[#This Row],[Date]]-expected_production[[#This Row],[Commissioned Date]])/365.25),"")</f>
        <v>3.0444900752908968</v>
      </c>
      <c r="F1581" s="49">
        <f>IF(expected_production[[#This Row],[Age (yrs)]]="",1,(1-DegradationRate)^expected_production[[#This Row],[Age (yrs)]])</f>
        <v>0.97884069636984949</v>
      </c>
      <c r="G1581" s="52">
        <f>IF(expected_production[[#This Row],[Base Expected (kWh)]]="","",expected_production[[#This Row],[Base Expected (kWh)]]*expected_production[[#This Row],[Degradation Factor]])</f>
        <v>4018.6598441673082</v>
      </c>
    </row>
    <row r="1582" spans="1:7" ht="15" hidden="1" customHeight="1" x14ac:dyDescent="0.3">
      <c r="A1582" t="s">
        <v>155</v>
      </c>
      <c r="B1582" s="2">
        <v>46235</v>
      </c>
      <c r="C1582" s="52">
        <v>4624.83</v>
      </c>
      <c r="D1582" s="48">
        <f>_xlfn.XLOOKUP(expected_production[[#This Row],[Site Name]],Table1[[Site Name ]],Table1[Commisioned Date],"")</f>
        <v>45092</v>
      </c>
      <c r="E1582" s="47">
        <f>IF(ISNUMBER(expected_production[[#This Row],[Commissioned Date]]),MAX(0,(expected_production[[#This Row],[Date]]-expected_production[[#This Row],[Commissioned Date]])/365.25),"")</f>
        <v>3.1293634496919918</v>
      </c>
      <c r="F1582" s="49">
        <f>IF(expected_production[[#This Row],[Age (yrs)]]="",1,(1-DegradationRate)^expected_production[[#This Row],[Age (yrs)]])</f>
        <v>0.97825728276547819</v>
      </c>
      <c r="G1582" s="52">
        <f>IF(expected_production[[#This Row],[Base Expected (kWh)]]="","",expected_production[[#This Row],[Base Expected (kWh)]]*expected_production[[#This Row],[Degradation Factor]])</f>
        <v>4524.2736290522662</v>
      </c>
    </row>
    <row r="1583" spans="1:7" ht="15" hidden="1" customHeight="1" x14ac:dyDescent="0.3">
      <c r="A1583" t="s">
        <v>155</v>
      </c>
      <c r="B1583" s="2">
        <v>46266</v>
      </c>
      <c r="C1583" s="52">
        <v>4797</v>
      </c>
      <c r="D1583" s="48">
        <f>_xlfn.XLOOKUP(expected_production[[#This Row],[Site Name]],Table1[[Site Name ]],Table1[Commisioned Date],"")</f>
        <v>45092</v>
      </c>
      <c r="E1583" s="47">
        <f>IF(ISNUMBER(expected_production[[#This Row],[Commissioned Date]]),MAX(0,(expected_production[[#This Row],[Date]]-expected_production[[#This Row],[Commissioned Date]])/365.25),"")</f>
        <v>3.2142368240930868</v>
      </c>
      <c r="F1583" s="49">
        <f>IF(expected_production[[#This Row],[Age (yrs)]]="",1,(1-DegradationRate)^expected_production[[#This Row],[Age (yrs)]])</f>
        <v>0.97767421689024703</v>
      </c>
      <c r="G1583" s="52">
        <f>IF(expected_production[[#This Row],[Base Expected (kWh)]]="","",expected_production[[#This Row],[Base Expected (kWh)]]*expected_production[[#This Row],[Degradation Factor]])</f>
        <v>4689.9032184225152</v>
      </c>
    </row>
    <row r="1584" spans="1:7" ht="15" hidden="1" customHeight="1" x14ac:dyDescent="0.3">
      <c r="A1584" t="s">
        <v>155</v>
      </c>
      <c r="B1584" s="2">
        <v>46296</v>
      </c>
      <c r="C1584" s="52">
        <v>5068.9799999999996</v>
      </c>
      <c r="D1584" s="48">
        <f>_xlfn.XLOOKUP(expected_production[[#This Row],[Site Name]],Table1[[Site Name ]],Table1[Commisioned Date],"")</f>
        <v>45092</v>
      </c>
      <c r="E1584" s="47">
        <f>IF(ISNUMBER(expected_production[[#This Row],[Commissioned Date]]),MAX(0,(expected_production[[#This Row],[Date]]-expected_production[[#This Row],[Commissioned Date]])/365.25),"")</f>
        <v>3.2963723477070501</v>
      </c>
      <c r="F1584" s="49">
        <f>IF(expected_production[[#This Row],[Age (yrs)]]="",1,(1-DegradationRate)^expected_production[[#This Row],[Age (yrs)]])</f>
        <v>0.97711029048087972</v>
      </c>
      <c r="G1584" s="52">
        <f>IF(expected_production[[#This Row],[Base Expected (kWh)]]="","",expected_production[[#This Row],[Base Expected (kWh)]]*expected_production[[#This Row],[Degradation Factor]])</f>
        <v>4952.952520241769</v>
      </c>
    </row>
    <row r="1585" spans="1:7" ht="15" hidden="1" customHeight="1" x14ac:dyDescent="0.3">
      <c r="A1585" t="s">
        <v>155</v>
      </c>
      <c r="B1585" s="2">
        <v>46327</v>
      </c>
      <c r="C1585" s="52">
        <v>4862.88</v>
      </c>
      <c r="D1585" s="48">
        <f>_xlfn.XLOOKUP(expected_production[[#This Row],[Site Name]],Table1[[Site Name ]],Table1[Commisioned Date],"")</f>
        <v>45092</v>
      </c>
      <c r="E1585" s="47">
        <f>IF(ISNUMBER(expected_production[[#This Row],[Commissioned Date]]),MAX(0,(expected_production[[#This Row],[Date]]-expected_production[[#This Row],[Commissioned Date]])/365.25),"")</f>
        <v>3.3812457221081451</v>
      </c>
      <c r="F1585" s="49">
        <f>IF(expected_production[[#This Row],[Age (yrs)]]="",1,(1-DegradationRate)^expected_production[[#This Row],[Age (yrs)]])</f>
        <v>0.97652790824181679</v>
      </c>
      <c r="G1585" s="52">
        <f>IF(expected_production[[#This Row],[Base Expected (kWh)]]="","",expected_production[[#This Row],[Base Expected (kWh)]]*expected_production[[#This Row],[Degradation Factor]])</f>
        <v>4748.7380344309659</v>
      </c>
    </row>
    <row r="1586" spans="1:7" ht="15" hidden="1" customHeight="1" x14ac:dyDescent="0.3">
      <c r="A1586" t="s">
        <v>155</v>
      </c>
      <c r="B1586" s="2">
        <v>46357</v>
      </c>
      <c r="C1586" s="52">
        <v>5082.3900000000003</v>
      </c>
      <c r="D1586" s="48">
        <f>_xlfn.XLOOKUP(expected_production[[#This Row],[Site Name]],Table1[[Site Name ]],Table1[Commisioned Date],"")</f>
        <v>45092</v>
      </c>
      <c r="E1586" s="47">
        <f>IF(ISNUMBER(expected_production[[#This Row],[Commissioned Date]]),MAX(0,(expected_production[[#This Row],[Date]]-expected_production[[#This Row],[Commissioned Date]])/365.25),"")</f>
        <v>3.463381245722108</v>
      </c>
      <c r="F1586" s="49">
        <f>IF(expected_production[[#This Row],[Age (yrs)]]="",1,(1-DegradationRate)^expected_production[[#This Row],[Age (yrs)]])</f>
        <v>0.97596464302787533</v>
      </c>
      <c r="G1586" s="52">
        <f>IF(expected_production[[#This Row],[Base Expected (kWh)]]="","",expected_production[[#This Row],[Base Expected (kWh)]]*expected_production[[#This Row],[Degradation Factor]])</f>
        <v>4960.2329420784436</v>
      </c>
    </row>
    <row r="1587" spans="1:7" ht="15" hidden="1" customHeight="1" x14ac:dyDescent="0.3">
      <c r="A1587" t="s">
        <v>157</v>
      </c>
      <c r="B1587" s="2">
        <v>45292</v>
      </c>
      <c r="C1587" s="52">
        <v>5902.47</v>
      </c>
      <c r="D1587" s="48">
        <f>_xlfn.XLOOKUP(expected_production[[#This Row],[Site Name]],Table1[[Site Name ]],Table1[Commisioned Date],"")</f>
        <v>44663</v>
      </c>
      <c r="E1587" s="47">
        <f>IF(ISNUMBER(expected_production[[#This Row],[Commissioned Date]]),MAX(0,(expected_production[[#This Row],[Date]]-expected_production[[#This Row],[Commissioned Date]])/365.25),"")</f>
        <v>1.7221081451060918</v>
      </c>
      <c r="F1587" s="49">
        <f>IF(expected_production[[#This Row],[Age (yrs)]]="",1,(1-DegradationRate)^expected_production[[#This Row],[Age (yrs)]])</f>
        <v>0.98797572971757319</v>
      </c>
      <c r="G1587" s="52">
        <f>IF(expected_production[[#This Row],[Base Expected (kWh)]]="","",expected_production[[#This Row],[Base Expected (kWh)]]*expected_production[[#This Row],[Degradation Factor]])</f>
        <v>5831.4971053860845</v>
      </c>
    </row>
    <row r="1588" spans="1:7" ht="15" hidden="1" customHeight="1" x14ac:dyDescent="0.3">
      <c r="A1588" t="s">
        <v>157</v>
      </c>
      <c r="B1588" s="2">
        <v>45323</v>
      </c>
      <c r="C1588" s="52">
        <v>5299.2</v>
      </c>
      <c r="D1588" s="48">
        <f>_xlfn.XLOOKUP(expected_production[[#This Row],[Site Name]],Table1[[Site Name ]],Table1[Commisioned Date],"")</f>
        <v>44663</v>
      </c>
      <c r="E1588" s="47">
        <f>IF(ISNUMBER(expected_production[[#This Row],[Commissioned Date]]),MAX(0,(expected_production[[#This Row],[Date]]-expected_production[[#This Row],[Commissioned Date]])/365.25),"")</f>
        <v>1.8069815195071868</v>
      </c>
      <c r="F1588" s="49">
        <f>IF(expected_production[[#This Row],[Age (yrs)]]="",1,(1-DegradationRate)^expected_production[[#This Row],[Age (yrs)]])</f>
        <v>0.98738687140421988</v>
      </c>
      <c r="G1588" s="52">
        <f>IF(expected_production[[#This Row],[Base Expected (kWh)]]="","",expected_production[[#This Row],[Base Expected (kWh)]]*expected_production[[#This Row],[Degradation Factor]])</f>
        <v>5232.3605089452421</v>
      </c>
    </row>
    <row r="1589" spans="1:7" ht="15" hidden="1" customHeight="1" x14ac:dyDescent="0.3">
      <c r="A1589" t="s">
        <v>157</v>
      </c>
      <c r="B1589" s="2">
        <v>45352</v>
      </c>
      <c r="C1589" s="52">
        <v>5701.86</v>
      </c>
      <c r="D1589" s="48">
        <f>_xlfn.XLOOKUP(expected_production[[#This Row],[Site Name]],Table1[[Site Name ]],Table1[Commisioned Date],"")</f>
        <v>44663</v>
      </c>
      <c r="E1589" s="47">
        <f>IF(ISNUMBER(expected_production[[#This Row],[Commissioned Date]]),MAX(0,(expected_production[[#This Row],[Date]]-expected_production[[#This Row],[Commissioned Date]])/365.25),"")</f>
        <v>1.8863791923340179</v>
      </c>
      <c r="F1589" s="49">
        <f>IF(expected_production[[#This Row],[Age (yrs)]]="",1,(1-DegradationRate)^expected_production[[#This Row],[Age (yrs)]])</f>
        <v>0.98683632169336777</v>
      </c>
      <c r="G1589" s="52">
        <f>IF(expected_production[[#This Row],[Base Expected (kWh)]]="","",expected_production[[#This Row],[Base Expected (kWh)]]*expected_production[[#This Row],[Degradation Factor]])</f>
        <v>5626.8025492105453</v>
      </c>
    </row>
    <row r="1590" spans="1:7" ht="15" hidden="1" customHeight="1" x14ac:dyDescent="0.3">
      <c r="A1590" t="s">
        <v>157</v>
      </c>
      <c r="B1590" s="2">
        <v>45383</v>
      </c>
      <c r="C1590" s="52">
        <v>5085.8999999999996</v>
      </c>
      <c r="D1590" s="48">
        <f>_xlfn.XLOOKUP(expected_production[[#This Row],[Site Name]],Table1[[Site Name ]],Table1[Commisioned Date],"")</f>
        <v>44663</v>
      </c>
      <c r="E1590" s="47">
        <f>IF(ISNUMBER(expected_production[[#This Row],[Commissioned Date]]),MAX(0,(expected_production[[#This Row],[Date]]-expected_production[[#This Row],[Commissioned Date]])/365.25),"")</f>
        <v>1.9712525667351128</v>
      </c>
      <c r="F1590" s="49">
        <f>IF(expected_production[[#This Row],[Age (yrs)]]="",1,(1-DegradationRate)^expected_production[[#This Row],[Age (yrs)]])</f>
        <v>0.98624814249577331</v>
      </c>
      <c r="G1590" s="52">
        <f>IF(expected_production[[#This Row],[Base Expected (kWh)]]="","",expected_production[[#This Row],[Base Expected (kWh)]]*expected_production[[#This Row],[Degradation Factor]])</f>
        <v>5015.9594279192534</v>
      </c>
    </row>
    <row r="1591" spans="1:7" ht="15" hidden="1" customHeight="1" x14ac:dyDescent="0.3">
      <c r="A1591" t="s">
        <v>157</v>
      </c>
      <c r="B1591" s="2">
        <v>45413</v>
      </c>
      <c r="C1591" s="52">
        <v>5204.6099999999997</v>
      </c>
      <c r="D1591" s="48">
        <f>_xlfn.XLOOKUP(expected_production[[#This Row],[Site Name]],Table1[[Site Name ]],Table1[Commisioned Date],"")</f>
        <v>44663</v>
      </c>
      <c r="E1591" s="47">
        <f>IF(ISNUMBER(expected_production[[#This Row],[Commissioned Date]]),MAX(0,(expected_production[[#This Row],[Date]]-expected_production[[#This Row],[Commissioned Date]])/365.25),"")</f>
        <v>2.0533880903490758</v>
      </c>
      <c r="F1591" s="49">
        <f>IF(expected_production[[#This Row],[Age (yrs)]]="",1,(1-DegradationRate)^expected_production[[#This Row],[Age (yrs)]])</f>
        <v>0.98567927061173</v>
      </c>
      <c r="G1591" s="52">
        <f>IF(expected_production[[#This Row],[Base Expected (kWh)]]="","",expected_production[[#This Row],[Base Expected (kWh)]]*expected_production[[#This Row],[Degradation Factor]])</f>
        <v>5130.0761886185155</v>
      </c>
    </row>
    <row r="1592" spans="1:7" ht="15" hidden="1" customHeight="1" x14ac:dyDescent="0.3">
      <c r="A1592" t="s">
        <v>157</v>
      </c>
      <c r="B1592" s="2">
        <v>45444</v>
      </c>
      <c r="C1592" s="52">
        <v>4824.3599999999997</v>
      </c>
      <c r="D1592" s="48">
        <f>_xlfn.XLOOKUP(expected_production[[#This Row],[Site Name]],Table1[[Site Name ]],Table1[Commisioned Date],"")</f>
        <v>44663</v>
      </c>
      <c r="E1592" s="47">
        <f>IF(ISNUMBER(expected_production[[#This Row],[Commissioned Date]]),MAX(0,(expected_production[[#This Row],[Date]]-expected_production[[#This Row],[Commissioned Date]])/365.25),"")</f>
        <v>2.1382614647501712</v>
      </c>
      <c r="F1592" s="49">
        <f>IF(expected_production[[#This Row],[Age (yrs)]]="",1,(1-DegradationRate)^expected_production[[#This Row],[Age (yrs)]])</f>
        <v>0.98509178104559902</v>
      </c>
      <c r="G1592" s="52">
        <f>IF(expected_production[[#This Row],[Base Expected (kWh)]]="","",expected_production[[#This Row],[Base Expected (kWh)]]*expected_production[[#This Row],[Degradation Factor]])</f>
        <v>4752.4373848051455</v>
      </c>
    </row>
    <row r="1593" spans="1:7" ht="15" hidden="1" customHeight="1" x14ac:dyDescent="0.3">
      <c r="A1593" t="s">
        <v>157</v>
      </c>
      <c r="B1593" s="2">
        <v>45474</v>
      </c>
      <c r="C1593" s="52">
        <v>5303.16</v>
      </c>
      <c r="D1593" s="48">
        <f>_xlfn.XLOOKUP(expected_production[[#This Row],[Site Name]],Table1[[Site Name ]],Table1[Commisioned Date],"")</f>
        <v>44663</v>
      </c>
      <c r="E1593" s="47">
        <f>IF(ISNUMBER(expected_production[[#This Row],[Commissioned Date]]),MAX(0,(expected_production[[#This Row],[Date]]-expected_production[[#This Row],[Commissioned Date]])/365.25),"")</f>
        <v>2.2203969883641341</v>
      </c>
      <c r="F1593" s="49">
        <f>IF(expected_production[[#This Row],[Age (yrs)]]="",1,(1-DegradationRate)^expected_production[[#This Row],[Age (yrs)]])</f>
        <v>0.98452357615547803</v>
      </c>
      <c r="G1593" s="52">
        <f>IF(expected_production[[#This Row],[Base Expected (kWh)]]="","",expected_production[[#This Row],[Base Expected (kWh)]]*expected_production[[#This Row],[Degradation Factor]])</f>
        <v>5221.0860481246846</v>
      </c>
    </row>
    <row r="1594" spans="1:7" ht="15" hidden="1" customHeight="1" x14ac:dyDescent="0.3">
      <c r="A1594" t="s">
        <v>157</v>
      </c>
      <c r="B1594" s="2">
        <v>45505</v>
      </c>
      <c r="C1594" s="52">
        <v>5833.08</v>
      </c>
      <c r="D1594" s="48">
        <f>_xlfn.XLOOKUP(expected_production[[#This Row],[Site Name]],Table1[[Site Name ]],Table1[Commisioned Date],"")</f>
        <v>44663</v>
      </c>
      <c r="E1594" s="47">
        <f>IF(ISNUMBER(expected_production[[#This Row],[Commissioned Date]]),MAX(0,(expected_production[[#This Row],[Date]]-expected_production[[#This Row],[Commissioned Date]])/365.25),"")</f>
        <v>2.3052703627652291</v>
      </c>
      <c r="F1594" s="49">
        <f>IF(expected_production[[#This Row],[Age (yrs)]]="",1,(1-DegradationRate)^expected_production[[#This Row],[Age (yrs)]])</f>
        <v>0.98393677541222779</v>
      </c>
      <c r="G1594" s="52">
        <f>IF(expected_production[[#This Row],[Base Expected (kWh)]]="","",expected_production[[#This Row],[Base Expected (kWh)]]*expected_production[[#This Row],[Degradation Factor]])</f>
        <v>5739.3819259215579</v>
      </c>
    </row>
    <row r="1595" spans="1:7" ht="15" hidden="1" customHeight="1" x14ac:dyDescent="0.3">
      <c r="A1595" t="s">
        <v>157</v>
      </c>
      <c r="B1595" s="2">
        <v>45536</v>
      </c>
      <c r="C1595" s="52">
        <v>6021.81</v>
      </c>
      <c r="D1595" s="48">
        <f>_xlfn.XLOOKUP(expected_production[[#This Row],[Site Name]],Table1[[Site Name ]],Table1[Commisioned Date],"")</f>
        <v>44663</v>
      </c>
      <c r="E1595" s="47">
        <f>IF(ISNUMBER(expected_production[[#This Row],[Commissioned Date]]),MAX(0,(expected_production[[#This Row],[Date]]-expected_production[[#This Row],[Commissioned Date]])/365.25),"")</f>
        <v>2.3901437371663246</v>
      </c>
      <c r="F1595" s="49">
        <f>IF(expected_production[[#This Row],[Age (yrs)]]="",1,(1-DegradationRate)^expected_production[[#This Row],[Age (yrs)]])</f>
        <v>0.98335032441693748</v>
      </c>
      <c r="G1595" s="52">
        <f>IF(expected_production[[#This Row],[Base Expected (kWh)]]="","",expected_production[[#This Row],[Base Expected (kWh)]]*expected_production[[#This Row],[Degradation Factor]])</f>
        <v>5921.5488170771587</v>
      </c>
    </row>
    <row r="1596" spans="1:7" ht="15" hidden="1" customHeight="1" x14ac:dyDescent="0.3">
      <c r="A1596" t="s">
        <v>157</v>
      </c>
      <c r="B1596" s="2">
        <v>45566</v>
      </c>
      <c r="C1596" s="52">
        <v>6128.91</v>
      </c>
      <c r="D1596" s="48">
        <f>_xlfn.XLOOKUP(expected_production[[#This Row],[Site Name]],Table1[[Site Name ]],Table1[Commisioned Date],"")</f>
        <v>44663</v>
      </c>
      <c r="E1596" s="47">
        <f>IF(ISNUMBER(expected_production[[#This Row],[Commissioned Date]]),MAX(0,(expected_production[[#This Row],[Date]]-expected_production[[#This Row],[Commissioned Date]])/365.25),"")</f>
        <v>2.4722792607802875</v>
      </c>
      <c r="F1596" s="49">
        <f>IF(expected_production[[#This Row],[Age (yrs)]]="",1,(1-DegradationRate)^expected_production[[#This Row],[Age (yrs)]])</f>
        <v>0.98278312400598411</v>
      </c>
      <c r="G1596" s="52">
        <f>IF(expected_production[[#This Row],[Base Expected (kWh)]]="","",expected_production[[#This Row],[Base Expected (kWh)]]*expected_production[[#This Row],[Degradation Factor]])</f>
        <v>6023.3893165515155</v>
      </c>
    </row>
    <row r="1597" spans="1:7" ht="15" hidden="1" customHeight="1" x14ac:dyDescent="0.3">
      <c r="A1597" t="s">
        <v>157</v>
      </c>
      <c r="B1597" s="2">
        <v>45597</v>
      </c>
      <c r="C1597" s="52">
        <v>5928.57</v>
      </c>
      <c r="D1597" s="48">
        <f>_xlfn.XLOOKUP(expected_production[[#This Row],[Site Name]],Table1[[Site Name ]],Table1[Commisioned Date],"")</f>
        <v>44663</v>
      </c>
      <c r="E1597" s="47">
        <f>IF(ISNUMBER(expected_production[[#This Row],[Commissioned Date]]),MAX(0,(expected_production[[#This Row],[Date]]-expected_production[[#This Row],[Commissioned Date]])/365.25),"")</f>
        <v>2.5571526351813825</v>
      </c>
      <c r="F1597" s="49">
        <f>IF(expected_production[[#This Row],[Age (yrs)]]="",1,(1-DegradationRate)^expected_production[[#This Row],[Age (yrs)]])</f>
        <v>0.98219736061586549</v>
      </c>
      <c r="G1597" s="52">
        <f>IF(expected_production[[#This Row],[Base Expected (kWh)]]="","",expected_production[[#This Row],[Base Expected (kWh)]]*expected_production[[#This Row],[Degradation Factor]])</f>
        <v>5823.0258062264011</v>
      </c>
    </row>
    <row r="1598" spans="1:7" ht="15" hidden="1" customHeight="1" x14ac:dyDescent="0.3">
      <c r="A1598" t="s">
        <v>157</v>
      </c>
      <c r="B1598" s="2">
        <v>45627</v>
      </c>
      <c r="C1598" s="52">
        <v>6186.69</v>
      </c>
      <c r="D1598" s="48">
        <f>_xlfn.XLOOKUP(expected_production[[#This Row],[Site Name]],Table1[[Site Name ]],Table1[Commisioned Date],"")</f>
        <v>44663</v>
      </c>
      <c r="E1598" s="47">
        <f>IF(ISNUMBER(expected_production[[#This Row],[Commissioned Date]]),MAX(0,(expected_production[[#This Row],[Date]]-expected_production[[#This Row],[Commissioned Date]])/365.25),"")</f>
        <v>2.6392881587953458</v>
      </c>
      <c r="F1598" s="49">
        <f>IF(expected_production[[#This Row],[Age (yrs)]]="",1,(1-DegradationRate)^expected_production[[#This Row],[Age (yrs)]])</f>
        <v>0.98163082523905676</v>
      </c>
      <c r="G1598" s="52">
        <f>IF(expected_production[[#This Row],[Base Expected (kWh)]]="","",expected_production[[#This Row],[Base Expected (kWh)]]*expected_production[[#This Row],[Degradation Factor]])</f>
        <v>6073.0456101982199</v>
      </c>
    </row>
    <row r="1599" spans="1:7" ht="15" hidden="1" customHeight="1" x14ac:dyDescent="0.3">
      <c r="A1599" t="s">
        <v>157</v>
      </c>
      <c r="B1599" s="2">
        <v>45658</v>
      </c>
      <c r="C1599" s="52">
        <v>5902.47</v>
      </c>
      <c r="D1599" s="48">
        <f>_xlfn.XLOOKUP(expected_production[[#This Row],[Site Name]],Table1[[Site Name ]],Table1[Commisioned Date],"")</f>
        <v>44663</v>
      </c>
      <c r="E1599" s="47">
        <f>IF(ISNUMBER(expected_production[[#This Row],[Commissioned Date]]),MAX(0,(expected_production[[#This Row],[Date]]-expected_production[[#This Row],[Commissioned Date]])/365.25),"")</f>
        <v>2.7241615331964408</v>
      </c>
      <c r="F1599" s="49">
        <f>IF(expected_production[[#This Row],[Age (yrs)]]="",1,(1-DegradationRate)^expected_production[[#This Row],[Age (yrs)]])</f>
        <v>0.98104574864790284</v>
      </c>
      <c r="G1599" s="52">
        <f>IF(expected_production[[#This Row],[Base Expected (kWh)]]="","",expected_production[[#This Row],[Base Expected (kWh)]]*expected_production[[#This Row],[Degradation Factor]])</f>
        <v>5790.593100021787</v>
      </c>
    </row>
    <row r="1600" spans="1:7" ht="15" hidden="1" customHeight="1" x14ac:dyDescent="0.3">
      <c r="A1600" t="s">
        <v>157</v>
      </c>
      <c r="B1600" s="2">
        <v>45689</v>
      </c>
      <c r="C1600" s="52">
        <v>5299.2</v>
      </c>
      <c r="D1600" s="48">
        <f>_xlfn.XLOOKUP(expected_production[[#This Row],[Site Name]],Table1[[Site Name ]],Table1[Commisioned Date],"")</f>
        <v>44663</v>
      </c>
      <c r="E1600" s="47">
        <f>IF(ISNUMBER(expected_production[[#This Row],[Commissioned Date]]),MAX(0,(expected_production[[#This Row],[Date]]-expected_production[[#This Row],[Commissioned Date]])/365.25),"")</f>
        <v>2.8090349075975358</v>
      </c>
      <c r="F1600" s="49">
        <f>IF(expected_production[[#This Row],[Age (yrs)]]="",1,(1-DegradationRate)^expected_production[[#This Row],[Age (yrs)]])</f>
        <v>0.98046102077707109</v>
      </c>
      <c r="G1600" s="52">
        <f>IF(expected_production[[#This Row],[Base Expected (kWh)]]="","",expected_production[[#This Row],[Base Expected (kWh)]]*expected_production[[#This Row],[Degradation Factor]])</f>
        <v>5195.6590413018548</v>
      </c>
    </row>
    <row r="1601" spans="1:7" ht="15" hidden="1" customHeight="1" x14ac:dyDescent="0.3">
      <c r="A1601" t="s">
        <v>157</v>
      </c>
      <c r="B1601" s="2">
        <v>45717</v>
      </c>
      <c r="C1601" s="52">
        <v>5701.86</v>
      </c>
      <c r="D1601" s="48">
        <f>_xlfn.XLOOKUP(expected_production[[#This Row],[Site Name]],Table1[[Site Name ]],Table1[Commisioned Date],"")</f>
        <v>44663</v>
      </c>
      <c r="E1601" s="47">
        <f>IF(ISNUMBER(expected_production[[#This Row],[Commissioned Date]]),MAX(0,(expected_production[[#This Row],[Date]]-expected_production[[#This Row],[Commissioned Date]])/365.25),"")</f>
        <v>2.8856947296372346</v>
      </c>
      <c r="F1601" s="49">
        <f>IF(expected_production[[#This Row],[Age (yrs)]]="",1,(1-DegradationRate)^expected_production[[#This Row],[Age (yrs)]])</f>
        <v>0.97993317903405219</v>
      </c>
      <c r="G1601" s="52">
        <f>IF(expected_production[[#This Row],[Base Expected (kWh)]]="","",expected_production[[#This Row],[Base Expected (kWh)]]*expected_production[[#This Row],[Degradation Factor]])</f>
        <v>5587.4417962071002</v>
      </c>
    </row>
    <row r="1602" spans="1:7" ht="15" hidden="1" customHeight="1" x14ac:dyDescent="0.3">
      <c r="A1602" t="s">
        <v>157</v>
      </c>
      <c r="B1602" s="2">
        <v>45748</v>
      </c>
      <c r="C1602" s="52">
        <v>5085.8999999999996</v>
      </c>
      <c r="D1602" s="48">
        <f>_xlfn.XLOOKUP(expected_production[[#This Row],[Site Name]],Table1[[Site Name ]],Table1[Commisioned Date],"")</f>
        <v>44663</v>
      </c>
      <c r="E1602" s="47">
        <f>IF(ISNUMBER(expected_production[[#This Row],[Commissioned Date]]),MAX(0,(expected_production[[#This Row],[Date]]-expected_production[[#This Row],[Commissioned Date]])/365.25),"")</f>
        <v>2.97056810403833</v>
      </c>
      <c r="F1602" s="49">
        <f>IF(expected_production[[#This Row],[Age (yrs)]]="",1,(1-DegradationRate)^expected_production[[#This Row],[Age (yrs)]])</f>
        <v>0.97934911428261362</v>
      </c>
      <c r="G1602" s="52">
        <f>IF(expected_production[[#This Row],[Base Expected (kWh)]]="","",expected_production[[#This Row],[Base Expected (kWh)]]*expected_production[[#This Row],[Degradation Factor]])</f>
        <v>4980.8716603299445</v>
      </c>
    </row>
    <row r="1603" spans="1:7" ht="15" hidden="1" customHeight="1" x14ac:dyDescent="0.3">
      <c r="A1603" t="s">
        <v>157</v>
      </c>
      <c r="B1603" s="2">
        <v>45778</v>
      </c>
      <c r="C1603" s="52">
        <v>5204.6099999999997</v>
      </c>
      <c r="D1603" s="48">
        <f>_xlfn.XLOOKUP(expected_production[[#This Row],[Site Name]],Table1[[Site Name ]],Table1[Commisioned Date],"")</f>
        <v>44663</v>
      </c>
      <c r="E1603" s="47">
        <f>IF(ISNUMBER(expected_production[[#This Row],[Commissioned Date]]),MAX(0,(expected_production[[#This Row],[Date]]-expected_production[[#This Row],[Commissioned Date]])/365.25),"")</f>
        <v>3.052703627652293</v>
      </c>
      <c r="F1603" s="49">
        <f>IF(expected_production[[#This Row],[Age (yrs)]]="",1,(1-DegradationRate)^expected_production[[#This Row],[Age (yrs)]])</f>
        <v>0.978784221785713</v>
      </c>
      <c r="G1603" s="52">
        <f>IF(expected_production[[#This Row],[Base Expected (kWh)]]="","",expected_production[[#This Row],[Base Expected (kWh)]]*expected_production[[#This Row],[Degradation Factor]])</f>
        <v>5094.1901485481394</v>
      </c>
    </row>
    <row r="1604" spans="1:7" ht="15" hidden="1" customHeight="1" x14ac:dyDescent="0.3">
      <c r="A1604" t="s">
        <v>157</v>
      </c>
      <c r="B1604" s="2">
        <v>45809</v>
      </c>
      <c r="C1604" s="52">
        <v>4824.3599999999997</v>
      </c>
      <c r="D1604" s="48">
        <f>_xlfn.XLOOKUP(expected_production[[#This Row],[Site Name]],Table1[[Site Name ]],Table1[Commisioned Date],"")</f>
        <v>44663</v>
      </c>
      <c r="E1604" s="47">
        <f>IF(ISNUMBER(expected_production[[#This Row],[Commissioned Date]]),MAX(0,(expected_production[[#This Row],[Date]]-expected_production[[#This Row],[Commissioned Date]])/365.25),"")</f>
        <v>3.137577002053388</v>
      </c>
      <c r="F1604" s="49">
        <f>IF(expected_production[[#This Row],[Age (yrs)]]="",1,(1-DegradationRate)^expected_production[[#This Row],[Age (yrs)]])</f>
        <v>0.97820084184161016</v>
      </c>
      <c r="G1604" s="52">
        <f>IF(expected_production[[#This Row],[Base Expected (kWh)]]="","",expected_production[[#This Row],[Base Expected (kWh)]]*expected_production[[#This Row],[Degradation Factor]])</f>
        <v>4719.1930133469905</v>
      </c>
    </row>
    <row r="1605" spans="1:7" ht="15" hidden="1" customHeight="1" x14ac:dyDescent="0.3">
      <c r="A1605" t="s">
        <v>157</v>
      </c>
      <c r="B1605" s="2">
        <v>45839</v>
      </c>
      <c r="C1605" s="52">
        <v>5303.16</v>
      </c>
      <c r="D1605" s="48">
        <f>_xlfn.XLOOKUP(expected_production[[#This Row],[Site Name]],Table1[[Site Name ]],Table1[Commisioned Date],"")</f>
        <v>44663</v>
      </c>
      <c r="E1605" s="47">
        <f>IF(ISNUMBER(expected_production[[#This Row],[Commissioned Date]]),MAX(0,(expected_production[[#This Row],[Date]]-expected_production[[#This Row],[Commissioned Date]])/365.25),"")</f>
        <v>3.2197125256673513</v>
      </c>
      <c r="F1605" s="49">
        <f>IF(expected_production[[#This Row],[Age (yrs)]]="",1,(1-DegradationRate)^expected_production[[#This Row],[Age (yrs)]])</f>
        <v>0.97763661167285887</v>
      </c>
      <c r="G1605" s="52">
        <f>IF(expected_production[[#This Row],[Base Expected (kWh)]]="","",expected_production[[#This Row],[Base Expected (kWh)]]*expected_production[[#This Row],[Degradation Factor]])</f>
        <v>5184.5633735590382</v>
      </c>
    </row>
    <row r="1606" spans="1:7" ht="15" hidden="1" customHeight="1" x14ac:dyDescent="0.3">
      <c r="A1606" t="s">
        <v>157</v>
      </c>
      <c r="B1606" s="2">
        <v>45870</v>
      </c>
      <c r="C1606" s="52">
        <v>5833.08</v>
      </c>
      <c r="D1606" s="48">
        <f>_xlfn.XLOOKUP(expected_production[[#This Row],[Site Name]],Table1[[Site Name ]],Table1[Commisioned Date],"")</f>
        <v>44663</v>
      </c>
      <c r="E1606" s="47">
        <f>IF(ISNUMBER(expected_production[[#This Row],[Commissioned Date]]),MAX(0,(expected_production[[#This Row],[Date]]-expected_production[[#This Row],[Commissioned Date]])/365.25),"")</f>
        <v>3.3045859000684463</v>
      </c>
      <c r="F1606" s="49">
        <f>IF(expected_production[[#This Row],[Age (yrs)]]="",1,(1-DegradationRate)^expected_production[[#This Row],[Age (yrs)]])</f>
        <v>0.97705391573316536</v>
      </c>
      <c r="G1606" s="52">
        <f>IF(expected_production[[#This Row],[Base Expected (kWh)]]="","",expected_production[[#This Row],[Base Expected (kWh)]]*expected_production[[#This Row],[Degradation Factor]])</f>
        <v>5699.2336547848117</v>
      </c>
    </row>
    <row r="1607" spans="1:7" ht="15" hidden="1" customHeight="1" x14ac:dyDescent="0.3">
      <c r="A1607" t="s">
        <v>157</v>
      </c>
      <c r="B1607" s="2">
        <v>45901</v>
      </c>
      <c r="C1607" s="52">
        <v>6021.81</v>
      </c>
      <c r="D1607" s="48">
        <f>_xlfn.XLOOKUP(expected_production[[#This Row],[Site Name]],Table1[[Site Name ]],Table1[Commisioned Date],"")</f>
        <v>44663</v>
      </c>
      <c r="E1607" s="47">
        <f>IF(ISNUMBER(expected_production[[#This Row],[Commissioned Date]]),MAX(0,(expected_production[[#This Row],[Date]]-expected_production[[#This Row],[Commissioned Date]])/365.25),"")</f>
        <v>3.3894592744695413</v>
      </c>
      <c r="F1607" s="49">
        <f>IF(expected_production[[#This Row],[Age (yrs)]]="",1,(1-DegradationRate)^expected_production[[#This Row],[Age (yrs)]])</f>
        <v>0.97647156709486593</v>
      </c>
      <c r="G1607" s="52">
        <f>IF(expected_production[[#This Row],[Base Expected (kWh)]]="","",expected_production[[#This Row],[Base Expected (kWh)]]*expected_production[[#This Row],[Degradation Factor]])</f>
        <v>5880.1262474475352</v>
      </c>
    </row>
    <row r="1608" spans="1:7" ht="15" hidden="1" customHeight="1" x14ac:dyDescent="0.3">
      <c r="A1608" t="s">
        <v>157</v>
      </c>
      <c r="B1608" s="2">
        <v>45931</v>
      </c>
      <c r="C1608" s="52">
        <v>6128.91</v>
      </c>
      <c r="D1608" s="48">
        <f>_xlfn.XLOOKUP(expected_production[[#This Row],[Site Name]],Table1[[Site Name ]],Table1[Commisioned Date],"")</f>
        <v>44663</v>
      </c>
      <c r="E1608" s="47">
        <f>IF(ISNUMBER(expected_production[[#This Row],[Commissioned Date]]),MAX(0,(expected_production[[#This Row],[Date]]-expected_production[[#This Row],[Commissioned Date]])/365.25),"")</f>
        <v>3.4715947980835042</v>
      </c>
      <c r="F1608" s="49">
        <f>IF(expected_production[[#This Row],[Age (yrs)]]="",1,(1-DegradationRate)^expected_production[[#This Row],[Age (yrs)]])</f>
        <v>0.97590833437872404</v>
      </c>
      <c r="G1608" s="52">
        <f>IF(expected_production[[#This Row],[Base Expected (kWh)]]="","",expected_production[[#This Row],[Base Expected (kWh)]]*expected_production[[#This Row],[Degradation Factor]])</f>
        <v>5981.2543496571052</v>
      </c>
    </row>
    <row r="1609" spans="1:7" ht="15" hidden="1" customHeight="1" x14ac:dyDescent="0.3">
      <c r="A1609" t="s">
        <v>157</v>
      </c>
      <c r="B1609" s="2">
        <v>45962</v>
      </c>
      <c r="C1609" s="52">
        <v>5928.57</v>
      </c>
      <c r="D1609" s="48">
        <f>_xlfn.XLOOKUP(expected_production[[#This Row],[Site Name]],Table1[[Site Name ]],Table1[Commisioned Date],"")</f>
        <v>44663</v>
      </c>
      <c r="E1609" s="47">
        <f>IF(ISNUMBER(expected_production[[#This Row],[Commissioned Date]]),MAX(0,(expected_production[[#This Row],[Date]]-expected_production[[#This Row],[Commissioned Date]])/365.25),"")</f>
        <v>3.5564681724845997</v>
      </c>
      <c r="F1609" s="49">
        <f>IF(expected_production[[#This Row],[Age (yrs)]]="",1,(1-DegradationRate)^expected_production[[#This Row],[Age (yrs)]])</f>
        <v>0.97532666853564309</v>
      </c>
      <c r="G1609" s="52">
        <f>IF(expected_production[[#This Row],[Base Expected (kWh)]]="","",expected_production[[#This Row],[Base Expected (kWh)]]*expected_production[[#This Row],[Degradation Factor]])</f>
        <v>5782.2924272803575</v>
      </c>
    </row>
    <row r="1610" spans="1:7" ht="15" hidden="1" customHeight="1" x14ac:dyDescent="0.3">
      <c r="A1610" t="s">
        <v>157</v>
      </c>
      <c r="B1610" s="2">
        <v>45992</v>
      </c>
      <c r="C1610" s="52">
        <v>6186.69</v>
      </c>
      <c r="D1610" s="48">
        <f>_xlfn.XLOOKUP(expected_production[[#This Row],[Site Name]],Table1[[Site Name ]],Table1[Commisioned Date],"")</f>
        <v>44663</v>
      </c>
      <c r="E1610" s="47">
        <f>IF(ISNUMBER(expected_production[[#This Row],[Commissioned Date]]),MAX(0,(expected_production[[#This Row],[Date]]-expected_production[[#This Row],[Commissioned Date]])/365.25),"")</f>
        <v>3.6386036960985626</v>
      </c>
      <c r="F1610" s="49">
        <f>IF(expected_production[[#This Row],[Age (yrs)]]="",1,(1-DegradationRate)^expected_production[[#This Row],[Age (yrs)]])</f>
        <v>0.97476409620158178</v>
      </c>
      <c r="G1610" s="52">
        <f>IF(expected_production[[#This Row],[Base Expected (kWh)]]="","",expected_production[[#This Row],[Base Expected (kWh)]]*expected_production[[#This Row],[Degradation Factor]])</f>
        <v>6030.563286329364</v>
      </c>
    </row>
    <row r="1611" spans="1:7" ht="15" hidden="1" customHeight="1" x14ac:dyDescent="0.3">
      <c r="A1611" t="s">
        <v>157</v>
      </c>
      <c r="B1611" s="2">
        <v>46023</v>
      </c>
      <c r="C1611" s="52">
        <v>5902.47</v>
      </c>
      <c r="D1611" s="48">
        <f>_xlfn.XLOOKUP(expected_production[[#This Row],[Site Name]],Table1[[Site Name ]],Table1[Commisioned Date],"")</f>
        <v>44663</v>
      </c>
      <c r="E1611" s="47">
        <f>IF(ISNUMBER(expected_production[[#This Row],[Commissioned Date]]),MAX(0,(expected_production[[#This Row],[Date]]-expected_production[[#This Row],[Commissioned Date]])/365.25),"")</f>
        <v>3.7234770704996576</v>
      </c>
      <c r="F1611" s="49">
        <f>IF(expected_production[[#This Row],[Age (yrs)]]="",1,(1-DegradationRate)^expected_production[[#This Row],[Age (yrs)]])</f>
        <v>0.97418311235315191</v>
      </c>
      <c r="G1611" s="52">
        <f>IF(expected_production[[#This Row],[Base Expected (kWh)]]="","",expected_production[[#This Row],[Base Expected (kWh)]]*expected_production[[#This Row],[Degradation Factor]])</f>
        <v>5750.0865951711085</v>
      </c>
    </row>
    <row r="1612" spans="1:7" ht="15" hidden="1" customHeight="1" x14ac:dyDescent="0.3">
      <c r="A1612" t="s">
        <v>157</v>
      </c>
      <c r="B1612" s="2">
        <v>46054</v>
      </c>
      <c r="C1612" s="52">
        <v>5299.2</v>
      </c>
      <c r="D1612" s="48">
        <f>_xlfn.XLOOKUP(expected_production[[#This Row],[Site Name]],Table1[[Site Name ]],Table1[Commisioned Date],"")</f>
        <v>44663</v>
      </c>
      <c r="E1612" s="47">
        <f>IF(ISNUMBER(expected_production[[#This Row],[Commissioned Date]]),MAX(0,(expected_production[[#This Row],[Date]]-expected_production[[#This Row],[Commissioned Date]])/365.25),"")</f>
        <v>3.808350444900753</v>
      </c>
      <c r="F1612" s="49">
        <f>IF(expected_production[[#This Row],[Age (yrs)]]="",1,(1-DegradationRate)^expected_production[[#This Row],[Age (yrs)]])</f>
        <v>0.97360247478566675</v>
      </c>
      <c r="G1612" s="52">
        <f>IF(expected_production[[#This Row],[Base Expected (kWh)]]="","",expected_production[[#This Row],[Base Expected (kWh)]]*expected_production[[#This Row],[Degradation Factor]])</f>
        <v>5159.3142343842046</v>
      </c>
    </row>
    <row r="1613" spans="1:7" ht="15" hidden="1" customHeight="1" x14ac:dyDescent="0.3">
      <c r="A1613" t="s">
        <v>157</v>
      </c>
      <c r="B1613" s="2">
        <v>46082</v>
      </c>
      <c r="C1613" s="52">
        <v>5701.86</v>
      </c>
      <c r="D1613" s="48">
        <f>_xlfn.XLOOKUP(expected_production[[#This Row],[Site Name]],Table1[[Site Name ]],Table1[Commisioned Date],"")</f>
        <v>44663</v>
      </c>
      <c r="E1613" s="47">
        <f>IF(ISNUMBER(expected_production[[#This Row],[Commissioned Date]]),MAX(0,(expected_production[[#This Row],[Date]]-expected_production[[#This Row],[Commissioned Date]])/365.25),"")</f>
        <v>3.8850102669404518</v>
      </c>
      <c r="F1613" s="49">
        <f>IF(expected_production[[#This Row],[Age (yrs)]]="",1,(1-DegradationRate)^expected_production[[#This Row],[Age (yrs)]])</f>
        <v>0.97307832541469941</v>
      </c>
      <c r="G1613" s="52">
        <f>IF(expected_production[[#This Row],[Base Expected (kWh)]]="","",expected_production[[#This Row],[Base Expected (kWh)]]*expected_production[[#This Row],[Degradation Factor]])</f>
        <v>5548.3563805490576</v>
      </c>
    </row>
    <row r="1614" spans="1:7" ht="15" hidden="1" customHeight="1" x14ac:dyDescent="0.3">
      <c r="A1614" t="s">
        <v>157</v>
      </c>
      <c r="B1614" s="2">
        <v>46113</v>
      </c>
      <c r="C1614" s="52">
        <v>5085.8999999999996</v>
      </c>
      <c r="D1614" s="48">
        <f>_xlfn.XLOOKUP(expected_production[[#This Row],[Site Name]],Table1[[Site Name ]],Table1[Commisioned Date],"")</f>
        <v>44663</v>
      </c>
      <c r="E1614" s="47">
        <f>IF(ISNUMBER(expected_production[[#This Row],[Commissioned Date]]),MAX(0,(expected_production[[#This Row],[Date]]-expected_production[[#This Row],[Commissioned Date]])/365.25),"")</f>
        <v>3.9698836413415468</v>
      </c>
      <c r="F1614" s="49">
        <f>IF(expected_production[[#This Row],[Age (yrs)]]="",1,(1-DegradationRate)^expected_production[[#This Row],[Age (yrs)]])</f>
        <v>0.97249834632793764</v>
      </c>
      <c r="G1614" s="52">
        <f>IF(expected_production[[#This Row],[Base Expected (kWh)]]="","",expected_production[[#This Row],[Base Expected (kWh)]]*expected_production[[#This Row],[Degradation Factor]])</f>
        <v>4946.0293395892577</v>
      </c>
    </row>
    <row r="1615" spans="1:7" ht="15" hidden="1" customHeight="1" x14ac:dyDescent="0.3">
      <c r="A1615" t="s">
        <v>157</v>
      </c>
      <c r="B1615" s="2">
        <v>46143</v>
      </c>
      <c r="C1615" s="52">
        <v>5204.6099999999997</v>
      </c>
      <c r="D1615" s="48">
        <f>_xlfn.XLOOKUP(expected_production[[#This Row],[Site Name]],Table1[[Site Name ]],Table1[Commisioned Date],"")</f>
        <v>44663</v>
      </c>
      <c r="E1615" s="47">
        <f>IF(ISNUMBER(expected_production[[#This Row],[Commissioned Date]]),MAX(0,(expected_production[[#This Row],[Date]]-expected_production[[#This Row],[Commissioned Date]])/365.25),"")</f>
        <v>4.0520191649555102</v>
      </c>
      <c r="F1615" s="49">
        <f>IF(expected_production[[#This Row],[Age (yrs)]]="",1,(1-DegradationRate)^expected_production[[#This Row],[Age (yrs)]])</f>
        <v>0.971937405381469</v>
      </c>
      <c r="G1615" s="52">
        <f>IF(expected_production[[#This Row],[Base Expected (kWh)]]="","",expected_production[[#This Row],[Base Expected (kWh)]]*expected_production[[#This Row],[Degradation Factor]])</f>
        <v>5058.5551394224467</v>
      </c>
    </row>
    <row r="1616" spans="1:7" ht="15" hidden="1" customHeight="1" x14ac:dyDescent="0.3">
      <c r="A1616" t="s">
        <v>157</v>
      </c>
      <c r="B1616" s="2">
        <v>46174</v>
      </c>
      <c r="C1616" s="52">
        <v>4824.3599999999997</v>
      </c>
      <c r="D1616" s="48">
        <f>_xlfn.XLOOKUP(expected_production[[#This Row],[Site Name]],Table1[[Site Name ]],Table1[Commisioned Date],"")</f>
        <v>44663</v>
      </c>
      <c r="E1616" s="47">
        <f>IF(ISNUMBER(expected_production[[#This Row],[Commissioned Date]]),MAX(0,(expected_production[[#This Row],[Date]]-expected_production[[#This Row],[Commissioned Date]])/365.25),"")</f>
        <v>4.1368925393566052</v>
      </c>
      <c r="F1616" s="49">
        <f>IF(expected_production[[#This Row],[Age (yrs)]]="",1,(1-DegradationRate)^expected_production[[#This Row],[Age (yrs)]])</f>
        <v>0.97135810631166142</v>
      </c>
      <c r="G1616" s="52">
        <f>IF(expected_production[[#This Row],[Base Expected (kWh)]]="","",expected_production[[#This Row],[Base Expected (kWh)]]*expected_production[[#This Row],[Degradation Factor]])</f>
        <v>4686.1811937657267</v>
      </c>
    </row>
    <row r="1617" spans="1:7" ht="15" hidden="1" customHeight="1" x14ac:dyDescent="0.3">
      <c r="A1617" t="s">
        <v>157</v>
      </c>
      <c r="B1617" s="2">
        <v>46204</v>
      </c>
      <c r="C1617" s="52">
        <v>5303.16</v>
      </c>
      <c r="D1617" s="48">
        <f>_xlfn.XLOOKUP(expected_production[[#This Row],[Site Name]],Table1[[Site Name ]],Table1[Commisioned Date],"")</f>
        <v>44663</v>
      </c>
      <c r="E1617" s="47">
        <f>IF(ISNUMBER(expected_production[[#This Row],[Commissioned Date]]),MAX(0,(expected_production[[#This Row],[Date]]-expected_production[[#This Row],[Commissioned Date]])/365.25),"")</f>
        <v>4.2190280629705681</v>
      </c>
      <c r="F1617" s="49">
        <f>IF(expected_production[[#This Row],[Age (yrs)]]="",1,(1-DegradationRate)^expected_production[[#This Row],[Age (yrs)]])</f>
        <v>0.97079782306020723</v>
      </c>
      <c r="G1617" s="52">
        <f>IF(expected_production[[#This Row],[Base Expected (kWh)]]="","",expected_production[[#This Row],[Base Expected (kWh)]]*expected_production[[#This Row],[Degradation Factor]])</f>
        <v>5148.2961833399686</v>
      </c>
    </row>
    <row r="1618" spans="1:7" ht="15" hidden="1" customHeight="1" x14ac:dyDescent="0.3">
      <c r="A1618" t="s">
        <v>157</v>
      </c>
      <c r="B1618" s="2">
        <v>46235</v>
      </c>
      <c r="C1618" s="52">
        <v>5833.08</v>
      </c>
      <c r="D1618" s="48">
        <f>_xlfn.XLOOKUP(expected_production[[#This Row],[Site Name]],Table1[[Site Name ]],Table1[Commisioned Date],"")</f>
        <v>44663</v>
      </c>
      <c r="E1618" s="47">
        <f>IF(ISNUMBER(expected_production[[#This Row],[Commissioned Date]]),MAX(0,(expected_production[[#This Row],[Date]]-expected_production[[#This Row],[Commissioned Date]])/365.25),"")</f>
        <v>4.3039014373716631</v>
      </c>
      <c r="F1618" s="49">
        <f>IF(expected_production[[#This Row],[Age (yrs)]]="",1,(1-DegradationRate)^expected_production[[#This Row],[Age (yrs)]])</f>
        <v>0.97021920321004385</v>
      </c>
      <c r="G1618" s="52">
        <f>IF(expected_production[[#This Row],[Base Expected (kWh)]]="","",expected_production[[#This Row],[Base Expected (kWh)]]*expected_production[[#This Row],[Degradation Factor]])</f>
        <v>5659.3662298604422</v>
      </c>
    </row>
    <row r="1619" spans="1:7" ht="15" hidden="1" customHeight="1" x14ac:dyDescent="0.3">
      <c r="A1619" t="s">
        <v>157</v>
      </c>
      <c r="B1619" s="2">
        <v>46266</v>
      </c>
      <c r="C1619" s="52">
        <v>6021.81</v>
      </c>
      <c r="D1619" s="48">
        <f>_xlfn.XLOOKUP(expected_production[[#This Row],[Site Name]],Table1[[Site Name ]],Table1[Commisioned Date],"")</f>
        <v>44663</v>
      </c>
      <c r="E1619" s="47">
        <f>IF(ISNUMBER(expected_production[[#This Row],[Commissioned Date]]),MAX(0,(expected_production[[#This Row],[Date]]-expected_production[[#This Row],[Commissioned Date]])/365.25),"")</f>
        <v>4.3887748117727581</v>
      </c>
      <c r="F1619" s="49">
        <f>IF(expected_production[[#This Row],[Age (yrs)]]="",1,(1-DegradationRate)^expected_production[[#This Row],[Age (yrs)]])</f>
        <v>0.9696409282318228</v>
      </c>
      <c r="G1619" s="52">
        <f>IF(expected_production[[#This Row],[Base Expected (kWh)]]="","",expected_production[[#This Row],[Base Expected (kWh)]]*expected_production[[#This Row],[Degradation Factor]])</f>
        <v>5838.9934380356735</v>
      </c>
    </row>
    <row r="1620" spans="1:7" ht="15" hidden="1" customHeight="1" x14ac:dyDescent="0.3">
      <c r="A1620" t="s">
        <v>157</v>
      </c>
      <c r="B1620" s="2">
        <v>46296</v>
      </c>
      <c r="C1620" s="52">
        <v>6128.91</v>
      </c>
      <c r="D1620" s="48">
        <f>_xlfn.XLOOKUP(expected_production[[#This Row],[Site Name]],Table1[[Site Name ]],Table1[Commisioned Date],"")</f>
        <v>44663</v>
      </c>
      <c r="E1620" s="47">
        <f>IF(ISNUMBER(expected_production[[#This Row],[Commissioned Date]]),MAX(0,(expected_production[[#This Row],[Date]]-expected_production[[#This Row],[Commissioned Date]])/365.25),"")</f>
        <v>4.470910335386721</v>
      </c>
      <c r="F1620" s="49">
        <f>IF(expected_production[[#This Row],[Age (yrs)]]="",1,(1-DegradationRate)^expected_production[[#This Row],[Age (yrs)]])</f>
        <v>0.96908163545557202</v>
      </c>
      <c r="G1620" s="52">
        <f>IF(expected_production[[#This Row],[Base Expected (kWh)]]="","",expected_production[[#This Row],[Base Expected (kWh)]]*expected_production[[#This Row],[Degradation Factor]])</f>
        <v>5939.4141263600095</v>
      </c>
    </row>
    <row r="1621" spans="1:7" ht="15" hidden="1" customHeight="1" x14ac:dyDescent="0.3">
      <c r="A1621" t="s">
        <v>157</v>
      </c>
      <c r="B1621" s="2">
        <v>46327</v>
      </c>
      <c r="C1621" s="52">
        <v>5928.57</v>
      </c>
      <c r="D1621" s="48">
        <f>_xlfn.XLOOKUP(expected_production[[#This Row],[Site Name]],Table1[[Site Name ]],Table1[Commisioned Date],"")</f>
        <v>44663</v>
      </c>
      <c r="E1621" s="47">
        <f>IF(ISNUMBER(expected_production[[#This Row],[Commissioned Date]]),MAX(0,(expected_production[[#This Row],[Date]]-expected_production[[#This Row],[Commissioned Date]])/365.25),"")</f>
        <v>4.5557837097878169</v>
      </c>
      <c r="F1621" s="49">
        <f>IF(expected_production[[#This Row],[Age (yrs)]]="",1,(1-DegradationRate)^expected_production[[#This Row],[Age (yrs)]])</f>
        <v>0.96850403849626299</v>
      </c>
      <c r="G1621" s="52">
        <f>IF(expected_production[[#This Row],[Base Expected (kWh)]]="","",expected_production[[#This Row],[Base Expected (kWh)]]*expected_production[[#This Row],[Degradation Factor]])</f>
        <v>5741.8439875077893</v>
      </c>
    </row>
    <row r="1622" spans="1:7" ht="15" hidden="1" customHeight="1" x14ac:dyDescent="0.3">
      <c r="A1622" t="s">
        <v>157</v>
      </c>
      <c r="B1622" s="2">
        <v>46357</v>
      </c>
      <c r="C1622" s="52">
        <v>6186.69</v>
      </c>
      <c r="D1622" s="48">
        <f>_xlfn.XLOOKUP(expected_production[[#This Row],[Site Name]],Table1[[Site Name ]],Table1[Commisioned Date],"")</f>
        <v>44663</v>
      </c>
      <c r="E1622" s="47">
        <f>IF(ISNUMBER(expected_production[[#This Row],[Commissioned Date]]),MAX(0,(expected_production[[#This Row],[Date]]-expected_production[[#This Row],[Commissioned Date]])/365.25),"")</f>
        <v>4.6379192334017798</v>
      </c>
      <c r="F1622" s="49">
        <f>IF(expected_production[[#This Row],[Age (yrs)]]="",1,(1-DegradationRate)^expected_production[[#This Row],[Age (yrs)]])</f>
        <v>0.96794540148257124</v>
      </c>
      <c r="G1622" s="52">
        <f>IF(expected_production[[#This Row],[Base Expected (kWh)]]="","",expected_production[[#This Row],[Base Expected (kWh)]]*expected_production[[#This Row],[Degradation Factor]])</f>
        <v>5988.3781358982087</v>
      </c>
    </row>
    <row r="1623" spans="1:7" ht="15" hidden="1" customHeight="1" x14ac:dyDescent="0.3">
      <c r="A1623" t="s">
        <v>160</v>
      </c>
      <c r="B1623" s="2">
        <v>45292</v>
      </c>
      <c r="C1623" s="52">
        <v>17099.45</v>
      </c>
      <c r="D1623" s="48">
        <f>_xlfn.XLOOKUP(expected_production[[#This Row],[Site Name]],Table1[[Site Name ]],Table1[Commisioned Date],"")</f>
        <v>45058</v>
      </c>
      <c r="E1623" s="47">
        <f>IF(ISNUMBER(expected_production[[#This Row],[Commissioned Date]]),MAX(0,(expected_production[[#This Row],[Date]]-expected_production[[#This Row],[Commissioned Date]])/365.25),"")</f>
        <v>0.64065708418891165</v>
      </c>
      <c r="F1623" s="49">
        <f>IF(expected_production[[#This Row],[Age (yrs)]]="",1,(1-DegradationRate)^expected_production[[#This Row],[Age (yrs)]])</f>
        <v>0.99550974216479293</v>
      </c>
      <c r="G1623" s="52">
        <f>IF(expected_production[[#This Row],[Base Expected (kWh)]]="","",expected_production[[#This Row],[Base Expected (kWh)]]*expected_production[[#This Row],[Degradation Factor]])</f>
        <v>17022.669060659769</v>
      </c>
    </row>
    <row r="1624" spans="1:7" ht="15" hidden="1" customHeight="1" x14ac:dyDescent="0.3">
      <c r="A1624" t="s">
        <v>160</v>
      </c>
      <c r="B1624" s="2">
        <v>45323</v>
      </c>
      <c r="C1624" s="52">
        <v>15031.4</v>
      </c>
      <c r="D1624" s="48">
        <f>_xlfn.XLOOKUP(expected_production[[#This Row],[Site Name]],Table1[[Site Name ]],Table1[Commisioned Date],"")</f>
        <v>45058</v>
      </c>
      <c r="E1624" s="47">
        <f>IF(ISNUMBER(expected_production[[#This Row],[Commissioned Date]]),MAX(0,(expected_production[[#This Row],[Date]]-expected_production[[#This Row],[Commissioned Date]])/365.25),"")</f>
        <v>0.72553045859000687</v>
      </c>
      <c r="F1624" s="49">
        <f>IF(expected_production[[#This Row],[Age (yrs)]]="",1,(1-DegradationRate)^expected_production[[#This Row],[Age (yrs)]])</f>
        <v>0.99491639339106797</v>
      </c>
      <c r="G1624" s="52">
        <f>IF(expected_production[[#This Row],[Base Expected (kWh)]]="","",expected_production[[#This Row],[Base Expected (kWh)]]*expected_production[[#This Row],[Degradation Factor]])</f>
        <v>14954.986275618499</v>
      </c>
    </row>
    <row r="1625" spans="1:7" ht="15" hidden="1" customHeight="1" x14ac:dyDescent="0.3">
      <c r="A1625" t="s">
        <v>160</v>
      </c>
      <c r="B1625" s="2">
        <v>45352</v>
      </c>
      <c r="C1625" s="52">
        <v>16289.4</v>
      </c>
      <c r="D1625" s="48">
        <f>_xlfn.XLOOKUP(expected_production[[#This Row],[Site Name]],Table1[[Site Name ]],Table1[Commisioned Date],"")</f>
        <v>45058</v>
      </c>
      <c r="E1625" s="47">
        <f>IF(ISNUMBER(expected_production[[#This Row],[Commissioned Date]]),MAX(0,(expected_production[[#This Row],[Date]]-expected_production[[#This Row],[Commissioned Date]])/365.25),"")</f>
        <v>0.80492813141683783</v>
      </c>
      <c r="F1625" s="49">
        <f>IF(expected_production[[#This Row],[Age (yrs)]]="",1,(1-DegradationRate)^expected_production[[#This Row],[Age (yrs)]])</f>
        <v>0.99436164534998406</v>
      </c>
      <c r="G1625" s="52">
        <f>IF(expected_production[[#This Row],[Base Expected (kWh)]]="","",expected_production[[#This Row],[Base Expected (kWh)]]*expected_production[[#This Row],[Degradation Factor]])</f>
        <v>16197.55458576403</v>
      </c>
    </row>
    <row r="1626" spans="1:7" ht="15" hidden="1" customHeight="1" x14ac:dyDescent="0.3">
      <c r="A1626" t="s">
        <v>160</v>
      </c>
      <c r="B1626" s="2">
        <v>45383</v>
      </c>
      <c r="C1626" s="52">
        <v>14250.25</v>
      </c>
      <c r="D1626" s="48">
        <f>_xlfn.XLOOKUP(expected_production[[#This Row],[Site Name]],Table1[[Site Name ]],Table1[Commisioned Date],"")</f>
        <v>45058</v>
      </c>
      <c r="E1626" s="47">
        <f>IF(ISNUMBER(expected_production[[#This Row],[Commissioned Date]]),MAX(0,(expected_production[[#This Row],[Date]]-expected_production[[#This Row],[Commissioned Date]])/365.25),"")</f>
        <v>0.88980150581793294</v>
      </c>
      <c r="F1626" s="49">
        <f>IF(expected_production[[#This Row],[Age (yrs)]]="",1,(1-DegradationRate)^expected_production[[#This Row],[Age (yrs)]])</f>
        <v>0.99376898087075505</v>
      </c>
      <c r="G1626" s="52">
        <f>IF(expected_production[[#This Row],[Base Expected (kWh)]]="","",expected_production[[#This Row],[Base Expected (kWh)]]*expected_production[[#This Row],[Degradation Factor]])</f>
        <v>14161.456419653477</v>
      </c>
    </row>
    <row r="1627" spans="1:7" ht="15" hidden="1" customHeight="1" x14ac:dyDescent="0.3">
      <c r="A1627" t="s">
        <v>160</v>
      </c>
      <c r="B1627" s="2">
        <v>45413</v>
      </c>
      <c r="C1627" s="52">
        <v>14783.2</v>
      </c>
      <c r="D1627" s="48">
        <f>_xlfn.XLOOKUP(expected_production[[#This Row],[Site Name]],Table1[[Site Name ]],Table1[Commisioned Date],"")</f>
        <v>45058</v>
      </c>
      <c r="E1627" s="47">
        <f>IF(ISNUMBER(expected_production[[#This Row],[Commissioned Date]]),MAX(0,(expected_production[[#This Row],[Date]]-expected_production[[#This Row],[Commissioned Date]])/365.25),"")</f>
        <v>0.97193702943189597</v>
      </c>
      <c r="F1627" s="49">
        <f>IF(expected_production[[#This Row],[Age (yrs)]]="",1,(1-DegradationRate)^expected_production[[#This Row],[Age (yrs)]])</f>
        <v>0.99319577093697398</v>
      </c>
      <c r="G1627" s="52">
        <f>IF(expected_production[[#This Row],[Base Expected (kWh)]]="","",expected_production[[#This Row],[Base Expected (kWh)]]*expected_production[[#This Row],[Degradation Factor]])</f>
        <v>14682.611720915475</v>
      </c>
    </row>
    <row r="1628" spans="1:7" ht="15" hidden="1" customHeight="1" x14ac:dyDescent="0.3">
      <c r="A1628" t="s">
        <v>160</v>
      </c>
      <c r="B1628" s="2">
        <v>45444</v>
      </c>
      <c r="C1628" s="52">
        <v>13871.15</v>
      </c>
      <c r="D1628" s="48">
        <f>_xlfn.XLOOKUP(expected_production[[#This Row],[Site Name]],Table1[[Site Name ]],Table1[Commisioned Date],"")</f>
        <v>45058</v>
      </c>
      <c r="E1628" s="47">
        <f>IF(ISNUMBER(expected_production[[#This Row],[Commissioned Date]]),MAX(0,(expected_production[[#This Row],[Date]]-expected_production[[#This Row],[Commissioned Date]])/365.25),"")</f>
        <v>1.0568104038329911</v>
      </c>
      <c r="F1628" s="49">
        <f>IF(expected_production[[#This Row],[Age (yrs)]]="",1,(1-DegradationRate)^expected_production[[#This Row],[Age (yrs)]])</f>
        <v>0.99260380134813531</v>
      </c>
      <c r="G1628" s="52">
        <f>IF(expected_production[[#This Row],[Base Expected (kWh)]]="","",expected_production[[#This Row],[Base Expected (kWh)]]*expected_production[[#This Row],[Degradation Factor]])</f>
        <v>13768.556219070188</v>
      </c>
    </row>
    <row r="1629" spans="1:7" ht="15" hidden="1" customHeight="1" x14ac:dyDescent="0.3">
      <c r="A1629" t="s">
        <v>160</v>
      </c>
      <c r="B1629" s="2">
        <v>45474</v>
      </c>
      <c r="C1629" s="52">
        <v>15110.45</v>
      </c>
      <c r="D1629" s="48">
        <f>_xlfn.XLOOKUP(expected_production[[#This Row],[Site Name]],Table1[[Site Name ]],Table1[Commisioned Date],"")</f>
        <v>45058</v>
      </c>
      <c r="E1629" s="47">
        <f>IF(ISNUMBER(expected_production[[#This Row],[Commissioned Date]]),MAX(0,(expected_production[[#This Row],[Date]]-expected_production[[#This Row],[Commissioned Date]])/365.25),"")</f>
        <v>1.1389459274469542</v>
      </c>
      <c r="F1629" s="49">
        <f>IF(expected_production[[#This Row],[Age (yrs)]]="",1,(1-DegradationRate)^expected_production[[#This Row],[Age (yrs)]])</f>
        <v>0.99203126349457593</v>
      </c>
      <c r="G1629" s="52">
        <f>IF(expected_production[[#This Row],[Base Expected (kWh)]]="","",expected_production[[#This Row],[Base Expected (kWh)]]*expected_production[[#This Row],[Degradation Factor]])</f>
        <v>14990.038805471615</v>
      </c>
    </row>
    <row r="1630" spans="1:7" ht="15" hidden="1" customHeight="1" x14ac:dyDescent="0.3">
      <c r="A1630" t="s">
        <v>160</v>
      </c>
      <c r="B1630" s="2">
        <v>45505</v>
      </c>
      <c r="C1630" s="52">
        <v>16763.7</v>
      </c>
      <c r="D1630" s="48">
        <f>_xlfn.XLOOKUP(expected_production[[#This Row],[Site Name]],Table1[[Site Name ]],Table1[Commisioned Date],"")</f>
        <v>45058</v>
      </c>
      <c r="E1630" s="47">
        <f>IF(ISNUMBER(expected_production[[#This Row],[Commissioned Date]]),MAX(0,(expected_production[[#This Row],[Date]]-expected_production[[#This Row],[Commissioned Date]])/365.25),"")</f>
        <v>1.2238193018480492</v>
      </c>
      <c r="F1630" s="49">
        <f>IF(expected_production[[#This Row],[Age (yrs)]]="",1,(1-DegradationRate)^expected_production[[#This Row],[Age (yrs)]])</f>
        <v>0.99143998798137878</v>
      </c>
      <c r="G1630" s="52">
        <f>IF(expected_production[[#This Row],[Base Expected (kWh)]]="","",expected_production[[#This Row],[Base Expected (kWh)]]*expected_production[[#This Row],[Degradation Factor]])</f>
        <v>16620.202526523441</v>
      </c>
    </row>
    <row r="1631" spans="1:7" ht="15" hidden="1" customHeight="1" x14ac:dyDescent="0.3">
      <c r="A1631" t="s">
        <v>160</v>
      </c>
      <c r="B1631" s="2">
        <v>45536</v>
      </c>
      <c r="C1631" s="52">
        <v>16935.400000000001</v>
      </c>
      <c r="D1631" s="48">
        <f>_xlfn.XLOOKUP(expected_production[[#This Row],[Site Name]],Table1[[Site Name ]],Table1[Commisioned Date],"")</f>
        <v>45058</v>
      </c>
      <c r="E1631" s="47">
        <f>IF(ISNUMBER(expected_production[[#This Row],[Commissioned Date]]),MAX(0,(expected_production[[#This Row],[Date]]-expected_production[[#This Row],[Commissioned Date]])/365.25),"")</f>
        <v>1.3086926762491444</v>
      </c>
      <c r="F1631" s="49">
        <f>IF(expected_production[[#This Row],[Age (yrs)]]="",1,(1-DegradationRate)^expected_production[[#This Row],[Age (yrs)]])</f>
        <v>0.99084906488321656</v>
      </c>
      <c r="G1631" s="52">
        <f>IF(expected_production[[#This Row],[Base Expected (kWh)]]="","",expected_production[[#This Row],[Base Expected (kWh)]]*expected_production[[#This Row],[Degradation Factor]])</f>
        <v>16780.425253423226</v>
      </c>
    </row>
    <row r="1632" spans="1:7" ht="15" hidden="1" customHeight="1" x14ac:dyDescent="0.3">
      <c r="A1632" t="s">
        <v>160</v>
      </c>
      <c r="B1632" s="2">
        <v>45566</v>
      </c>
      <c r="C1632" s="52">
        <v>17583.95</v>
      </c>
      <c r="D1632" s="48">
        <f>_xlfn.XLOOKUP(expected_production[[#This Row],[Site Name]],Table1[[Site Name ]],Table1[Commisioned Date],"")</f>
        <v>45058</v>
      </c>
      <c r="E1632" s="47">
        <f>IF(ISNUMBER(expected_production[[#This Row],[Commissioned Date]]),MAX(0,(expected_production[[#This Row],[Date]]-expected_production[[#This Row],[Commissioned Date]])/365.25),"")</f>
        <v>1.3908281998631074</v>
      </c>
      <c r="F1632" s="49">
        <f>IF(expected_production[[#This Row],[Age (yrs)]]="",1,(1-DegradationRate)^expected_production[[#This Row],[Age (yrs)]])</f>
        <v>0.99027753916868777</v>
      </c>
      <c r="G1632" s="52">
        <f>IF(expected_production[[#This Row],[Base Expected (kWh)]]="","",expected_production[[#This Row],[Base Expected (kWh)]]*expected_production[[#This Row],[Degradation Factor]])</f>
        <v>17412.990734865249</v>
      </c>
    </row>
    <row r="1633" spans="1:7" ht="15" hidden="1" customHeight="1" x14ac:dyDescent="0.3">
      <c r="A1633" t="s">
        <v>160</v>
      </c>
      <c r="B1633" s="2">
        <v>45597</v>
      </c>
      <c r="C1633" s="52">
        <v>16597.099999999999</v>
      </c>
      <c r="D1633" s="48">
        <f>_xlfn.XLOOKUP(expected_production[[#This Row],[Site Name]],Table1[[Site Name ]],Table1[Commisioned Date],"")</f>
        <v>45058</v>
      </c>
      <c r="E1633" s="47">
        <f>IF(ISNUMBER(expected_production[[#This Row],[Commissioned Date]]),MAX(0,(expected_production[[#This Row],[Date]]-expected_production[[#This Row],[Commissioned Date]])/365.25),"")</f>
        <v>1.4757015742642026</v>
      </c>
      <c r="F1633" s="49">
        <f>IF(expected_production[[#This Row],[Age (yrs)]]="",1,(1-DegradationRate)^expected_production[[#This Row],[Age (yrs)]])</f>
        <v>0.98968730891917223</v>
      </c>
      <c r="G1633" s="52">
        <f>IF(expected_production[[#This Row],[Base Expected (kWh)]]="","",expected_production[[#This Row],[Base Expected (kWh)]]*expected_production[[#This Row],[Degradation Factor]])</f>
        <v>16425.939234862391</v>
      </c>
    </row>
    <row r="1634" spans="1:7" ht="15" hidden="1" customHeight="1" x14ac:dyDescent="0.3">
      <c r="A1634" t="s">
        <v>160</v>
      </c>
      <c r="B1634" s="2">
        <v>45627</v>
      </c>
      <c r="C1634" s="52">
        <v>17731</v>
      </c>
      <c r="D1634" s="48">
        <f>_xlfn.XLOOKUP(expected_production[[#This Row],[Site Name]],Table1[[Site Name ]],Table1[Commisioned Date],"")</f>
        <v>45058</v>
      </c>
      <c r="E1634" s="47">
        <f>IF(ISNUMBER(expected_production[[#This Row],[Commissioned Date]]),MAX(0,(expected_production[[#This Row],[Date]]-expected_production[[#This Row],[Commissioned Date]])/365.25),"")</f>
        <v>1.5578370978781657</v>
      </c>
      <c r="F1634" s="49">
        <f>IF(expected_production[[#This Row],[Age (yrs)]]="",1,(1-DegradationRate)^expected_production[[#This Row],[Age (yrs)]])</f>
        <v>0.98911645331014286</v>
      </c>
      <c r="G1634" s="52">
        <f>IF(expected_production[[#This Row],[Base Expected (kWh)]]="","",expected_production[[#This Row],[Base Expected (kWh)]]*expected_production[[#This Row],[Degradation Factor]])</f>
        <v>17538.023833642143</v>
      </c>
    </row>
    <row r="1635" spans="1:7" ht="15" hidden="1" customHeight="1" x14ac:dyDescent="0.3">
      <c r="A1635" t="s">
        <v>160</v>
      </c>
      <c r="B1635" s="2">
        <v>45658</v>
      </c>
      <c r="C1635" s="52">
        <v>17099.45</v>
      </c>
      <c r="D1635" s="48">
        <f>_xlfn.XLOOKUP(expected_production[[#This Row],[Site Name]],Table1[[Site Name ]],Table1[Commisioned Date],"")</f>
        <v>45058</v>
      </c>
      <c r="E1635" s="47">
        <f>IF(ISNUMBER(expected_production[[#This Row],[Commissioned Date]]),MAX(0,(expected_production[[#This Row],[Date]]-expected_production[[#This Row],[Commissioned Date]])/365.25),"")</f>
        <v>1.6427104722792607</v>
      </c>
      <c r="F1635" s="49">
        <f>IF(expected_production[[#This Row],[Age (yrs)]]="",1,(1-DegradationRate)^expected_production[[#This Row],[Age (yrs)]])</f>
        <v>0.98852691509691903</v>
      </c>
      <c r="G1635" s="52">
        <f>IF(expected_production[[#This Row],[Base Expected (kWh)]]="","",expected_production[[#This Row],[Base Expected (kWh)]]*expected_production[[#This Row],[Degradation Factor]])</f>
        <v>16903.266558354015</v>
      </c>
    </row>
    <row r="1636" spans="1:7" ht="15" hidden="1" customHeight="1" x14ac:dyDescent="0.3">
      <c r="A1636" t="s">
        <v>160</v>
      </c>
      <c r="B1636" s="2">
        <v>45689</v>
      </c>
      <c r="C1636" s="52">
        <v>15031.4</v>
      </c>
      <c r="D1636" s="48">
        <f>_xlfn.XLOOKUP(expected_production[[#This Row],[Site Name]],Table1[[Site Name ]],Table1[Commisioned Date],"")</f>
        <v>45058</v>
      </c>
      <c r="E1636" s="47">
        <f>IF(ISNUMBER(expected_production[[#This Row],[Commissioned Date]]),MAX(0,(expected_production[[#This Row],[Date]]-expected_production[[#This Row],[Commissioned Date]])/365.25),"")</f>
        <v>1.7275838466803559</v>
      </c>
      <c r="F1636" s="49">
        <f>IF(expected_production[[#This Row],[Age (yrs)]]="",1,(1-DegradationRate)^expected_production[[#This Row],[Age (yrs)]])</f>
        <v>0.98793772826325588</v>
      </c>
      <c r="G1636" s="52">
        <f>IF(expected_production[[#This Row],[Base Expected (kWh)]]="","",expected_production[[#This Row],[Base Expected (kWh)]]*expected_production[[#This Row],[Degradation Factor]])</f>
        <v>14850.087168616305</v>
      </c>
    </row>
    <row r="1637" spans="1:7" ht="15" hidden="1" customHeight="1" x14ac:dyDescent="0.3">
      <c r="A1637" t="s">
        <v>160</v>
      </c>
      <c r="B1637" s="2">
        <v>45717</v>
      </c>
      <c r="C1637" s="52">
        <v>16289.4</v>
      </c>
      <c r="D1637" s="48">
        <f>_xlfn.XLOOKUP(expected_production[[#This Row],[Site Name]],Table1[[Site Name ]],Table1[Commisioned Date],"")</f>
        <v>45058</v>
      </c>
      <c r="E1637" s="47">
        <f>IF(ISNUMBER(expected_production[[#This Row],[Commissioned Date]]),MAX(0,(expected_production[[#This Row],[Date]]-expected_production[[#This Row],[Commissioned Date]])/365.25),"")</f>
        <v>1.8042436687200547</v>
      </c>
      <c r="F1637" s="49">
        <f>IF(expected_production[[#This Row],[Age (yrs)]]="",1,(1-DegradationRate)^expected_production[[#This Row],[Age (yrs)]])</f>
        <v>0.98740586135429176</v>
      </c>
      <c r="G1637" s="52">
        <f>IF(expected_production[[#This Row],[Base Expected (kWh)]]="","",expected_production[[#This Row],[Base Expected (kWh)]]*expected_production[[#This Row],[Degradation Factor]])</f>
        <v>16084.249037944599</v>
      </c>
    </row>
    <row r="1638" spans="1:7" ht="15" hidden="1" customHeight="1" x14ac:dyDescent="0.3">
      <c r="A1638" t="s">
        <v>160</v>
      </c>
      <c r="B1638" s="2">
        <v>45748</v>
      </c>
      <c r="C1638" s="52">
        <v>14250.25</v>
      </c>
      <c r="D1638" s="48">
        <f>_xlfn.XLOOKUP(expected_production[[#This Row],[Site Name]],Table1[[Site Name ]],Table1[Commisioned Date],"")</f>
        <v>45058</v>
      </c>
      <c r="E1638" s="47">
        <f>IF(ISNUMBER(expected_production[[#This Row],[Commissioned Date]]),MAX(0,(expected_production[[#This Row],[Date]]-expected_production[[#This Row],[Commissioned Date]])/365.25),"")</f>
        <v>1.8891170431211499</v>
      </c>
      <c r="F1638" s="49">
        <f>IF(expected_production[[#This Row],[Age (yrs)]]="",1,(1-DegradationRate)^expected_production[[#This Row],[Age (yrs)]])</f>
        <v>0.98681734269677523</v>
      </c>
      <c r="G1638" s="52">
        <f>IF(expected_production[[#This Row],[Base Expected (kWh)]]="","",expected_production[[#This Row],[Base Expected (kWh)]]*expected_production[[#This Row],[Degradation Factor]])</f>
        <v>14062.393837764721</v>
      </c>
    </row>
    <row r="1639" spans="1:7" ht="15" hidden="1" customHeight="1" x14ac:dyDescent="0.3">
      <c r="A1639" t="s">
        <v>160</v>
      </c>
      <c r="B1639" s="2">
        <v>45778</v>
      </c>
      <c r="C1639" s="52">
        <v>14783.2</v>
      </c>
      <c r="D1639" s="48">
        <f>_xlfn.XLOOKUP(expected_production[[#This Row],[Site Name]],Table1[[Site Name ]],Table1[Commisioned Date],"")</f>
        <v>45058</v>
      </c>
      <c r="E1639" s="47">
        <f>IF(ISNUMBER(expected_production[[#This Row],[Commissioned Date]]),MAX(0,(expected_production[[#This Row],[Date]]-expected_production[[#This Row],[Commissioned Date]])/365.25),"")</f>
        <v>1.9712525667351128</v>
      </c>
      <c r="F1639" s="49">
        <f>IF(expected_production[[#This Row],[Age (yrs)]]="",1,(1-DegradationRate)^expected_production[[#This Row],[Age (yrs)]])</f>
        <v>0.98624814249577331</v>
      </c>
      <c r="G1639" s="52">
        <f>IF(expected_production[[#This Row],[Base Expected (kWh)]]="","",expected_production[[#This Row],[Base Expected (kWh)]]*expected_production[[#This Row],[Degradation Factor]])</f>
        <v>14579.903540143516</v>
      </c>
    </row>
    <row r="1640" spans="1:7" ht="15" hidden="1" customHeight="1" x14ac:dyDescent="0.3">
      <c r="A1640" t="s">
        <v>160</v>
      </c>
      <c r="B1640" s="2">
        <v>45809</v>
      </c>
      <c r="C1640" s="52">
        <v>13871.15</v>
      </c>
      <c r="D1640" s="48">
        <f>_xlfn.XLOOKUP(expected_production[[#This Row],[Site Name]],Table1[[Site Name ]],Table1[Commisioned Date],"")</f>
        <v>45058</v>
      </c>
      <c r="E1640" s="47">
        <f>IF(ISNUMBER(expected_production[[#This Row],[Commissioned Date]]),MAX(0,(expected_production[[#This Row],[Date]]-expected_production[[#This Row],[Commissioned Date]])/365.25),"")</f>
        <v>2.0561259411362083</v>
      </c>
      <c r="F1640" s="49">
        <f>IF(expected_production[[#This Row],[Age (yrs)]]="",1,(1-DegradationRate)^expected_production[[#This Row],[Age (yrs)]])</f>
        <v>0.98566031386773201</v>
      </c>
      <c r="G1640" s="52">
        <f>IF(expected_production[[#This Row],[Base Expected (kWh)]]="","",expected_production[[#This Row],[Base Expected (kWh)]]*expected_production[[#This Row],[Degradation Factor]])</f>
        <v>13672.242062706391</v>
      </c>
    </row>
    <row r="1641" spans="1:7" ht="15" hidden="1" customHeight="1" x14ac:dyDescent="0.3">
      <c r="A1641" t="s">
        <v>160</v>
      </c>
      <c r="B1641" s="2">
        <v>45839</v>
      </c>
      <c r="C1641" s="52">
        <v>15110.45</v>
      </c>
      <c r="D1641" s="48">
        <f>_xlfn.XLOOKUP(expected_production[[#This Row],[Site Name]],Table1[[Site Name ]],Table1[Commisioned Date],"")</f>
        <v>45058</v>
      </c>
      <c r="E1641" s="47">
        <f>IF(ISNUMBER(expected_production[[#This Row],[Commissioned Date]]),MAX(0,(expected_production[[#This Row],[Date]]-expected_production[[#This Row],[Commissioned Date]])/365.25),"")</f>
        <v>2.1382614647501712</v>
      </c>
      <c r="F1641" s="49">
        <f>IF(expected_production[[#This Row],[Age (yrs)]]="",1,(1-DegradationRate)^expected_production[[#This Row],[Age (yrs)]])</f>
        <v>0.98509178104559902</v>
      </c>
      <c r="G1641" s="52">
        <f>IF(expected_production[[#This Row],[Base Expected (kWh)]]="","",expected_production[[#This Row],[Base Expected (kWh)]]*expected_production[[#This Row],[Degradation Factor]])</f>
        <v>14885.180102900473</v>
      </c>
    </row>
    <row r="1642" spans="1:7" ht="15" hidden="1" customHeight="1" x14ac:dyDescent="0.3">
      <c r="A1642" t="s">
        <v>160</v>
      </c>
      <c r="B1642" s="2">
        <v>45870</v>
      </c>
      <c r="C1642" s="52">
        <v>16763.7</v>
      </c>
      <c r="D1642" s="48">
        <f>_xlfn.XLOOKUP(expected_production[[#This Row],[Site Name]],Table1[[Site Name ]],Table1[Commisioned Date],"")</f>
        <v>45058</v>
      </c>
      <c r="E1642" s="47">
        <f>IF(ISNUMBER(expected_production[[#This Row],[Commissioned Date]]),MAX(0,(expected_production[[#This Row],[Date]]-expected_production[[#This Row],[Commissioned Date]])/365.25),"")</f>
        <v>2.2231348391512662</v>
      </c>
      <c r="F1642" s="49">
        <f>IF(expected_production[[#This Row],[Age (yrs)]]="",1,(1-DegradationRate)^expected_production[[#This Row],[Age (yrs)]])</f>
        <v>0.98450464163798368</v>
      </c>
      <c r="G1642" s="52">
        <f>IF(expected_production[[#This Row],[Base Expected (kWh)]]="","",expected_production[[#This Row],[Base Expected (kWh)]]*expected_production[[#This Row],[Degradation Factor]])</f>
        <v>16503.940461026668</v>
      </c>
    </row>
    <row r="1643" spans="1:7" ht="15" hidden="1" customHeight="1" x14ac:dyDescent="0.3">
      <c r="A1643" t="s">
        <v>160</v>
      </c>
      <c r="B1643" s="2">
        <v>45901</v>
      </c>
      <c r="C1643" s="52">
        <v>16935.400000000001</v>
      </c>
      <c r="D1643" s="48">
        <f>_xlfn.XLOOKUP(expected_production[[#This Row],[Site Name]],Table1[[Site Name ]],Table1[Commisioned Date],"")</f>
        <v>45058</v>
      </c>
      <c r="E1643" s="47">
        <f>IF(ISNUMBER(expected_production[[#This Row],[Commissioned Date]]),MAX(0,(expected_production[[#This Row],[Date]]-expected_production[[#This Row],[Commissioned Date]])/365.25),"")</f>
        <v>2.3080082135523612</v>
      </c>
      <c r="F1643" s="49">
        <f>IF(expected_production[[#This Row],[Age (yrs)]]="",1,(1-DegradationRate)^expected_production[[#This Row],[Age (yrs)]])</f>
        <v>0.9839178521801808</v>
      </c>
      <c r="G1643" s="52">
        <f>IF(expected_production[[#This Row],[Base Expected (kWh)]]="","",expected_production[[#This Row],[Base Expected (kWh)]]*expected_production[[#This Row],[Degradation Factor]])</f>
        <v>16663.042393812237</v>
      </c>
    </row>
    <row r="1644" spans="1:7" ht="15" hidden="1" customHeight="1" x14ac:dyDescent="0.3">
      <c r="A1644" t="s">
        <v>160</v>
      </c>
      <c r="B1644" s="2">
        <v>45931</v>
      </c>
      <c r="C1644" s="52">
        <v>17583.95</v>
      </c>
      <c r="D1644" s="48">
        <f>_xlfn.XLOOKUP(expected_production[[#This Row],[Site Name]],Table1[[Site Name ]],Table1[Commisioned Date],"")</f>
        <v>45058</v>
      </c>
      <c r="E1644" s="47">
        <f>IF(ISNUMBER(expected_production[[#This Row],[Commissioned Date]]),MAX(0,(expected_production[[#This Row],[Date]]-expected_production[[#This Row],[Commissioned Date]])/365.25),"")</f>
        <v>2.3901437371663246</v>
      </c>
      <c r="F1644" s="49">
        <f>IF(expected_production[[#This Row],[Age (yrs)]]="",1,(1-DegradationRate)^expected_production[[#This Row],[Age (yrs)]])</f>
        <v>0.98335032441693748</v>
      </c>
      <c r="G1644" s="52">
        <f>IF(expected_production[[#This Row],[Base Expected (kWh)]]="","",expected_production[[#This Row],[Base Expected (kWh)]]*expected_production[[#This Row],[Degradation Factor]])</f>
        <v>17291.182937031208</v>
      </c>
    </row>
    <row r="1645" spans="1:7" ht="15" hidden="1" customHeight="1" x14ac:dyDescent="0.3">
      <c r="A1645" t="s">
        <v>160</v>
      </c>
      <c r="B1645" s="2">
        <v>45962</v>
      </c>
      <c r="C1645" s="52">
        <v>16597.099999999999</v>
      </c>
      <c r="D1645" s="48">
        <f>_xlfn.XLOOKUP(expected_production[[#This Row],[Site Name]],Table1[[Site Name ]],Table1[Commisioned Date],"")</f>
        <v>45058</v>
      </c>
      <c r="E1645" s="47">
        <f>IF(ISNUMBER(expected_production[[#This Row],[Commissioned Date]]),MAX(0,(expected_production[[#This Row],[Date]]-expected_production[[#This Row],[Commissioned Date]])/365.25),"")</f>
        <v>2.4750171115674195</v>
      </c>
      <c r="F1645" s="49">
        <f>IF(expected_production[[#This Row],[Age (yrs)]]="",1,(1-DegradationRate)^expected_production[[#This Row],[Age (yrs)]])</f>
        <v>0.98276422296114851</v>
      </c>
      <c r="G1645" s="52">
        <f>IF(expected_production[[#This Row],[Base Expected (kWh)]]="","",expected_production[[#This Row],[Base Expected (kWh)]]*expected_production[[#This Row],[Degradation Factor]])</f>
        <v>16311.036084908477</v>
      </c>
    </row>
    <row r="1646" spans="1:7" ht="15" hidden="1" customHeight="1" x14ac:dyDescent="0.3">
      <c r="A1646" t="s">
        <v>160</v>
      </c>
      <c r="B1646" s="2">
        <v>45992</v>
      </c>
      <c r="C1646" s="52">
        <v>17731</v>
      </c>
      <c r="D1646" s="48">
        <f>_xlfn.XLOOKUP(expected_production[[#This Row],[Site Name]],Table1[[Site Name ]],Table1[Commisioned Date],"")</f>
        <v>45058</v>
      </c>
      <c r="E1646" s="47">
        <f>IF(ISNUMBER(expected_production[[#This Row],[Commissioned Date]]),MAX(0,(expected_production[[#This Row],[Date]]-expected_production[[#This Row],[Commissioned Date]])/365.25),"")</f>
        <v>2.5571526351813825</v>
      </c>
      <c r="F1646" s="49">
        <f>IF(expected_production[[#This Row],[Age (yrs)]]="",1,(1-DegradationRate)^expected_production[[#This Row],[Age (yrs)]])</f>
        <v>0.98219736061586549</v>
      </c>
      <c r="G1646" s="52">
        <f>IF(expected_production[[#This Row],[Base Expected (kWh)]]="","",expected_production[[#This Row],[Base Expected (kWh)]]*expected_production[[#This Row],[Degradation Factor]])</f>
        <v>17415.34140107991</v>
      </c>
    </row>
    <row r="1647" spans="1:7" ht="15" hidden="1" customHeight="1" x14ac:dyDescent="0.3">
      <c r="A1647" t="s">
        <v>160</v>
      </c>
      <c r="B1647" s="2">
        <v>46023</v>
      </c>
      <c r="C1647" s="52">
        <v>17099.45</v>
      </c>
      <c r="D1647" s="48">
        <f>_xlfn.XLOOKUP(expected_production[[#This Row],[Site Name]],Table1[[Site Name ]],Table1[Commisioned Date],"")</f>
        <v>45058</v>
      </c>
      <c r="E1647" s="47">
        <f>IF(ISNUMBER(expected_production[[#This Row],[Commissioned Date]]),MAX(0,(expected_production[[#This Row],[Date]]-expected_production[[#This Row],[Commissioned Date]])/365.25),"")</f>
        <v>2.6420260095824779</v>
      </c>
      <c r="F1647" s="49">
        <f>IF(expected_production[[#This Row],[Age (yrs)]]="",1,(1-DegradationRate)^expected_production[[#This Row],[Age (yrs)]])</f>
        <v>0.98161194635541837</v>
      </c>
      <c r="G1647" s="52">
        <f>IF(expected_production[[#This Row],[Base Expected (kWh)]]="","",expected_production[[#This Row],[Base Expected (kWh)]]*expected_production[[#This Row],[Degradation Factor]])</f>
        <v>16785.024396107161</v>
      </c>
    </row>
    <row r="1648" spans="1:7" ht="15" hidden="1" customHeight="1" x14ac:dyDescent="0.3">
      <c r="A1648" t="s">
        <v>160</v>
      </c>
      <c r="B1648" s="2">
        <v>46054</v>
      </c>
      <c r="C1648" s="52">
        <v>15031.4</v>
      </c>
      <c r="D1648" s="48">
        <f>_xlfn.XLOOKUP(expected_production[[#This Row],[Site Name]],Table1[[Site Name ]],Table1[Commisioned Date],"")</f>
        <v>45058</v>
      </c>
      <c r="E1648" s="47">
        <f>IF(ISNUMBER(expected_production[[#This Row],[Commissioned Date]]),MAX(0,(expected_production[[#This Row],[Date]]-expected_production[[#This Row],[Commissioned Date]])/365.25),"")</f>
        <v>2.7268993839835729</v>
      </c>
      <c r="F1648" s="49">
        <f>IF(expected_production[[#This Row],[Age (yrs)]]="",1,(1-DegradationRate)^expected_production[[#This Row],[Age (yrs)]])</f>
        <v>0.98102688101655267</v>
      </c>
      <c r="G1648" s="52">
        <f>IF(expected_production[[#This Row],[Base Expected (kWh)]]="","",expected_production[[#This Row],[Base Expected (kWh)]]*expected_production[[#This Row],[Degradation Factor]])</f>
        <v>14746.207459312209</v>
      </c>
    </row>
    <row r="1649" spans="1:7" ht="15" hidden="1" customHeight="1" x14ac:dyDescent="0.3">
      <c r="A1649" t="s">
        <v>160</v>
      </c>
      <c r="B1649" s="2">
        <v>46082</v>
      </c>
      <c r="C1649" s="52">
        <v>16289.4</v>
      </c>
      <c r="D1649" s="48">
        <f>_xlfn.XLOOKUP(expected_production[[#This Row],[Site Name]],Table1[[Site Name ]],Table1[Commisioned Date],"")</f>
        <v>45058</v>
      </c>
      <c r="E1649" s="47">
        <f>IF(ISNUMBER(expected_production[[#This Row],[Commissioned Date]]),MAX(0,(expected_production[[#This Row],[Date]]-expected_production[[#This Row],[Commissioned Date]])/365.25),"")</f>
        <v>2.8035592060232717</v>
      </c>
      <c r="F1649" s="49">
        <f>IF(expected_production[[#This Row],[Age (yrs)]]="",1,(1-DegradationRate)^expected_production[[#This Row],[Age (yrs)]])</f>
        <v>0.98049873463658366</v>
      </c>
      <c r="G1649" s="52">
        <f>IF(expected_production[[#This Row],[Base Expected (kWh)]]="","",expected_production[[#This Row],[Base Expected (kWh)]]*expected_production[[#This Row],[Degradation Factor]])</f>
        <v>15971.736087989166</v>
      </c>
    </row>
    <row r="1650" spans="1:7" ht="15" hidden="1" customHeight="1" x14ac:dyDescent="0.3">
      <c r="A1650" t="s">
        <v>160</v>
      </c>
      <c r="B1650" s="2">
        <v>46113</v>
      </c>
      <c r="C1650" s="52">
        <v>14250.25</v>
      </c>
      <c r="D1650" s="48">
        <f>_xlfn.XLOOKUP(expected_production[[#This Row],[Site Name]],Table1[[Site Name ]],Table1[Commisioned Date],"")</f>
        <v>45058</v>
      </c>
      <c r="E1650" s="47">
        <f>IF(ISNUMBER(expected_production[[#This Row],[Commissioned Date]]),MAX(0,(expected_production[[#This Row],[Date]]-expected_production[[#This Row],[Commissioned Date]])/365.25),"")</f>
        <v>2.8884325804243667</v>
      </c>
      <c r="F1650" s="49">
        <f>IF(expected_production[[#This Row],[Age (yrs)]]="",1,(1-DegradationRate)^expected_production[[#This Row],[Age (yrs)]])</f>
        <v>0.97991433279982176</v>
      </c>
      <c r="G1650" s="52">
        <f>IF(expected_production[[#This Row],[Base Expected (kWh)]]="","",expected_production[[#This Row],[Base Expected (kWh)]]*expected_production[[#This Row],[Degradation Factor]])</f>
        <v>13964.02422098066</v>
      </c>
    </row>
    <row r="1651" spans="1:7" ht="15" hidden="1" customHeight="1" x14ac:dyDescent="0.3">
      <c r="A1651" t="s">
        <v>160</v>
      </c>
      <c r="B1651" s="2">
        <v>46143</v>
      </c>
      <c r="C1651" s="52">
        <v>14783.2</v>
      </c>
      <c r="D1651" s="48">
        <f>_xlfn.XLOOKUP(expected_production[[#This Row],[Site Name]],Table1[[Site Name ]],Table1[Commisioned Date],"")</f>
        <v>45058</v>
      </c>
      <c r="E1651" s="47">
        <f>IF(ISNUMBER(expected_production[[#This Row],[Commissioned Date]]),MAX(0,(expected_production[[#This Row],[Date]]-expected_production[[#This Row],[Commissioned Date]])/365.25),"")</f>
        <v>2.97056810403833</v>
      </c>
      <c r="F1651" s="49">
        <f>IF(expected_production[[#This Row],[Age (yrs)]]="",1,(1-DegradationRate)^expected_production[[#This Row],[Age (yrs)]])</f>
        <v>0.97934911428261362</v>
      </c>
      <c r="G1651" s="52">
        <f>IF(expected_production[[#This Row],[Base Expected (kWh)]]="","",expected_production[[#This Row],[Base Expected (kWh)]]*expected_production[[#This Row],[Degradation Factor]])</f>
        <v>14477.913826262735</v>
      </c>
    </row>
    <row r="1652" spans="1:7" ht="15" hidden="1" customHeight="1" x14ac:dyDescent="0.3">
      <c r="A1652" t="s">
        <v>160</v>
      </c>
      <c r="B1652" s="2">
        <v>46174</v>
      </c>
      <c r="C1652" s="52">
        <v>13871.15</v>
      </c>
      <c r="D1652" s="48">
        <f>_xlfn.XLOOKUP(expected_production[[#This Row],[Site Name]],Table1[[Site Name ]],Table1[Commisioned Date],"")</f>
        <v>45058</v>
      </c>
      <c r="E1652" s="47">
        <f>IF(ISNUMBER(expected_production[[#This Row],[Commissioned Date]]),MAX(0,(expected_production[[#This Row],[Date]]-expected_production[[#This Row],[Commissioned Date]])/365.25),"")</f>
        <v>3.055441478439425</v>
      </c>
      <c r="F1652" s="49">
        <f>IF(expected_production[[#This Row],[Age (yrs)]]="",1,(1-DegradationRate)^expected_production[[#This Row],[Age (yrs)]])</f>
        <v>0.97876539764841508</v>
      </c>
      <c r="G1652" s="52">
        <f>IF(expected_production[[#This Row],[Base Expected (kWh)]]="","",expected_production[[#This Row],[Base Expected (kWh)]]*expected_production[[#This Row],[Degradation Factor]])</f>
        <v>13576.601645590812</v>
      </c>
    </row>
    <row r="1653" spans="1:7" ht="15" hidden="1" customHeight="1" x14ac:dyDescent="0.3">
      <c r="A1653" t="s">
        <v>160</v>
      </c>
      <c r="B1653" s="2">
        <v>46204</v>
      </c>
      <c r="C1653" s="52">
        <v>15110.45</v>
      </c>
      <c r="D1653" s="48">
        <f>_xlfn.XLOOKUP(expected_production[[#This Row],[Site Name]],Table1[[Site Name ]],Table1[Commisioned Date],"")</f>
        <v>45058</v>
      </c>
      <c r="E1653" s="47">
        <f>IF(ISNUMBER(expected_production[[#This Row],[Commissioned Date]]),MAX(0,(expected_production[[#This Row],[Date]]-expected_production[[#This Row],[Commissioned Date]])/365.25),"")</f>
        <v>3.137577002053388</v>
      </c>
      <c r="F1653" s="49">
        <f>IF(expected_production[[#This Row],[Age (yrs)]]="",1,(1-DegradationRate)^expected_production[[#This Row],[Age (yrs)]])</f>
        <v>0.97820084184161016</v>
      </c>
      <c r="G1653" s="52">
        <f>IF(expected_production[[#This Row],[Base Expected (kWh)]]="","",expected_production[[#This Row],[Base Expected (kWh)]]*expected_production[[#This Row],[Degradation Factor]])</f>
        <v>14781.054910605559</v>
      </c>
    </row>
    <row r="1654" spans="1:7" ht="15" hidden="1" customHeight="1" x14ac:dyDescent="0.3">
      <c r="A1654" t="s">
        <v>160</v>
      </c>
      <c r="B1654" s="2">
        <v>46235</v>
      </c>
      <c r="C1654" s="52">
        <v>16763.7</v>
      </c>
      <c r="D1654" s="48">
        <f>_xlfn.XLOOKUP(expected_production[[#This Row],[Site Name]],Table1[[Site Name ]],Table1[Commisioned Date],"")</f>
        <v>45058</v>
      </c>
      <c r="E1654" s="47">
        <f>IF(ISNUMBER(expected_production[[#This Row],[Commissioned Date]]),MAX(0,(expected_production[[#This Row],[Date]]-expected_production[[#This Row],[Commissioned Date]])/365.25),"")</f>
        <v>3.2224503764544834</v>
      </c>
      <c r="F1654" s="49">
        <f>IF(expected_production[[#This Row],[Age (yrs)]]="",1,(1-DegradationRate)^expected_production[[#This Row],[Age (yrs)]])</f>
        <v>0.97761780960658529</v>
      </c>
      <c r="G1654" s="52">
        <f>IF(expected_production[[#This Row],[Base Expected (kWh)]]="","",expected_production[[#This Row],[Base Expected (kWh)]]*expected_production[[#This Row],[Degradation Factor]])</f>
        <v>16388.491674901914</v>
      </c>
    </row>
    <row r="1655" spans="1:7" ht="15" hidden="1" customHeight="1" x14ac:dyDescent="0.3">
      <c r="A1655" t="s">
        <v>160</v>
      </c>
      <c r="B1655" s="2">
        <v>46266</v>
      </c>
      <c r="C1655" s="52">
        <v>16935.400000000001</v>
      </c>
      <c r="D1655" s="48">
        <f>_xlfn.XLOOKUP(expected_production[[#This Row],[Site Name]],Table1[[Site Name ]],Table1[Commisioned Date],"")</f>
        <v>45058</v>
      </c>
      <c r="E1655" s="47">
        <f>IF(ISNUMBER(expected_production[[#This Row],[Commissioned Date]]),MAX(0,(expected_production[[#This Row],[Date]]-expected_production[[#This Row],[Commissioned Date]])/365.25),"")</f>
        <v>3.3073237508555784</v>
      </c>
      <c r="F1655" s="49">
        <f>IF(expected_production[[#This Row],[Age (yrs)]]="",1,(1-DegradationRate)^expected_production[[#This Row],[Age (yrs)]])</f>
        <v>0.97703512487339483</v>
      </c>
      <c r="G1655" s="52">
        <f>IF(expected_production[[#This Row],[Base Expected (kWh)]]="","",expected_production[[#This Row],[Base Expected (kWh)]]*expected_production[[#This Row],[Degradation Factor]])</f>
        <v>16546.480653780891</v>
      </c>
    </row>
    <row r="1656" spans="1:7" ht="15" hidden="1" customHeight="1" x14ac:dyDescent="0.3">
      <c r="A1656" t="s">
        <v>160</v>
      </c>
      <c r="B1656" s="2">
        <v>46296</v>
      </c>
      <c r="C1656" s="52">
        <v>17583.95</v>
      </c>
      <c r="D1656" s="48">
        <f>_xlfn.XLOOKUP(expected_production[[#This Row],[Site Name]],Table1[[Site Name ]],Table1[Commisioned Date],"")</f>
        <v>45058</v>
      </c>
      <c r="E1656" s="47">
        <f>IF(ISNUMBER(expected_production[[#This Row],[Commissioned Date]]),MAX(0,(expected_production[[#This Row],[Date]]-expected_production[[#This Row],[Commissioned Date]])/365.25),"")</f>
        <v>3.3894592744695413</v>
      </c>
      <c r="F1656" s="49">
        <f>IF(expected_production[[#This Row],[Age (yrs)]]="",1,(1-DegradationRate)^expected_production[[#This Row],[Age (yrs)]])</f>
        <v>0.97647156709486593</v>
      </c>
      <c r="G1656" s="52">
        <f>IF(expected_production[[#This Row],[Base Expected (kWh)]]="","",expected_production[[#This Row],[Base Expected (kWh)]]*expected_production[[#This Row],[Degradation Factor]])</f>
        <v>17170.227212217767</v>
      </c>
    </row>
    <row r="1657" spans="1:7" ht="15" hidden="1" customHeight="1" x14ac:dyDescent="0.3">
      <c r="A1657" t="s">
        <v>160</v>
      </c>
      <c r="B1657" s="2">
        <v>46327</v>
      </c>
      <c r="C1657" s="52">
        <v>16597.099999999999</v>
      </c>
      <c r="D1657" s="48">
        <f>_xlfn.XLOOKUP(expected_production[[#This Row],[Site Name]],Table1[[Site Name ]],Table1[Commisioned Date],"")</f>
        <v>45058</v>
      </c>
      <c r="E1657" s="47">
        <f>IF(ISNUMBER(expected_production[[#This Row],[Commissioned Date]]),MAX(0,(expected_production[[#This Row],[Date]]-expected_production[[#This Row],[Commissioned Date]])/365.25),"")</f>
        <v>3.4743326488706368</v>
      </c>
      <c r="F1657" s="49">
        <f>IF(expected_production[[#This Row],[Age (yrs)]]="",1,(1-DegradationRate)^expected_production[[#This Row],[Age (yrs)]])</f>
        <v>0.97588956555096029</v>
      </c>
      <c r="G1657" s="52">
        <f>IF(expected_production[[#This Row],[Base Expected (kWh)]]="","",expected_production[[#This Row],[Base Expected (kWh)]]*expected_production[[#This Row],[Degradation Factor]])</f>
        <v>16196.936708405841</v>
      </c>
    </row>
    <row r="1658" spans="1:7" ht="15" hidden="1" customHeight="1" x14ac:dyDescent="0.3">
      <c r="A1658" t="s">
        <v>160</v>
      </c>
      <c r="B1658" s="2">
        <v>46357</v>
      </c>
      <c r="C1658" s="52">
        <v>17731</v>
      </c>
      <c r="D1658" s="48">
        <f>_xlfn.XLOOKUP(expected_production[[#This Row],[Site Name]],Table1[[Site Name ]],Table1[Commisioned Date],"")</f>
        <v>45058</v>
      </c>
      <c r="E1658" s="47">
        <f>IF(ISNUMBER(expected_production[[#This Row],[Commissioned Date]]),MAX(0,(expected_production[[#This Row],[Date]]-expected_production[[#This Row],[Commissioned Date]])/365.25),"")</f>
        <v>3.5564681724845997</v>
      </c>
      <c r="F1658" s="49">
        <f>IF(expected_production[[#This Row],[Age (yrs)]]="",1,(1-DegradationRate)^expected_production[[#This Row],[Age (yrs)]])</f>
        <v>0.97532666853564309</v>
      </c>
      <c r="G1658" s="52">
        <f>IF(expected_production[[#This Row],[Base Expected (kWh)]]="","",expected_production[[#This Row],[Base Expected (kWh)]]*expected_production[[#This Row],[Degradation Factor]])</f>
        <v>17293.517159805488</v>
      </c>
    </row>
    <row r="1659" spans="1:7" ht="15" hidden="1" customHeight="1" x14ac:dyDescent="0.3">
      <c r="A1659" t="s">
        <v>244</v>
      </c>
      <c r="B1659" s="2">
        <v>45292</v>
      </c>
      <c r="C1659" s="52">
        <v>20178</v>
      </c>
      <c r="D1659" s="48">
        <f>_xlfn.XLOOKUP(expected_production[[#This Row],[Site Name]],Table1[[Site Name ]],Table1[Commisioned Date],"")</f>
        <v>46114</v>
      </c>
      <c r="E1659" s="47">
        <f>IF(ISNUMBER(expected_production[[#This Row],[Commissioned Date]]),MAX(0,(expected_production[[#This Row],[Date]]-expected_production[[#This Row],[Commissioned Date]])/365.25),"")</f>
        <v>0</v>
      </c>
      <c r="F1659" s="49">
        <f>IF(expected_production[[#This Row],[Age (yrs)]]="",1,(1-DegradationRate)^expected_production[[#This Row],[Age (yrs)]])</f>
        <v>1</v>
      </c>
      <c r="G1659" s="52">
        <f>IF(expected_production[[#This Row],[Base Expected (kWh)]]="","",expected_production[[#This Row],[Base Expected (kWh)]]*expected_production[[#This Row],[Degradation Factor]])</f>
        <v>20178</v>
      </c>
    </row>
    <row r="1660" spans="1:7" ht="15" hidden="1" customHeight="1" x14ac:dyDescent="0.3">
      <c r="A1660" t="s">
        <v>244</v>
      </c>
      <c r="B1660" s="2">
        <v>45323</v>
      </c>
      <c r="C1660" s="52">
        <v>17954</v>
      </c>
      <c r="D1660" s="48">
        <f>_xlfn.XLOOKUP(expected_production[[#This Row],[Site Name]],Table1[[Site Name ]],Table1[Commisioned Date],"")</f>
        <v>46114</v>
      </c>
      <c r="E1660" s="47">
        <f>IF(ISNUMBER(expected_production[[#This Row],[Commissioned Date]]),MAX(0,(expected_production[[#This Row],[Date]]-expected_production[[#This Row],[Commissioned Date]])/365.25),"")</f>
        <v>0</v>
      </c>
      <c r="F1660" s="49">
        <f>IF(expected_production[[#This Row],[Age (yrs)]]="",1,(1-DegradationRate)^expected_production[[#This Row],[Age (yrs)]])</f>
        <v>1</v>
      </c>
      <c r="G1660" s="52">
        <f>IF(expected_production[[#This Row],[Base Expected (kWh)]]="","",expected_production[[#This Row],[Base Expected (kWh)]]*expected_production[[#This Row],[Degradation Factor]])</f>
        <v>17954</v>
      </c>
    </row>
    <row r="1661" spans="1:7" ht="15" hidden="1" customHeight="1" x14ac:dyDescent="0.3">
      <c r="A1661" t="s">
        <v>244</v>
      </c>
      <c r="B1661" s="2">
        <v>45352</v>
      </c>
      <c r="C1661" s="52">
        <v>19150</v>
      </c>
      <c r="D1661" s="48">
        <f>_xlfn.XLOOKUP(expected_production[[#This Row],[Site Name]],Table1[[Site Name ]],Table1[Commisioned Date],"")</f>
        <v>46114</v>
      </c>
      <c r="E1661" s="47">
        <f>IF(ISNUMBER(expected_production[[#This Row],[Commissioned Date]]),MAX(0,(expected_production[[#This Row],[Date]]-expected_production[[#This Row],[Commissioned Date]])/365.25),"")</f>
        <v>0</v>
      </c>
      <c r="F1661" s="49">
        <f>IF(expected_production[[#This Row],[Age (yrs)]]="",1,(1-DegradationRate)^expected_production[[#This Row],[Age (yrs)]])</f>
        <v>1</v>
      </c>
      <c r="G1661" s="52">
        <f>IF(expected_production[[#This Row],[Base Expected (kWh)]]="","",expected_production[[#This Row],[Base Expected (kWh)]]*expected_production[[#This Row],[Degradation Factor]])</f>
        <v>19150</v>
      </c>
    </row>
    <row r="1662" spans="1:7" ht="15" hidden="1" customHeight="1" x14ac:dyDescent="0.3">
      <c r="A1662" t="s">
        <v>244</v>
      </c>
      <c r="B1662" s="2">
        <v>45383</v>
      </c>
      <c r="C1662" s="52">
        <v>18060</v>
      </c>
      <c r="D1662" s="48">
        <f>_xlfn.XLOOKUP(expected_production[[#This Row],[Site Name]],Table1[[Site Name ]],Table1[Commisioned Date],"")</f>
        <v>46114</v>
      </c>
      <c r="E1662" s="47">
        <f>IF(ISNUMBER(expected_production[[#This Row],[Commissioned Date]]),MAX(0,(expected_production[[#This Row],[Date]]-expected_production[[#This Row],[Commissioned Date]])/365.25),"")</f>
        <v>0</v>
      </c>
      <c r="F1662" s="49">
        <f>IF(expected_production[[#This Row],[Age (yrs)]]="",1,(1-DegradationRate)^expected_production[[#This Row],[Age (yrs)]])</f>
        <v>1</v>
      </c>
      <c r="G1662" s="52">
        <f>IF(expected_production[[#This Row],[Base Expected (kWh)]]="","",expected_production[[#This Row],[Base Expected (kWh)]]*expected_production[[#This Row],[Degradation Factor]])</f>
        <v>18060</v>
      </c>
    </row>
    <row r="1663" spans="1:7" ht="15" hidden="1" customHeight="1" x14ac:dyDescent="0.3">
      <c r="A1663" t="s">
        <v>244</v>
      </c>
      <c r="B1663" s="2">
        <v>45413</v>
      </c>
      <c r="C1663" s="52">
        <v>18124</v>
      </c>
      <c r="D1663" s="48">
        <f>_xlfn.XLOOKUP(expected_production[[#This Row],[Site Name]],Table1[[Site Name ]],Table1[Commisioned Date],"")</f>
        <v>46114</v>
      </c>
      <c r="E1663" s="47">
        <f>IF(ISNUMBER(expected_production[[#This Row],[Commissioned Date]]),MAX(0,(expected_production[[#This Row],[Date]]-expected_production[[#This Row],[Commissioned Date]])/365.25),"")</f>
        <v>0</v>
      </c>
      <c r="F1663" s="49">
        <f>IF(expected_production[[#This Row],[Age (yrs)]]="",1,(1-DegradationRate)^expected_production[[#This Row],[Age (yrs)]])</f>
        <v>1</v>
      </c>
      <c r="G1663" s="52">
        <f>IF(expected_production[[#This Row],[Base Expected (kWh)]]="","",expected_production[[#This Row],[Base Expected (kWh)]]*expected_production[[#This Row],[Degradation Factor]])</f>
        <v>18124</v>
      </c>
    </row>
    <row r="1664" spans="1:7" ht="15" hidden="1" customHeight="1" x14ac:dyDescent="0.3">
      <c r="A1664" t="s">
        <v>244</v>
      </c>
      <c r="B1664" s="2">
        <v>45444</v>
      </c>
      <c r="C1664" s="52">
        <v>15908</v>
      </c>
      <c r="D1664" s="48">
        <f>_xlfn.XLOOKUP(expected_production[[#This Row],[Site Name]],Table1[[Site Name ]],Table1[Commisioned Date],"")</f>
        <v>46114</v>
      </c>
      <c r="E1664" s="47">
        <f>IF(ISNUMBER(expected_production[[#This Row],[Commissioned Date]]),MAX(0,(expected_production[[#This Row],[Date]]-expected_production[[#This Row],[Commissioned Date]])/365.25),"")</f>
        <v>0</v>
      </c>
      <c r="F1664" s="49">
        <f>IF(expected_production[[#This Row],[Age (yrs)]]="",1,(1-DegradationRate)^expected_production[[#This Row],[Age (yrs)]])</f>
        <v>1</v>
      </c>
      <c r="G1664" s="52">
        <f>IF(expected_production[[#This Row],[Base Expected (kWh)]]="","",expected_production[[#This Row],[Base Expected (kWh)]]*expected_production[[#This Row],[Degradation Factor]])</f>
        <v>15908</v>
      </c>
    </row>
    <row r="1665" spans="1:7" ht="15" hidden="1" customHeight="1" x14ac:dyDescent="0.3">
      <c r="A1665" t="s">
        <v>244</v>
      </c>
      <c r="B1665" s="2">
        <v>45474</v>
      </c>
      <c r="C1665" s="52">
        <v>16827</v>
      </c>
      <c r="D1665" s="48">
        <f>_xlfn.XLOOKUP(expected_production[[#This Row],[Site Name]],Table1[[Site Name ]],Table1[Commisioned Date],"")</f>
        <v>46114</v>
      </c>
      <c r="E1665" s="47">
        <f>IF(ISNUMBER(expected_production[[#This Row],[Commissioned Date]]),MAX(0,(expected_production[[#This Row],[Date]]-expected_production[[#This Row],[Commissioned Date]])/365.25),"")</f>
        <v>0</v>
      </c>
      <c r="F1665" s="49">
        <f>IF(expected_production[[#This Row],[Age (yrs)]]="",1,(1-DegradationRate)^expected_production[[#This Row],[Age (yrs)]])</f>
        <v>1</v>
      </c>
      <c r="G1665" s="52">
        <f>IF(expected_production[[#This Row],[Base Expected (kWh)]]="","",expected_production[[#This Row],[Base Expected (kWh)]]*expected_production[[#This Row],[Degradation Factor]])</f>
        <v>16827</v>
      </c>
    </row>
    <row r="1666" spans="1:7" ht="15" hidden="1" customHeight="1" x14ac:dyDescent="0.3">
      <c r="A1666" t="s">
        <v>244</v>
      </c>
      <c r="B1666" s="2">
        <v>45505</v>
      </c>
      <c r="C1666" s="52">
        <v>19405</v>
      </c>
      <c r="D1666" s="48">
        <f>_xlfn.XLOOKUP(expected_production[[#This Row],[Site Name]],Table1[[Site Name ]],Table1[Commisioned Date],"")</f>
        <v>46114</v>
      </c>
      <c r="E1666" s="47">
        <f>IF(ISNUMBER(expected_production[[#This Row],[Commissioned Date]]),MAX(0,(expected_production[[#This Row],[Date]]-expected_production[[#This Row],[Commissioned Date]])/365.25),"")</f>
        <v>0</v>
      </c>
      <c r="F1666" s="49">
        <f>IF(expected_production[[#This Row],[Age (yrs)]]="",1,(1-DegradationRate)^expected_production[[#This Row],[Age (yrs)]])</f>
        <v>1</v>
      </c>
      <c r="G1666" s="52">
        <f>IF(expected_production[[#This Row],[Base Expected (kWh)]]="","",expected_production[[#This Row],[Base Expected (kWh)]]*expected_production[[#This Row],[Degradation Factor]])</f>
        <v>19405</v>
      </c>
    </row>
    <row r="1667" spans="1:7" ht="15" hidden="1" customHeight="1" x14ac:dyDescent="0.3">
      <c r="A1667" t="s">
        <v>244</v>
      </c>
      <c r="B1667" s="2">
        <v>45536</v>
      </c>
      <c r="C1667" s="52">
        <v>19981</v>
      </c>
      <c r="D1667" s="48">
        <f>_xlfn.XLOOKUP(expected_production[[#This Row],[Site Name]],Table1[[Site Name ]],Table1[Commisioned Date],"")</f>
        <v>46114</v>
      </c>
      <c r="E1667" s="47">
        <f>IF(ISNUMBER(expected_production[[#This Row],[Commissioned Date]]),MAX(0,(expected_production[[#This Row],[Date]]-expected_production[[#This Row],[Commissioned Date]])/365.25),"")</f>
        <v>0</v>
      </c>
      <c r="F1667" s="49">
        <f>IF(expected_production[[#This Row],[Age (yrs)]]="",1,(1-DegradationRate)^expected_production[[#This Row],[Age (yrs)]])</f>
        <v>1</v>
      </c>
      <c r="G1667" s="52">
        <f>IF(expected_production[[#This Row],[Base Expected (kWh)]]="","",expected_production[[#This Row],[Base Expected (kWh)]]*expected_production[[#This Row],[Degradation Factor]])</f>
        <v>19981</v>
      </c>
    </row>
    <row r="1668" spans="1:7" ht="15" hidden="1" customHeight="1" x14ac:dyDescent="0.3">
      <c r="A1668" t="s">
        <v>244</v>
      </c>
      <c r="B1668" s="2">
        <v>45566</v>
      </c>
      <c r="C1668" s="52">
        <v>22401</v>
      </c>
      <c r="D1668" s="48">
        <f>_xlfn.XLOOKUP(expected_production[[#This Row],[Site Name]],Table1[[Site Name ]],Table1[Commisioned Date],"")</f>
        <v>46114</v>
      </c>
      <c r="E1668" s="47">
        <f>IF(ISNUMBER(expected_production[[#This Row],[Commissioned Date]]),MAX(0,(expected_production[[#This Row],[Date]]-expected_production[[#This Row],[Commissioned Date]])/365.25),"")</f>
        <v>0</v>
      </c>
      <c r="F1668" s="49">
        <f>IF(expected_production[[#This Row],[Age (yrs)]]="",1,(1-DegradationRate)^expected_production[[#This Row],[Age (yrs)]])</f>
        <v>1</v>
      </c>
      <c r="G1668" s="52">
        <f>IF(expected_production[[#This Row],[Base Expected (kWh)]]="","",expected_production[[#This Row],[Base Expected (kWh)]]*expected_production[[#This Row],[Degradation Factor]])</f>
        <v>22401</v>
      </c>
    </row>
    <row r="1669" spans="1:7" ht="15" hidden="1" customHeight="1" x14ac:dyDescent="0.3">
      <c r="A1669" t="s">
        <v>244</v>
      </c>
      <c r="B1669" s="2">
        <v>45597</v>
      </c>
      <c r="C1669" s="52">
        <v>20125</v>
      </c>
      <c r="D1669" s="48">
        <f>_xlfn.XLOOKUP(expected_production[[#This Row],[Site Name]],Table1[[Site Name ]],Table1[Commisioned Date],"")</f>
        <v>46114</v>
      </c>
      <c r="E1669" s="47">
        <f>IF(ISNUMBER(expected_production[[#This Row],[Commissioned Date]]),MAX(0,(expected_production[[#This Row],[Date]]-expected_production[[#This Row],[Commissioned Date]])/365.25),"")</f>
        <v>0</v>
      </c>
      <c r="F1669" s="49">
        <f>IF(expected_production[[#This Row],[Age (yrs)]]="",1,(1-DegradationRate)^expected_production[[#This Row],[Age (yrs)]])</f>
        <v>1</v>
      </c>
      <c r="G1669" s="52">
        <f>IF(expected_production[[#This Row],[Base Expected (kWh)]]="","",expected_production[[#This Row],[Base Expected (kWh)]]*expected_production[[#This Row],[Degradation Factor]])</f>
        <v>20125</v>
      </c>
    </row>
    <row r="1670" spans="1:7" ht="15" hidden="1" customHeight="1" x14ac:dyDescent="0.3">
      <c r="A1670" t="s">
        <v>244</v>
      </c>
      <c r="B1670" s="2">
        <v>45627</v>
      </c>
      <c r="C1670" s="52">
        <v>20771</v>
      </c>
      <c r="D1670" s="48">
        <f>_xlfn.XLOOKUP(expected_production[[#This Row],[Site Name]],Table1[[Site Name ]],Table1[Commisioned Date],"")</f>
        <v>46114</v>
      </c>
      <c r="E1670" s="47">
        <f>IF(ISNUMBER(expected_production[[#This Row],[Commissioned Date]]),MAX(0,(expected_production[[#This Row],[Date]]-expected_production[[#This Row],[Commissioned Date]])/365.25),"")</f>
        <v>0</v>
      </c>
      <c r="F1670" s="49">
        <f>IF(expected_production[[#This Row],[Age (yrs)]]="",1,(1-DegradationRate)^expected_production[[#This Row],[Age (yrs)]])</f>
        <v>1</v>
      </c>
      <c r="G1670" s="52">
        <f>IF(expected_production[[#This Row],[Base Expected (kWh)]]="","",expected_production[[#This Row],[Base Expected (kWh)]]*expected_production[[#This Row],[Degradation Factor]])</f>
        <v>20771</v>
      </c>
    </row>
    <row r="1671" spans="1:7" ht="15" hidden="1" customHeight="1" x14ac:dyDescent="0.3">
      <c r="A1671" t="s">
        <v>244</v>
      </c>
      <c r="B1671" s="2">
        <v>45658</v>
      </c>
      <c r="C1671" s="52">
        <v>20178</v>
      </c>
      <c r="D1671" s="48">
        <f>_xlfn.XLOOKUP(expected_production[[#This Row],[Site Name]],Table1[[Site Name ]],Table1[Commisioned Date],"")</f>
        <v>46114</v>
      </c>
      <c r="E1671" s="47">
        <f>IF(ISNUMBER(expected_production[[#This Row],[Commissioned Date]]),MAX(0,(expected_production[[#This Row],[Date]]-expected_production[[#This Row],[Commissioned Date]])/365.25),"")</f>
        <v>0</v>
      </c>
      <c r="F1671" s="49">
        <f>IF(expected_production[[#This Row],[Age (yrs)]]="",1,(1-DegradationRate)^expected_production[[#This Row],[Age (yrs)]])</f>
        <v>1</v>
      </c>
      <c r="G1671" s="52">
        <f>IF(expected_production[[#This Row],[Base Expected (kWh)]]="","",expected_production[[#This Row],[Base Expected (kWh)]]*expected_production[[#This Row],[Degradation Factor]])</f>
        <v>20178</v>
      </c>
    </row>
    <row r="1672" spans="1:7" ht="15" hidden="1" customHeight="1" x14ac:dyDescent="0.3">
      <c r="A1672" t="s">
        <v>244</v>
      </c>
      <c r="B1672" s="2">
        <v>45689</v>
      </c>
      <c r="C1672" s="52">
        <v>17954</v>
      </c>
      <c r="D1672" s="48">
        <f>_xlfn.XLOOKUP(expected_production[[#This Row],[Site Name]],Table1[[Site Name ]],Table1[Commisioned Date],"")</f>
        <v>46114</v>
      </c>
      <c r="E1672" s="47">
        <f>IF(ISNUMBER(expected_production[[#This Row],[Commissioned Date]]),MAX(0,(expected_production[[#This Row],[Date]]-expected_production[[#This Row],[Commissioned Date]])/365.25),"")</f>
        <v>0</v>
      </c>
      <c r="F1672" s="49">
        <f>IF(expected_production[[#This Row],[Age (yrs)]]="",1,(1-DegradationRate)^expected_production[[#This Row],[Age (yrs)]])</f>
        <v>1</v>
      </c>
      <c r="G1672" s="52">
        <f>IF(expected_production[[#This Row],[Base Expected (kWh)]]="","",expected_production[[#This Row],[Base Expected (kWh)]]*expected_production[[#This Row],[Degradation Factor]])</f>
        <v>17954</v>
      </c>
    </row>
    <row r="1673" spans="1:7" ht="15" hidden="1" customHeight="1" x14ac:dyDescent="0.3">
      <c r="A1673" t="s">
        <v>244</v>
      </c>
      <c r="B1673" s="2">
        <v>45717</v>
      </c>
      <c r="C1673" s="52">
        <v>19150</v>
      </c>
      <c r="D1673" s="48">
        <f>_xlfn.XLOOKUP(expected_production[[#This Row],[Site Name]],Table1[[Site Name ]],Table1[Commisioned Date],"")</f>
        <v>46114</v>
      </c>
      <c r="E1673" s="47">
        <f>IF(ISNUMBER(expected_production[[#This Row],[Commissioned Date]]),MAX(0,(expected_production[[#This Row],[Date]]-expected_production[[#This Row],[Commissioned Date]])/365.25),"")</f>
        <v>0</v>
      </c>
      <c r="F1673" s="49">
        <f>IF(expected_production[[#This Row],[Age (yrs)]]="",1,(1-DegradationRate)^expected_production[[#This Row],[Age (yrs)]])</f>
        <v>1</v>
      </c>
      <c r="G1673" s="52">
        <f>IF(expected_production[[#This Row],[Base Expected (kWh)]]="","",expected_production[[#This Row],[Base Expected (kWh)]]*expected_production[[#This Row],[Degradation Factor]])</f>
        <v>19150</v>
      </c>
    </row>
    <row r="1674" spans="1:7" ht="15" hidden="1" customHeight="1" x14ac:dyDescent="0.3">
      <c r="A1674" t="s">
        <v>244</v>
      </c>
      <c r="B1674" s="2">
        <v>45748</v>
      </c>
      <c r="C1674" s="52">
        <v>18060</v>
      </c>
      <c r="D1674" s="48">
        <f>_xlfn.XLOOKUP(expected_production[[#This Row],[Site Name]],Table1[[Site Name ]],Table1[Commisioned Date],"")</f>
        <v>46114</v>
      </c>
      <c r="E1674" s="47">
        <f>IF(ISNUMBER(expected_production[[#This Row],[Commissioned Date]]),MAX(0,(expected_production[[#This Row],[Date]]-expected_production[[#This Row],[Commissioned Date]])/365.25),"")</f>
        <v>0</v>
      </c>
      <c r="F1674" s="49">
        <f>IF(expected_production[[#This Row],[Age (yrs)]]="",1,(1-DegradationRate)^expected_production[[#This Row],[Age (yrs)]])</f>
        <v>1</v>
      </c>
      <c r="G1674" s="52">
        <f>IF(expected_production[[#This Row],[Base Expected (kWh)]]="","",expected_production[[#This Row],[Base Expected (kWh)]]*expected_production[[#This Row],[Degradation Factor]])</f>
        <v>18060</v>
      </c>
    </row>
    <row r="1675" spans="1:7" ht="15" hidden="1" customHeight="1" x14ac:dyDescent="0.3">
      <c r="A1675" t="s">
        <v>244</v>
      </c>
      <c r="B1675" s="2">
        <v>45778</v>
      </c>
      <c r="C1675" s="52">
        <v>18124</v>
      </c>
      <c r="D1675" s="48">
        <f>_xlfn.XLOOKUP(expected_production[[#This Row],[Site Name]],Table1[[Site Name ]],Table1[Commisioned Date],"")</f>
        <v>46114</v>
      </c>
      <c r="E1675" s="47">
        <f>IF(ISNUMBER(expected_production[[#This Row],[Commissioned Date]]),MAX(0,(expected_production[[#This Row],[Date]]-expected_production[[#This Row],[Commissioned Date]])/365.25),"")</f>
        <v>0</v>
      </c>
      <c r="F1675" s="49">
        <f>IF(expected_production[[#This Row],[Age (yrs)]]="",1,(1-DegradationRate)^expected_production[[#This Row],[Age (yrs)]])</f>
        <v>1</v>
      </c>
      <c r="G1675" s="52">
        <f>IF(expected_production[[#This Row],[Base Expected (kWh)]]="","",expected_production[[#This Row],[Base Expected (kWh)]]*expected_production[[#This Row],[Degradation Factor]])</f>
        <v>18124</v>
      </c>
    </row>
    <row r="1676" spans="1:7" ht="15" hidden="1" customHeight="1" x14ac:dyDescent="0.3">
      <c r="A1676" t="s">
        <v>244</v>
      </c>
      <c r="B1676" s="2">
        <v>45809</v>
      </c>
      <c r="C1676" s="52">
        <v>15908</v>
      </c>
      <c r="D1676" s="48">
        <f>_xlfn.XLOOKUP(expected_production[[#This Row],[Site Name]],Table1[[Site Name ]],Table1[Commisioned Date],"")</f>
        <v>46114</v>
      </c>
      <c r="E1676" s="47">
        <f>IF(ISNUMBER(expected_production[[#This Row],[Commissioned Date]]),MAX(0,(expected_production[[#This Row],[Date]]-expected_production[[#This Row],[Commissioned Date]])/365.25),"")</f>
        <v>0</v>
      </c>
      <c r="F1676" s="49">
        <f>IF(expected_production[[#This Row],[Age (yrs)]]="",1,(1-DegradationRate)^expected_production[[#This Row],[Age (yrs)]])</f>
        <v>1</v>
      </c>
      <c r="G1676" s="52">
        <f>IF(expected_production[[#This Row],[Base Expected (kWh)]]="","",expected_production[[#This Row],[Base Expected (kWh)]]*expected_production[[#This Row],[Degradation Factor]])</f>
        <v>15908</v>
      </c>
    </row>
    <row r="1677" spans="1:7" ht="15" hidden="1" customHeight="1" x14ac:dyDescent="0.3">
      <c r="A1677" t="s">
        <v>244</v>
      </c>
      <c r="B1677" s="2">
        <v>45839</v>
      </c>
      <c r="C1677" s="52">
        <v>16827</v>
      </c>
      <c r="D1677" s="48">
        <f>_xlfn.XLOOKUP(expected_production[[#This Row],[Site Name]],Table1[[Site Name ]],Table1[Commisioned Date],"")</f>
        <v>46114</v>
      </c>
      <c r="E1677" s="47">
        <f>IF(ISNUMBER(expected_production[[#This Row],[Commissioned Date]]),MAX(0,(expected_production[[#This Row],[Date]]-expected_production[[#This Row],[Commissioned Date]])/365.25),"")</f>
        <v>0</v>
      </c>
      <c r="F1677" s="49">
        <f>IF(expected_production[[#This Row],[Age (yrs)]]="",1,(1-DegradationRate)^expected_production[[#This Row],[Age (yrs)]])</f>
        <v>1</v>
      </c>
      <c r="G1677" s="52">
        <f>IF(expected_production[[#This Row],[Base Expected (kWh)]]="","",expected_production[[#This Row],[Base Expected (kWh)]]*expected_production[[#This Row],[Degradation Factor]])</f>
        <v>16827</v>
      </c>
    </row>
    <row r="1678" spans="1:7" ht="15" hidden="1" customHeight="1" x14ac:dyDescent="0.3">
      <c r="A1678" t="s">
        <v>244</v>
      </c>
      <c r="B1678" s="2">
        <v>45870</v>
      </c>
      <c r="C1678" s="52">
        <v>19405</v>
      </c>
      <c r="D1678" s="48">
        <f>_xlfn.XLOOKUP(expected_production[[#This Row],[Site Name]],Table1[[Site Name ]],Table1[Commisioned Date],"")</f>
        <v>46114</v>
      </c>
      <c r="E1678" s="47">
        <f>IF(ISNUMBER(expected_production[[#This Row],[Commissioned Date]]),MAX(0,(expected_production[[#This Row],[Date]]-expected_production[[#This Row],[Commissioned Date]])/365.25),"")</f>
        <v>0</v>
      </c>
      <c r="F1678" s="49">
        <f>IF(expected_production[[#This Row],[Age (yrs)]]="",1,(1-DegradationRate)^expected_production[[#This Row],[Age (yrs)]])</f>
        <v>1</v>
      </c>
      <c r="G1678" s="52">
        <f>IF(expected_production[[#This Row],[Base Expected (kWh)]]="","",expected_production[[#This Row],[Base Expected (kWh)]]*expected_production[[#This Row],[Degradation Factor]])</f>
        <v>19405</v>
      </c>
    </row>
    <row r="1679" spans="1:7" ht="15" hidden="1" customHeight="1" x14ac:dyDescent="0.3">
      <c r="A1679" t="s">
        <v>244</v>
      </c>
      <c r="B1679" s="2">
        <v>45901</v>
      </c>
      <c r="C1679" s="52">
        <v>19981</v>
      </c>
      <c r="D1679" s="48">
        <f>_xlfn.XLOOKUP(expected_production[[#This Row],[Site Name]],Table1[[Site Name ]],Table1[Commisioned Date],"")</f>
        <v>46114</v>
      </c>
      <c r="E1679" s="47">
        <f>IF(ISNUMBER(expected_production[[#This Row],[Commissioned Date]]),MAX(0,(expected_production[[#This Row],[Date]]-expected_production[[#This Row],[Commissioned Date]])/365.25),"")</f>
        <v>0</v>
      </c>
      <c r="F1679" s="49">
        <f>IF(expected_production[[#This Row],[Age (yrs)]]="",1,(1-DegradationRate)^expected_production[[#This Row],[Age (yrs)]])</f>
        <v>1</v>
      </c>
      <c r="G1679" s="52">
        <f>IF(expected_production[[#This Row],[Base Expected (kWh)]]="","",expected_production[[#This Row],[Base Expected (kWh)]]*expected_production[[#This Row],[Degradation Factor]])</f>
        <v>19981</v>
      </c>
    </row>
    <row r="1680" spans="1:7" ht="15" hidden="1" customHeight="1" x14ac:dyDescent="0.3">
      <c r="A1680" t="s">
        <v>244</v>
      </c>
      <c r="B1680" s="2">
        <v>45931</v>
      </c>
      <c r="C1680" s="52">
        <v>22401</v>
      </c>
      <c r="D1680" s="48">
        <f>_xlfn.XLOOKUP(expected_production[[#This Row],[Site Name]],Table1[[Site Name ]],Table1[Commisioned Date],"")</f>
        <v>46114</v>
      </c>
      <c r="E1680" s="47">
        <f>IF(ISNUMBER(expected_production[[#This Row],[Commissioned Date]]),MAX(0,(expected_production[[#This Row],[Date]]-expected_production[[#This Row],[Commissioned Date]])/365.25),"")</f>
        <v>0</v>
      </c>
      <c r="F1680" s="49">
        <f>IF(expected_production[[#This Row],[Age (yrs)]]="",1,(1-DegradationRate)^expected_production[[#This Row],[Age (yrs)]])</f>
        <v>1</v>
      </c>
      <c r="G1680" s="52">
        <f>IF(expected_production[[#This Row],[Base Expected (kWh)]]="","",expected_production[[#This Row],[Base Expected (kWh)]]*expected_production[[#This Row],[Degradation Factor]])</f>
        <v>22401</v>
      </c>
    </row>
    <row r="1681" spans="1:7" ht="15" hidden="1" customHeight="1" x14ac:dyDescent="0.3">
      <c r="A1681" t="s">
        <v>244</v>
      </c>
      <c r="B1681" s="2">
        <v>45962</v>
      </c>
      <c r="C1681" s="52">
        <v>20125</v>
      </c>
      <c r="D1681" s="48">
        <f>_xlfn.XLOOKUP(expected_production[[#This Row],[Site Name]],Table1[[Site Name ]],Table1[Commisioned Date],"")</f>
        <v>46114</v>
      </c>
      <c r="E1681" s="47">
        <f>IF(ISNUMBER(expected_production[[#This Row],[Commissioned Date]]),MAX(0,(expected_production[[#This Row],[Date]]-expected_production[[#This Row],[Commissioned Date]])/365.25),"")</f>
        <v>0</v>
      </c>
      <c r="F1681" s="49">
        <f>IF(expected_production[[#This Row],[Age (yrs)]]="",1,(1-DegradationRate)^expected_production[[#This Row],[Age (yrs)]])</f>
        <v>1</v>
      </c>
      <c r="G1681" s="52">
        <f>IF(expected_production[[#This Row],[Base Expected (kWh)]]="","",expected_production[[#This Row],[Base Expected (kWh)]]*expected_production[[#This Row],[Degradation Factor]])</f>
        <v>20125</v>
      </c>
    </row>
    <row r="1682" spans="1:7" ht="15" hidden="1" customHeight="1" x14ac:dyDescent="0.3">
      <c r="A1682" t="s">
        <v>244</v>
      </c>
      <c r="B1682" s="2">
        <v>45992</v>
      </c>
      <c r="C1682" s="52">
        <v>20771</v>
      </c>
      <c r="D1682" s="48">
        <f>_xlfn.XLOOKUP(expected_production[[#This Row],[Site Name]],Table1[[Site Name ]],Table1[Commisioned Date],"")</f>
        <v>46114</v>
      </c>
      <c r="E1682" s="47">
        <f>IF(ISNUMBER(expected_production[[#This Row],[Commissioned Date]]),MAX(0,(expected_production[[#This Row],[Date]]-expected_production[[#This Row],[Commissioned Date]])/365.25),"")</f>
        <v>0</v>
      </c>
      <c r="F1682" s="49">
        <f>IF(expected_production[[#This Row],[Age (yrs)]]="",1,(1-DegradationRate)^expected_production[[#This Row],[Age (yrs)]])</f>
        <v>1</v>
      </c>
      <c r="G1682" s="52">
        <f>IF(expected_production[[#This Row],[Base Expected (kWh)]]="","",expected_production[[#This Row],[Base Expected (kWh)]]*expected_production[[#This Row],[Degradation Factor]])</f>
        <v>20771</v>
      </c>
    </row>
    <row r="1683" spans="1:7" ht="15" hidden="1" customHeight="1" x14ac:dyDescent="0.3">
      <c r="A1683" t="s">
        <v>244</v>
      </c>
      <c r="B1683" s="2">
        <v>46023</v>
      </c>
      <c r="C1683" s="52">
        <v>20178</v>
      </c>
      <c r="D1683" s="48">
        <f>_xlfn.XLOOKUP(expected_production[[#This Row],[Site Name]],Table1[[Site Name ]],Table1[Commisioned Date],"")</f>
        <v>46114</v>
      </c>
      <c r="E1683" s="47">
        <f>IF(ISNUMBER(expected_production[[#This Row],[Commissioned Date]]),MAX(0,(expected_production[[#This Row],[Date]]-expected_production[[#This Row],[Commissioned Date]])/365.25),"")</f>
        <v>0</v>
      </c>
      <c r="F1683" s="49">
        <f>IF(expected_production[[#This Row],[Age (yrs)]]="",1,(1-DegradationRate)^expected_production[[#This Row],[Age (yrs)]])</f>
        <v>1</v>
      </c>
      <c r="G1683" s="52">
        <f>IF(expected_production[[#This Row],[Base Expected (kWh)]]="","",expected_production[[#This Row],[Base Expected (kWh)]]*expected_production[[#This Row],[Degradation Factor]])</f>
        <v>20178</v>
      </c>
    </row>
    <row r="1684" spans="1:7" ht="15" hidden="1" customHeight="1" x14ac:dyDescent="0.3">
      <c r="A1684" t="s">
        <v>244</v>
      </c>
      <c r="B1684" s="2">
        <v>46054</v>
      </c>
      <c r="C1684" s="52">
        <v>17954</v>
      </c>
      <c r="D1684" s="48">
        <f>_xlfn.XLOOKUP(expected_production[[#This Row],[Site Name]],Table1[[Site Name ]],Table1[Commisioned Date],"")</f>
        <v>46114</v>
      </c>
      <c r="E1684" s="47">
        <f>IF(ISNUMBER(expected_production[[#This Row],[Commissioned Date]]),MAX(0,(expected_production[[#This Row],[Date]]-expected_production[[#This Row],[Commissioned Date]])/365.25),"")</f>
        <v>0</v>
      </c>
      <c r="F1684" s="49">
        <f>IF(expected_production[[#This Row],[Age (yrs)]]="",1,(1-DegradationRate)^expected_production[[#This Row],[Age (yrs)]])</f>
        <v>1</v>
      </c>
      <c r="G1684" s="52">
        <f>IF(expected_production[[#This Row],[Base Expected (kWh)]]="","",expected_production[[#This Row],[Base Expected (kWh)]]*expected_production[[#This Row],[Degradation Factor]])</f>
        <v>17954</v>
      </c>
    </row>
    <row r="1685" spans="1:7" ht="15" hidden="1" customHeight="1" x14ac:dyDescent="0.3">
      <c r="A1685" t="s">
        <v>244</v>
      </c>
      <c r="B1685" s="2">
        <v>46082</v>
      </c>
      <c r="C1685" s="52">
        <v>19150</v>
      </c>
      <c r="D1685" s="48">
        <f>_xlfn.XLOOKUP(expected_production[[#This Row],[Site Name]],Table1[[Site Name ]],Table1[Commisioned Date],"")</f>
        <v>46114</v>
      </c>
      <c r="E1685" s="47">
        <f>IF(ISNUMBER(expected_production[[#This Row],[Commissioned Date]]),MAX(0,(expected_production[[#This Row],[Date]]-expected_production[[#This Row],[Commissioned Date]])/365.25),"")</f>
        <v>0</v>
      </c>
      <c r="F1685" s="49">
        <f>IF(expected_production[[#This Row],[Age (yrs)]]="",1,(1-DegradationRate)^expected_production[[#This Row],[Age (yrs)]])</f>
        <v>1</v>
      </c>
      <c r="G1685" s="52">
        <f>IF(expected_production[[#This Row],[Base Expected (kWh)]]="","",expected_production[[#This Row],[Base Expected (kWh)]]*expected_production[[#This Row],[Degradation Factor]])</f>
        <v>19150</v>
      </c>
    </row>
    <row r="1686" spans="1:7" ht="15" hidden="1" customHeight="1" x14ac:dyDescent="0.3">
      <c r="A1686" t="s">
        <v>244</v>
      </c>
      <c r="B1686" s="2">
        <v>46113</v>
      </c>
      <c r="C1686" s="52">
        <v>18060</v>
      </c>
      <c r="D1686" s="48">
        <f>_xlfn.XLOOKUP(expected_production[[#This Row],[Site Name]],Table1[[Site Name ]],Table1[Commisioned Date],"")</f>
        <v>46114</v>
      </c>
      <c r="E1686" s="47">
        <f>IF(ISNUMBER(expected_production[[#This Row],[Commissioned Date]]),MAX(0,(expected_production[[#This Row],[Date]]-expected_production[[#This Row],[Commissioned Date]])/365.25),"")</f>
        <v>0</v>
      </c>
      <c r="F1686" s="49">
        <f>IF(expected_production[[#This Row],[Age (yrs)]]="",1,(1-DegradationRate)^expected_production[[#This Row],[Age (yrs)]])</f>
        <v>1</v>
      </c>
      <c r="G1686" s="52">
        <f>IF(expected_production[[#This Row],[Base Expected (kWh)]]="","",expected_production[[#This Row],[Base Expected (kWh)]]*expected_production[[#This Row],[Degradation Factor]])</f>
        <v>18060</v>
      </c>
    </row>
    <row r="1687" spans="1:7" ht="15" hidden="1" customHeight="1" x14ac:dyDescent="0.3">
      <c r="A1687" t="s">
        <v>244</v>
      </c>
      <c r="B1687" s="2">
        <v>46143</v>
      </c>
      <c r="C1687" s="52">
        <v>18124</v>
      </c>
      <c r="D1687" s="48">
        <f>_xlfn.XLOOKUP(expected_production[[#This Row],[Site Name]],Table1[[Site Name ]],Table1[Commisioned Date],"")</f>
        <v>46114</v>
      </c>
      <c r="E1687" s="47">
        <f>IF(ISNUMBER(expected_production[[#This Row],[Commissioned Date]]),MAX(0,(expected_production[[#This Row],[Date]]-expected_production[[#This Row],[Commissioned Date]])/365.25),"")</f>
        <v>7.939767282683094E-2</v>
      </c>
      <c r="F1687" s="49">
        <f>IF(expected_production[[#This Row],[Age (yrs)]]="",1,(1-DegradationRate)^expected_production[[#This Row],[Age (yrs)]])</f>
        <v>0.99944241742847051</v>
      </c>
      <c r="G1687" s="52">
        <f>IF(expected_production[[#This Row],[Base Expected (kWh)]]="","",expected_production[[#This Row],[Base Expected (kWh)]]*expected_production[[#This Row],[Degradation Factor]])</f>
        <v>18113.894373473599</v>
      </c>
    </row>
    <row r="1688" spans="1:7" ht="15" hidden="1" customHeight="1" x14ac:dyDescent="0.3">
      <c r="A1688" t="s">
        <v>244</v>
      </c>
      <c r="B1688" s="2">
        <v>46174</v>
      </c>
      <c r="C1688" s="52">
        <v>15908</v>
      </c>
      <c r="D1688" s="48">
        <f>_xlfn.XLOOKUP(expected_production[[#This Row],[Site Name]],Table1[[Site Name ]],Table1[Commisioned Date],"")</f>
        <v>46114</v>
      </c>
      <c r="E1688" s="47">
        <f>IF(ISNUMBER(expected_production[[#This Row],[Commissioned Date]]),MAX(0,(expected_production[[#This Row],[Date]]-expected_production[[#This Row],[Commissioned Date]])/365.25),"")</f>
        <v>0.16427104722792607</v>
      </c>
      <c r="F1688" s="49">
        <f>IF(expected_production[[#This Row],[Age (yrs)]]="",1,(1-DegradationRate)^expected_production[[#This Row],[Age (yrs)]])</f>
        <v>0.99884672468165681</v>
      </c>
      <c r="G1688" s="52">
        <f>IF(expected_production[[#This Row],[Base Expected (kWh)]]="","",expected_production[[#This Row],[Base Expected (kWh)]]*expected_production[[#This Row],[Degradation Factor]])</f>
        <v>15889.653696235797</v>
      </c>
    </row>
    <row r="1689" spans="1:7" ht="15" hidden="1" customHeight="1" x14ac:dyDescent="0.3">
      <c r="A1689" t="s">
        <v>244</v>
      </c>
      <c r="B1689" s="2">
        <v>46204</v>
      </c>
      <c r="C1689" s="52">
        <v>16827</v>
      </c>
      <c r="D1689" s="48">
        <f>_xlfn.XLOOKUP(expected_production[[#This Row],[Site Name]],Table1[[Site Name ]],Table1[Commisioned Date],"")</f>
        <v>46114</v>
      </c>
      <c r="E1689" s="47">
        <f>IF(ISNUMBER(expected_production[[#This Row],[Commissioned Date]]),MAX(0,(expected_production[[#This Row],[Date]]-expected_production[[#This Row],[Commissioned Date]])/365.25),"")</f>
        <v>0.24640657084188911</v>
      </c>
      <c r="F1689" s="49">
        <f>IF(expected_production[[#This Row],[Age (yrs)]]="",1,(1-DegradationRate)^expected_production[[#This Row],[Age (yrs)]])</f>
        <v>0.99827058588488082</v>
      </c>
      <c r="G1689" s="52">
        <f>IF(expected_production[[#This Row],[Base Expected (kWh)]]="","",expected_production[[#This Row],[Base Expected (kWh)]]*expected_production[[#This Row],[Degradation Factor]])</f>
        <v>16797.89914868489</v>
      </c>
    </row>
    <row r="1690" spans="1:7" ht="15" hidden="1" customHeight="1" x14ac:dyDescent="0.3">
      <c r="A1690" t="s">
        <v>244</v>
      </c>
      <c r="B1690" s="2">
        <v>46235</v>
      </c>
      <c r="C1690" s="52">
        <v>19405</v>
      </c>
      <c r="D1690" s="48">
        <f>_xlfn.XLOOKUP(expected_production[[#This Row],[Site Name]],Table1[[Site Name ]],Table1[Commisioned Date],"")</f>
        <v>46114</v>
      </c>
      <c r="E1690" s="47">
        <f>IF(ISNUMBER(expected_production[[#This Row],[Commissioned Date]]),MAX(0,(expected_production[[#This Row],[Date]]-expected_production[[#This Row],[Commissioned Date]])/365.25),"")</f>
        <v>0.33127994524298426</v>
      </c>
      <c r="F1690" s="49">
        <f>IF(expected_production[[#This Row],[Age (yrs)]]="",1,(1-DegradationRate)^expected_production[[#This Row],[Age (yrs)]])</f>
        <v>0.99767559157905672</v>
      </c>
      <c r="G1690" s="52">
        <f>IF(expected_production[[#This Row],[Base Expected (kWh)]]="","",expected_production[[#This Row],[Base Expected (kWh)]]*expected_production[[#This Row],[Degradation Factor]])</f>
        <v>19359.894854591596</v>
      </c>
    </row>
    <row r="1691" spans="1:7" ht="15" hidden="1" customHeight="1" x14ac:dyDescent="0.3">
      <c r="A1691" t="s">
        <v>244</v>
      </c>
      <c r="B1691" s="2">
        <v>46266</v>
      </c>
      <c r="C1691" s="52">
        <v>19981</v>
      </c>
      <c r="D1691" s="48">
        <f>_xlfn.XLOOKUP(expected_production[[#This Row],[Site Name]],Table1[[Site Name ]],Table1[Commisioned Date],"")</f>
        <v>46114</v>
      </c>
      <c r="E1691" s="47">
        <f>IF(ISNUMBER(expected_production[[#This Row],[Commissioned Date]]),MAX(0,(expected_production[[#This Row],[Date]]-expected_production[[#This Row],[Commissioned Date]])/365.25),"")</f>
        <v>0.41615331964407942</v>
      </c>
      <c r="F1691" s="49">
        <f>IF(expected_production[[#This Row],[Age (yrs)]]="",1,(1-DegradationRate)^expected_production[[#This Row],[Age (yrs)]])</f>
        <v>0.99708095190476131</v>
      </c>
      <c r="G1691" s="52">
        <f>IF(expected_production[[#This Row],[Base Expected (kWh)]]="","",expected_production[[#This Row],[Base Expected (kWh)]]*expected_production[[#This Row],[Degradation Factor]])</f>
        <v>19922.674500009034</v>
      </c>
    </row>
    <row r="1692" spans="1:7" ht="15" hidden="1" customHeight="1" x14ac:dyDescent="0.3">
      <c r="A1692" t="s">
        <v>244</v>
      </c>
      <c r="B1692" s="2">
        <v>46296</v>
      </c>
      <c r="C1692" s="52">
        <v>22401</v>
      </c>
      <c r="D1692" s="48">
        <f>_xlfn.XLOOKUP(expected_production[[#This Row],[Site Name]],Table1[[Site Name ]],Table1[Commisioned Date],"")</f>
        <v>46114</v>
      </c>
      <c r="E1692" s="47">
        <f>IF(ISNUMBER(expected_production[[#This Row],[Commissioned Date]]),MAX(0,(expected_production[[#This Row],[Date]]-expected_production[[#This Row],[Commissioned Date]])/365.25),"")</f>
        <v>0.49828884325804246</v>
      </c>
      <c r="F1692" s="49">
        <f>IF(expected_production[[#This Row],[Age (yrs)]]="",1,(1-DegradationRate)^expected_production[[#This Row],[Age (yrs)]])</f>
        <v>0.99650583161280493</v>
      </c>
      <c r="G1692" s="52">
        <f>IF(expected_production[[#This Row],[Base Expected (kWh)]]="","",expected_production[[#This Row],[Base Expected (kWh)]]*expected_production[[#This Row],[Degradation Factor]])</f>
        <v>22322.727133958444</v>
      </c>
    </row>
    <row r="1693" spans="1:7" ht="15" hidden="1" customHeight="1" x14ac:dyDescent="0.3">
      <c r="A1693" t="s">
        <v>244</v>
      </c>
      <c r="B1693" s="2">
        <v>46327</v>
      </c>
      <c r="C1693" s="52">
        <v>20125</v>
      </c>
      <c r="D1693" s="48">
        <f>_xlfn.XLOOKUP(expected_production[[#This Row],[Site Name]],Table1[[Site Name ]],Table1[Commisioned Date],"")</f>
        <v>46114</v>
      </c>
      <c r="E1693" s="47">
        <f>IF(ISNUMBER(expected_production[[#This Row],[Commissioned Date]]),MAX(0,(expected_production[[#This Row],[Date]]-expected_production[[#This Row],[Commissioned Date]])/365.25),"")</f>
        <v>0.58316221765913756</v>
      </c>
      <c r="F1693" s="49">
        <f>IF(expected_production[[#This Row],[Age (yrs)]]="",1,(1-DegradationRate)^expected_production[[#This Row],[Age (yrs)]])</f>
        <v>0.99591188914478701</v>
      </c>
      <c r="G1693" s="52">
        <f>IF(expected_production[[#This Row],[Base Expected (kWh)]]="","",expected_production[[#This Row],[Base Expected (kWh)]]*expected_production[[#This Row],[Degradation Factor]])</f>
        <v>20042.72676903884</v>
      </c>
    </row>
    <row r="1694" spans="1:7" ht="15" hidden="1" customHeight="1" x14ac:dyDescent="0.3">
      <c r="A1694" t="s">
        <v>244</v>
      </c>
      <c r="B1694" s="2">
        <v>46357</v>
      </c>
      <c r="C1694" s="52">
        <v>20771</v>
      </c>
      <c r="D1694" s="48">
        <f>_xlfn.XLOOKUP(expected_production[[#This Row],[Site Name]],Table1[[Site Name ]],Table1[Commisioned Date],"")</f>
        <v>46114</v>
      </c>
      <c r="E1694" s="47">
        <f>IF(ISNUMBER(expected_production[[#This Row],[Commissioned Date]]),MAX(0,(expected_production[[#This Row],[Date]]-expected_production[[#This Row],[Commissioned Date]])/365.25),"")</f>
        <v>0.6652977412731006</v>
      </c>
      <c r="F1694" s="49">
        <f>IF(expected_production[[#This Row],[Age (yrs)]]="",1,(1-DegradationRate)^expected_production[[#This Row],[Age (yrs)]])</f>
        <v>0.99533744317291917</v>
      </c>
      <c r="G1694" s="52">
        <f>IF(expected_production[[#This Row],[Base Expected (kWh)]]="","",expected_production[[#This Row],[Base Expected (kWh)]]*expected_production[[#This Row],[Degradation Factor]])</f>
        <v>20674.154032144703</v>
      </c>
    </row>
    <row r="1695" spans="1:7" ht="15" hidden="1" customHeight="1" x14ac:dyDescent="0.3">
      <c r="A1695" t="s">
        <v>213</v>
      </c>
      <c r="B1695" s="2">
        <v>45292</v>
      </c>
      <c r="C1695" s="52">
        <v>9307.7999999999993</v>
      </c>
      <c r="D1695" s="48">
        <f>_xlfn.XLOOKUP(expected_production[[#This Row],[Site Name]],Table1[[Site Name ]],Table1[Commisioned Date],"")</f>
        <v>45889</v>
      </c>
      <c r="E1695" s="47">
        <f>IF(ISNUMBER(expected_production[[#This Row],[Commissioned Date]]),MAX(0,(expected_production[[#This Row],[Date]]-expected_production[[#This Row],[Commissioned Date]])/365.25),"")</f>
        <v>0</v>
      </c>
      <c r="F1695" s="49">
        <f>IF(expected_production[[#This Row],[Age (yrs)]]="",1,(1-DegradationRate)^expected_production[[#This Row],[Age (yrs)]])</f>
        <v>1</v>
      </c>
      <c r="G1695" s="52">
        <f>IF(expected_production[[#This Row],[Base Expected (kWh)]]="","",expected_production[[#This Row],[Base Expected (kWh)]]*expected_production[[#This Row],[Degradation Factor]])</f>
        <v>9307.7999999999993</v>
      </c>
    </row>
    <row r="1696" spans="1:7" ht="15" hidden="1" customHeight="1" x14ac:dyDescent="0.3">
      <c r="A1696" t="s">
        <v>213</v>
      </c>
      <c r="B1696" s="2">
        <v>45323</v>
      </c>
      <c r="C1696" s="52">
        <v>8001.9</v>
      </c>
      <c r="D1696" s="48">
        <f>_xlfn.XLOOKUP(expected_production[[#This Row],[Site Name]],Table1[[Site Name ]],Table1[Commisioned Date],"")</f>
        <v>45889</v>
      </c>
      <c r="E1696" s="47">
        <f>IF(ISNUMBER(expected_production[[#This Row],[Commissioned Date]]),MAX(0,(expected_production[[#This Row],[Date]]-expected_production[[#This Row],[Commissioned Date]])/365.25),"")</f>
        <v>0</v>
      </c>
      <c r="F1696" s="49">
        <f>IF(expected_production[[#This Row],[Age (yrs)]]="",1,(1-DegradationRate)^expected_production[[#This Row],[Age (yrs)]])</f>
        <v>1</v>
      </c>
      <c r="G1696" s="52">
        <f>IF(expected_production[[#This Row],[Base Expected (kWh)]]="","",expected_production[[#This Row],[Base Expected (kWh)]]*expected_production[[#This Row],[Degradation Factor]])</f>
        <v>8001.9</v>
      </c>
    </row>
    <row r="1697" spans="1:7" ht="15" hidden="1" customHeight="1" x14ac:dyDescent="0.3">
      <c r="A1697" t="s">
        <v>213</v>
      </c>
      <c r="B1697" s="2">
        <v>45352</v>
      </c>
      <c r="C1697" s="52">
        <v>7803.9</v>
      </c>
      <c r="D1697" s="48">
        <f>_xlfn.XLOOKUP(expected_production[[#This Row],[Site Name]],Table1[[Site Name ]],Table1[Commisioned Date],"")</f>
        <v>45889</v>
      </c>
      <c r="E1697" s="47">
        <f>IF(ISNUMBER(expected_production[[#This Row],[Commissioned Date]]),MAX(0,(expected_production[[#This Row],[Date]]-expected_production[[#This Row],[Commissioned Date]])/365.25),"")</f>
        <v>0</v>
      </c>
      <c r="F1697" s="49">
        <f>IF(expected_production[[#This Row],[Age (yrs)]]="",1,(1-DegradationRate)^expected_production[[#This Row],[Age (yrs)]])</f>
        <v>1</v>
      </c>
      <c r="G1697" s="52">
        <f>IF(expected_production[[#This Row],[Base Expected (kWh)]]="","",expected_production[[#This Row],[Base Expected (kWh)]]*expected_production[[#This Row],[Degradation Factor]])</f>
        <v>7803.9</v>
      </c>
    </row>
    <row r="1698" spans="1:7" ht="15" hidden="1" customHeight="1" x14ac:dyDescent="0.3">
      <c r="A1698" t="s">
        <v>213</v>
      </c>
      <c r="B1698" s="2">
        <v>45383</v>
      </c>
      <c r="C1698" s="52">
        <v>6785.1</v>
      </c>
      <c r="D1698" s="48">
        <f>_xlfn.XLOOKUP(expected_production[[#This Row],[Site Name]],Table1[[Site Name ]],Table1[Commisioned Date],"")</f>
        <v>45889</v>
      </c>
      <c r="E1698" s="47">
        <f>IF(ISNUMBER(expected_production[[#This Row],[Commissioned Date]]),MAX(0,(expected_production[[#This Row],[Date]]-expected_production[[#This Row],[Commissioned Date]])/365.25),"")</f>
        <v>0</v>
      </c>
      <c r="F1698" s="49">
        <f>IF(expected_production[[#This Row],[Age (yrs)]]="",1,(1-DegradationRate)^expected_production[[#This Row],[Age (yrs)]])</f>
        <v>1</v>
      </c>
      <c r="G1698" s="52">
        <f>IF(expected_production[[#This Row],[Base Expected (kWh)]]="","",expected_production[[#This Row],[Base Expected (kWh)]]*expected_production[[#This Row],[Degradation Factor]])</f>
        <v>6785.1</v>
      </c>
    </row>
    <row r="1699" spans="1:7" ht="15" hidden="1" customHeight="1" x14ac:dyDescent="0.3">
      <c r="A1699" t="s">
        <v>213</v>
      </c>
      <c r="B1699" s="2">
        <v>45413</v>
      </c>
      <c r="C1699" s="52">
        <v>6244.2</v>
      </c>
      <c r="D1699" s="48">
        <f>_xlfn.XLOOKUP(expected_production[[#This Row],[Site Name]],Table1[[Site Name ]],Table1[Commisioned Date],"")</f>
        <v>45889</v>
      </c>
      <c r="E1699" s="47">
        <f>IF(ISNUMBER(expected_production[[#This Row],[Commissioned Date]]),MAX(0,(expected_production[[#This Row],[Date]]-expected_production[[#This Row],[Commissioned Date]])/365.25),"")</f>
        <v>0</v>
      </c>
      <c r="F1699" s="49">
        <f>IF(expected_production[[#This Row],[Age (yrs)]]="",1,(1-DegradationRate)^expected_production[[#This Row],[Age (yrs)]])</f>
        <v>1</v>
      </c>
      <c r="G1699" s="52">
        <f>IF(expected_production[[#This Row],[Base Expected (kWh)]]="","",expected_production[[#This Row],[Base Expected (kWh)]]*expected_production[[#This Row],[Degradation Factor]])</f>
        <v>6244.2</v>
      </c>
    </row>
    <row r="1700" spans="1:7" ht="15" hidden="1" customHeight="1" x14ac:dyDescent="0.3">
      <c r="A1700" t="s">
        <v>213</v>
      </c>
      <c r="B1700" s="2">
        <v>45444</v>
      </c>
      <c r="C1700" s="52">
        <v>5524.2</v>
      </c>
      <c r="D1700" s="48">
        <f>_xlfn.XLOOKUP(expected_production[[#This Row],[Site Name]],Table1[[Site Name ]],Table1[Commisioned Date],"")</f>
        <v>45889</v>
      </c>
      <c r="E1700" s="47">
        <f>IF(ISNUMBER(expected_production[[#This Row],[Commissioned Date]]),MAX(0,(expected_production[[#This Row],[Date]]-expected_production[[#This Row],[Commissioned Date]])/365.25),"")</f>
        <v>0</v>
      </c>
      <c r="F1700" s="49">
        <f>IF(expected_production[[#This Row],[Age (yrs)]]="",1,(1-DegradationRate)^expected_production[[#This Row],[Age (yrs)]])</f>
        <v>1</v>
      </c>
      <c r="G1700" s="52">
        <f>IF(expected_production[[#This Row],[Base Expected (kWh)]]="","",expected_production[[#This Row],[Base Expected (kWh)]]*expected_production[[#This Row],[Degradation Factor]])</f>
        <v>5524.2</v>
      </c>
    </row>
    <row r="1701" spans="1:7" ht="15" hidden="1" customHeight="1" x14ac:dyDescent="0.3">
      <c r="A1701" t="s">
        <v>213</v>
      </c>
      <c r="B1701" s="2">
        <v>45474</v>
      </c>
      <c r="C1701" s="52">
        <v>6086.7</v>
      </c>
      <c r="D1701" s="48">
        <f>_xlfn.XLOOKUP(expected_production[[#This Row],[Site Name]],Table1[[Site Name ]],Table1[Commisioned Date],"")</f>
        <v>45889</v>
      </c>
      <c r="E1701" s="47">
        <f>IF(ISNUMBER(expected_production[[#This Row],[Commissioned Date]]),MAX(0,(expected_production[[#This Row],[Date]]-expected_production[[#This Row],[Commissioned Date]])/365.25),"")</f>
        <v>0</v>
      </c>
      <c r="F1701" s="49">
        <f>IF(expected_production[[#This Row],[Age (yrs)]]="",1,(1-DegradationRate)^expected_production[[#This Row],[Age (yrs)]])</f>
        <v>1</v>
      </c>
      <c r="G1701" s="52">
        <f>IF(expected_production[[#This Row],[Base Expected (kWh)]]="","",expected_production[[#This Row],[Base Expected (kWh)]]*expected_production[[#This Row],[Degradation Factor]])</f>
        <v>6086.7</v>
      </c>
    </row>
    <row r="1702" spans="1:7" ht="15" hidden="1" customHeight="1" x14ac:dyDescent="0.3">
      <c r="A1702" t="s">
        <v>213</v>
      </c>
      <c r="B1702" s="2">
        <v>45505</v>
      </c>
      <c r="C1702" s="52">
        <v>2298.1935483870998</v>
      </c>
      <c r="D1702" s="48">
        <f>_xlfn.XLOOKUP(expected_production[[#This Row],[Site Name]],Table1[[Site Name ]],Table1[Commisioned Date],"")</f>
        <v>45889</v>
      </c>
      <c r="E1702" s="47">
        <f>IF(ISNUMBER(expected_production[[#This Row],[Commissioned Date]]),MAX(0,(expected_production[[#This Row],[Date]]-expected_production[[#This Row],[Commissioned Date]])/365.25),"")</f>
        <v>0</v>
      </c>
      <c r="F1702" s="49">
        <f>IF(expected_production[[#This Row],[Age (yrs)]]="",1,(1-DegradationRate)^expected_production[[#This Row],[Age (yrs)]])</f>
        <v>1</v>
      </c>
      <c r="G1702" s="52">
        <f>IF(expected_production[[#This Row],[Base Expected (kWh)]]="","",expected_production[[#This Row],[Base Expected (kWh)]]*expected_production[[#This Row],[Degradation Factor]])</f>
        <v>2298.1935483870998</v>
      </c>
    </row>
    <row r="1703" spans="1:7" ht="15" hidden="1" customHeight="1" x14ac:dyDescent="0.3">
      <c r="A1703" t="s">
        <v>213</v>
      </c>
      <c r="B1703" s="2">
        <v>45536</v>
      </c>
      <c r="C1703" s="52">
        <v>7864.2</v>
      </c>
      <c r="D1703" s="48">
        <f>_xlfn.XLOOKUP(expected_production[[#This Row],[Site Name]],Table1[[Site Name ]],Table1[Commisioned Date],"")</f>
        <v>45889</v>
      </c>
      <c r="E1703" s="47">
        <f>IF(ISNUMBER(expected_production[[#This Row],[Commissioned Date]]),MAX(0,(expected_production[[#This Row],[Date]]-expected_production[[#This Row],[Commissioned Date]])/365.25),"")</f>
        <v>0</v>
      </c>
      <c r="F1703" s="49">
        <f>IF(expected_production[[#This Row],[Age (yrs)]]="",1,(1-DegradationRate)^expected_production[[#This Row],[Age (yrs)]])</f>
        <v>1</v>
      </c>
      <c r="G1703" s="52">
        <f>IF(expected_production[[#This Row],[Base Expected (kWh)]]="","",expected_production[[#This Row],[Base Expected (kWh)]]*expected_production[[#This Row],[Degradation Factor]])</f>
        <v>7864.2</v>
      </c>
    </row>
    <row r="1704" spans="1:7" ht="15" hidden="1" customHeight="1" x14ac:dyDescent="0.3">
      <c r="A1704" t="s">
        <v>213</v>
      </c>
      <c r="B1704" s="2">
        <v>45566</v>
      </c>
      <c r="C1704" s="52">
        <v>9007.2000000000007</v>
      </c>
      <c r="D1704" s="48">
        <f>_xlfn.XLOOKUP(expected_production[[#This Row],[Site Name]],Table1[[Site Name ]],Table1[Commisioned Date],"")</f>
        <v>45889</v>
      </c>
      <c r="E1704" s="47">
        <f>IF(ISNUMBER(expected_production[[#This Row],[Commissioned Date]]),MAX(0,(expected_production[[#This Row],[Date]]-expected_production[[#This Row],[Commissioned Date]])/365.25),"")</f>
        <v>0</v>
      </c>
      <c r="F1704" s="49">
        <f>IF(expected_production[[#This Row],[Age (yrs)]]="",1,(1-DegradationRate)^expected_production[[#This Row],[Age (yrs)]])</f>
        <v>1</v>
      </c>
      <c r="G1704" s="52">
        <f>IF(expected_production[[#This Row],[Base Expected (kWh)]]="","",expected_production[[#This Row],[Base Expected (kWh)]]*expected_production[[#This Row],[Degradation Factor]])</f>
        <v>9007.2000000000007</v>
      </c>
    </row>
    <row r="1705" spans="1:7" ht="15" hidden="1" customHeight="1" x14ac:dyDescent="0.3">
      <c r="A1705" t="s">
        <v>213</v>
      </c>
      <c r="B1705" s="2">
        <v>45597</v>
      </c>
      <c r="C1705" s="52">
        <v>8999.1</v>
      </c>
      <c r="D1705" s="48">
        <f>_xlfn.XLOOKUP(expected_production[[#This Row],[Site Name]],Table1[[Site Name ]],Table1[Commisioned Date],"")</f>
        <v>45889</v>
      </c>
      <c r="E1705" s="47">
        <f>IF(ISNUMBER(expected_production[[#This Row],[Commissioned Date]]),MAX(0,(expected_production[[#This Row],[Date]]-expected_production[[#This Row],[Commissioned Date]])/365.25),"")</f>
        <v>0</v>
      </c>
      <c r="F1705" s="49">
        <f>IF(expected_production[[#This Row],[Age (yrs)]]="",1,(1-DegradationRate)^expected_production[[#This Row],[Age (yrs)]])</f>
        <v>1</v>
      </c>
      <c r="G1705" s="52">
        <f>IF(expected_production[[#This Row],[Base Expected (kWh)]]="","",expected_production[[#This Row],[Base Expected (kWh)]]*expected_production[[#This Row],[Degradation Factor]])</f>
        <v>8999.1</v>
      </c>
    </row>
    <row r="1706" spans="1:7" ht="15" hidden="1" customHeight="1" x14ac:dyDescent="0.3">
      <c r="A1706" t="s">
        <v>213</v>
      </c>
      <c r="B1706" s="2">
        <v>45627</v>
      </c>
      <c r="C1706" s="52">
        <v>9241.2000000000007</v>
      </c>
      <c r="D1706" s="48">
        <f>_xlfn.XLOOKUP(expected_production[[#This Row],[Site Name]],Table1[[Site Name ]],Table1[Commisioned Date],"")</f>
        <v>45889</v>
      </c>
      <c r="E1706" s="47">
        <f>IF(ISNUMBER(expected_production[[#This Row],[Commissioned Date]]),MAX(0,(expected_production[[#This Row],[Date]]-expected_production[[#This Row],[Commissioned Date]])/365.25),"")</f>
        <v>0</v>
      </c>
      <c r="F1706" s="49">
        <f>IF(expected_production[[#This Row],[Age (yrs)]]="",1,(1-DegradationRate)^expected_production[[#This Row],[Age (yrs)]])</f>
        <v>1</v>
      </c>
      <c r="G1706" s="52">
        <f>IF(expected_production[[#This Row],[Base Expected (kWh)]]="","",expected_production[[#This Row],[Base Expected (kWh)]]*expected_production[[#This Row],[Degradation Factor]])</f>
        <v>9241.2000000000007</v>
      </c>
    </row>
    <row r="1707" spans="1:7" ht="15" hidden="1" customHeight="1" x14ac:dyDescent="0.3">
      <c r="A1707" t="s">
        <v>213</v>
      </c>
      <c r="B1707" s="2">
        <v>45658</v>
      </c>
      <c r="C1707" s="52">
        <v>9307.7999999999993</v>
      </c>
      <c r="D1707" s="48">
        <f>_xlfn.XLOOKUP(expected_production[[#This Row],[Site Name]],Table1[[Site Name ]],Table1[Commisioned Date],"")</f>
        <v>45889</v>
      </c>
      <c r="E1707" s="47">
        <f>IF(ISNUMBER(expected_production[[#This Row],[Commissioned Date]]),MAX(0,(expected_production[[#This Row],[Date]]-expected_production[[#This Row],[Commissioned Date]])/365.25),"")</f>
        <v>0</v>
      </c>
      <c r="F1707" s="49">
        <f>IF(expected_production[[#This Row],[Age (yrs)]]="",1,(1-DegradationRate)^expected_production[[#This Row],[Age (yrs)]])</f>
        <v>1</v>
      </c>
      <c r="G1707" s="52">
        <f>IF(expected_production[[#This Row],[Base Expected (kWh)]]="","",expected_production[[#This Row],[Base Expected (kWh)]]*expected_production[[#This Row],[Degradation Factor]])</f>
        <v>9307.7999999999993</v>
      </c>
    </row>
    <row r="1708" spans="1:7" ht="15" hidden="1" customHeight="1" x14ac:dyDescent="0.3">
      <c r="A1708" t="s">
        <v>213</v>
      </c>
      <c r="B1708" s="2">
        <v>45689</v>
      </c>
      <c r="C1708" s="52">
        <v>8001.9</v>
      </c>
      <c r="D1708" s="48">
        <f>_xlfn.XLOOKUP(expected_production[[#This Row],[Site Name]],Table1[[Site Name ]],Table1[Commisioned Date],"")</f>
        <v>45889</v>
      </c>
      <c r="E1708" s="47">
        <f>IF(ISNUMBER(expected_production[[#This Row],[Commissioned Date]]),MAX(0,(expected_production[[#This Row],[Date]]-expected_production[[#This Row],[Commissioned Date]])/365.25),"")</f>
        <v>0</v>
      </c>
      <c r="F1708" s="49">
        <f>IF(expected_production[[#This Row],[Age (yrs)]]="",1,(1-DegradationRate)^expected_production[[#This Row],[Age (yrs)]])</f>
        <v>1</v>
      </c>
      <c r="G1708" s="52">
        <f>IF(expected_production[[#This Row],[Base Expected (kWh)]]="","",expected_production[[#This Row],[Base Expected (kWh)]]*expected_production[[#This Row],[Degradation Factor]])</f>
        <v>8001.9</v>
      </c>
    </row>
    <row r="1709" spans="1:7" ht="15" hidden="1" customHeight="1" x14ac:dyDescent="0.3">
      <c r="A1709" t="s">
        <v>213</v>
      </c>
      <c r="B1709" s="2">
        <v>45717</v>
      </c>
      <c r="C1709" s="52">
        <v>7803.9</v>
      </c>
      <c r="D1709" s="48">
        <f>_xlfn.XLOOKUP(expected_production[[#This Row],[Site Name]],Table1[[Site Name ]],Table1[Commisioned Date],"")</f>
        <v>45889</v>
      </c>
      <c r="E1709" s="47">
        <f>IF(ISNUMBER(expected_production[[#This Row],[Commissioned Date]]),MAX(0,(expected_production[[#This Row],[Date]]-expected_production[[#This Row],[Commissioned Date]])/365.25),"")</f>
        <v>0</v>
      </c>
      <c r="F1709" s="49">
        <f>IF(expected_production[[#This Row],[Age (yrs)]]="",1,(1-DegradationRate)^expected_production[[#This Row],[Age (yrs)]])</f>
        <v>1</v>
      </c>
      <c r="G1709" s="52">
        <f>IF(expected_production[[#This Row],[Base Expected (kWh)]]="","",expected_production[[#This Row],[Base Expected (kWh)]]*expected_production[[#This Row],[Degradation Factor]])</f>
        <v>7803.9</v>
      </c>
    </row>
    <row r="1710" spans="1:7" ht="15" hidden="1" customHeight="1" x14ac:dyDescent="0.3">
      <c r="A1710" t="s">
        <v>213</v>
      </c>
      <c r="B1710" s="2">
        <v>45748</v>
      </c>
      <c r="C1710" s="52">
        <v>6785.1</v>
      </c>
      <c r="D1710" s="48">
        <f>_xlfn.XLOOKUP(expected_production[[#This Row],[Site Name]],Table1[[Site Name ]],Table1[Commisioned Date],"")</f>
        <v>45889</v>
      </c>
      <c r="E1710" s="47">
        <f>IF(ISNUMBER(expected_production[[#This Row],[Commissioned Date]]),MAX(0,(expected_production[[#This Row],[Date]]-expected_production[[#This Row],[Commissioned Date]])/365.25),"")</f>
        <v>0</v>
      </c>
      <c r="F1710" s="49">
        <f>IF(expected_production[[#This Row],[Age (yrs)]]="",1,(1-DegradationRate)^expected_production[[#This Row],[Age (yrs)]])</f>
        <v>1</v>
      </c>
      <c r="G1710" s="52">
        <f>IF(expected_production[[#This Row],[Base Expected (kWh)]]="","",expected_production[[#This Row],[Base Expected (kWh)]]*expected_production[[#This Row],[Degradation Factor]])</f>
        <v>6785.1</v>
      </c>
    </row>
    <row r="1711" spans="1:7" ht="15" hidden="1" customHeight="1" x14ac:dyDescent="0.3">
      <c r="A1711" t="s">
        <v>213</v>
      </c>
      <c r="B1711" s="2">
        <v>45778</v>
      </c>
      <c r="C1711" s="52">
        <v>6244.2</v>
      </c>
      <c r="D1711" s="48">
        <f>_xlfn.XLOOKUP(expected_production[[#This Row],[Site Name]],Table1[[Site Name ]],Table1[Commisioned Date],"")</f>
        <v>45889</v>
      </c>
      <c r="E1711" s="47">
        <f>IF(ISNUMBER(expected_production[[#This Row],[Commissioned Date]]),MAX(0,(expected_production[[#This Row],[Date]]-expected_production[[#This Row],[Commissioned Date]])/365.25),"")</f>
        <v>0</v>
      </c>
      <c r="F1711" s="49">
        <f>IF(expected_production[[#This Row],[Age (yrs)]]="",1,(1-DegradationRate)^expected_production[[#This Row],[Age (yrs)]])</f>
        <v>1</v>
      </c>
      <c r="G1711" s="52">
        <f>IF(expected_production[[#This Row],[Base Expected (kWh)]]="","",expected_production[[#This Row],[Base Expected (kWh)]]*expected_production[[#This Row],[Degradation Factor]])</f>
        <v>6244.2</v>
      </c>
    </row>
    <row r="1712" spans="1:7" ht="15" hidden="1" customHeight="1" x14ac:dyDescent="0.3">
      <c r="A1712" t="s">
        <v>213</v>
      </c>
      <c r="B1712" s="2">
        <v>45809</v>
      </c>
      <c r="C1712" s="52">
        <v>5524.2</v>
      </c>
      <c r="D1712" s="48">
        <f>_xlfn.XLOOKUP(expected_production[[#This Row],[Site Name]],Table1[[Site Name ]],Table1[Commisioned Date],"")</f>
        <v>45889</v>
      </c>
      <c r="E1712" s="47">
        <f>IF(ISNUMBER(expected_production[[#This Row],[Commissioned Date]]),MAX(0,(expected_production[[#This Row],[Date]]-expected_production[[#This Row],[Commissioned Date]])/365.25),"")</f>
        <v>0</v>
      </c>
      <c r="F1712" s="49">
        <f>IF(expected_production[[#This Row],[Age (yrs)]]="",1,(1-DegradationRate)^expected_production[[#This Row],[Age (yrs)]])</f>
        <v>1</v>
      </c>
      <c r="G1712" s="52">
        <f>IF(expected_production[[#This Row],[Base Expected (kWh)]]="","",expected_production[[#This Row],[Base Expected (kWh)]]*expected_production[[#This Row],[Degradation Factor]])</f>
        <v>5524.2</v>
      </c>
    </row>
    <row r="1713" spans="1:7" ht="15" hidden="1" customHeight="1" x14ac:dyDescent="0.3">
      <c r="A1713" t="s">
        <v>213</v>
      </c>
      <c r="B1713" s="2">
        <v>45839</v>
      </c>
      <c r="C1713" s="52">
        <v>6086.7</v>
      </c>
      <c r="D1713" s="48">
        <f>_xlfn.XLOOKUP(expected_production[[#This Row],[Site Name]],Table1[[Site Name ]],Table1[Commisioned Date],"")</f>
        <v>45889</v>
      </c>
      <c r="E1713" s="47">
        <f>IF(ISNUMBER(expected_production[[#This Row],[Commissioned Date]]),MAX(0,(expected_production[[#This Row],[Date]]-expected_production[[#This Row],[Commissioned Date]])/365.25),"")</f>
        <v>0</v>
      </c>
      <c r="F1713" s="49">
        <f>IF(expected_production[[#This Row],[Age (yrs)]]="",1,(1-DegradationRate)^expected_production[[#This Row],[Age (yrs)]])</f>
        <v>1</v>
      </c>
      <c r="G1713" s="52">
        <f>IF(expected_production[[#This Row],[Base Expected (kWh)]]="","",expected_production[[#This Row],[Base Expected (kWh)]]*expected_production[[#This Row],[Degradation Factor]])</f>
        <v>6086.7</v>
      </c>
    </row>
    <row r="1714" spans="1:7" ht="15" hidden="1" customHeight="1" x14ac:dyDescent="0.3">
      <c r="A1714" t="s">
        <v>213</v>
      </c>
      <c r="B1714" s="2">
        <v>45870</v>
      </c>
      <c r="C1714" s="52">
        <v>2298.1935483870998</v>
      </c>
      <c r="D1714" s="48">
        <f>_xlfn.XLOOKUP(expected_production[[#This Row],[Site Name]],Table1[[Site Name ]],Table1[Commisioned Date],"")</f>
        <v>45889</v>
      </c>
      <c r="E1714" s="47">
        <f>IF(ISNUMBER(expected_production[[#This Row],[Commissioned Date]]),MAX(0,(expected_production[[#This Row],[Date]]-expected_production[[#This Row],[Commissioned Date]])/365.25),"")</f>
        <v>0</v>
      </c>
      <c r="F1714" s="49">
        <f>IF(expected_production[[#This Row],[Age (yrs)]]="",1,(1-DegradationRate)^expected_production[[#This Row],[Age (yrs)]])</f>
        <v>1</v>
      </c>
      <c r="G1714" s="52">
        <f>IF(expected_production[[#This Row],[Base Expected (kWh)]]="","",expected_production[[#This Row],[Base Expected (kWh)]]*expected_production[[#This Row],[Degradation Factor]])</f>
        <v>2298.1935483870998</v>
      </c>
    </row>
    <row r="1715" spans="1:7" ht="15" hidden="1" customHeight="1" x14ac:dyDescent="0.3">
      <c r="A1715" t="s">
        <v>213</v>
      </c>
      <c r="B1715" s="2">
        <v>45901</v>
      </c>
      <c r="C1715" s="52">
        <v>7864.2</v>
      </c>
      <c r="D1715" s="48">
        <f>_xlfn.XLOOKUP(expected_production[[#This Row],[Site Name]],Table1[[Site Name ]],Table1[Commisioned Date],"")</f>
        <v>45889</v>
      </c>
      <c r="E1715" s="47">
        <f>IF(ISNUMBER(expected_production[[#This Row],[Commissioned Date]]),MAX(0,(expected_production[[#This Row],[Date]]-expected_production[[#This Row],[Commissioned Date]])/365.25),"")</f>
        <v>3.2854209445585217E-2</v>
      </c>
      <c r="F1715" s="49">
        <f>IF(expected_production[[#This Row],[Age (yrs)]]="",1,(1-DegradationRate)^expected_production[[#This Row],[Age (yrs)]])</f>
        <v>0.99976923845912757</v>
      </c>
      <c r="G1715" s="52">
        <f>IF(expected_production[[#This Row],[Base Expected (kWh)]]="","",expected_production[[#This Row],[Base Expected (kWh)]]*expected_production[[#This Row],[Degradation Factor]])</f>
        <v>7862.3852450902705</v>
      </c>
    </row>
    <row r="1716" spans="1:7" ht="15" hidden="1" customHeight="1" x14ac:dyDescent="0.3">
      <c r="A1716" t="s">
        <v>213</v>
      </c>
      <c r="B1716" s="2">
        <v>45931</v>
      </c>
      <c r="C1716" s="52">
        <v>9007.2000000000007</v>
      </c>
      <c r="D1716" s="48">
        <f>_xlfn.XLOOKUP(expected_production[[#This Row],[Site Name]],Table1[[Site Name ]],Table1[Commisioned Date],"")</f>
        <v>45889</v>
      </c>
      <c r="E1716" s="47">
        <f>IF(ISNUMBER(expected_production[[#This Row],[Commissioned Date]]),MAX(0,(expected_production[[#This Row],[Date]]-expected_production[[#This Row],[Commissioned Date]])/365.25),"")</f>
        <v>0.11498973305954825</v>
      </c>
      <c r="F1716" s="49">
        <f>IF(expected_production[[#This Row],[Age (yrs)]]="",1,(1-DegradationRate)^expected_production[[#This Row],[Age (yrs)]])</f>
        <v>0.99919256755270491</v>
      </c>
      <c r="G1716" s="52">
        <f>IF(expected_production[[#This Row],[Base Expected (kWh)]]="","",expected_production[[#This Row],[Base Expected (kWh)]]*expected_production[[#This Row],[Degradation Factor]])</f>
        <v>8999.9272944607237</v>
      </c>
    </row>
    <row r="1717" spans="1:7" ht="15" hidden="1" customHeight="1" x14ac:dyDescent="0.3">
      <c r="A1717" t="s">
        <v>213</v>
      </c>
      <c r="B1717" s="2">
        <v>45962</v>
      </c>
      <c r="C1717" s="52">
        <v>8999.1</v>
      </c>
      <c r="D1717" s="48">
        <f>_xlfn.XLOOKUP(expected_production[[#This Row],[Site Name]],Table1[[Site Name ]],Table1[Commisioned Date],"")</f>
        <v>45889</v>
      </c>
      <c r="E1717" s="47">
        <f>IF(ISNUMBER(expected_production[[#This Row],[Commissioned Date]]),MAX(0,(expected_production[[#This Row],[Date]]-expected_production[[#This Row],[Commissioned Date]])/365.25),"")</f>
        <v>0.1998631074606434</v>
      </c>
      <c r="F1717" s="49">
        <f>IF(expected_production[[#This Row],[Age (yrs)]]="",1,(1-DegradationRate)^expected_production[[#This Row],[Age (yrs)]])</f>
        <v>0.99859702372268344</v>
      </c>
      <c r="G1717" s="52">
        <f>IF(expected_production[[#This Row],[Base Expected (kWh)]]="","",expected_production[[#This Row],[Base Expected (kWh)]]*expected_production[[#This Row],[Degradation Factor]])</f>
        <v>8986.4744761828006</v>
      </c>
    </row>
    <row r="1718" spans="1:7" ht="15" hidden="1" customHeight="1" x14ac:dyDescent="0.3">
      <c r="A1718" t="s">
        <v>213</v>
      </c>
      <c r="B1718" s="2">
        <v>45992</v>
      </c>
      <c r="C1718" s="52">
        <v>9241.2000000000007</v>
      </c>
      <c r="D1718" s="48">
        <f>_xlfn.XLOOKUP(expected_production[[#This Row],[Site Name]],Table1[[Site Name ]],Table1[Commisioned Date],"")</f>
        <v>45889</v>
      </c>
      <c r="E1718" s="47">
        <f>IF(ISNUMBER(expected_production[[#This Row],[Commissioned Date]]),MAX(0,(expected_production[[#This Row],[Date]]-expected_production[[#This Row],[Commissioned Date]])/365.25),"")</f>
        <v>0.28199863107460643</v>
      </c>
      <c r="F1718" s="49">
        <f>IF(expected_production[[#This Row],[Age (yrs)]]="",1,(1-DegradationRate)^expected_production[[#This Row],[Age (yrs)]])</f>
        <v>0.99802102895442202</v>
      </c>
      <c r="G1718" s="52">
        <f>IF(expected_production[[#This Row],[Base Expected (kWh)]]="","",expected_production[[#This Row],[Base Expected (kWh)]]*expected_production[[#This Row],[Degradation Factor]])</f>
        <v>9222.9119327736062</v>
      </c>
    </row>
    <row r="1719" spans="1:7" ht="15" hidden="1" customHeight="1" x14ac:dyDescent="0.3">
      <c r="A1719" t="s">
        <v>213</v>
      </c>
      <c r="B1719" s="2">
        <v>46023</v>
      </c>
      <c r="C1719" s="52">
        <v>9307.7999999999993</v>
      </c>
      <c r="D1719" s="48">
        <f>_xlfn.XLOOKUP(expected_production[[#This Row],[Site Name]],Table1[[Site Name ]],Table1[Commisioned Date],"")</f>
        <v>45889</v>
      </c>
      <c r="E1719" s="47">
        <f>IF(ISNUMBER(expected_production[[#This Row],[Commissioned Date]]),MAX(0,(expected_production[[#This Row],[Date]]-expected_production[[#This Row],[Commissioned Date]])/365.25),"")</f>
        <v>0.36687200547570159</v>
      </c>
      <c r="F1719" s="49">
        <f>IF(expected_production[[#This Row],[Age (yrs)]]="",1,(1-DegradationRate)^expected_production[[#This Row],[Age (yrs)]])</f>
        <v>0.99742618339078737</v>
      </c>
      <c r="G1719" s="52">
        <f>IF(expected_production[[#This Row],[Base Expected (kWh)]]="","",expected_production[[#This Row],[Base Expected (kWh)]]*expected_production[[#This Row],[Degradation Factor]])</f>
        <v>9283.8434297647691</v>
      </c>
    </row>
    <row r="1720" spans="1:7" ht="15" hidden="1" customHeight="1" x14ac:dyDescent="0.3">
      <c r="A1720" t="s">
        <v>213</v>
      </c>
      <c r="B1720" s="2">
        <v>46054</v>
      </c>
      <c r="C1720" s="52">
        <v>8001.9</v>
      </c>
      <c r="D1720" s="48">
        <f>_xlfn.XLOOKUP(expected_production[[#This Row],[Site Name]],Table1[[Site Name ]],Table1[Commisioned Date],"")</f>
        <v>45889</v>
      </c>
      <c r="E1720" s="47">
        <f>IF(ISNUMBER(expected_production[[#This Row],[Commissioned Date]]),MAX(0,(expected_production[[#This Row],[Date]]-expected_production[[#This Row],[Commissioned Date]])/365.25),"")</f>
        <v>0.45174537987679669</v>
      </c>
      <c r="F1720" s="49">
        <f>IF(expected_production[[#This Row],[Age (yrs)]]="",1,(1-DegradationRate)^expected_production[[#This Row],[Age (yrs)]])</f>
        <v>0.99683169237002733</v>
      </c>
      <c r="G1720" s="52">
        <f>IF(expected_production[[#This Row],[Base Expected (kWh)]]="","",expected_production[[#This Row],[Base Expected (kWh)]]*expected_production[[#This Row],[Degradation Factor]])</f>
        <v>7976.5475191757214</v>
      </c>
    </row>
    <row r="1721" spans="1:7" ht="15" hidden="1" customHeight="1" x14ac:dyDescent="0.3">
      <c r="A1721" t="s">
        <v>213</v>
      </c>
      <c r="B1721" s="2">
        <v>46082</v>
      </c>
      <c r="C1721" s="52">
        <v>7803.9</v>
      </c>
      <c r="D1721" s="48">
        <f>_xlfn.XLOOKUP(expected_production[[#This Row],[Site Name]],Table1[[Site Name ]],Table1[Commisioned Date],"")</f>
        <v>45889</v>
      </c>
      <c r="E1721" s="47">
        <f>IF(ISNUMBER(expected_production[[#This Row],[Commissioned Date]]),MAX(0,(expected_production[[#This Row],[Date]]-expected_production[[#This Row],[Commissioned Date]])/365.25),"")</f>
        <v>0.52840520191649554</v>
      </c>
      <c r="F1721" s="49">
        <f>IF(expected_production[[#This Row],[Age (yrs)]]="",1,(1-DegradationRate)^expected_production[[#This Row],[Age (yrs)]])</f>
        <v>0.99629503729976254</v>
      </c>
      <c r="G1721" s="52">
        <f>IF(expected_production[[#This Row],[Base Expected (kWh)]]="","",expected_production[[#This Row],[Base Expected (kWh)]]*expected_production[[#This Row],[Degradation Factor]])</f>
        <v>7774.9868415836163</v>
      </c>
    </row>
    <row r="1722" spans="1:7" ht="15" hidden="1" customHeight="1" x14ac:dyDescent="0.3">
      <c r="A1722" t="s">
        <v>213</v>
      </c>
      <c r="B1722" s="2">
        <v>46113</v>
      </c>
      <c r="C1722" s="52">
        <v>6785.1</v>
      </c>
      <c r="D1722" s="48">
        <f>_xlfn.XLOOKUP(expected_production[[#This Row],[Site Name]],Table1[[Site Name ]],Table1[Commisioned Date],"")</f>
        <v>45889</v>
      </c>
      <c r="E1722" s="47">
        <f>IF(ISNUMBER(expected_production[[#This Row],[Commissioned Date]]),MAX(0,(expected_production[[#This Row],[Date]]-expected_production[[#This Row],[Commissioned Date]])/365.25),"")</f>
        <v>0.61327857631759064</v>
      </c>
      <c r="F1722" s="49">
        <f>IF(expected_production[[#This Row],[Age (yrs)]]="",1,(1-DegradationRate)^expected_production[[#This Row],[Age (yrs)]])</f>
        <v>0.99570122047044196</v>
      </c>
      <c r="G1722" s="52">
        <f>IF(expected_production[[#This Row],[Base Expected (kWh)]]="","",expected_production[[#This Row],[Base Expected (kWh)]]*expected_production[[#This Row],[Degradation Factor]])</f>
        <v>6755.9323510139957</v>
      </c>
    </row>
    <row r="1723" spans="1:7" ht="15" hidden="1" customHeight="1" x14ac:dyDescent="0.3">
      <c r="A1723" t="s">
        <v>213</v>
      </c>
      <c r="B1723" s="2">
        <v>46143</v>
      </c>
      <c r="C1723" s="52">
        <v>6244.2</v>
      </c>
      <c r="D1723" s="48">
        <f>_xlfn.XLOOKUP(expected_production[[#This Row],[Site Name]],Table1[[Site Name ]],Table1[Commisioned Date],"")</f>
        <v>45889</v>
      </c>
      <c r="E1723" s="47">
        <f>IF(ISNUMBER(expected_production[[#This Row],[Commissioned Date]]),MAX(0,(expected_production[[#This Row],[Date]]-expected_production[[#This Row],[Commissioned Date]])/365.25),"")</f>
        <v>0.69541409993155368</v>
      </c>
      <c r="F1723" s="49">
        <f>IF(expected_production[[#This Row],[Age (yrs)]]="",1,(1-DegradationRate)^expected_production[[#This Row],[Age (yrs)]])</f>
        <v>0.99512689601311044</v>
      </c>
      <c r="G1723" s="52">
        <f>IF(expected_production[[#This Row],[Base Expected (kWh)]]="","",expected_production[[#This Row],[Base Expected (kWh)]]*expected_production[[#This Row],[Degradation Factor]])</f>
        <v>6213.7713640850643</v>
      </c>
    </row>
    <row r="1724" spans="1:7" ht="15" hidden="1" customHeight="1" x14ac:dyDescent="0.3">
      <c r="A1724" t="s">
        <v>213</v>
      </c>
      <c r="B1724" s="2">
        <v>46174</v>
      </c>
      <c r="C1724" s="52">
        <v>5524.2</v>
      </c>
      <c r="D1724" s="48">
        <f>_xlfn.XLOOKUP(expected_production[[#This Row],[Site Name]],Table1[[Site Name ]],Table1[Commisioned Date],"")</f>
        <v>45889</v>
      </c>
      <c r="E1724" s="47">
        <f>IF(ISNUMBER(expected_production[[#This Row],[Commissioned Date]]),MAX(0,(expected_production[[#This Row],[Date]]-expected_production[[#This Row],[Commissioned Date]])/365.25),"")</f>
        <v>0.78028747433264889</v>
      </c>
      <c r="F1724" s="49">
        <f>IF(expected_production[[#This Row],[Age (yrs)]]="",1,(1-DegradationRate)^expected_production[[#This Row],[Age (yrs)]])</f>
        <v>0.99453377542529364</v>
      </c>
      <c r="G1724" s="52">
        <f>IF(expected_production[[#This Row],[Base Expected (kWh)]]="","",expected_production[[#This Row],[Base Expected (kWh)]]*expected_production[[#This Row],[Degradation Factor]])</f>
        <v>5494.0034822044072</v>
      </c>
    </row>
    <row r="1725" spans="1:7" ht="15" hidden="1" customHeight="1" x14ac:dyDescent="0.3">
      <c r="A1725" t="s">
        <v>213</v>
      </c>
      <c r="B1725" s="2">
        <v>46204</v>
      </c>
      <c r="C1725" s="52">
        <v>6086.7</v>
      </c>
      <c r="D1725" s="48">
        <f>_xlfn.XLOOKUP(expected_production[[#This Row],[Site Name]],Table1[[Site Name ]],Table1[Commisioned Date],"")</f>
        <v>45889</v>
      </c>
      <c r="E1725" s="47">
        <f>IF(ISNUMBER(expected_production[[#This Row],[Commissioned Date]]),MAX(0,(expected_production[[#This Row],[Date]]-expected_production[[#This Row],[Commissioned Date]])/365.25),"")</f>
        <v>0.86242299794661192</v>
      </c>
      <c r="F1725" s="49">
        <f>IF(expected_production[[#This Row],[Age (yrs)]]="",1,(1-DegradationRate)^expected_production[[#This Row],[Age (yrs)]])</f>
        <v>0.99396012435494629</v>
      </c>
      <c r="G1725" s="52">
        <f>IF(expected_production[[#This Row],[Base Expected (kWh)]]="","",expected_production[[#This Row],[Base Expected (kWh)]]*expected_production[[#This Row],[Degradation Factor]])</f>
        <v>6049.9370889112515</v>
      </c>
    </row>
    <row r="1726" spans="1:7" ht="15" hidden="1" customHeight="1" x14ac:dyDescent="0.3">
      <c r="A1726" t="s">
        <v>213</v>
      </c>
      <c r="B1726" s="2">
        <v>46235</v>
      </c>
      <c r="C1726" s="52">
        <v>7124</v>
      </c>
      <c r="D1726" s="48">
        <f>_xlfn.XLOOKUP(expected_production[[#This Row],[Site Name]],Table1[[Site Name ]],Table1[Commisioned Date],"")</f>
        <v>45889</v>
      </c>
      <c r="E1726" s="47">
        <f>IF(ISNUMBER(expected_production[[#This Row],[Commissioned Date]]),MAX(0,(expected_production[[#This Row],[Date]]-expected_production[[#This Row],[Commissioned Date]])/365.25),"")</f>
        <v>0.94729637234770703</v>
      </c>
      <c r="F1726" s="49">
        <f>IF(expected_production[[#This Row],[Age (yrs)]]="",1,(1-DegradationRate)^expected_production[[#This Row],[Age (yrs)]])</f>
        <v>0.99336769919230039</v>
      </c>
      <c r="G1726" s="52">
        <f>IF(expected_production[[#This Row],[Base Expected (kWh)]]="","",expected_production[[#This Row],[Base Expected (kWh)]]*expected_production[[#This Row],[Degradation Factor]])</f>
        <v>7076.7514890459479</v>
      </c>
    </row>
    <row r="1727" spans="1:7" ht="15" hidden="1" customHeight="1" x14ac:dyDescent="0.3">
      <c r="A1727" t="s">
        <v>213</v>
      </c>
      <c r="B1727" s="2">
        <v>46266</v>
      </c>
      <c r="C1727" s="52">
        <v>7864.2</v>
      </c>
      <c r="D1727" s="48">
        <f>_xlfn.XLOOKUP(expected_production[[#This Row],[Site Name]],Table1[[Site Name ]],Table1[Commisioned Date],"")</f>
        <v>45889</v>
      </c>
      <c r="E1727" s="47">
        <f>IF(ISNUMBER(expected_production[[#This Row],[Commissioned Date]]),MAX(0,(expected_production[[#This Row],[Date]]-expected_production[[#This Row],[Commissioned Date]])/365.25),"")</f>
        <v>1.0321697467488022</v>
      </c>
      <c r="F1727" s="49">
        <f>IF(expected_production[[#This Row],[Age (yrs)]]="",1,(1-DegradationRate)^expected_production[[#This Row],[Age (yrs)]])</f>
        <v>0.99277562712990952</v>
      </c>
      <c r="G1727" s="52">
        <f>IF(expected_production[[#This Row],[Base Expected (kWh)]]="","",expected_production[[#This Row],[Base Expected (kWh)]]*expected_production[[#This Row],[Degradation Factor]])</f>
        <v>7807.3860868750344</v>
      </c>
    </row>
    <row r="1728" spans="1:7" ht="15" hidden="1" customHeight="1" x14ac:dyDescent="0.3">
      <c r="A1728" t="s">
        <v>213</v>
      </c>
      <c r="B1728" s="2">
        <v>46296</v>
      </c>
      <c r="C1728" s="52">
        <v>9007.2000000000007</v>
      </c>
      <c r="D1728" s="48">
        <f>_xlfn.XLOOKUP(expected_production[[#This Row],[Site Name]],Table1[[Site Name ]],Table1[Commisioned Date],"")</f>
        <v>45889</v>
      </c>
      <c r="E1728" s="47">
        <f>IF(ISNUMBER(expected_production[[#This Row],[Commissioned Date]]),MAX(0,(expected_production[[#This Row],[Date]]-expected_production[[#This Row],[Commissioned Date]])/365.25),"")</f>
        <v>1.1143052703627652</v>
      </c>
      <c r="F1728" s="49">
        <f>IF(expected_production[[#This Row],[Age (yrs)]]="",1,(1-DegradationRate)^expected_production[[#This Row],[Age (yrs)]])</f>
        <v>0.99220299016655011</v>
      </c>
      <c r="G1728" s="52">
        <f>IF(expected_production[[#This Row],[Base Expected (kWh)]]="","",expected_production[[#This Row],[Base Expected (kWh)]]*expected_production[[#This Row],[Degradation Factor]])</f>
        <v>8936.9707730281516</v>
      </c>
    </row>
    <row r="1729" spans="1:7" ht="15" hidden="1" customHeight="1" x14ac:dyDescent="0.3">
      <c r="A1729" t="s">
        <v>213</v>
      </c>
      <c r="B1729" s="2">
        <v>46327</v>
      </c>
      <c r="C1729" s="52">
        <v>8999.1</v>
      </c>
      <c r="D1729" s="48">
        <f>_xlfn.XLOOKUP(expected_production[[#This Row],[Site Name]],Table1[[Site Name ]],Table1[Commisioned Date],"")</f>
        <v>45889</v>
      </c>
      <c r="E1729" s="47">
        <f>IF(ISNUMBER(expected_production[[#This Row],[Commissioned Date]]),MAX(0,(expected_production[[#This Row],[Date]]-expected_production[[#This Row],[Commissioned Date]])/365.25),"")</f>
        <v>1.1991786447638604</v>
      </c>
      <c r="F1729" s="49">
        <f>IF(expected_production[[#This Row],[Age (yrs)]]="",1,(1-DegradationRate)^expected_production[[#This Row],[Age (yrs)]])</f>
        <v>0.99161161229994954</v>
      </c>
      <c r="G1729" s="52">
        <f>IF(expected_production[[#This Row],[Base Expected (kWh)]]="","",expected_production[[#This Row],[Base Expected (kWh)]]*expected_production[[#This Row],[Degradation Factor]])</f>
        <v>8923.6120602484771</v>
      </c>
    </row>
    <row r="1730" spans="1:7" ht="15" hidden="1" customHeight="1" x14ac:dyDescent="0.3">
      <c r="A1730" t="s">
        <v>213</v>
      </c>
      <c r="B1730" s="2">
        <v>46357</v>
      </c>
      <c r="C1730" s="52">
        <v>9241.2000000000007</v>
      </c>
      <c r="D1730" s="48">
        <f>_xlfn.XLOOKUP(expected_production[[#This Row],[Site Name]],Table1[[Site Name ]],Table1[Commisioned Date],"")</f>
        <v>45889</v>
      </c>
      <c r="E1730" s="47">
        <f>IF(ISNUMBER(expected_production[[#This Row],[Commissioned Date]]),MAX(0,(expected_production[[#This Row],[Date]]-expected_production[[#This Row],[Commissioned Date]])/365.25),"")</f>
        <v>1.2813141683778233</v>
      </c>
      <c r="F1730" s="49">
        <f>IF(expected_production[[#This Row],[Age (yrs)]]="",1,(1-DegradationRate)^expected_production[[#This Row],[Age (yrs)]])</f>
        <v>0.99103964674501255</v>
      </c>
      <c r="G1730" s="52">
        <f>IF(expected_production[[#This Row],[Base Expected (kWh)]]="","",expected_production[[#This Row],[Base Expected (kWh)]]*expected_production[[#This Row],[Degradation Factor]])</f>
        <v>9158.3955835000106</v>
      </c>
    </row>
    <row r="1731" spans="1:7" ht="15" hidden="1" customHeight="1" x14ac:dyDescent="0.3">
      <c r="A1731" t="s">
        <v>216</v>
      </c>
      <c r="B1731" s="2">
        <v>45292</v>
      </c>
      <c r="C1731" s="52">
        <v>28699.56</v>
      </c>
      <c r="D1731" s="48">
        <f>_xlfn.XLOOKUP(expected_production[[#This Row],[Site Name]],Table1[[Site Name ]],Table1[Commisioned Date],"")</f>
        <v>45889</v>
      </c>
      <c r="E1731" s="47">
        <f>IF(ISNUMBER(expected_production[[#This Row],[Commissioned Date]]),MAX(0,(expected_production[[#This Row],[Date]]-expected_production[[#This Row],[Commissioned Date]])/365.25),"")</f>
        <v>0</v>
      </c>
      <c r="F1731" s="49">
        <f>IF(expected_production[[#This Row],[Age (yrs)]]="",1,(1-DegradationRate)^expected_production[[#This Row],[Age (yrs)]])</f>
        <v>1</v>
      </c>
      <c r="G1731" s="52">
        <f>IF(expected_production[[#This Row],[Base Expected (kWh)]]="","",expected_production[[#This Row],[Base Expected (kWh)]]*expected_production[[#This Row],[Degradation Factor]])</f>
        <v>28699.56</v>
      </c>
    </row>
    <row r="1732" spans="1:7" ht="15" hidden="1" customHeight="1" x14ac:dyDescent="0.3">
      <c r="A1732" t="s">
        <v>216</v>
      </c>
      <c r="B1732" s="2">
        <v>45323</v>
      </c>
      <c r="C1732" s="52">
        <v>24909.3</v>
      </c>
      <c r="D1732" s="48">
        <f>_xlfn.XLOOKUP(expected_production[[#This Row],[Site Name]],Table1[[Site Name ]],Table1[Commisioned Date],"")</f>
        <v>45889</v>
      </c>
      <c r="E1732" s="47">
        <f>IF(ISNUMBER(expected_production[[#This Row],[Commissioned Date]]),MAX(0,(expected_production[[#This Row],[Date]]-expected_production[[#This Row],[Commissioned Date]])/365.25),"")</f>
        <v>0</v>
      </c>
      <c r="F1732" s="49">
        <f>IF(expected_production[[#This Row],[Age (yrs)]]="",1,(1-DegradationRate)^expected_production[[#This Row],[Age (yrs)]])</f>
        <v>1</v>
      </c>
      <c r="G1732" s="52">
        <f>IF(expected_production[[#This Row],[Base Expected (kWh)]]="","",expected_production[[#This Row],[Base Expected (kWh)]]*expected_production[[#This Row],[Degradation Factor]])</f>
        <v>24909.3</v>
      </c>
    </row>
    <row r="1733" spans="1:7" ht="15" hidden="1" customHeight="1" x14ac:dyDescent="0.3">
      <c r="A1733" t="s">
        <v>216</v>
      </c>
      <c r="B1733" s="2">
        <v>45352</v>
      </c>
      <c r="C1733" s="52">
        <v>24570</v>
      </c>
      <c r="D1733" s="48">
        <f>_xlfn.XLOOKUP(expected_production[[#This Row],[Site Name]],Table1[[Site Name ]],Table1[Commisioned Date],"")</f>
        <v>45889</v>
      </c>
      <c r="E1733" s="47">
        <f>IF(ISNUMBER(expected_production[[#This Row],[Commissioned Date]]),MAX(0,(expected_production[[#This Row],[Date]]-expected_production[[#This Row],[Commissioned Date]])/365.25),"")</f>
        <v>0</v>
      </c>
      <c r="F1733" s="49">
        <f>IF(expected_production[[#This Row],[Age (yrs)]]="",1,(1-DegradationRate)^expected_production[[#This Row],[Age (yrs)]])</f>
        <v>1</v>
      </c>
      <c r="G1733" s="52">
        <f>IF(expected_production[[#This Row],[Base Expected (kWh)]]="","",expected_production[[#This Row],[Base Expected (kWh)]]*expected_production[[#This Row],[Degradation Factor]])</f>
        <v>24570</v>
      </c>
    </row>
    <row r="1734" spans="1:7" ht="15" hidden="1" customHeight="1" x14ac:dyDescent="0.3">
      <c r="A1734" t="s">
        <v>216</v>
      </c>
      <c r="B1734" s="2">
        <v>45383</v>
      </c>
      <c r="C1734" s="52">
        <v>21388.5</v>
      </c>
      <c r="D1734" s="48">
        <f>_xlfn.XLOOKUP(expected_production[[#This Row],[Site Name]],Table1[[Site Name ]],Table1[Commisioned Date],"")</f>
        <v>45889</v>
      </c>
      <c r="E1734" s="47">
        <f>IF(ISNUMBER(expected_production[[#This Row],[Commissioned Date]]),MAX(0,(expected_production[[#This Row],[Date]]-expected_production[[#This Row],[Commissioned Date]])/365.25),"")</f>
        <v>0</v>
      </c>
      <c r="F1734" s="49">
        <f>IF(expected_production[[#This Row],[Age (yrs)]]="",1,(1-DegradationRate)^expected_production[[#This Row],[Age (yrs)]])</f>
        <v>1</v>
      </c>
      <c r="G1734" s="52">
        <f>IF(expected_production[[#This Row],[Base Expected (kWh)]]="","",expected_production[[#This Row],[Base Expected (kWh)]]*expected_production[[#This Row],[Degradation Factor]])</f>
        <v>21388.5</v>
      </c>
    </row>
    <row r="1735" spans="1:7" ht="15" hidden="1" customHeight="1" x14ac:dyDescent="0.3">
      <c r="A1735" t="s">
        <v>216</v>
      </c>
      <c r="B1735" s="2">
        <v>45413</v>
      </c>
      <c r="C1735" s="52">
        <v>19723.5</v>
      </c>
      <c r="D1735" s="48">
        <f>_xlfn.XLOOKUP(expected_production[[#This Row],[Site Name]],Table1[[Site Name ]],Table1[Commisioned Date],"")</f>
        <v>45889</v>
      </c>
      <c r="E1735" s="47">
        <f>IF(ISNUMBER(expected_production[[#This Row],[Commissioned Date]]),MAX(0,(expected_production[[#This Row],[Date]]-expected_production[[#This Row],[Commissioned Date]])/365.25),"")</f>
        <v>0</v>
      </c>
      <c r="F1735" s="49">
        <f>IF(expected_production[[#This Row],[Age (yrs)]]="",1,(1-DegradationRate)^expected_production[[#This Row],[Age (yrs)]])</f>
        <v>1</v>
      </c>
      <c r="G1735" s="52">
        <f>IF(expected_production[[#This Row],[Base Expected (kWh)]]="","",expected_production[[#This Row],[Base Expected (kWh)]]*expected_production[[#This Row],[Degradation Factor]])</f>
        <v>19723.5</v>
      </c>
    </row>
    <row r="1736" spans="1:7" ht="15" hidden="1" customHeight="1" x14ac:dyDescent="0.3">
      <c r="A1736" t="s">
        <v>216</v>
      </c>
      <c r="B1736" s="2">
        <v>45444</v>
      </c>
      <c r="C1736" s="52">
        <v>17431.2</v>
      </c>
      <c r="D1736" s="48">
        <f>_xlfn.XLOOKUP(expected_production[[#This Row],[Site Name]],Table1[[Site Name ]],Table1[Commisioned Date],"")</f>
        <v>45889</v>
      </c>
      <c r="E1736" s="47">
        <f>IF(ISNUMBER(expected_production[[#This Row],[Commissioned Date]]),MAX(0,(expected_production[[#This Row],[Date]]-expected_production[[#This Row],[Commissioned Date]])/365.25),"")</f>
        <v>0</v>
      </c>
      <c r="F1736" s="49">
        <f>IF(expected_production[[#This Row],[Age (yrs)]]="",1,(1-DegradationRate)^expected_production[[#This Row],[Age (yrs)]])</f>
        <v>1</v>
      </c>
      <c r="G1736" s="52">
        <f>IF(expected_production[[#This Row],[Base Expected (kWh)]]="","",expected_production[[#This Row],[Base Expected (kWh)]]*expected_production[[#This Row],[Degradation Factor]])</f>
        <v>17431.2</v>
      </c>
    </row>
    <row r="1737" spans="1:7" ht="15" hidden="1" customHeight="1" x14ac:dyDescent="0.3">
      <c r="A1737" t="s">
        <v>216</v>
      </c>
      <c r="B1737" s="2">
        <v>45474</v>
      </c>
      <c r="C1737" s="52">
        <v>19181.7</v>
      </c>
      <c r="D1737" s="48">
        <f>_xlfn.XLOOKUP(expected_production[[#This Row],[Site Name]],Table1[[Site Name ]],Table1[Commisioned Date],"")</f>
        <v>45889</v>
      </c>
      <c r="E1737" s="47">
        <f>IF(ISNUMBER(expected_production[[#This Row],[Commissioned Date]]),MAX(0,(expected_production[[#This Row],[Date]]-expected_production[[#This Row],[Commissioned Date]])/365.25),"")</f>
        <v>0</v>
      </c>
      <c r="F1737" s="49">
        <f>IF(expected_production[[#This Row],[Age (yrs)]]="",1,(1-DegradationRate)^expected_production[[#This Row],[Age (yrs)]])</f>
        <v>1</v>
      </c>
      <c r="G1737" s="52">
        <f>IF(expected_production[[#This Row],[Base Expected (kWh)]]="","",expected_production[[#This Row],[Base Expected (kWh)]]*expected_production[[#This Row],[Degradation Factor]])</f>
        <v>19181.7</v>
      </c>
    </row>
    <row r="1738" spans="1:7" ht="15" hidden="1" customHeight="1" x14ac:dyDescent="0.3">
      <c r="A1738" t="s">
        <v>216</v>
      </c>
      <c r="B1738" s="2">
        <v>45505</v>
      </c>
      <c r="C1738" s="52">
        <v>7231.3548387096798</v>
      </c>
      <c r="D1738" s="48">
        <f>_xlfn.XLOOKUP(expected_production[[#This Row],[Site Name]],Table1[[Site Name ]],Table1[Commisioned Date],"")</f>
        <v>45889</v>
      </c>
      <c r="E1738" s="47">
        <f>IF(ISNUMBER(expected_production[[#This Row],[Commissioned Date]]),MAX(0,(expected_production[[#This Row],[Date]]-expected_production[[#This Row],[Commissioned Date]])/365.25),"")</f>
        <v>0</v>
      </c>
      <c r="F1738" s="49">
        <f>IF(expected_production[[#This Row],[Age (yrs)]]="",1,(1-DegradationRate)^expected_production[[#This Row],[Age (yrs)]])</f>
        <v>1</v>
      </c>
      <c r="G1738" s="52">
        <f>IF(expected_production[[#This Row],[Base Expected (kWh)]]="","",expected_production[[#This Row],[Base Expected (kWh)]]*expected_production[[#This Row],[Degradation Factor]])</f>
        <v>7231.3548387096798</v>
      </c>
    </row>
    <row r="1739" spans="1:7" ht="15" hidden="1" customHeight="1" x14ac:dyDescent="0.3">
      <c r="A1739" t="s">
        <v>216</v>
      </c>
      <c r="B1739" s="2">
        <v>45536</v>
      </c>
      <c r="C1739" s="52">
        <v>24780.6</v>
      </c>
      <c r="D1739" s="48">
        <f>_xlfn.XLOOKUP(expected_production[[#This Row],[Site Name]],Table1[[Site Name ]],Table1[Commisioned Date],"")</f>
        <v>45889</v>
      </c>
      <c r="E1739" s="47">
        <f>IF(ISNUMBER(expected_production[[#This Row],[Commissioned Date]]),MAX(0,(expected_production[[#This Row],[Date]]-expected_production[[#This Row],[Commissioned Date]])/365.25),"")</f>
        <v>0</v>
      </c>
      <c r="F1739" s="49">
        <f>IF(expected_production[[#This Row],[Age (yrs)]]="",1,(1-DegradationRate)^expected_production[[#This Row],[Age (yrs)]])</f>
        <v>1</v>
      </c>
      <c r="G1739" s="52">
        <f>IF(expected_production[[#This Row],[Base Expected (kWh)]]="","",expected_production[[#This Row],[Base Expected (kWh)]]*expected_production[[#This Row],[Degradation Factor]])</f>
        <v>24780.6</v>
      </c>
    </row>
    <row r="1740" spans="1:7" ht="15" hidden="1" customHeight="1" x14ac:dyDescent="0.3">
      <c r="A1740" t="s">
        <v>216</v>
      </c>
      <c r="B1740" s="2">
        <v>45566</v>
      </c>
      <c r="C1740" s="52">
        <v>28127.7</v>
      </c>
      <c r="D1740" s="48">
        <f>_xlfn.XLOOKUP(expected_production[[#This Row],[Site Name]],Table1[[Site Name ]],Table1[Commisioned Date],"")</f>
        <v>45889</v>
      </c>
      <c r="E1740" s="47">
        <f>IF(ISNUMBER(expected_production[[#This Row],[Commissioned Date]]),MAX(0,(expected_production[[#This Row],[Date]]-expected_production[[#This Row],[Commissioned Date]])/365.25),"")</f>
        <v>0</v>
      </c>
      <c r="F1740" s="49">
        <f>IF(expected_production[[#This Row],[Age (yrs)]]="",1,(1-DegradationRate)^expected_production[[#This Row],[Age (yrs)]])</f>
        <v>1</v>
      </c>
      <c r="G1740" s="52">
        <f>IF(expected_production[[#This Row],[Base Expected (kWh)]]="","",expected_production[[#This Row],[Base Expected (kWh)]]*expected_production[[#This Row],[Degradation Factor]])</f>
        <v>28127.7</v>
      </c>
    </row>
    <row r="1741" spans="1:7" ht="15" hidden="1" customHeight="1" x14ac:dyDescent="0.3">
      <c r="A1741" t="s">
        <v>216</v>
      </c>
      <c r="B1741" s="2">
        <v>45597</v>
      </c>
      <c r="C1741" s="52">
        <v>28061.1</v>
      </c>
      <c r="D1741" s="48">
        <f>_xlfn.XLOOKUP(expected_production[[#This Row],[Site Name]],Table1[[Site Name ]],Table1[Commisioned Date],"")</f>
        <v>45889</v>
      </c>
      <c r="E1741" s="47">
        <f>IF(ISNUMBER(expected_production[[#This Row],[Commissioned Date]]),MAX(0,(expected_production[[#This Row],[Date]]-expected_production[[#This Row],[Commissioned Date]])/365.25),"")</f>
        <v>0</v>
      </c>
      <c r="F1741" s="49">
        <f>IF(expected_production[[#This Row],[Age (yrs)]]="",1,(1-DegradationRate)^expected_production[[#This Row],[Age (yrs)]])</f>
        <v>1</v>
      </c>
      <c r="G1741" s="52">
        <f>IF(expected_production[[#This Row],[Base Expected (kWh)]]="","",expected_production[[#This Row],[Base Expected (kWh)]]*expected_production[[#This Row],[Degradation Factor]])</f>
        <v>28061.1</v>
      </c>
    </row>
    <row r="1742" spans="1:7" ht="15" hidden="1" customHeight="1" x14ac:dyDescent="0.3">
      <c r="A1742" t="s">
        <v>216</v>
      </c>
      <c r="B1742" s="2">
        <v>45627</v>
      </c>
      <c r="C1742" s="52">
        <v>28703.7</v>
      </c>
      <c r="D1742" s="48">
        <f>_xlfn.XLOOKUP(expected_production[[#This Row],[Site Name]],Table1[[Site Name ]],Table1[Commisioned Date],"")</f>
        <v>45889</v>
      </c>
      <c r="E1742" s="47">
        <f>IF(ISNUMBER(expected_production[[#This Row],[Commissioned Date]]),MAX(0,(expected_production[[#This Row],[Date]]-expected_production[[#This Row],[Commissioned Date]])/365.25),"")</f>
        <v>0</v>
      </c>
      <c r="F1742" s="49">
        <f>IF(expected_production[[#This Row],[Age (yrs)]]="",1,(1-DegradationRate)^expected_production[[#This Row],[Age (yrs)]])</f>
        <v>1</v>
      </c>
      <c r="G1742" s="52">
        <f>IF(expected_production[[#This Row],[Base Expected (kWh)]]="","",expected_production[[#This Row],[Base Expected (kWh)]]*expected_production[[#This Row],[Degradation Factor]])</f>
        <v>28703.7</v>
      </c>
    </row>
    <row r="1743" spans="1:7" ht="15" hidden="1" customHeight="1" x14ac:dyDescent="0.3">
      <c r="A1743" t="s">
        <v>216</v>
      </c>
      <c r="B1743" s="2">
        <v>45658</v>
      </c>
      <c r="C1743" s="52">
        <v>28699.56</v>
      </c>
      <c r="D1743" s="48">
        <f>_xlfn.XLOOKUP(expected_production[[#This Row],[Site Name]],Table1[[Site Name ]],Table1[Commisioned Date],"")</f>
        <v>45889</v>
      </c>
      <c r="E1743" s="47">
        <f>IF(ISNUMBER(expected_production[[#This Row],[Commissioned Date]]),MAX(0,(expected_production[[#This Row],[Date]]-expected_production[[#This Row],[Commissioned Date]])/365.25),"")</f>
        <v>0</v>
      </c>
      <c r="F1743" s="49">
        <f>IF(expected_production[[#This Row],[Age (yrs)]]="",1,(1-DegradationRate)^expected_production[[#This Row],[Age (yrs)]])</f>
        <v>1</v>
      </c>
      <c r="G1743" s="52">
        <f>IF(expected_production[[#This Row],[Base Expected (kWh)]]="","",expected_production[[#This Row],[Base Expected (kWh)]]*expected_production[[#This Row],[Degradation Factor]])</f>
        <v>28699.56</v>
      </c>
    </row>
    <row r="1744" spans="1:7" ht="15" hidden="1" customHeight="1" x14ac:dyDescent="0.3">
      <c r="A1744" t="s">
        <v>216</v>
      </c>
      <c r="B1744" s="2">
        <v>45689</v>
      </c>
      <c r="C1744" s="52">
        <v>24909.3</v>
      </c>
      <c r="D1744" s="48">
        <f>_xlfn.XLOOKUP(expected_production[[#This Row],[Site Name]],Table1[[Site Name ]],Table1[Commisioned Date],"")</f>
        <v>45889</v>
      </c>
      <c r="E1744" s="47">
        <f>IF(ISNUMBER(expected_production[[#This Row],[Commissioned Date]]),MAX(0,(expected_production[[#This Row],[Date]]-expected_production[[#This Row],[Commissioned Date]])/365.25),"")</f>
        <v>0</v>
      </c>
      <c r="F1744" s="49">
        <f>IF(expected_production[[#This Row],[Age (yrs)]]="",1,(1-DegradationRate)^expected_production[[#This Row],[Age (yrs)]])</f>
        <v>1</v>
      </c>
      <c r="G1744" s="52">
        <f>IF(expected_production[[#This Row],[Base Expected (kWh)]]="","",expected_production[[#This Row],[Base Expected (kWh)]]*expected_production[[#This Row],[Degradation Factor]])</f>
        <v>24909.3</v>
      </c>
    </row>
    <row r="1745" spans="1:7" ht="15" hidden="1" customHeight="1" x14ac:dyDescent="0.3">
      <c r="A1745" t="s">
        <v>216</v>
      </c>
      <c r="B1745" s="2">
        <v>45717</v>
      </c>
      <c r="C1745" s="52">
        <v>24570</v>
      </c>
      <c r="D1745" s="48">
        <f>_xlfn.XLOOKUP(expected_production[[#This Row],[Site Name]],Table1[[Site Name ]],Table1[Commisioned Date],"")</f>
        <v>45889</v>
      </c>
      <c r="E1745" s="47">
        <f>IF(ISNUMBER(expected_production[[#This Row],[Commissioned Date]]),MAX(0,(expected_production[[#This Row],[Date]]-expected_production[[#This Row],[Commissioned Date]])/365.25),"")</f>
        <v>0</v>
      </c>
      <c r="F1745" s="49">
        <f>IF(expected_production[[#This Row],[Age (yrs)]]="",1,(1-DegradationRate)^expected_production[[#This Row],[Age (yrs)]])</f>
        <v>1</v>
      </c>
      <c r="G1745" s="52">
        <f>IF(expected_production[[#This Row],[Base Expected (kWh)]]="","",expected_production[[#This Row],[Base Expected (kWh)]]*expected_production[[#This Row],[Degradation Factor]])</f>
        <v>24570</v>
      </c>
    </row>
    <row r="1746" spans="1:7" ht="15" hidden="1" customHeight="1" x14ac:dyDescent="0.3">
      <c r="A1746" t="s">
        <v>216</v>
      </c>
      <c r="B1746" s="2">
        <v>45748</v>
      </c>
      <c r="C1746" s="52">
        <v>21388.5</v>
      </c>
      <c r="D1746" s="48">
        <f>_xlfn.XLOOKUP(expected_production[[#This Row],[Site Name]],Table1[[Site Name ]],Table1[Commisioned Date],"")</f>
        <v>45889</v>
      </c>
      <c r="E1746" s="47">
        <f>IF(ISNUMBER(expected_production[[#This Row],[Commissioned Date]]),MAX(0,(expected_production[[#This Row],[Date]]-expected_production[[#This Row],[Commissioned Date]])/365.25),"")</f>
        <v>0</v>
      </c>
      <c r="F1746" s="49">
        <f>IF(expected_production[[#This Row],[Age (yrs)]]="",1,(1-DegradationRate)^expected_production[[#This Row],[Age (yrs)]])</f>
        <v>1</v>
      </c>
      <c r="G1746" s="52">
        <f>IF(expected_production[[#This Row],[Base Expected (kWh)]]="","",expected_production[[#This Row],[Base Expected (kWh)]]*expected_production[[#This Row],[Degradation Factor]])</f>
        <v>21388.5</v>
      </c>
    </row>
    <row r="1747" spans="1:7" ht="15" hidden="1" customHeight="1" x14ac:dyDescent="0.3">
      <c r="A1747" t="s">
        <v>216</v>
      </c>
      <c r="B1747" s="2">
        <v>45778</v>
      </c>
      <c r="C1747" s="52">
        <v>19723.5</v>
      </c>
      <c r="D1747" s="48">
        <f>_xlfn.XLOOKUP(expected_production[[#This Row],[Site Name]],Table1[[Site Name ]],Table1[Commisioned Date],"")</f>
        <v>45889</v>
      </c>
      <c r="E1747" s="47">
        <f>IF(ISNUMBER(expected_production[[#This Row],[Commissioned Date]]),MAX(0,(expected_production[[#This Row],[Date]]-expected_production[[#This Row],[Commissioned Date]])/365.25),"")</f>
        <v>0</v>
      </c>
      <c r="F1747" s="49">
        <f>IF(expected_production[[#This Row],[Age (yrs)]]="",1,(1-DegradationRate)^expected_production[[#This Row],[Age (yrs)]])</f>
        <v>1</v>
      </c>
      <c r="G1747" s="52">
        <f>IF(expected_production[[#This Row],[Base Expected (kWh)]]="","",expected_production[[#This Row],[Base Expected (kWh)]]*expected_production[[#This Row],[Degradation Factor]])</f>
        <v>19723.5</v>
      </c>
    </row>
    <row r="1748" spans="1:7" ht="15" hidden="1" customHeight="1" x14ac:dyDescent="0.3">
      <c r="A1748" t="s">
        <v>216</v>
      </c>
      <c r="B1748" s="2">
        <v>45809</v>
      </c>
      <c r="C1748" s="52">
        <v>17431.2</v>
      </c>
      <c r="D1748" s="48">
        <f>_xlfn.XLOOKUP(expected_production[[#This Row],[Site Name]],Table1[[Site Name ]],Table1[Commisioned Date],"")</f>
        <v>45889</v>
      </c>
      <c r="E1748" s="47">
        <f>IF(ISNUMBER(expected_production[[#This Row],[Commissioned Date]]),MAX(0,(expected_production[[#This Row],[Date]]-expected_production[[#This Row],[Commissioned Date]])/365.25),"")</f>
        <v>0</v>
      </c>
      <c r="F1748" s="49">
        <f>IF(expected_production[[#This Row],[Age (yrs)]]="",1,(1-DegradationRate)^expected_production[[#This Row],[Age (yrs)]])</f>
        <v>1</v>
      </c>
      <c r="G1748" s="52">
        <f>IF(expected_production[[#This Row],[Base Expected (kWh)]]="","",expected_production[[#This Row],[Base Expected (kWh)]]*expected_production[[#This Row],[Degradation Factor]])</f>
        <v>17431.2</v>
      </c>
    </row>
    <row r="1749" spans="1:7" ht="15" hidden="1" customHeight="1" x14ac:dyDescent="0.3">
      <c r="A1749" t="s">
        <v>216</v>
      </c>
      <c r="B1749" s="2">
        <v>45839</v>
      </c>
      <c r="C1749" s="52">
        <v>19181.7</v>
      </c>
      <c r="D1749" s="48">
        <f>_xlfn.XLOOKUP(expected_production[[#This Row],[Site Name]],Table1[[Site Name ]],Table1[Commisioned Date],"")</f>
        <v>45889</v>
      </c>
      <c r="E1749" s="47">
        <f>IF(ISNUMBER(expected_production[[#This Row],[Commissioned Date]]),MAX(0,(expected_production[[#This Row],[Date]]-expected_production[[#This Row],[Commissioned Date]])/365.25),"")</f>
        <v>0</v>
      </c>
      <c r="F1749" s="49">
        <f>IF(expected_production[[#This Row],[Age (yrs)]]="",1,(1-DegradationRate)^expected_production[[#This Row],[Age (yrs)]])</f>
        <v>1</v>
      </c>
      <c r="G1749" s="52">
        <f>IF(expected_production[[#This Row],[Base Expected (kWh)]]="","",expected_production[[#This Row],[Base Expected (kWh)]]*expected_production[[#This Row],[Degradation Factor]])</f>
        <v>19181.7</v>
      </c>
    </row>
    <row r="1750" spans="1:7" ht="15" hidden="1" customHeight="1" x14ac:dyDescent="0.3">
      <c r="A1750" t="s">
        <v>216</v>
      </c>
      <c r="B1750" s="2">
        <v>45870</v>
      </c>
      <c r="C1750" s="52">
        <v>7231.3548387096798</v>
      </c>
      <c r="D1750" s="48">
        <f>_xlfn.XLOOKUP(expected_production[[#This Row],[Site Name]],Table1[[Site Name ]],Table1[Commisioned Date],"")</f>
        <v>45889</v>
      </c>
      <c r="E1750" s="47">
        <f>IF(ISNUMBER(expected_production[[#This Row],[Commissioned Date]]),MAX(0,(expected_production[[#This Row],[Date]]-expected_production[[#This Row],[Commissioned Date]])/365.25),"")</f>
        <v>0</v>
      </c>
      <c r="F1750" s="49">
        <f>IF(expected_production[[#This Row],[Age (yrs)]]="",1,(1-DegradationRate)^expected_production[[#This Row],[Age (yrs)]])</f>
        <v>1</v>
      </c>
      <c r="G1750" s="52">
        <f>IF(expected_production[[#This Row],[Base Expected (kWh)]]="","",expected_production[[#This Row],[Base Expected (kWh)]]*expected_production[[#This Row],[Degradation Factor]])</f>
        <v>7231.3548387096798</v>
      </c>
    </row>
    <row r="1751" spans="1:7" ht="15" hidden="1" customHeight="1" x14ac:dyDescent="0.3">
      <c r="A1751" t="s">
        <v>216</v>
      </c>
      <c r="B1751" s="2">
        <v>45901</v>
      </c>
      <c r="C1751" s="52">
        <v>24780.6</v>
      </c>
      <c r="D1751" s="48">
        <f>_xlfn.XLOOKUP(expected_production[[#This Row],[Site Name]],Table1[[Site Name ]],Table1[Commisioned Date],"")</f>
        <v>45889</v>
      </c>
      <c r="E1751" s="47">
        <f>IF(ISNUMBER(expected_production[[#This Row],[Commissioned Date]]),MAX(0,(expected_production[[#This Row],[Date]]-expected_production[[#This Row],[Commissioned Date]])/365.25),"")</f>
        <v>3.2854209445585217E-2</v>
      </c>
      <c r="F1751" s="49">
        <f>IF(expected_production[[#This Row],[Age (yrs)]]="",1,(1-DegradationRate)^expected_production[[#This Row],[Age (yrs)]])</f>
        <v>0.99976923845912757</v>
      </c>
      <c r="G1751" s="52">
        <f>IF(expected_production[[#This Row],[Base Expected (kWh)]]="","",expected_production[[#This Row],[Base Expected (kWh)]]*expected_production[[#This Row],[Degradation Factor]])</f>
        <v>24774.881590560257</v>
      </c>
    </row>
    <row r="1752" spans="1:7" ht="15" hidden="1" customHeight="1" x14ac:dyDescent="0.3">
      <c r="A1752" t="s">
        <v>216</v>
      </c>
      <c r="B1752" s="2">
        <v>45931</v>
      </c>
      <c r="C1752" s="52">
        <v>28127.7</v>
      </c>
      <c r="D1752" s="48">
        <f>_xlfn.XLOOKUP(expected_production[[#This Row],[Site Name]],Table1[[Site Name ]],Table1[Commisioned Date],"")</f>
        <v>45889</v>
      </c>
      <c r="E1752" s="47">
        <f>IF(ISNUMBER(expected_production[[#This Row],[Commissioned Date]]),MAX(0,(expected_production[[#This Row],[Date]]-expected_production[[#This Row],[Commissioned Date]])/365.25),"")</f>
        <v>0.11498973305954825</v>
      </c>
      <c r="F1752" s="49">
        <f>IF(expected_production[[#This Row],[Age (yrs)]]="",1,(1-DegradationRate)^expected_production[[#This Row],[Age (yrs)]])</f>
        <v>0.99919256755270491</v>
      </c>
      <c r="G1752" s="52">
        <f>IF(expected_production[[#This Row],[Base Expected (kWh)]]="","",expected_production[[#This Row],[Base Expected (kWh)]]*expected_production[[#This Row],[Degradation Factor]])</f>
        <v>28104.988782352219</v>
      </c>
    </row>
    <row r="1753" spans="1:7" ht="15" hidden="1" customHeight="1" x14ac:dyDescent="0.3">
      <c r="A1753" t="s">
        <v>216</v>
      </c>
      <c r="B1753" s="2">
        <v>45962</v>
      </c>
      <c r="C1753" s="52">
        <v>28061.1</v>
      </c>
      <c r="D1753" s="48">
        <f>_xlfn.XLOOKUP(expected_production[[#This Row],[Site Name]],Table1[[Site Name ]],Table1[Commisioned Date],"")</f>
        <v>45889</v>
      </c>
      <c r="E1753" s="47">
        <f>IF(ISNUMBER(expected_production[[#This Row],[Commissioned Date]]),MAX(0,(expected_production[[#This Row],[Date]]-expected_production[[#This Row],[Commissioned Date]])/365.25),"")</f>
        <v>0.1998631074606434</v>
      </c>
      <c r="F1753" s="49">
        <f>IF(expected_production[[#This Row],[Age (yrs)]]="",1,(1-DegradationRate)^expected_production[[#This Row],[Age (yrs)]])</f>
        <v>0.99859702372268344</v>
      </c>
      <c r="G1753" s="52">
        <f>IF(expected_production[[#This Row],[Base Expected (kWh)]]="","",expected_production[[#This Row],[Base Expected (kWh)]]*expected_production[[#This Row],[Degradation Factor]])</f>
        <v>28021.730942384591</v>
      </c>
    </row>
    <row r="1754" spans="1:7" ht="15" hidden="1" customHeight="1" x14ac:dyDescent="0.3">
      <c r="A1754" t="s">
        <v>216</v>
      </c>
      <c r="B1754" s="2">
        <v>45992</v>
      </c>
      <c r="C1754" s="52">
        <v>28703.7</v>
      </c>
      <c r="D1754" s="48">
        <f>_xlfn.XLOOKUP(expected_production[[#This Row],[Site Name]],Table1[[Site Name ]],Table1[Commisioned Date],"")</f>
        <v>45889</v>
      </c>
      <c r="E1754" s="47">
        <f>IF(ISNUMBER(expected_production[[#This Row],[Commissioned Date]]),MAX(0,(expected_production[[#This Row],[Date]]-expected_production[[#This Row],[Commissioned Date]])/365.25),"")</f>
        <v>0.28199863107460643</v>
      </c>
      <c r="F1754" s="49">
        <f>IF(expected_production[[#This Row],[Age (yrs)]]="",1,(1-DegradationRate)^expected_production[[#This Row],[Age (yrs)]])</f>
        <v>0.99802102895442202</v>
      </c>
      <c r="G1754" s="52">
        <f>IF(expected_production[[#This Row],[Base Expected (kWh)]]="","",expected_production[[#This Row],[Base Expected (kWh)]]*expected_production[[#This Row],[Degradation Factor]])</f>
        <v>28646.896208799044</v>
      </c>
    </row>
    <row r="1755" spans="1:7" ht="15" hidden="1" customHeight="1" x14ac:dyDescent="0.3">
      <c r="A1755" t="s">
        <v>216</v>
      </c>
      <c r="B1755" s="2">
        <v>46023</v>
      </c>
      <c r="C1755" s="52">
        <v>28699.56</v>
      </c>
      <c r="D1755" s="48">
        <f>_xlfn.XLOOKUP(expected_production[[#This Row],[Site Name]],Table1[[Site Name ]],Table1[Commisioned Date],"")</f>
        <v>45889</v>
      </c>
      <c r="E1755" s="47">
        <f>IF(ISNUMBER(expected_production[[#This Row],[Commissioned Date]]),MAX(0,(expected_production[[#This Row],[Date]]-expected_production[[#This Row],[Commissioned Date]])/365.25),"")</f>
        <v>0.36687200547570159</v>
      </c>
      <c r="F1755" s="49">
        <f>IF(expected_production[[#This Row],[Age (yrs)]]="",1,(1-DegradationRate)^expected_production[[#This Row],[Age (yrs)]])</f>
        <v>0.99742618339078737</v>
      </c>
      <c r="G1755" s="52">
        <f>IF(expected_production[[#This Row],[Base Expected (kWh)]]="","",expected_production[[#This Row],[Base Expected (kWh)]]*expected_production[[#This Row],[Degradation Factor]])</f>
        <v>28625.692595794906</v>
      </c>
    </row>
    <row r="1756" spans="1:7" ht="15" hidden="1" customHeight="1" x14ac:dyDescent="0.3">
      <c r="A1756" t="s">
        <v>216</v>
      </c>
      <c r="B1756" s="2">
        <v>46054</v>
      </c>
      <c r="C1756" s="52">
        <v>24909.3</v>
      </c>
      <c r="D1756" s="48">
        <f>_xlfn.XLOOKUP(expected_production[[#This Row],[Site Name]],Table1[[Site Name ]],Table1[Commisioned Date],"")</f>
        <v>45889</v>
      </c>
      <c r="E1756" s="47">
        <f>IF(ISNUMBER(expected_production[[#This Row],[Commissioned Date]]),MAX(0,(expected_production[[#This Row],[Date]]-expected_production[[#This Row],[Commissioned Date]])/365.25),"")</f>
        <v>0.45174537987679669</v>
      </c>
      <c r="F1756" s="49">
        <f>IF(expected_production[[#This Row],[Age (yrs)]]="",1,(1-DegradationRate)^expected_production[[#This Row],[Age (yrs)]])</f>
        <v>0.99683169237002733</v>
      </c>
      <c r="G1756" s="52">
        <f>IF(expected_production[[#This Row],[Base Expected (kWh)]]="","",expected_production[[#This Row],[Base Expected (kWh)]]*expected_production[[#This Row],[Degradation Factor]])</f>
        <v>24830.379674752719</v>
      </c>
    </row>
    <row r="1757" spans="1:7" ht="15" hidden="1" customHeight="1" x14ac:dyDescent="0.3">
      <c r="A1757" t="s">
        <v>216</v>
      </c>
      <c r="B1757" s="2">
        <v>46082</v>
      </c>
      <c r="C1757" s="52">
        <v>24570</v>
      </c>
      <c r="D1757" s="48">
        <f>_xlfn.XLOOKUP(expected_production[[#This Row],[Site Name]],Table1[[Site Name ]],Table1[Commisioned Date],"")</f>
        <v>45889</v>
      </c>
      <c r="E1757" s="47">
        <f>IF(ISNUMBER(expected_production[[#This Row],[Commissioned Date]]),MAX(0,(expected_production[[#This Row],[Date]]-expected_production[[#This Row],[Commissioned Date]])/365.25),"")</f>
        <v>0.52840520191649554</v>
      </c>
      <c r="F1757" s="49">
        <f>IF(expected_production[[#This Row],[Age (yrs)]]="",1,(1-DegradationRate)^expected_production[[#This Row],[Age (yrs)]])</f>
        <v>0.99629503729976254</v>
      </c>
      <c r="G1757" s="52">
        <f>IF(expected_production[[#This Row],[Base Expected (kWh)]]="","",expected_production[[#This Row],[Base Expected (kWh)]]*expected_production[[#This Row],[Degradation Factor]])</f>
        <v>24478.969066455167</v>
      </c>
    </row>
    <row r="1758" spans="1:7" ht="15" hidden="1" customHeight="1" x14ac:dyDescent="0.3">
      <c r="A1758" t="s">
        <v>216</v>
      </c>
      <c r="B1758" s="2">
        <v>46113</v>
      </c>
      <c r="C1758" s="52">
        <v>21388.5</v>
      </c>
      <c r="D1758" s="48">
        <f>_xlfn.XLOOKUP(expected_production[[#This Row],[Site Name]],Table1[[Site Name ]],Table1[Commisioned Date],"")</f>
        <v>45889</v>
      </c>
      <c r="E1758" s="47">
        <f>IF(ISNUMBER(expected_production[[#This Row],[Commissioned Date]]),MAX(0,(expected_production[[#This Row],[Date]]-expected_production[[#This Row],[Commissioned Date]])/365.25),"")</f>
        <v>0.61327857631759064</v>
      </c>
      <c r="F1758" s="49">
        <f>IF(expected_production[[#This Row],[Age (yrs)]]="",1,(1-DegradationRate)^expected_production[[#This Row],[Age (yrs)]])</f>
        <v>0.99570122047044196</v>
      </c>
      <c r="G1758" s="52">
        <f>IF(expected_production[[#This Row],[Base Expected (kWh)]]="","",expected_production[[#This Row],[Base Expected (kWh)]]*expected_production[[#This Row],[Degradation Factor]])</f>
        <v>21296.555554032049</v>
      </c>
    </row>
    <row r="1759" spans="1:7" ht="15" hidden="1" customHeight="1" x14ac:dyDescent="0.3">
      <c r="A1759" t="s">
        <v>216</v>
      </c>
      <c r="B1759" s="2">
        <v>46143</v>
      </c>
      <c r="C1759" s="52">
        <v>19723.5</v>
      </c>
      <c r="D1759" s="48">
        <f>_xlfn.XLOOKUP(expected_production[[#This Row],[Site Name]],Table1[[Site Name ]],Table1[Commisioned Date],"")</f>
        <v>45889</v>
      </c>
      <c r="E1759" s="47">
        <f>IF(ISNUMBER(expected_production[[#This Row],[Commissioned Date]]),MAX(0,(expected_production[[#This Row],[Date]]-expected_production[[#This Row],[Commissioned Date]])/365.25),"")</f>
        <v>0.69541409993155368</v>
      </c>
      <c r="F1759" s="49">
        <f>IF(expected_production[[#This Row],[Age (yrs)]]="",1,(1-DegradationRate)^expected_production[[#This Row],[Age (yrs)]])</f>
        <v>0.99512689601311044</v>
      </c>
      <c r="G1759" s="52">
        <f>IF(expected_production[[#This Row],[Base Expected (kWh)]]="","",expected_production[[#This Row],[Base Expected (kWh)]]*expected_production[[#This Row],[Degradation Factor]])</f>
        <v>19627.385333514583</v>
      </c>
    </row>
    <row r="1760" spans="1:7" ht="15" hidden="1" customHeight="1" x14ac:dyDescent="0.3">
      <c r="A1760" t="s">
        <v>216</v>
      </c>
      <c r="B1760" s="2">
        <v>46174</v>
      </c>
      <c r="C1760" s="52">
        <v>17431.2</v>
      </c>
      <c r="D1760" s="48">
        <f>_xlfn.XLOOKUP(expected_production[[#This Row],[Site Name]],Table1[[Site Name ]],Table1[Commisioned Date],"")</f>
        <v>45889</v>
      </c>
      <c r="E1760" s="47">
        <f>IF(ISNUMBER(expected_production[[#This Row],[Commissioned Date]]),MAX(0,(expected_production[[#This Row],[Date]]-expected_production[[#This Row],[Commissioned Date]])/365.25),"")</f>
        <v>0.78028747433264889</v>
      </c>
      <c r="F1760" s="49">
        <f>IF(expected_production[[#This Row],[Age (yrs)]]="",1,(1-DegradationRate)^expected_production[[#This Row],[Age (yrs)]])</f>
        <v>0.99453377542529364</v>
      </c>
      <c r="G1760" s="52">
        <f>IF(expected_production[[#This Row],[Base Expected (kWh)]]="","",expected_production[[#This Row],[Base Expected (kWh)]]*expected_production[[#This Row],[Degradation Factor]])</f>
        <v>17335.91714619338</v>
      </c>
    </row>
    <row r="1761" spans="1:7" ht="15" hidden="1" customHeight="1" x14ac:dyDescent="0.3">
      <c r="A1761" t="s">
        <v>216</v>
      </c>
      <c r="B1761" s="2">
        <v>46204</v>
      </c>
      <c r="C1761" s="52">
        <v>19181.7</v>
      </c>
      <c r="D1761" s="48">
        <f>_xlfn.XLOOKUP(expected_production[[#This Row],[Site Name]],Table1[[Site Name ]],Table1[Commisioned Date],"")</f>
        <v>45889</v>
      </c>
      <c r="E1761" s="47">
        <f>IF(ISNUMBER(expected_production[[#This Row],[Commissioned Date]]),MAX(0,(expected_production[[#This Row],[Date]]-expected_production[[#This Row],[Commissioned Date]])/365.25),"")</f>
        <v>0.86242299794661192</v>
      </c>
      <c r="F1761" s="49">
        <f>IF(expected_production[[#This Row],[Age (yrs)]]="",1,(1-DegradationRate)^expected_production[[#This Row],[Age (yrs)]])</f>
        <v>0.99396012435494629</v>
      </c>
      <c r="G1761" s="52">
        <f>IF(expected_production[[#This Row],[Base Expected (kWh)]]="","",expected_production[[#This Row],[Base Expected (kWh)]]*expected_production[[#This Row],[Degradation Factor]])</f>
        <v>19065.844917339273</v>
      </c>
    </row>
    <row r="1762" spans="1:7" ht="15" hidden="1" customHeight="1" x14ac:dyDescent="0.3">
      <c r="A1762" t="s">
        <v>216</v>
      </c>
      <c r="B1762" s="2">
        <v>46235</v>
      </c>
      <c r="C1762" s="52">
        <v>22417</v>
      </c>
      <c r="D1762" s="48">
        <f>_xlfn.XLOOKUP(expected_production[[#This Row],[Site Name]],Table1[[Site Name ]],Table1[Commisioned Date],"")</f>
        <v>45889</v>
      </c>
      <c r="E1762" s="47">
        <f>IF(ISNUMBER(expected_production[[#This Row],[Commissioned Date]]),MAX(0,(expected_production[[#This Row],[Date]]-expected_production[[#This Row],[Commissioned Date]])/365.25),"")</f>
        <v>0.94729637234770703</v>
      </c>
      <c r="F1762" s="49">
        <f>IF(expected_production[[#This Row],[Age (yrs)]]="",1,(1-DegradationRate)^expected_production[[#This Row],[Age (yrs)]])</f>
        <v>0.99336769919230039</v>
      </c>
      <c r="G1762" s="52">
        <f>IF(expected_production[[#This Row],[Base Expected (kWh)]]="","",expected_production[[#This Row],[Base Expected (kWh)]]*expected_production[[#This Row],[Degradation Factor]])</f>
        <v>22268.323712793797</v>
      </c>
    </row>
    <row r="1763" spans="1:7" ht="15" hidden="1" customHeight="1" x14ac:dyDescent="0.3">
      <c r="A1763" t="s">
        <v>216</v>
      </c>
      <c r="B1763" s="2">
        <v>46266</v>
      </c>
      <c r="C1763" s="52">
        <v>24780.6</v>
      </c>
      <c r="D1763" s="48">
        <f>_xlfn.XLOOKUP(expected_production[[#This Row],[Site Name]],Table1[[Site Name ]],Table1[Commisioned Date],"")</f>
        <v>45889</v>
      </c>
      <c r="E1763" s="47">
        <f>IF(ISNUMBER(expected_production[[#This Row],[Commissioned Date]]),MAX(0,(expected_production[[#This Row],[Date]]-expected_production[[#This Row],[Commissioned Date]])/365.25),"")</f>
        <v>1.0321697467488022</v>
      </c>
      <c r="F1763" s="49">
        <f>IF(expected_production[[#This Row],[Age (yrs)]]="",1,(1-DegradationRate)^expected_production[[#This Row],[Age (yrs)]])</f>
        <v>0.99277562712990952</v>
      </c>
      <c r="G1763" s="52">
        <f>IF(expected_production[[#This Row],[Base Expected (kWh)]]="","",expected_production[[#This Row],[Base Expected (kWh)]]*expected_production[[#This Row],[Degradation Factor]])</f>
        <v>24601.575705655436</v>
      </c>
    </row>
    <row r="1764" spans="1:7" ht="15" hidden="1" customHeight="1" x14ac:dyDescent="0.3">
      <c r="A1764" t="s">
        <v>216</v>
      </c>
      <c r="B1764" s="2">
        <v>46296</v>
      </c>
      <c r="C1764" s="52">
        <v>28127.7</v>
      </c>
      <c r="D1764" s="48">
        <f>_xlfn.XLOOKUP(expected_production[[#This Row],[Site Name]],Table1[[Site Name ]],Table1[Commisioned Date],"")</f>
        <v>45889</v>
      </c>
      <c r="E1764" s="47">
        <f>IF(ISNUMBER(expected_production[[#This Row],[Commissioned Date]]),MAX(0,(expected_production[[#This Row],[Date]]-expected_production[[#This Row],[Commissioned Date]])/365.25),"")</f>
        <v>1.1143052703627652</v>
      </c>
      <c r="F1764" s="49">
        <f>IF(expected_production[[#This Row],[Age (yrs)]]="",1,(1-DegradationRate)^expected_production[[#This Row],[Age (yrs)]])</f>
        <v>0.99220299016655011</v>
      </c>
      <c r="G1764" s="52">
        <f>IF(expected_production[[#This Row],[Base Expected (kWh)]]="","",expected_production[[#This Row],[Base Expected (kWh)]]*expected_production[[#This Row],[Degradation Factor]])</f>
        <v>27908.388046507673</v>
      </c>
    </row>
    <row r="1765" spans="1:7" ht="15" hidden="1" customHeight="1" x14ac:dyDescent="0.3">
      <c r="A1765" t="s">
        <v>216</v>
      </c>
      <c r="B1765" s="2">
        <v>46327</v>
      </c>
      <c r="C1765" s="52">
        <v>28061.1</v>
      </c>
      <c r="D1765" s="48">
        <f>_xlfn.XLOOKUP(expected_production[[#This Row],[Site Name]],Table1[[Site Name ]],Table1[Commisioned Date],"")</f>
        <v>45889</v>
      </c>
      <c r="E1765" s="47">
        <f>IF(ISNUMBER(expected_production[[#This Row],[Commissioned Date]]),MAX(0,(expected_production[[#This Row],[Date]]-expected_production[[#This Row],[Commissioned Date]])/365.25),"")</f>
        <v>1.1991786447638604</v>
      </c>
      <c r="F1765" s="49">
        <f>IF(expected_production[[#This Row],[Age (yrs)]]="",1,(1-DegradationRate)^expected_production[[#This Row],[Age (yrs)]])</f>
        <v>0.99161161229994954</v>
      </c>
      <c r="G1765" s="52">
        <f>IF(expected_production[[#This Row],[Base Expected (kWh)]]="","",expected_production[[#This Row],[Base Expected (kWh)]]*expected_production[[#This Row],[Degradation Factor]])</f>
        <v>27825.712613910113</v>
      </c>
    </row>
    <row r="1766" spans="1:7" ht="15" hidden="1" customHeight="1" x14ac:dyDescent="0.3">
      <c r="A1766" t="s">
        <v>216</v>
      </c>
      <c r="B1766" s="2">
        <v>46357</v>
      </c>
      <c r="C1766" s="52">
        <v>28703.7</v>
      </c>
      <c r="D1766" s="48">
        <f>_xlfn.XLOOKUP(expected_production[[#This Row],[Site Name]],Table1[[Site Name ]],Table1[Commisioned Date],"")</f>
        <v>45889</v>
      </c>
      <c r="E1766" s="47">
        <f>IF(ISNUMBER(expected_production[[#This Row],[Commissioned Date]]),MAX(0,(expected_production[[#This Row],[Date]]-expected_production[[#This Row],[Commissioned Date]])/365.25),"")</f>
        <v>1.2813141683778233</v>
      </c>
      <c r="F1766" s="49">
        <f>IF(expected_production[[#This Row],[Age (yrs)]]="",1,(1-DegradationRate)^expected_production[[#This Row],[Age (yrs)]])</f>
        <v>0.99103964674501255</v>
      </c>
      <c r="G1766" s="52">
        <f>IF(expected_production[[#This Row],[Base Expected (kWh)]]="","",expected_production[[#This Row],[Base Expected (kWh)]]*expected_production[[#This Row],[Degradation Factor]])</f>
        <v>28446.504708274817</v>
      </c>
    </row>
    <row r="1767" spans="1:7" ht="15" hidden="1" customHeight="1" x14ac:dyDescent="0.3">
      <c r="A1767" t="s">
        <v>218</v>
      </c>
      <c r="B1767" s="2">
        <v>45292</v>
      </c>
      <c r="C1767" s="52">
        <v>9601.92</v>
      </c>
      <c r="D1767" s="48">
        <f>_xlfn.XLOOKUP(expected_production[[#This Row],[Site Name]],Table1[[Site Name ]],Table1[Commisioned Date],"")</f>
        <v>45889</v>
      </c>
      <c r="E1767" s="47">
        <f>IF(ISNUMBER(expected_production[[#This Row],[Commissioned Date]]),MAX(0,(expected_production[[#This Row],[Date]]-expected_production[[#This Row],[Commissioned Date]])/365.25),"")</f>
        <v>0</v>
      </c>
      <c r="F1767" s="49">
        <f>IF(expected_production[[#This Row],[Age (yrs)]]="",1,(1-DegradationRate)^expected_production[[#This Row],[Age (yrs)]])</f>
        <v>1</v>
      </c>
      <c r="G1767" s="52">
        <f>IF(expected_production[[#This Row],[Base Expected (kWh)]]="","",expected_production[[#This Row],[Base Expected (kWh)]]*expected_production[[#This Row],[Degradation Factor]])</f>
        <v>9601.92</v>
      </c>
    </row>
    <row r="1768" spans="1:7" ht="15" hidden="1" customHeight="1" x14ac:dyDescent="0.3">
      <c r="A1768" t="s">
        <v>218</v>
      </c>
      <c r="B1768" s="2">
        <v>45323</v>
      </c>
      <c r="C1768" s="52">
        <v>8296.74</v>
      </c>
      <c r="D1768" s="48">
        <f>_xlfn.XLOOKUP(expected_production[[#This Row],[Site Name]],Table1[[Site Name ]],Table1[Commisioned Date],"")</f>
        <v>45889</v>
      </c>
      <c r="E1768" s="47">
        <f>IF(ISNUMBER(expected_production[[#This Row],[Commissioned Date]]),MAX(0,(expected_production[[#This Row],[Date]]-expected_production[[#This Row],[Commissioned Date]])/365.25),"")</f>
        <v>0</v>
      </c>
      <c r="F1768" s="49">
        <f>IF(expected_production[[#This Row],[Age (yrs)]]="",1,(1-DegradationRate)^expected_production[[#This Row],[Age (yrs)]])</f>
        <v>1</v>
      </c>
      <c r="G1768" s="52">
        <f>IF(expected_production[[#This Row],[Base Expected (kWh)]]="","",expected_production[[#This Row],[Base Expected (kWh)]]*expected_production[[#This Row],[Degradation Factor]])</f>
        <v>8296.74</v>
      </c>
    </row>
    <row r="1769" spans="1:7" ht="15" hidden="1" customHeight="1" x14ac:dyDescent="0.3">
      <c r="A1769" t="s">
        <v>218</v>
      </c>
      <c r="B1769" s="2">
        <v>45352</v>
      </c>
      <c r="C1769" s="52">
        <v>8140.5</v>
      </c>
      <c r="D1769" s="48">
        <f>_xlfn.XLOOKUP(expected_production[[#This Row],[Site Name]],Table1[[Site Name ]],Table1[Commisioned Date],"")</f>
        <v>45889</v>
      </c>
      <c r="E1769" s="47">
        <f>IF(ISNUMBER(expected_production[[#This Row],[Commissioned Date]]),MAX(0,(expected_production[[#This Row],[Date]]-expected_production[[#This Row],[Commissioned Date]])/365.25),"")</f>
        <v>0</v>
      </c>
      <c r="F1769" s="49">
        <f>IF(expected_production[[#This Row],[Age (yrs)]]="",1,(1-DegradationRate)^expected_production[[#This Row],[Age (yrs)]])</f>
        <v>1</v>
      </c>
      <c r="G1769" s="52">
        <f>IF(expected_production[[#This Row],[Base Expected (kWh)]]="","",expected_production[[#This Row],[Base Expected (kWh)]]*expected_production[[#This Row],[Degradation Factor]])</f>
        <v>8140.5</v>
      </c>
    </row>
    <row r="1770" spans="1:7" ht="15" hidden="1" customHeight="1" x14ac:dyDescent="0.3">
      <c r="A1770" t="s">
        <v>218</v>
      </c>
      <c r="B1770" s="2">
        <v>45383</v>
      </c>
      <c r="C1770" s="52">
        <v>7017.3</v>
      </c>
      <c r="D1770" s="48">
        <f>_xlfn.XLOOKUP(expected_production[[#This Row],[Site Name]],Table1[[Site Name ]],Table1[Commisioned Date],"")</f>
        <v>45889</v>
      </c>
      <c r="E1770" s="47">
        <f>IF(ISNUMBER(expected_production[[#This Row],[Commissioned Date]]),MAX(0,(expected_production[[#This Row],[Date]]-expected_production[[#This Row],[Commissioned Date]])/365.25),"")</f>
        <v>0</v>
      </c>
      <c r="F1770" s="49">
        <f>IF(expected_production[[#This Row],[Age (yrs)]]="",1,(1-DegradationRate)^expected_production[[#This Row],[Age (yrs)]])</f>
        <v>1</v>
      </c>
      <c r="G1770" s="52">
        <f>IF(expected_production[[#This Row],[Base Expected (kWh)]]="","",expected_production[[#This Row],[Base Expected (kWh)]]*expected_production[[#This Row],[Degradation Factor]])</f>
        <v>7017.3</v>
      </c>
    </row>
    <row r="1771" spans="1:7" ht="15" hidden="1" customHeight="1" x14ac:dyDescent="0.3">
      <c r="A1771" t="s">
        <v>218</v>
      </c>
      <c r="B1771" s="2">
        <v>45413</v>
      </c>
      <c r="C1771" s="52">
        <v>6430.32</v>
      </c>
      <c r="D1771" s="48">
        <f>_xlfn.XLOOKUP(expected_production[[#This Row],[Site Name]],Table1[[Site Name ]],Table1[Commisioned Date],"")</f>
        <v>45889</v>
      </c>
      <c r="E1771" s="47">
        <f>IF(ISNUMBER(expected_production[[#This Row],[Commissioned Date]]),MAX(0,(expected_production[[#This Row],[Date]]-expected_production[[#This Row],[Commissioned Date]])/365.25),"")</f>
        <v>0</v>
      </c>
      <c r="F1771" s="49">
        <f>IF(expected_production[[#This Row],[Age (yrs)]]="",1,(1-DegradationRate)^expected_production[[#This Row],[Age (yrs)]])</f>
        <v>1</v>
      </c>
      <c r="G1771" s="52">
        <f>IF(expected_production[[#This Row],[Base Expected (kWh)]]="","",expected_production[[#This Row],[Base Expected (kWh)]]*expected_production[[#This Row],[Degradation Factor]])</f>
        <v>6430.32</v>
      </c>
    </row>
    <row r="1772" spans="1:7" ht="15" hidden="1" customHeight="1" x14ac:dyDescent="0.3">
      <c r="A1772" t="s">
        <v>218</v>
      </c>
      <c r="B1772" s="2">
        <v>45444</v>
      </c>
      <c r="C1772" s="52">
        <v>5669.28</v>
      </c>
      <c r="D1772" s="48">
        <f>_xlfn.XLOOKUP(expected_production[[#This Row],[Site Name]],Table1[[Site Name ]],Table1[Commisioned Date],"")</f>
        <v>45889</v>
      </c>
      <c r="E1772" s="47">
        <f>IF(ISNUMBER(expected_production[[#This Row],[Commissioned Date]]),MAX(0,(expected_production[[#This Row],[Date]]-expected_production[[#This Row],[Commissioned Date]])/365.25),"")</f>
        <v>0</v>
      </c>
      <c r="F1772" s="49">
        <f>IF(expected_production[[#This Row],[Age (yrs)]]="",1,(1-DegradationRate)^expected_production[[#This Row],[Age (yrs)]])</f>
        <v>1</v>
      </c>
      <c r="G1772" s="52">
        <f>IF(expected_production[[#This Row],[Base Expected (kWh)]]="","",expected_production[[#This Row],[Base Expected (kWh)]]*expected_production[[#This Row],[Degradation Factor]])</f>
        <v>5669.28</v>
      </c>
    </row>
    <row r="1773" spans="1:7" ht="15" hidden="1" customHeight="1" x14ac:dyDescent="0.3">
      <c r="A1773" t="s">
        <v>218</v>
      </c>
      <c r="B1773" s="2">
        <v>45474</v>
      </c>
      <c r="C1773" s="52">
        <v>6247.44</v>
      </c>
      <c r="D1773" s="48">
        <f>_xlfn.XLOOKUP(expected_production[[#This Row],[Site Name]],Table1[[Site Name ]],Table1[Commisioned Date],"")</f>
        <v>45889</v>
      </c>
      <c r="E1773" s="47">
        <f>IF(ISNUMBER(expected_production[[#This Row],[Commissioned Date]]),MAX(0,(expected_production[[#This Row],[Date]]-expected_production[[#This Row],[Commissioned Date]])/365.25),"")</f>
        <v>0</v>
      </c>
      <c r="F1773" s="49">
        <f>IF(expected_production[[#This Row],[Age (yrs)]]="",1,(1-DegradationRate)^expected_production[[#This Row],[Age (yrs)]])</f>
        <v>1</v>
      </c>
      <c r="G1773" s="52">
        <f>IF(expected_production[[#This Row],[Base Expected (kWh)]]="","",expected_production[[#This Row],[Base Expected (kWh)]]*expected_production[[#This Row],[Degradation Factor]])</f>
        <v>6247.44</v>
      </c>
    </row>
    <row r="1774" spans="1:7" ht="15" hidden="1" customHeight="1" x14ac:dyDescent="0.3">
      <c r="A1774" t="s">
        <v>218</v>
      </c>
      <c r="B1774" s="2">
        <v>45505</v>
      </c>
      <c r="C1774" s="52">
        <v>2367.7838709677399</v>
      </c>
      <c r="D1774" s="48">
        <f>_xlfn.XLOOKUP(expected_production[[#This Row],[Site Name]],Table1[[Site Name ]],Table1[Commisioned Date],"")</f>
        <v>45889</v>
      </c>
      <c r="E1774" s="47">
        <f>IF(ISNUMBER(expected_production[[#This Row],[Commissioned Date]]),MAX(0,(expected_production[[#This Row],[Date]]-expected_production[[#This Row],[Commissioned Date]])/365.25),"")</f>
        <v>0</v>
      </c>
      <c r="F1774" s="49">
        <f>IF(expected_production[[#This Row],[Age (yrs)]]="",1,(1-DegradationRate)^expected_production[[#This Row],[Age (yrs)]])</f>
        <v>1</v>
      </c>
      <c r="G1774" s="52">
        <f>IF(expected_production[[#This Row],[Base Expected (kWh)]]="","",expected_production[[#This Row],[Base Expected (kWh)]]*expected_production[[#This Row],[Degradation Factor]])</f>
        <v>2367.7838709677399</v>
      </c>
    </row>
    <row r="1775" spans="1:7" ht="15" hidden="1" customHeight="1" x14ac:dyDescent="0.3">
      <c r="A1775" t="s">
        <v>218</v>
      </c>
      <c r="B1775" s="2">
        <v>45536</v>
      </c>
      <c r="C1775" s="52">
        <v>8154</v>
      </c>
      <c r="D1775" s="48">
        <f>_xlfn.XLOOKUP(expected_production[[#This Row],[Site Name]],Table1[[Site Name ]],Table1[Commisioned Date],"")</f>
        <v>45889</v>
      </c>
      <c r="E1775" s="47">
        <f>IF(ISNUMBER(expected_production[[#This Row],[Commissioned Date]]),MAX(0,(expected_production[[#This Row],[Date]]-expected_production[[#This Row],[Commissioned Date]])/365.25),"")</f>
        <v>0</v>
      </c>
      <c r="F1775" s="49">
        <f>IF(expected_production[[#This Row],[Age (yrs)]]="",1,(1-DegradationRate)^expected_production[[#This Row],[Age (yrs)]])</f>
        <v>1</v>
      </c>
      <c r="G1775" s="52">
        <f>IF(expected_production[[#This Row],[Base Expected (kWh)]]="","",expected_production[[#This Row],[Base Expected (kWh)]]*expected_production[[#This Row],[Degradation Factor]])</f>
        <v>8154</v>
      </c>
    </row>
    <row r="1776" spans="1:7" ht="15" hidden="1" customHeight="1" x14ac:dyDescent="0.3">
      <c r="A1776" t="s">
        <v>218</v>
      </c>
      <c r="B1776" s="2">
        <v>45566</v>
      </c>
      <c r="C1776" s="52">
        <v>9352.7999999999993</v>
      </c>
      <c r="D1776" s="48">
        <f>_xlfn.XLOOKUP(expected_production[[#This Row],[Site Name]],Table1[[Site Name ]],Table1[Commisioned Date],"")</f>
        <v>45889</v>
      </c>
      <c r="E1776" s="47">
        <f>IF(ISNUMBER(expected_production[[#This Row],[Commissioned Date]]),MAX(0,(expected_production[[#This Row],[Date]]-expected_production[[#This Row],[Commissioned Date]])/365.25),"")</f>
        <v>0</v>
      </c>
      <c r="F1776" s="49">
        <f>IF(expected_production[[#This Row],[Age (yrs)]]="",1,(1-DegradationRate)^expected_production[[#This Row],[Age (yrs)]])</f>
        <v>1</v>
      </c>
      <c r="G1776" s="52">
        <f>IF(expected_production[[#This Row],[Base Expected (kWh)]]="","",expected_production[[#This Row],[Base Expected (kWh)]]*expected_production[[#This Row],[Degradation Factor]])</f>
        <v>9352.7999999999993</v>
      </c>
    </row>
    <row r="1777" spans="1:7" ht="15" hidden="1" customHeight="1" x14ac:dyDescent="0.3">
      <c r="A1777" t="s">
        <v>218</v>
      </c>
      <c r="B1777" s="2">
        <v>45597</v>
      </c>
      <c r="C1777" s="52">
        <v>9353.7000000000007</v>
      </c>
      <c r="D1777" s="48">
        <f>_xlfn.XLOOKUP(expected_production[[#This Row],[Site Name]],Table1[[Site Name ]],Table1[Commisioned Date],"")</f>
        <v>45889</v>
      </c>
      <c r="E1777" s="47">
        <f>IF(ISNUMBER(expected_production[[#This Row],[Commissioned Date]]),MAX(0,(expected_production[[#This Row],[Date]]-expected_production[[#This Row],[Commissioned Date]])/365.25),"")</f>
        <v>0</v>
      </c>
      <c r="F1777" s="49">
        <f>IF(expected_production[[#This Row],[Age (yrs)]]="",1,(1-DegradationRate)^expected_production[[#This Row],[Age (yrs)]])</f>
        <v>1</v>
      </c>
      <c r="G1777" s="52">
        <f>IF(expected_production[[#This Row],[Base Expected (kWh)]]="","",expected_production[[#This Row],[Base Expected (kWh)]]*expected_production[[#This Row],[Degradation Factor]])</f>
        <v>9353.7000000000007</v>
      </c>
    </row>
    <row r="1778" spans="1:7" ht="15" hidden="1" customHeight="1" x14ac:dyDescent="0.3">
      <c r="A1778" t="s">
        <v>218</v>
      </c>
      <c r="B1778" s="2">
        <v>45627</v>
      </c>
      <c r="C1778" s="52">
        <v>9582.2999999999993</v>
      </c>
      <c r="D1778" s="48">
        <f>_xlfn.XLOOKUP(expected_production[[#This Row],[Site Name]],Table1[[Site Name ]],Table1[Commisioned Date],"")</f>
        <v>45889</v>
      </c>
      <c r="E1778" s="47">
        <f>IF(ISNUMBER(expected_production[[#This Row],[Commissioned Date]]),MAX(0,(expected_production[[#This Row],[Date]]-expected_production[[#This Row],[Commissioned Date]])/365.25),"")</f>
        <v>0</v>
      </c>
      <c r="F1778" s="49">
        <f>IF(expected_production[[#This Row],[Age (yrs)]]="",1,(1-DegradationRate)^expected_production[[#This Row],[Age (yrs)]])</f>
        <v>1</v>
      </c>
      <c r="G1778" s="52">
        <f>IF(expected_production[[#This Row],[Base Expected (kWh)]]="","",expected_production[[#This Row],[Base Expected (kWh)]]*expected_production[[#This Row],[Degradation Factor]])</f>
        <v>9582.2999999999993</v>
      </c>
    </row>
    <row r="1779" spans="1:7" ht="15" hidden="1" customHeight="1" x14ac:dyDescent="0.3">
      <c r="A1779" t="s">
        <v>218</v>
      </c>
      <c r="B1779" s="2">
        <v>45658</v>
      </c>
      <c r="C1779" s="52">
        <v>9601.92</v>
      </c>
      <c r="D1779" s="48">
        <f>_xlfn.XLOOKUP(expected_production[[#This Row],[Site Name]],Table1[[Site Name ]],Table1[Commisioned Date],"")</f>
        <v>45889</v>
      </c>
      <c r="E1779" s="47">
        <f>IF(ISNUMBER(expected_production[[#This Row],[Commissioned Date]]),MAX(0,(expected_production[[#This Row],[Date]]-expected_production[[#This Row],[Commissioned Date]])/365.25),"")</f>
        <v>0</v>
      </c>
      <c r="F1779" s="49">
        <f>IF(expected_production[[#This Row],[Age (yrs)]]="",1,(1-DegradationRate)^expected_production[[#This Row],[Age (yrs)]])</f>
        <v>1</v>
      </c>
      <c r="G1779" s="52">
        <f>IF(expected_production[[#This Row],[Base Expected (kWh)]]="","",expected_production[[#This Row],[Base Expected (kWh)]]*expected_production[[#This Row],[Degradation Factor]])</f>
        <v>9601.92</v>
      </c>
    </row>
    <row r="1780" spans="1:7" ht="15" hidden="1" customHeight="1" x14ac:dyDescent="0.3">
      <c r="A1780" t="s">
        <v>218</v>
      </c>
      <c r="B1780" s="2">
        <v>45689</v>
      </c>
      <c r="C1780" s="52">
        <v>8296.74</v>
      </c>
      <c r="D1780" s="48">
        <f>_xlfn.XLOOKUP(expected_production[[#This Row],[Site Name]],Table1[[Site Name ]],Table1[Commisioned Date],"")</f>
        <v>45889</v>
      </c>
      <c r="E1780" s="47">
        <f>IF(ISNUMBER(expected_production[[#This Row],[Commissioned Date]]),MAX(0,(expected_production[[#This Row],[Date]]-expected_production[[#This Row],[Commissioned Date]])/365.25),"")</f>
        <v>0</v>
      </c>
      <c r="F1780" s="49">
        <f>IF(expected_production[[#This Row],[Age (yrs)]]="",1,(1-DegradationRate)^expected_production[[#This Row],[Age (yrs)]])</f>
        <v>1</v>
      </c>
      <c r="G1780" s="52">
        <f>IF(expected_production[[#This Row],[Base Expected (kWh)]]="","",expected_production[[#This Row],[Base Expected (kWh)]]*expected_production[[#This Row],[Degradation Factor]])</f>
        <v>8296.74</v>
      </c>
    </row>
    <row r="1781" spans="1:7" ht="15" hidden="1" customHeight="1" x14ac:dyDescent="0.3">
      <c r="A1781" t="s">
        <v>218</v>
      </c>
      <c r="B1781" s="2">
        <v>45717</v>
      </c>
      <c r="C1781" s="52">
        <v>8140.5</v>
      </c>
      <c r="D1781" s="48">
        <f>_xlfn.XLOOKUP(expected_production[[#This Row],[Site Name]],Table1[[Site Name ]],Table1[Commisioned Date],"")</f>
        <v>45889</v>
      </c>
      <c r="E1781" s="47">
        <f>IF(ISNUMBER(expected_production[[#This Row],[Commissioned Date]]),MAX(0,(expected_production[[#This Row],[Date]]-expected_production[[#This Row],[Commissioned Date]])/365.25),"")</f>
        <v>0</v>
      </c>
      <c r="F1781" s="49">
        <f>IF(expected_production[[#This Row],[Age (yrs)]]="",1,(1-DegradationRate)^expected_production[[#This Row],[Age (yrs)]])</f>
        <v>1</v>
      </c>
      <c r="G1781" s="52">
        <f>IF(expected_production[[#This Row],[Base Expected (kWh)]]="","",expected_production[[#This Row],[Base Expected (kWh)]]*expected_production[[#This Row],[Degradation Factor]])</f>
        <v>8140.5</v>
      </c>
    </row>
    <row r="1782" spans="1:7" ht="15" hidden="1" customHeight="1" x14ac:dyDescent="0.3">
      <c r="A1782" t="s">
        <v>218</v>
      </c>
      <c r="B1782" s="2">
        <v>45748</v>
      </c>
      <c r="C1782" s="52">
        <v>7017.3</v>
      </c>
      <c r="D1782" s="48">
        <f>_xlfn.XLOOKUP(expected_production[[#This Row],[Site Name]],Table1[[Site Name ]],Table1[Commisioned Date],"")</f>
        <v>45889</v>
      </c>
      <c r="E1782" s="47">
        <f>IF(ISNUMBER(expected_production[[#This Row],[Commissioned Date]]),MAX(0,(expected_production[[#This Row],[Date]]-expected_production[[#This Row],[Commissioned Date]])/365.25),"")</f>
        <v>0</v>
      </c>
      <c r="F1782" s="49">
        <f>IF(expected_production[[#This Row],[Age (yrs)]]="",1,(1-DegradationRate)^expected_production[[#This Row],[Age (yrs)]])</f>
        <v>1</v>
      </c>
      <c r="G1782" s="52">
        <f>IF(expected_production[[#This Row],[Base Expected (kWh)]]="","",expected_production[[#This Row],[Base Expected (kWh)]]*expected_production[[#This Row],[Degradation Factor]])</f>
        <v>7017.3</v>
      </c>
    </row>
    <row r="1783" spans="1:7" ht="15" hidden="1" customHeight="1" x14ac:dyDescent="0.3">
      <c r="A1783" t="s">
        <v>218</v>
      </c>
      <c r="B1783" s="2">
        <v>45778</v>
      </c>
      <c r="C1783" s="52">
        <v>6430.32</v>
      </c>
      <c r="D1783" s="48">
        <f>_xlfn.XLOOKUP(expected_production[[#This Row],[Site Name]],Table1[[Site Name ]],Table1[Commisioned Date],"")</f>
        <v>45889</v>
      </c>
      <c r="E1783" s="47">
        <f>IF(ISNUMBER(expected_production[[#This Row],[Commissioned Date]]),MAX(0,(expected_production[[#This Row],[Date]]-expected_production[[#This Row],[Commissioned Date]])/365.25),"")</f>
        <v>0</v>
      </c>
      <c r="F1783" s="49">
        <f>IF(expected_production[[#This Row],[Age (yrs)]]="",1,(1-DegradationRate)^expected_production[[#This Row],[Age (yrs)]])</f>
        <v>1</v>
      </c>
      <c r="G1783" s="52">
        <f>IF(expected_production[[#This Row],[Base Expected (kWh)]]="","",expected_production[[#This Row],[Base Expected (kWh)]]*expected_production[[#This Row],[Degradation Factor]])</f>
        <v>6430.32</v>
      </c>
    </row>
    <row r="1784" spans="1:7" ht="15" hidden="1" customHeight="1" x14ac:dyDescent="0.3">
      <c r="A1784" t="s">
        <v>218</v>
      </c>
      <c r="B1784" s="2">
        <v>45809</v>
      </c>
      <c r="C1784" s="52">
        <v>5669.28</v>
      </c>
      <c r="D1784" s="48">
        <f>_xlfn.XLOOKUP(expected_production[[#This Row],[Site Name]],Table1[[Site Name ]],Table1[Commisioned Date],"")</f>
        <v>45889</v>
      </c>
      <c r="E1784" s="47">
        <f>IF(ISNUMBER(expected_production[[#This Row],[Commissioned Date]]),MAX(0,(expected_production[[#This Row],[Date]]-expected_production[[#This Row],[Commissioned Date]])/365.25),"")</f>
        <v>0</v>
      </c>
      <c r="F1784" s="49">
        <f>IF(expected_production[[#This Row],[Age (yrs)]]="",1,(1-DegradationRate)^expected_production[[#This Row],[Age (yrs)]])</f>
        <v>1</v>
      </c>
      <c r="G1784" s="52">
        <f>IF(expected_production[[#This Row],[Base Expected (kWh)]]="","",expected_production[[#This Row],[Base Expected (kWh)]]*expected_production[[#This Row],[Degradation Factor]])</f>
        <v>5669.28</v>
      </c>
    </row>
    <row r="1785" spans="1:7" ht="15" hidden="1" customHeight="1" x14ac:dyDescent="0.3">
      <c r="A1785" t="s">
        <v>218</v>
      </c>
      <c r="B1785" s="2">
        <v>45839</v>
      </c>
      <c r="C1785" s="52">
        <v>6247.44</v>
      </c>
      <c r="D1785" s="48">
        <f>_xlfn.XLOOKUP(expected_production[[#This Row],[Site Name]],Table1[[Site Name ]],Table1[Commisioned Date],"")</f>
        <v>45889</v>
      </c>
      <c r="E1785" s="47">
        <f>IF(ISNUMBER(expected_production[[#This Row],[Commissioned Date]]),MAX(0,(expected_production[[#This Row],[Date]]-expected_production[[#This Row],[Commissioned Date]])/365.25),"")</f>
        <v>0</v>
      </c>
      <c r="F1785" s="49">
        <f>IF(expected_production[[#This Row],[Age (yrs)]]="",1,(1-DegradationRate)^expected_production[[#This Row],[Age (yrs)]])</f>
        <v>1</v>
      </c>
      <c r="G1785" s="52">
        <f>IF(expected_production[[#This Row],[Base Expected (kWh)]]="","",expected_production[[#This Row],[Base Expected (kWh)]]*expected_production[[#This Row],[Degradation Factor]])</f>
        <v>6247.44</v>
      </c>
    </row>
    <row r="1786" spans="1:7" ht="15" hidden="1" customHeight="1" x14ac:dyDescent="0.3">
      <c r="A1786" t="s">
        <v>218</v>
      </c>
      <c r="B1786" s="2">
        <v>45870</v>
      </c>
      <c r="C1786" s="52">
        <v>2367.7838709677399</v>
      </c>
      <c r="D1786" s="48">
        <f>_xlfn.XLOOKUP(expected_production[[#This Row],[Site Name]],Table1[[Site Name ]],Table1[Commisioned Date],"")</f>
        <v>45889</v>
      </c>
      <c r="E1786" s="47">
        <f>IF(ISNUMBER(expected_production[[#This Row],[Commissioned Date]]),MAX(0,(expected_production[[#This Row],[Date]]-expected_production[[#This Row],[Commissioned Date]])/365.25),"")</f>
        <v>0</v>
      </c>
      <c r="F1786" s="49">
        <f>IF(expected_production[[#This Row],[Age (yrs)]]="",1,(1-DegradationRate)^expected_production[[#This Row],[Age (yrs)]])</f>
        <v>1</v>
      </c>
      <c r="G1786" s="52">
        <f>IF(expected_production[[#This Row],[Base Expected (kWh)]]="","",expected_production[[#This Row],[Base Expected (kWh)]]*expected_production[[#This Row],[Degradation Factor]])</f>
        <v>2367.7838709677399</v>
      </c>
    </row>
    <row r="1787" spans="1:7" ht="15" hidden="1" customHeight="1" x14ac:dyDescent="0.3">
      <c r="A1787" t="s">
        <v>218</v>
      </c>
      <c r="B1787" s="2">
        <v>45901</v>
      </c>
      <c r="C1787" s="52">
        <v>8154</v>
      </c>
      <c r="D1787" s="48">
        <f>_xlfn.XLOOKUP(expected_production[[#This Row],[Site Name]],Table1[[Site Name ]],Table1[Commisioned Date],"")</f>
        <v>45889</v>
      </c>
      <c r="E1787" s="47">
        <f>IF(ISNUMBER(expected_production[[#This Row],[Commissioned Date]]),MAX(0,(expected_production[[#This Row],[Date]]-expected_production[[#This Row],[Commissioned Date]])/365.25),"")</f>
        <v>3.2854209445585217E-2</v>
      </c>
      <c r="F1787" s="49">
        <f>IF(expected_production[[#This Row],[Age (yrs)]]="",1,(1-DegradationRate)^expected_production[[#This Row],[Age (yrs)]])</f>
        <v>0.99976923845912757</v>
      </c>
      <c r="G1787" s="52">
        <f>IF(expected_production[[#This Row],[Base Expected (kWh)]]="","",expected_production[[#This Row],[Base Expected (kWh)]]*expected_production[[#This Row],[Degradation Factor]])</f>
        <v>8152.1183703957258</v>
      </c>
    </row>
    <row r="1788" spans="1:7" ht="15" hidden="1" customHeight="1" x14ac:dyDescent="0.3">
      <c r="A1788" t="s">
        <v>218</v>
      </c>
      <c r="B1788" s="2">
        <v>45931</v>
      </c>
      <c r="C1788" s="52">
        <v>9352.7999999999993</v>
      </c>
      <c r="D1788" s="48">
        <f>_xlfn.XLOOKUP(expected_production[[#This Row],[Site Name]],Table1[[Site Name ]],Table1[Commisioned Date],"")</f>
        <v>45889</v>
      </c>
      <c r="E1788" s="47">
        <f>IF(ISNUMBER(expected_production[[#This Row],[Commissioned Date]]),MAX(0,(expected_production[[#This Row],[Date]]-expected_production[[#This Row],[Commissioned Date]])/365.25),"")</f>
        <v>0.11498973305954825</v>
      </c>
      <c r="F1788" s="49">
        <f>IF(expected_production[[#This Row],[Age (yrs)]]="",1,(1-DegradationRate)^expected_production[[#This Row],[Age (yrs)]])</f>
        <v>0.99919256755270491</v>
      </c>
      <c r="G1788" s="52">
        <f>IF(expected_production[[#This Row],[Base Expected (kWh)]]="","",expected_production[[#This Row],[Base Expected (kWh)]]*expected_production[[#This Row],[Degradation Factor]])</f>
        <v>9345.2482458069371</v>
      </c>
    </row>
    <row r="1789" spans="1:7" ht="15" hidden="1" customHeight="1" x14ac:dyDescent="0.3">
      <c r="A1789" t="s">
        <v>218</v>
      </c>
      <c r="B1789" s="2">
        <v>45962</v>
      </c>
      <c r="C1789" s="52">
        <v>9353.7000000000007</v>
      </c>
      <c r="D1789" s="48">
        <f>_xlfn.XLOOKUP(expected_production[[#This Row],[Site Name]],Table1[[Site Name ]],Table1[Commisioned Date],"")</f>
        <v>45889</v>
      </c>
      <c r="E1789" s="47">
        <f>IF(ISNUMBER(expected_production[[#This Row],[Commissioned Date]]),MAX(0,(expected_production[[#This Row],[Date]]-expected_production[[#This Row],[Commissioned Date]])/365.25),"")</f>
        <v>0.1998631074606434</v>
      </c>
      <c r="F1789" s="49">
        <f>IF(expected_production[[#This Row],[Age (yrs)]]="",1,(1-DegradationRate)^expected_production[[#This Row],[Age (yrs)]])</f>
        <v>0.99859702372268344</v>
      </c>
      <c r="G1789" s="52">
        <f>IF(expected_production[[#This Row],[Base Expected (kWh)]]="","",expected_production[[#This Row],[Base Expected (kWh)]]*expected_production[[#This Row],[Degradation Factor]])</f>
        <v>9340.5769807948654</v>
      </c>
    </row>
    <row r="1790" spans="1:7" ht="15" hidden="1" customHeight="1" x14ac:dyDescent="0.3">
      <c r="A1790" t="s">
        <v>218</v>
      </c>
      <c r="B1790" s="2">
        <v>45992</v>
      </c>
      <c r="C1790" s="52">
        <v>9582.2999999999993</v>
      </c>
      <c r="D1790" s="48">
        <f>_xlfn.XLOOKUP(expected_production[[#This Row],[Site Name]],Table1[[Site Name ]],Table1[Commisioned Date],"")</f>
        <v>45889</v>
      </c>
      <c r="E1790" s="47">
        <f>IF(ISNUMBER(expected_production[[#This Row],[Commissioned Date]]),MAX(0,(expected_production[[#This Row],[Date]]-expected_production[[#This Row],[Commissioned Date]])/365.25),"")</f>
        <v>0.28199863107460643</v>
      </c>
      <c r="F1790" s="49">
        <f>IF(expected_production[[#This Row],[Age (yrs)]]="",1,(1-DegradationRate)^expected_production[[#This Row],[Age (yrs)]])</f>
        <v>0.99802102895442202</v>
      </c>
      <c r="G1790" s="52">
        <f>IF(expected_production[[#This Row],[Base Expected (kWh)]]="","",expected_production[[#This Row],[Base Expected (kWh)]]*expected_production[[#This Row],[Degradation Factor]])</f>
        <v>9563.3369057499567</v>
      </c>
    </row>
    <row r="1791" spans="1:7" ht="15" hidden="1" customHeight="1" x14ac:dyDescent="0.3">
      <c r="A1791" t="s">
        <v>218</v>
      </c>
      <c r="B1791" s="2">
        <v>46023</v>
      </c>
      <c r="C1791" s="52">
        <v>9601.92</v>
      </c>
      <c r="D1791" s="48">
        <f>_xlfn.XLOOKUP(expected_production[[#This Row],[Site Name]],Table1[[Site Name ]],Table1[Commisioned Date],"")</f>
        <v>45889</v>
      </c>
      <c r="E1791" s="47">
        <f>IF(ISNUMBER(expected_production[[#This Row],[Commissioned Date]]),MAX(0,(expected_production[[#This Row],[Date]]-expected_production[[#This Row],[Commissioned Date]])/365.25),"")</f>
        <v>0.36687200547570159</v>
      </c>
      <c r="F1791" s="49">
        <f>IF(expected_production[[#This Row],[Age (yrs)]]="",1,(1-DegradationRate)^expected_production[[#This Row],[Age (yrs)]])</f>
        <v>0.99742618339078737</v>
      </c>
      <c r="G1791" s="52">
        <f>IF(expected_production[[#This Row],[Base Expected (kWh)]]="","",expected_production[[#This Row],[Base Expected (kWh)]]*expected_production[[#This Row],[Degradation Factor]])</f>
        <v>9577.2064188236691</v>
      </c>
    </row>
    <row r="1792" spans="1:7" ht="15" hidden="1" customHeight="1" x14ac:dyDescent="0.3">
      <c r="A1792" t="s">
        <v>218</v>
      </c>
      <c r="B1792" s="2">
        <v>46054</v>
      </c>
      <c r="C1792" s="52">
        <v>8296.74</v>
      </c>
      <c r="D1792" s="48">
        <f>_xlfn.XLOOKUP(expected_production[[#This Row],[Site Name]],Table1[[Site Name ]],Table1[Commisioned Date],"")</f>
        <v>45889</v>
      </c>
      <c r="E1792" s="47">
        <f>IF(ISNUMBER(expected_production[[#This Row],[Commissioned Date]]),MAX(0,(expected_production[[#This Row],[Date]]-expected_production[[#This Row],[Commissioned Date]])/365.25),"")</f>
        <v>0.45174537987679669</v>
      </c>
      <c r="F1792" s="49">
        <f>IF(expected_production[[#This Row],[Age (yrs)]]="",1,(1-DegradationRate)^expected_production[[#This Row],[Age (yrs)]])</f>
        <v>0.99683169237002733</v>
      </c>
      <c r="G1792" s="52">
        <f>IF(expected_production[[#This Row],[Base Expected (kWh)]]="","",expected_production[[#This Row],[Base Expected (kWh)]]*expected_production[[#This Row],[Degradation Factor]])</f>
        <v>8270.4533753541</v>
      </c>
    </row>
    <row r="1793" spans="1:7" ht="15" hidden="1" customHeight="1" x14ac:dyDescent="0.3">
      <c r="A1793" t="s">
        <v>218</v>
      </c>
      <c r="B1793" s="2">
        <v>46082</v>
      </c>
      <c r="C1793" s="52">
        <v>8140.5</v>
      </c>
      <c r="D1793" s="48">
        <f>_xlfn.XLOOKUP(expected_production[[#This Row],[Site Name]],Table1[[Site Name ]],Table1[Commisioned Date],"")</f>
        <v>45889</v>
      </c>
      <c r="E1793" s="47">
        <f>IF(ISNUMBER(expected_production[[#This Row],[Commissioned Date]]),MAX(0,(expected_production[[#This Row],[Date]]-expected_production[[#This Row],[Commissioned Date]])/365.25),"")</f>
        <v>0.52840520191649554</v>
      </c>
      <c r="F1793" s="49">
        <f>IF(expected_production[[#This Row],[Age (yrs)]]="",1,(1-DegradationRate)^expected_production[[#This Row],[Age (yrs)]])</f>
        <v>0.99629503729976254</v>
      </c>
      <c r="G1793" s="52">
        <f>IF(expected_production[[#This Row],[Base Expected (kWh)]]="","",expected_production[[#This Row],[Base Expected (kWh)]]*expected_production[[#This Row],[Degradation Factor]])</f>
        <v>8110.3397511387166</v>
      </c>
    </row>
    <row r="1794" spans="1:7" ht="15" hidden="1" customHeight="1" x14ac:dyDescent="0.3">
      <c r="A1794" t="s">
        <v>218</v>
      </c>
      <c r="B1794" s="2">
        <v>46113</v>
      </c>
      <c r="C1794" s="52">
        <v>7017.3</v>
      </c>
      <c r="D1794" s="48">
        <f>_xlfn.XLOOKUP(expected_production[[#This Row],[Site Name]],Table1[[Site Name ]],Table1[Commisioned Date],"")</f>
        <v>45889</v>
      </c>
      <c r="E1794" s="47">
        <f>IF(ISNUMBER(expected_production[[#This Row],[Commissioned Date]]),MAX(0,(expected_production[[#This Row],[Date]]-expected_production[[#This Row],[Commissioned Date]])/365.25),"")</f>
        <v>0.61327857631759064</v>
      </c>
      <c r="F1794" s="49">
        <f>IF(expected_production[[#This Row],[Age (yrs)]]="",1,(1-DegradationRate)^expected_production[[#This Row],[Age (yrs)]])</f>
        <v>0.99570122047044196</v>
      </c>
      <c r="G1794" s="52">
        <f>IF(expected_production[[#This Row],[Base Expected (kWh)]]="","",expected_production[[#This Row],[Base Expected (kWh)]]*expected_production[[#This Row],[Degradation Factor]])</f>
        <v>6987.1341744072324</v>
      </c>
    </row>
    <row r="1795" spans="1:7" ht="15" hidden="1" customHeight="1" x14ac:dyDescent="0.3">
      <c r="A1795" t="s">
        <v>218</v>
      </c>
      <c r="B1795" s="2">
        <v>46143</v>
      </c>
      <c r="C1795" s="52">
        <v>6430.32</v>
      </c>
      <c r="D1795" s="48">
        <f>_xlfn.XLOOKUP(expected_production[[#This Row],[Site Name]],Table1[[Site Name ]],Table1[Commisioned Date],"")</f>
        <v>45889</v>
      </c>
      <c r="E1795" s="47">
        <f>IF(ISNUMBER(expected_production[[#This Row],[Commissioned Date]]),MAX(0,(expected_production[[#This Row],[Date]]-expected_production[[#This Row],[Commissioned Date]])/365.25),"")</f>
        <v>0.69541409993155368</v>
      </c>
      <c r="F1795" s="49">
        <f>IF(expected_production[[#This Row],[Age (yrs)]]="",1,(1-DegradationRate)^expected_production[[#This Row],[Age (yrs)]])</f>
        <v>0.99512689601311044</v>
      </c>
      <c r="G1795" s="52">
        <f>IF(expected_production[[#This Row],[Base Expected (kWh)]]="","",expected_production[[#This Row],[Base Expected (kWh)]]*expected_production[[#This Row],[Degradation Factor]])</f>
        <v>6398.984381971024</v>
      </c>
    </row>
    <row r="1796" spans="1:7" ht="15" hidden="1" customHeight="1" x14ac:dyDescent="0.3">
      <c r="A1796" t="s">
        <v>218</v>
      </c>
      <c r="B1796" s="2">
        <v>46174</v>
      </c>
      <c r="C1796" s="52">
        <v>5669.28</v>
      </c>
      <c r="D1796" s="48">
        <f>_xlfn.XLOOKUP(expected_production[[#This Row],[Site Name]],Table1[[Site Name ]],Table1[Commisioned Date],"")</f>
        <v>45889</v>
      </c>
      <c r="E1796" s="47">
        <f>IF(ISNUMBER(expected_production[[#This Row],[Commissioned Date]]),MAX(0,(expected_production[[#This Row],[Date]]-expected_production[[#This Row],[Commissioned Date]])/365.25),"")</f>
        <v>0.78028747433264889</v>
      </c>
      <c r="F1796" s="49">
        <f>IF(expected_production[[#This Row],[Age (yrs)]]="",1,(1-DegradationRate)^expected_production[[#This Row],[Age (yrs)]])</f>
        <v>0.99453377542529364</v>
      </c>
      <c r="G1796" s="52">
        <f>IF(expected_production[[#This Row],[Base Expected (kWh)]]="","",expected_production[[#This Row],[Base Expected (kWh)]]*expected_production[[#This Row],[Degradation Factor]])</f>
        <v>5638.2904423431082</v>
      </c>
    </row>
    <row r="1797" spans="1:7" ht="15" hidden="1" customHeight="1" x14ac:dyDescent="0.3">
      <c r="A1797" t="s">
        <v>218</v>
      </c>
      <c r="B1797" s="2">
        <v>46204</v>
      </c>
      <c r="C1797" s="52">
        <v>6247.44</v>
      </c>
      <c r="D1797" s="48">
        <f>_xlfn.XLOOKUP(expected_production[[#This Row],[Site Name]],Table1[[Site Name ]],Table1[Commisioned Date],"")</f>
        <v>45889</v>
      </c>
      <c r="E1797" s="47">
        <f>IF(ISNUMBER(expected_production[[#This Row],[Commissioned Date]]),MAX(0,(expected_production[[#This Row],[Date]]-expected_production[[#This Row],[Commissioned Date]])/365.25),"")</f>
        <v>0.86242299794661192</v>
      </c>
      <c r="F1797" s="49">
        <f>IF(expected_production[[#This Row],[Age (yrs)]]="",1,(1-DegradationRate)^expected_production[[#This Row],[Age (yrs)]])</f>
        <v>0.99396012435494629</v>
      </c>
      <c r="G1797" s="52">
        <f>IF(expected_production[[#This Row],[Base Expected (kWh)]]="","",expected_production[[#This Row],[Base Expected (kWh)]]*expected_production[[#This Row],[Degradation Factor]])</f>
        <v>6209.7062393000651</v>
      </c>
    </row>
    <row r="1798" spans="1:7" ht="15" hidden="1" customHeight="1" x14ac:dyDescent="0.3">
      <c r="A1798" t="s">
        <v>218</v>
      </c>
      <c r="B1798" s="2">
        <v>46235</v>
      </c>
      <c r="C1798" s="52">
        <v>7340</v>
      </c>
      <c r="D1798" s="48">
        <f>_xlfn.XLOOKUP(expected_production[[#This Row],[Site Name]],Table1[[Site Name ]],Table1[Commisioned Date],"")</f>
        <v>45889</v>
      </c>
      <c r="E1798" s="47">
        <f>IF(ISNUMBER(expected_production[[#This Row],[Commissioned Date]]),MAX(0,(expected_production[[#This Row],[Date]]-expected_production[[#This Row],[Commissioned Date]])/365.25),"")</f>
        <v>0.94729637234770703</v>
      </c>
      <c r="F1798" s="49">
        <f>IF(expected_production[[#This Row],[Age (yrs)]]="",1,(1-DegradationRate)^expected_production[[#This Row],[Age (yrs)]])</f>
        <v>0.99336769919230039</v>
      </c>
      <c r="G1798" s="52">
        <f>IF(expected_production[[#This Row],[Base Expected (kWh)]]="","",expected_production[[#This Row],[Base Expected (kWh)]]*expected_production[[#This Row],[Degradation Factor]])</f>
        <v>7291.3189120714851</v>
      </c>
    </row>
    <row r="1799" spans="1:7" ht="15" hidden="1" customHeight="1" x14ac:dyDescent="0.3">
      <c r="A1799" t="s">
        <v>218</v>
      </c>
      <c r="B1799" s="2">
        <v>46266</v>
      </c>
      <c r="C1799" s="52">
        <v>8154</v>
      </c>
      <c r="D1799" s="48">
        <f>_xlfn.XLOOKUP(expected_production[[#This Row],[Site Name]],Table1[[Site Name ]],Table1[Commisioned Date],"")</f>
        <v>45889</v>
      </c>
      <c r="E1799" s="47">
        <f>IF(ISNUMBER(expected_production[[#This Row],[Commissioned Date]]),MAX(0,(expected_production[[#This Row],[Date]]-expected_production[[#This Row],[Commissioned Date]])/365.25),"")</f>
        <v>1.0321697467488022</v>
      </c>
      <c r="F1799" s="49">
        <f>IF(expected_production[[#This Row],[Age (yrs)]]="",1,(1-DegradationRate)^expected_production[[#This Row],[Age (yrs)]])</f>
        <v>0.99277562712990952</v>
      </c>
      <c r="G1799" s="52">
        <f>IF(expected_production[[#This Row],[Base Expected (kWh)]]="","",expected_production[[#This Row],[Base Expected (kWh)]]*expected_production[[#This Row],[Degradation Factor]])</f>
        <v>8095.0924636172822</v>
      </c>
    </row>
    <row r="1800" spans="1:7" ht="15" hidden="1" customHeight="1" x14ac:dyDescent="0.3">
      <c r="A1800" t="s">
        <v>218</v>
      </c>
      <c r="B1800" s="2">
        <v>46296</v>
      </c>
      <c r="C1800" s="52">
        <v>9352.7999999999993</v>
      </c>
      <c r="D1800" s="48">
        <f>_xlfn.XLOOKUP(expected_production[[#This Row],[Site Name]],Table1[[Site Name ]],Table1[Commisioned Date],"")</f>
        <v>45889</v>
      </c>
      <c r="E1800" s="47">
        <f>IF(ISNUMBER(expected_production[[#This Row],[Commissioned Date]]),MAX(0,(expected_production[[#This Row],[Date]]-expected_production[[#This Row],[Commissioned Date]])/365.25),"")</f>
        <v>1.1143052703627652</v>
      </c>
      <c r="F1800" s="49">
        <f>IF(expected_production[[#This Row],[Age (yrs)]]="",1,(1-DegradationRate)^expected_production[[#This Row],[Age (yrs)]])</f>
        <v>0.99220299016655011</v>
      </c>
      <c r="G1800" s="52">
        <f>IF(expected_production[[#This Row],[Base Expected (kWh)]]="","",expected_production[[#This Row],[Base Expected (kWh)]]*expected_production[[#This Row],[Degradation Factor]])</f>
        <v>9279.87612642971</v>
      </c>
    </row>
    <row r="1801" spans="1:7" ht="15" hidden="1" customHeight="1" x14ac:dyDescent="0.3">
      <c r="A1801" t="s">
        <v>218</v>
      </c>
      <c r="B1801" s="2">
        <v>46327</v>
      </c>
      <c r="C1801" s="52">
        <v>9353.7000000000007</v>
      </c>
      <c r="D1801" s="48">
        <f>_xlfn.XLOOKUP(expected_production[[#This Row],[Site Name]],Table1[[Site Name ]],Table1[Commisioned Date],"")</f>
        <v>45889</v>
      </c>
      <c r="E1801" s="47">
        <f>IF(ISNUMBER(expected_production[[#This Row],[Commissioned Date]]),MAX(0,(expected_production[[#This Row],[Date]]-expected_production[[#This Row],[Commissioned Date]])/365.25),"")</f>
        <v>1.1991786447638604</v>
      </c>
      <c r="F1801" s="49">
        <f>IF(expected_production[[#This Row],[Age (yrs)]]="",1,(1-DegradationRate)^expected_production[[#This Row],[Age (yrs)]])</f>
        <v>0.99161161229994954</v>
      </c>
      <c r="G1801" s="52">
        <f>IF(expected_production[[#This Row],[Base Expected (kWh)]]="","",expected_production[[#This Row],[Base Expected (kWh)]]*expected_production[[#This Row],[Degradation Factor]])</f>
        <v>9275.2375379700388</v>
      </c>
    </row>
    <row r="1802" spans="1:7" ht="15" hidden="1" customHeight="1" x14ac:dyDescent="0.3">
      <c r="A1802" t="s">
        <v>218</v>
      </c>
      <c r="B1802" s="2">
        <v>46357</v>
      </c>
      <c r="C1802" s="52">
        <v>9582.2999999999993</v>
      </c>
      <c r="D1802" s="48">
        <f>_xlfn.XLOOKUP(expected_production[[#This Row],[Site Name]],Table1[[Site Name ]],Table1[Commisioned Date],"")</f>
        <v>45889</v>
      </c>
      <c r="E1802" s="47">
        <f>IF(ISNUMBER(expected_production[[#This Row],[Commissioned Date]]),MAX(0,(expected_production[[#This Row],[Date]]-expected_production[[#This Row],[Commissioned Date]])/365.25),"")</f>
        <v>1.2813141683778233</v>
      </c>
      <c r="F1802" s="49">
        <f>IF(expected_production[[#This Row],[Age (yrs)]]="",1,(1-DegradationRate)^expected_production[[#This Row],[Age (yrs)]])</f>
        <v>0.99103964674501255</v>
      </c>
      <c r="G1802" s="52">
        <f>IF(expected_production[[#This Row],[Base Expected (kWh)]]="","",expected_production[[#This Row],[Base Expected (kWh)]]*expected_production[[#This Row],[Degradation Factor]])</f>
        <v>9496.4392070047325</v>
      </c>
    </row>
    <row r="1803" spans="1:7" ht="15" hidden="1" customHeight="1" x14ac:dyDescent="0.3">
      <c r="A1803" t="s">
        <v>163</v>
      </c>
      <c r="B1803" s="2">
        <v>45292</v>
      </c>
      <c r="C1803" s="52">
        <v>5191.4789549999996</v>
      </c>
      <c r="D1803" s="48" t="str">
        <f>_xlfn.XLOOKUP(expected_production[[#This Row],[Site Name]],Table1[[Site Name ]],Table1[Commisioned Date],"")</f>
        <v>null</v>
      </c>
      <c r="E1803" s="47" t="str">
        <f>IF(ISNUMBER(expected_production[[#This Row],[Commissioned Date]]),MAX(0,(expected_production[[#This Row],[Date]]-expected_production[[#This Row],[Commissioned Date]])/365.25),"")</f>
        <v/>
      </c>
      <c r="F1803" s="49">
        <f>IF(expected_production[[#This Row],[Age (yrs)]]="",1,(1-DegradationRate)^expected_production[[#This Row],[Age (yrs)]])</f>
        <v>1</v>
      </c>
      <c r="G1803" s="52">
        <f>IF(expected_production[[#This Row],[Base Expected (kWh)]]="","",expected_production[[#This Row],[Base Expected (kWh)]]*expected_production[[#This Row],[Degradation Factor]])</f>
        <v>5191.4789549999996</v>
      </c>
    </row>
    <row r="1804" spans="1:7" ht="15" hidden="1" customHeight="1" x14ac:dyDescent="0.3">
      <c r="A1804" t="s">
        <v>163</v>
      </c>
      <c r="B1804" s="2">
        <v>45323</v>
      </c>
      <c r="C1804" s="52">
        <v>4656.5572949999996</v>
      </c>
      <c r="D1804" s="48" t="str">
        <f>_xlfn.XLOOKUP(expected_production[[#This Row],[Site Name]],Table1[[Site Name ]],Table1[Commisioned Date],"")</f>
        <v>null</v>
      </c>
      <c r="E1804" s="47" t="str">
        <f>IF(ISNUMBER(expected_production[[#This Row],[Commissioned Date]]),MAX(0,(expected_production[[#This Row],[Date]]-expected_production[[#This Row],[Commissioned Date]])/365.25),"")</f>
        <v/>
      </c>
      <c r="F1804" s="49">
        <f>IF(expected_production[[#This Row],[Age (yrs)]]="",1,(1-DegradationRate)^expected_production[[#This Row],[Age (yrs)]])</f>
        <v>1</v>
      </c>
      <c r="G1804" s="52">
        <f>IF(expected_production[[#This Row],[Base Expected (kWh)]]="","",expected_production[[#This Row],[Base Expected (kWh)]]*expected_production[[#This Row],[Degradation Factor]])</f>
        <v>4656.5572949999996</v>
      </c>
    </row>
    <row r="1805" spans="1:7" ht="15" hidden="1" customHeight="1" x14ac:dyDescent="0.3">
      <c r="A1805" t="s">
        <v>163</v>
      </c>
      <c r="B1805" s="2">
        <v>45352</v>
      </c>
      <c r="C1805" s="52">
        <v>5018.2718624999998</v>
      </c>
      <c r="D1805" s="48" t="str">
        <f>_xlfn.XLOOKUP(expected_production[[#This Row],[Site Name]],Table1[[Site Name ]],Table1[Commisioned Date],"")</f>
        <v>null</v>
      </c>
      <c r="E1805" s="47" t="str">
        <f>IF(ISNUMBER(expected_production[[#This Row],[Commissioned Date]]),MAX(0,(expected_production[[#This Row],[Date]]-expected_production[[#This Row],[Commissioned Date]])/365.25),"")</f>
        <v/>
      </c>
      <c r="F1805" s="49">
        <f>IF(expected_production[[#This Row],[Age (yrs)]]="",1,(1-DegradationRate)^expected_production[[#This Row],[Age (yrs)]])</f>
        <v>1</v>
      </c>
      <c r="G1805" s="52">
        <f>IF(expected_production[[#This Row],[Base Expected (kWh)]]="","",expected_production[[#This Row],[Base Expected (kWh)]]*expected_production[[#This Row],[Degradation Factor]])</f>
        <v>5018.2718624999998</v>
      </c>
    </row>
    <row r="1806" spans="1:7" ht="15" hidden="1" customHeight="1" x14ac:dyDescent="0.3">
      <c r="A1806" t="s">
        <v>163</v>
      </c>
      <c r="B1806" s="2">
        <v>45383</v>
      </c>
      <c r="C1806" s="52">
        <v>4498.5660525000003</v>
      </c>
      <c r="D1806" s="48" t="str">
        <f>_xlfn.XLOOKUP(expected_production[[#This Row],[Site Name]],Table1[[Site Name ]],Table1[Commisioned Date],"")</f>
        <v>null</v>
      </c>
      <c r="E1806" s="47" t="str">
        <f>IF(ISNUMBER(expected_production[[#This Row],[Commissioned Date]]),MAX(0,(expected_production[[#This Row],[Date]]-expected_production[[#This Row],[Commissioned Date]])/365.25),"")</f>
        <v/>
      </c>
      <c r="F1806" s="49">
        <f>IF(expected_production[[#This Row],[Age (yrs)]]="",1,(1-DegradationRate)^expected_production[[#This Row],[Age (yrs)]])</f>
        <v>1</v>
      </c>
      <c r="G1806" s="52">
        <f>IF(expected_production[[#This Row],[Base Expected (kWh)]]="","",expected_production[[#This Row],[Base Expected (kWh)]]*expected_production[[#This Row],[Degradation Factor]])</f>
        <v>4498.5660525000003</v>
      </c>
    </row>
    <row r="1807" spans="1:7" ht="15" hidden="1" customHeight="1" x14ac:dyDescent="0.3">
      <c r="A1807" t="s">
        <v>163</v>
      </c>
      <c r="B1807" s="2">
        <v>45413</v>
      </c>
      <c r="C1807" s="52">
        <v>4604.0626124999999</v>
      </c>
      <c r="D1807" s="48" t="str">
        <f>_xlfn.XLOOKUP(expected_production[[#This Row],[Site Name]],Table1[[Site Name ]],Table1[Commisioned Date],"")</f>
        <v>null</v>
      </c>
      <c r="E1807" s="47" t="str">
        <f>IF(ISNUMBER(expected_production[[#This Row],[Commissioned Date]]),MAX(0,(expected_production[[#This Row],[Date]]-expected_production[[#This Row],[Commissioned Date]])/365.25),"")</f>
        <v/>
      </c>
      <c r="F1807" s="49">
        <f>IF(expected_production[[#This Row],[Age (yrs)]]="",1,(1-DegradationRate)^expected_production[[#This Row],[Age (yrs)]])</f>
        <v>1</v>
      </c>
      <c r="G1807" s="52">
        <f>IF(expected_production[[#This Row],[Base Expected (kWh)]]="","",expected_production[[#This Row],[Base Expected (kWh)]]*expected_production[[#This Row],[Degradation Factor]])</f>
        <v>4604.0626124999999</v>
      </c>
    </row>
    <row r="1808" spans="1:7" ht="15" hidden="1" customHeight="1" x14ac:dyDescent="0.3">
      <c r="A1808" t="s">
        <v>163</v>
      </c>
      <c r="B1808" s="2">
        <v>45444</v>
      </c>
      <c r="C1808" s="52">
        <v>4265.4254174999996</v>
      </c>
      <c r="D1808" s="48" t="str">
        <f>_xlfn.XLOOKUP(expected_production[[#This Row],[Site Name]],Table1[[Site Name ]],Table1[Commisioned Date],"")</f>
        <v>null</v>
      </c>
      <c r="E1808" s="47" t="str">
        <f>IF(ISNUMBER(expected_production[[#This Row],[Commissioned Date]]),MAX(0,(expected_production[[#This Row],[Date]]-expected_production[[#This Row],[Commissioned Date]])/365.25),"")</f>
        <v/>
      </c>
      <c r="F1808" s="49">
        <f>IF(expected_production[[#This Row],[Age (yrs)]]="",1,(1-DegradationRate)^expected_production[[#This Row],[Age (yrs)]])</f>
        <v>1</v>
      </c>
      <c r="G1808" s="52">
        <f>IF(expected_production[[#This Row],[Base Expected (kWh)]]="","",expected_production[[#This Row],[Base Expected (kWh)]]*expected_production[[#This Row],[Degradation Factor]])</f>
        <v>4265.4254174999996</v>
      </c>
    </row>
    <row r="1809" spans="1:7" ht="15" hidden="1" customHeight="1" x14ac:dyDescent="0.3">
      <c r="A1809" t="s">
        <v>163</v>
      </c>
      <c r="B1809" s="2">
        <v>45474</v>
      </c>
      <c r="C1809" s="52">
        <v>4694.8505175</v>
      </c>
      <c r="D1809" s="48" t="str">
        <f>_xlfn.XLOOKUP(expected_production[[#This Row],[Site Name]],Table1[[Site Name ]],Table1[Commisioned Date],"")</f>
        <v>null</v>
      </c>
      <c r="E1809" s="47" t="str">
        <f>IF(ISNUMBER(expected_production[[#This Row],[Commissioned Date]]),MAX(0,(expected_production[[#This Row],[Date]]-expected_production[[#This Row],[Commissioned Date]])/365.25),"")</f>
        <v/>
      </c>
      <c r="F1809" s="49">
        <f>IF(expected_production[[#This Row],[Age (yrs)]]="",1,(1-DegradationRate)^expected_production[[#This Row],[Age (yrs)]])</f>
        <v>1</v>
      </c>
      <c r="G1809" s="52">
        <f>IF(expected_production[[#This Row],[Base Expected (kWh)]]="","",expected_production[[#This Row],[Base Expected (kWh)]]*expected_production[[#This Row],[Degradation Factor]])</f>
        <v>4694.8505175</v>
      </c>
    </row>
    <row r="1810" spans="1:7" ht="15" hidden="1" customHeight="1" x14ac:dyDescent="0.3">
      <c r="A1810" t="s">
        <v>163</v>
      </c>
      <c r="B1810" s="2">
        <v>45505</v>
      </c>
      <c r="C1810" s="52">
        <v>5144.2252875000004</v>
      </c>
      <c r="D1810" s="48" t="str">
        <f>_xlfn.XLOOKUP(expected_production[[#This Row],[Site Name]],Table1[[Site Name ]],Table1[Commisioned Date],"")</f>
        <v>null</v>
      </c>
      <c r="E1810" s="47" t="str">
        <f>IF(ISNUMBER(expected_production[[#This Row],[Commissioned Date]]),MAX(0,(expected_production[[#This Row],[Date]]-expected_production[[#This Row],[Commissioned Date]])/365.25),"")</f>
        <v/>
      </c>
      <c r="F1810" s="49">
        <f>IF(expected_production[[#This Row],[Age (yrs)]]="",1,(1-DegradationRate)^expected_production[[#This Row],[Age (yrs)]])</f>
        <v>1</v>
      </c>
      <c r="G1810" s="52">
        <f>IF(expected_production[[#This Row],[Base Expected (kWh)]]="","",expected_production[[#This Row],[Base Expected (kWh)]]*expected_production[[#This Row],[Degradation Factor]])</f>
        <v>5144.2252875000004</v>
      </c>
    </row>
    <row r="1811" spans="1:7" ht="15" hidden="1" customHeight="1" x14ac:dyDescent="0.3">
      <c r="A1811" t="s">
        <v>163</v>
      </c>
      <c r="B1811" s="2">
        <v>45536</v>
      </c>
      <c r="C1811" s="52">
        <v>5295.0312674999996</v>
      </c>
      <c r="D1811" s="48" t="str">
        <f>_xlfn.XLOOKUP(expected_production[[#This Row],[Site Name]],Table1[[Site Name ]],Table1[Commisioned Date],"")</f>
        <v>null</v>
      </c>
      <c r="E1811" s="47" t="str">
        <f>IF(ISNUMBER(expected_production[[#This Row],[Commissioned Date]]),MAX(0,(expected_production[[#This Row],[Date]]-expected_production[[#This Row],[Commissioned Date]])/365.25),"")</f>
        <v/>
      </c>
      <c r="F1811" s="49">
        <f>IF(expected_production[[#This Row],[Age (yrs)]]="",1,(1-DegradationRate)^expected_production[[#This Row],[Age (yrs)]])</f>
        <v>1</v>
      </c>
      <c r="G1811" s="52">
        <f>IF(expected_production[[#This Row],[Base Expected (kWh)]]="","",expected_production[[#This Row],[Base Expected (kWh)]]*expected_production[[#This Row],[Degradation Factor]])</f>
        <v>5295.0312674999996</v>
      </c>
    </row>
    <row r="1812" spans="1:7" ht="15" hidden="1" customHeight="1" x14ac:dyDescent="0.3">
      <c r="A1812" t="s">
        <v>163</v>
      </c>
      <c r="B1812" s="2">
        <v>45566</v>
      </c>
      <c r="C1812" s="52">
        <v>5391.4828500000003</v>
      </c>
      <c r="D1812" s="48" t="str">
        <f>_xlfn.XLOOKUP(expected_production[[#This Row],[Site Name]],Table1[[Site Name ]],Table1[Commisioned Date],"")</f>
        <v>null</v>
      </c>
      <c r="E1812" s="47" t="str">
        <f>IF(ISNUMBER(expected_production[[#This Row],[Commissioned Date]]),MAX(0,(expected_production[[#This Row],[Date]]-expected_production[[#This Row],[Commissioned Date]])/365.25),"")</f>
        <v/>
      </c>
      <c r="F1812" s="49">
        <f>IF(expected_production[[#This Row],[Age (yrs)]]="",1,(1-DegradationRate)^expected_production[[#This Row],[Age (yrs)]])</f>
        <v>1</v>
      </c>
      <c r="G1812" s="52">
        <f>IF(expected_production[[#This Row],[Base Expected (kWh)]]="","",expected_production[[#This Row],[Base Expected (kWh)]]*expected_production[[#This Row],[Degradation Factor]])</f>
        <v>5391.4828500000003</v>
      </c>
    </row>
    <row r="1813" spans="1:7" ht="15" hidden="1" customHeight="1" x14ac:dyDescent="0.3">
      <c r="A1813" t="s">
        <v>163</v>
      </c>
      <c r="B1813" s="2">
        <v>45597</v>
      </c>
      <c r="C1813" s="52">
        <v>5210.6678325000003</v>
      </c>
      <c r="D1813" s="48" t="str">
        <f>_xlfn.XLOOKUP(expected_production[[#This Row],[Site Name]],Table1[[Site Name ]],Table1[Commisioned Date],"")</f>
        <v>null</v>
      </c>
      <c r="E1813" s="47" t="str">
        <f>IF(ISNUMBER(expected_production[[#This Row],[Commissioned Date]]),MAX(0,(expected_production[[#This Row],[Date]]-expected_production[[#This Row],[Commissioned Date]])/365.25),"")</f>
        <v/>
      </c>
      <c r="F1813" s="49">
        <f>IF(expected_production[[#This Row],[Age (yrs)]]="",1,(1-DegradationRate)^expected_production[[#This Row],[Age (yrs)]])</f>
        <v>1</v>
      </c>
      <c r="G1813" s="52">
        <f>IF(expected_production[[#This Row],[Base Expected (kWh)]]="","",expected_production[[#This Row],[Base Expected (kWh)]]*expected_production[[#This Row],[Degradation Factor]])</f>
        <v>5210.6678325000003</v>
      </c>
    </row>
    <row r="1814" spans="1:7" ht="15" hidden="1" customHeight="1" x14ac:dyDescent="0.3">
      <c r="A1814" t="s">
        <v>163</v>
      </c>
      <c r="B1814" s="2">
        <v>45627</v>
      </c>
      <c r="C1814" s="52">
        <v>5439.6663749999998</v>
      </c>
      <c r="D1814" s="48" t="str">
        <f>_xlfn.XLOOKUP(expected_production[[#This Row],[Site Name]],Table1[[Site Name ]],Table1[Commisioned Date],"")</f>
        <v>null</v>
      </c>
      <c r="E1814" s="47" t="str">
        <f>IF(ISNUMBER(expected_production[[#This Row],[Commissioned Date]]),MAX(0,(expected_production[[#This Row],[Date]]-expected_production[[#This Row],[Commissioned Date]])/365.25),"")</f>
        <v/>
      </c>
      <c r="F1814" s="49">
        <f>IF(expected_production[[#This Row],[Age (yrs)]]="",1,(1-DegradationRate)^expected_production[[#This Row],[Age (yrs)]])</f>
        <v>1</v>
      </c>
      <c r="G1814" s="52">
        <f>IF(expected_production[[#This Row],[Base Expected (kWh)]]="","",expected_production[[#This Row],[Base Expected (kWh)]]*expected_production[[#This Row],[Degradation Factor]])</f>
        <v>5439.6663749999998</v>
      </c>
    </row>
    <row r="1815" spans="1:7" ht="15" hidden="1" customHeight="1" x14ac:dyDescent="0.3">
      <c r="A1815" t="s">
        <v>163</v>
      </c>
      <c r="B1815" s="2">
        <v>45658</v>
      </c>
      <c r="C1815" s="52">
        <v>5191.4789549999996</v>
      </c>
      <c r="D1815" s="48" t="str">
        <f>_xlfn.XLOOKUP(expected_production[[#This Row],[Site Name]],Table1[[Site Name ]],Table1[Commisioned Date],"")</f>
        <v>null</v>
      </c>
      <c r="E1815" s="47" t="str">
        <f>IF(ISNUMBER(expected_production[[#This Row],[Commissioned Date]]),MAX(0,(expected_production[[#This Row],[Date]]-expected_production[[#This Row],[Commissioned Date]])/365.25),"")</f>
        <v/>
      </c>
      <c r="F1815" s="49">
        <f>IF(expected_production[[#This Row],[Age (yrs)]]="",1,(1-DegradationRate)^expected_production[[#This Row],[Age (yrs)]])</f>
        <v>1</v>
      </c>
      <c r="G1815" s="52">
        <f>IF(expected_production[[#This Row],[Base Expected (kWh)]]="","",expected_production[[#This Row],[Base Expected (kWh)]]*expected_production[[#This Row],[Degradation Factor]])</f>
        <v>5191.4789549999996</v>
      </c>
    </row>
    <row r="1816" spans="1:7" ht="15" hidden="1" customHeight="1" x14ac:dyDescent="0.3">
      <c r="A1816" t="s">
        <v>163</v>
      </c>
      <c r="B1816" s="2">
        <v>45689</v>
      </c>
      <c r="C1816" s="52">
        <v>4656.5572949999996</v>
      </c>
      <c r="D1816" s="48" t="str">
        <f>_xlfn.XLOOKUP(expected_production[[#This Row],[Site Name]],Table1[[Site Name ]],Table1[Commisioned Date],"")</f>
        <v>null</v>
      </c>
      <c r="E1816" s="47" t="str">
        <f>IF(ISNUMBER(expected_production[[#This Row],[Commissioned Date]]),MAX(0,(expected_production[[#This Row],[Date]]-expected_production[[#This Row],[Commissioned Date]])/365.25),"")</f>
        <v/>
      </c>
      <c r="F1816" s="49">
        <f>IF(expected_production[[#This Row],[Age (yrs)]]="",1,(1-DegradationRate)^expected_production[[#This Row],[Age (yrs)]])</f>
        <v>1</v>
      </c>
      <c r="G1816" s="52">
        <f>IF(expected_production[[#This Row],[Base Expected (kWh)]]="","",expected_production[[#This Row],[Base Expected (kWh)]]*expected_production[[#This Row],[Degradation Factor]])</f>
        <v>4656.5572949999996</v>
      </c>
    </row>
    <row r="1817" spans="1:7" ht="15" hidden="1" customHeight="1" x14ac:dyDescent="0.3">
      <c r="A1817" t="s">
        <v>163</v>
      </c>
      <c r="B1817" s="2">
        <v>45717</v>
      </c>
      <c r="C1817" s="52">
        <v>5018.2718624999998</v>
      </c>
      <c r="D1817" s="48" t="str">
        <f>_xlfn.XLOOKUP(expected_production[[#This Row],[Site Name]],Table1[[Site Name ]],Table1[Commisioned Date],"")</f>
        <v>null</v>
      </c>
      <c r="E1817" s="47" t="str">
        <f>IF(ISNUMBER(expected_production[[#This Row],[Commissioned Date]]),MAX(0,(expected_production[[#This Row],[Date]]-expected_production[[#This Row],[Commissioned Date]])/365.25),"")</f>
        <v/>
      </c>
      <c r="F1817" s="49">
        <f>IF(expected_production[[#This Row],[Age (yrs)]]="",1,(1-DegradationRate)^expected_production[[#This Row],[Age (yrs)]])</f>
        <v>1</v>
      </c>
      <c r="G1817" s="52">
        <f>IF(expected_production[[#This Row],[Base Expected (kWh)]]="","",expected_production[[#This Row],[Base Expected (kWh)]]*expected_production[[#This Row],[Degradation Factor]])</f>
        <v>5018.2718624999998</v>
      </c>
    </row>
    <row r="1818" spans="1:7" ht="15" hidden="1" customHeight="1" x14ac:dyDescent="0.3">
      <c r="A1818" t="s">
        <v>163</v>
      </c>
      <c r="B1818" s="2">
        <v>45748</v>
      </c>
      <c r="C1818" s="52">
        <v>4498.5660525000003</v>
      </c>
      <c r="D1818" s="48" t="str">
        <f>_xlfn.XLOOKUP(expected_production[[#This Row],[Site Name]],Table1[[Site Name ]],Table1[Commisioned Date],"")</f>
        <v>null</v>
      </c>
      <c r="E1818" s="47" t="str">
        <f>IF(ISNUMBER(expected_production[[#This Row],[Commissioned Date]]),MAX(0,(expected_production[[#This Row],[Date]]-expected_production[[#This Row],[Commissioned Date]])/365.25),"")</f>
        <v/>
      </c>
      <c r="F1818" s="49">
        <f>IF(expected_production[[#This Row],[Age (yrs)]]="",1,(1-DegradationRate)^expected_production[[#This Row],[Age (yrs)]])</f>
        <v>1</v>
      </c>
      <c r="G1818" s="52">
        <f>IF(expected_production[[#This Row],[Base Expected (kWh)]]="","",expected_production[[#This Row],[Base Expected (kWh)]]*expected_production[[#This Row],[Degradation Factor]])</f>
        <v>4498.5660525000003</v>
      </c>
    </row>
    <row r="1819" spans="1:7" ht="15" hidden="1" customHeight="1" x14ac:dyDescent="0.3">
      <c r="A1819" t="s">
        <v>163</v>
      </c>
      <c r="B1819" s="2">
        <v>45778</v>
      </c>
      <c r="C1819" s="52">
        <v>4604.0626124999999</v>
      </c>
      <c r="D1819" s="48" t="str">
        <f>_xlfn.XLOOKUP(expected_production[[#This Row],[Site Name]],Table1[[Site Name ]],Table1[Commisioned Date],"")</f>
        <v>null</v>
      </c>
      <c r="E1819" s="47" t="str">
        <f>IF(ISNUMBER(expected_production[[#This Row],[Commissioned Date]]),MAX(0,(expected_production[[#This Row],[Date]]-expected_production[[#This Row],[Commissioned Date]])/365.25),"")</f>
        <v/>
      </c>
      <c r="F1819" s="49">
        <f>IF(expected_production[[#This Row],[Age (yrs)]]="",1,(1-DegradationRate)^expected_production[[#This Row],[Age (yrs)]])</f>
        <v>1</v>
      </c>
      <c r="G1819" s="52">
        <f>IF(expected_production[[#This Row],[Base Expected (kWh)]]="","",expected_production[[#This Row],[Base Expected (kWh)]]*expected_production[[#This Row],[Degradation Factor]])</f>
        <v>4604.0626124999999</v>
      </c>
    </row>
    <row r="1820" spans="1:7" ht="15" hidden="1" customHeight="1" x14ac:dyDescent="0.3">
      <c r="A1820" t="s">
        <v>163</v>
      </c>
      <c r="B1820" s="2">
        <v>45809</v>
      </c>
      <c r="C1820" s="52">
        <v>4265.4254174999996</v>
      </c>
      <c r="D1820" s="48" t="str">
        <f>_xlfn.XLOOKUP(expected_production[[#This Row],[Site Name]],Table1[[Site Name ]],Table1[Commisioned Date],"")</f>
        <v>null</v>
      </c>
      <c r="E1820" s="47" t="str">
        <f>IF(ISNUMBER(expected_production[[#This Row],[Commissioned Date]]),MAX(0,(expected_production[[#This Row],[Date]]-expected_production[[#This Row],[Commissioned Date]])/365.25),"")</f>
        <v/>
      </c>
      <c r="F1820" s="49">
        <f>IF(expected_production[[#This Row],[Age (yrs)]]="",1,(1-DegradationRate)^expected_production[[#This Row],[Age (yrs)]])</f>
        <v>1</v>
      </c>
      <c r="G1820" s="52">
        <f>IF(expected_production[[#This Row],[Base Expected (kWh)]]="","",expected_production[[#This Row],[Base Expected (kWh)]]*expected_production[[#This Row],[Degradation Factor]])</f>
        <v>4265.4254174999996</v>
      </c>
    </row>
    <row r="1821" spans="1:7" ht="15" hidden="1" customHeight="1" x14ac:dyDescent="0.3">
      <c r="A1821" t="s">
        <v>163</v>
      </c>
      <c r="B1821" s="2">
        <v>45839</v>
      </c>
      <c r="C1821" s="52">
        <v>4694.8505175</v>
      </c>
      <c r="D1821" s="48" t="str">
        <f>_xlfn.XLOOKUP(expected_production[[#This Row],[Site Name]],Table1[[Site Name ]],Table1[Commisioned Date],"")</f>
        <v>null</v>
      </c>
      <c r="E1821" s="47" t="str">
        <f>IF(ISNUMBER(expected_production[[#This Row],[Commissioned Date]]),MAX(0,(expected_production[[#This Row],[Date]]-expected_production[[#This Row],[Commissioned Date]])/365.25),"")</f>
        <v/>
      </c>
      <c r="F1821" s="49">
        <f>IF(expected_production[[#This Row],[Age (yrs)]]="",1,(1-DegradationRate)^expected_production[[#This Row],[Age (yrs)]])</f>
        <v>1</v>
      </c>
      <c r="G1821" s="52">
        <f>IF(expected_production[[#This Row],[Base Expected (kWh)]]="","",expected_production[[#This Row],[Base Expected (kWh)]]*expected_production[[#This Row],[Degradation Factor]])</f>
        <v>4694.8505175</v>
      </c>
    </row>
    <row r="1822" spans="1:7" ht="15" hidden="1" customHeight="1" x14ac:dyDescent="0.3">
      <c r="A1822" t="s">
        <v>163</v>
      </c>
      <c r="B1822" s="2">
        <v>45870</v>
      </c>
      <c r="C1822" s="52">
        <v>5144.2252875000004</v>
      </c>
      <c r="D1822" s="48" t="str">
        <f>_xlfn.XLOOKUP(expected_production[[#This Row],[Site Name]],Table1[[Site Name ]],Table1[Commisioned Date],"")</f>
        <v>null</v>
      </c>
      <c r="E1822" s="47" t="str">
        <f>IF(ISNUMBER(expected_production[[#This Row],[Commissioned Date]]),MAX(0,(expected_production[[#This Row],[Date]]-expected_production[[#This Row],[Commissioned Date]])/365.25),"")</f>
        <v/>
      </c>
      <c r="F1822" s="49">
        <f>IF(expected_production[[#This Row],[Age (yrs)]]="",1,(1-DegradationRate)^expected_production[[#This Row],[Age (yrs)]])</f>
        <v>1</v>
      </c>
      <c r="G1822" s="52">
        <f>IF(expected_production[[#This Row],[Base Expected (kWh)]]="","",expected_production[[#This Row],[Base Expected (kWh)]]*expected_production[[#This Row],[Degradation Factor]])</f>
        <v>5144.2252875000004</v>
      </c>
    </row>
    <row r="1823" spans="1:7" ht="15" hidden="1" customHeight="1" x14ac:dyDescent="0.3">
      <c r="A1823" t="s">
        <v>163</v>
      </c>
      <c r="B1823" s="2">
        <v>45901</v>
      </c>
      <c r="C1823" s="52">
        <v>5295.0312674999996</v>
      </c>
      <c r="D1823" s="48" t="str">
        <f>_xlfn.XLOOKUP(expected_production[[#This Row],[Site Name]],Table1[[Site Name ]],Table1[Commisioned Date],"")</f>
        <v>null</v>
      </c>
      <c r="E1823" s="47" t="str">
        <f>IF(ISNUMBER(expected_production[[#This Row],[Commissioned Date]]),MAX(0,(expected_production[[#This Row],[Date]]-expected_production[[#This Row],[Commissioned Date]])/365.25),"")</f>
        <v/>
      </c>
      <c r="F1823" s="49">
        <f>IF(expected_production[[#This Row],[Age (yrs)]]="",1,(1-DegradationRate)^expected_production[[#This Row],[Age (yrs)]])</f>
        <v>1</v>
      </c>
      <c r="G1823" s="52">
        <f>IF(expected_production[[#This Row],[Base Expected (kWh)]]="","",expected_production[[#This Row],[Base Expected (kWh)]]*expected_production[[#This Row],[Degradation Factor]])</f>
        <v>5295.0312674999996</v>
      </c>
    </row>
    <row r="1824" spans="1:7" ht="15" hidden="1" customHeight="1" x14ac:dyDescent="0.3">
      <c r="A1824" t="s">
        <v>163</v>
      </c>
      <c r="B1824" s="2">
        <v>45931</v>
      </c>
      <c r="C1824" s="52">
        <v>5391.4828500000003</v>
      </c>
      <c r="D1824" s="48" t="str">
        <f>_xlfn.XLOOKUP(expected_production[[#This Row],[Site Name]],Table1[[Site Name ]],Table1[Commisioned Date],"")</f>
        <v>null</v>
      </c>
      <c r="E1824" s="47" t="str">
        <f>IF(ISNUMBER(expected_production[[#This Row],[Commissioned Date]]),MAX(0,(expected_production[[#This Row],[Date]]-expected_production[[#This Row],[Commissioned Date]])/365.25),"")</f>
        <v/>
      </c>
      <c r="F1824" s="49">
        <f>IF(expected_production[[#This Row],[Age (yrs)]]="",1,(1-DegradationRate)^expected_production[[#This Row],[Age (yrs)]])</f>
        <v>1</v>
      </c>
      <c r="G1824" s="52">
        <f>IF(expected_production[[#This Row],[Base Expected (kWh)]]="","",expected_production[[#This Row],[Base Expected (kWh)]]*expected_production[[#This Row],[Degradation Factor]])</f>
        <v>5391.4828500000003</v>
      </c>
    </row>
    <row r="1825" spans="1:7" ht="15" hidden="1" customHeight="1" x14ac:dyDescent="0.3">
      <c r="A1825" t="s">
        <v>163</v>
      </c>
      <c r="B1825" s="2">
        <v>45962</v>
      </c>
      <c r="C1825" s="52">
        <v>5210.6678325000003</v>
      </c>
      <c r="D1825" s="48" t="str">
        <f>_xlfn.XLOOKUP(expected_production[[#This Row],[Site Name]],Table1[[Site Name ]],Table1[Commisioned Date],"")</f>
        <v>null</v>
      </c>
      <c r="E1825" s="47" t="str">
        <f>IF(ISNUMBER(expected_production[[#This Row],[Commissioned Date]]),MAX(0,(expected_production[[#This Row],[Date]]-expected_production[[#This Row],[Commissioned Date]])/365.25),"")</f>
        <v/>
      </c>
      <c r="F1825" s="49">
        <f>IF(expected_production[[#This Row],[Age (yrs)]]="",1,(1-DegradationRate)^expected_production[[#This Row],[Age (yrs)]])</f>
        <v>1</v>
      </c>
      <c r="G1825" s="52">
        <f>IF(expected_production[[#This Row],[Base Expected (kWh)]]="","",expected_production[[#This Row],[Base Expected (kWh)]]*expected_production[[#This Row],[Degradation Factor]])</f>
        <v>5210.6678325000003</v>
      </c>
    </row>
    <row r="1826" spans="1:7" ht="15" hidden="1" customHeight="1" x14ac:dyDescent="0.3">
      <c r="A1826" t="s">
        <v>163</v>
      </c>
      <c r="B1826" s="2">
        <v>45992</v>
      </c>
      <c r="C1826" s="52">
        <v>5439.6663749999998</v>
      </c>
      <c r="D1826" s="48" t="str">
        <f>_xlfn.XLOOKUP(expected_production[[#This Row],[Site Name]],Table1[[Site Name ]],Table1[Commisioned Date],"")</f>
        <v>null</v>
      </c>
      <c r="E1826" s="47" t="str">
        <f>IF(ISNUMBER(expected_production[[#This Row],[Commissioned Date]]),MAX(0,(expected_production[[#This Row],[Date]]-expected_production[[#This Row],[Commissioned Date]])/365.25),"")</f>
        <v/>
      </c>
      <c r="F1826" s="49">
        <f>IF(expected_production[[#This Row],[Age (yrs)]]="",1,(1-DegradationRate)^expected_production[[#This Row],[Age (yrs)]])</f>
        <v>1</v>
      </c>
      <c r="G1826" s="52">
        <f>IF(expected_production[[#This Row],[Base Expected (kWh)]]="","",expected_production[[#This Row],[Base Expected (kWh)]]*expected_production[[#This Row],[Degradation Factor]])</f>
        <v>5439.6663749999998</v>
      </c>
    </row>
    <row r="1827" spans="1:7" ht="15" hidden="1" customHeight="1" x14ac:dyDescent="0.3">
      <c r="A1827" t="s">
        <v>163</v>
      </c>
      <c r="B1827" s="2">
        <v>46023</v>
      </c>
      <c r="C1827" s="52">
        <v>5191.4789549999996</v>
      </c>
      <c r="D1827" s="48" t="str">
        <f>_xlfn.XLOOKUP(expected_production[[#This Row],[Site Name]],Table1[[Site Name ]],Table1[Commisioned Date],"")</f>
        <v>null</v>
      </c>
      <c r="E1827" s="47" t="str">
        <f>IF(ISNUMBER(expected_production[[#This Row],[Commissioned Date]]),MAX(0,(expected_production[[#This Row],[Date]]-expected_production[[#This Row],[Commissioned Date]])/365.25),"")</f>
        <v/>
      </c>
      <c r="F1827" s="49">
        <f>IF(expected_production[[#This Row],[Age (yrs)]]="",1,(1-DegradationRate)^expected_production[[#This Row],[Age (yrs)]])</f>
        <v>1</v>
      </c>
      <c r="G1827" s="52">
        <f>IF(expected_production[[#This Row],[Base Expected (kWh)]]="","",expected_production[[#This Row],[Base Expected (kWh)]]*expected_production[[#This Row],[Degradation Factor]])</f>
        <v>5191.4789549999996</v>
      </c>
    </row>
    <row r="1828" spans="1:7" ht="15" hidden="1" customHeight="1" x14ac:dyDescent="0.3">
      <c r="A1828" t="s">
        <v>163</v>
      </c>
      <c r="B1828" s="2">
        <v>46054</v>
      </c>
      <c r="C1828" s="52">
        <v>4656.5572949999996</v>
      </c>
      <c r="D1828" s="48" t="str">
        <f>_xlfn.XLOOKUP(expected_production[[#This Row],[Site Name]],Table1[[Site Name ]],Table1[Commisioned Date],"")</f>
        <v>null</v>
      </c>
      <c r="E1828" s="47" t="str">
        <f>IF(ISNUMBER(expected_production[[#This Row],[Commissioned Date]]),MAX(0,(expected_production[[#This Row],[Date]]-expected_production[[#This Row],[Commissioned Date]])/365.25),"")</f>
        <v/>
      </c>
      <c r="F1828" s="49">
        <f>IF(expected_production[[#This Row],[Age (yrs)]]="",1,(1-DegradationRate)^expected_production[[#This Row],[Age (yrs)]])</f>
        <v>1</v>
      </c>
      <c r="G1828" s="52">
        <f>IF(expected_production[[#This Row],[Base Expected (kWh)]]="","",expected_production[[#This Row],[Base Expected (kWh)]]*expected_production[[#This Row],[Degradation Factor]])</f>
        <v>4656.5572949999996</v>
      </c>
    </row>
    <row r="1829" spans="1:7" ht="15" hidden="1" customHeight="1" x14ac:dyDescent="0.3">
      <c r="A1829" t="s">
        <v>163</v>
      </c>
      <c r="B1829" s="2">
        <v>46082</v>
      </c>
      <c r="C1829" s="52">
        <v>5018.2718624999998</v>
      </c>
      <c r="D1829" s="48" t="str">
        <f>_xlfn.XLOOKUP(expected_production[[#This Row],[Site Name]],Table1[[Site Name ]],Table1[Commisioned Date],"")</f>
        <v>null</v>
      </c>
      <c r="E1829" s="47" t="str">
        <f>IF(ISNUMBER(expected_production[[#This Row],[Commissioned Date]]),MAX(0,(expected_production[[#This Row],[Date]]-expected_production[[#This Row],[Commissioned Date]])/365.25),"")</f>
        <v/>
      </c>
      <c r="F1829" s="49">
        <f>IF(expected_production[[#This Row],[Age (yrs)]]="",1,(1-DegradationRate)^expected_production[[#This Row],[Age (yrs)]])</f>
        <v>1</v>
      </c>
      <c r="G1829" s="52">
        <f>IF(expected_production[[#This Row],[Base Expected (kWh)]]="","",expected_production[[#This Row],[Base Expected (kWh)]]*expected_production[[#This Row],[Degradation Factor]])</f>
        <v>5018.2718624999998</v>
      </c>
    </row>
    <row r="1830" spans="1:7" ht="15" hidden="1" customHeight="1" x14ac:dyDescent="0.3">
      <c r="A1830" t="s">
        <v>163</v>
      </c>
      <c r="B1830" s="2">
        <v>46113</v>
      </c>
      <c r="C1830" s="52">
        <v>4498.5660525000003</v>
      </c>
      <c r="D1830" s="48" t="str">
        <f>_xlfn.XLOOKUP(expected_production[[#This Row],[Site Name]],Table1[[Site Name ]],Table1[Commisioned Date],"")</f>
        <v>null</v>
      </c>
      <c r="E1830" s="47" t="str">
        <f>IF(ISNUMBER(expected_production[[#This Row],[Commissioned Date]]),MAX(0,(expected_production[[#This Row],[Date]]-expected_production[[#This Row],[Commissioned Date]])/365.25),"")</f>
        <v/>
      </c>
      <c r="F1830" s="49">
        <f>IF(expected_production[[#This Row],[Age (yrs)]]="",1,(1-DegradationRate)^expected_production[[#This Row],[Age (yrs)]])</f>
        <v>1</v>
      </c>
      <c r="G1830" s="52">
        <f>IF(expected_production[[#This Row],[Base Expected (kWh)]]="","",expected_production[[#This Row],[Base Expected (kWh)]]*expected_production[[#This Row],[Degradation Factor]])</f>
        <v>4498.5660525000003</v>
      </c>
    </row>
    <row r="1831" spans="1:7" ht="15" hidden="1" customHeight="1" x14ac:dyDescent="0.3">
      <c r="A1831" t="s">
        <v>163</v>
      </c>
      <c r="B1831" s="2">
        <v>46143</v>
      </c>
      <c r="C1831" s="52">
        <v>4604.0626124999999</v>
      </c>
      <c r="D1831" s="48" t="str">
        <f>_xlfn.XLOOKUP(expected_production[[#This Row],[Site Name]],Table1[[Site Name ]],Table1[Commisioned Date],"")</f>
        <v>null</v>
      </c>
      <c r="E1831" s="47" t="str">
        <f>IF(ISNUMBER(expected_production[[#This Row],[Commissioned Date]]),MAX(0,(expected_production[[#This Row],[Date]]-expected_production[[#This Row],[Commissioned Date]])/365.25),"")</f>
        <v/>
      </c>
      <c r="F1831" s="49">
        <f>IF(expected_production[[#This Row],[Age (yrs)]]="",1,(1-DegradationRate)^expected_production[[#This Row],[Age (yrs)]])</f>
        <v>1</v>
      </c>
      <c r="G1831" s="52">
        <f>IF(expected_production[[#This Row],[Base Expected (kWh)]]="","",expected_production[[#This Row],[Base Expected (kWh)]]*expected_production[[#This Row],[Degradation Factor]])</f>
        <v>4604.0626124999999</v>
      </c>
    </row>
    <row r="1832" spans="1:7" ht="15" hidden="1" customHeight="1" x14ac:dyDescent="0.3">
      <c r="A1832" t="s">
        <v>163</v>
      </c>
      <c r="B1832" s="2">
        <v>46174</v>
      </c>
      <c r="C1832" s="52">
        <v>4265.4254174999996</v>
      </c>
      <c r="D1832" s="48" t="str">
        <f>_xlfn.XLOOKUP(expected_production[[#This Row],[Site Name]],Table1[[Site Name ]],Table1[Commisioned Date],"")</f>
        <v>null</v>
      </c>
      <c r="E1832" s="47" t="str">
        <f>IF(ISNUMBER(expected_production[[#This Row],[Commissioned Date]]),MAX(0,(expected_production[[#This Row],[Date]]-expected_production[[#This Row],[Commissioned Date]])/365.25),"")</f>
        <v/>
      </c>
      <c r="F1832" s="49">
        <f>IF(expected_production[[#This Row],[Age (yrs)]]="",1,(1-DegradationRate)^expected_production[[#This Row],[Age (yrs)]])</f>
        <v>1</v>
      </c>
      <c r="G1832" s="52">
        <f>IF(expected_production[[#This Row],[Base Expected (kWh)]]="","",expected_production[[#This Row],[Base Expected (kWh)]]*expected_production[[#This Row],[Degradation Factor]])</f>
        <v>4265.4254174999996</v>
      </c>
    </row>
    <row r="1833" spans="1:7" ht="15" hidden="1" customHeight="1" x14ac:dyDescent="0.3">
      <c r="A1833" t="s">
        <v>163</v>
      </c>
      <c r="B1833" s="2">
        <v>46204</v>
      </c>
      <c r="C1833" s="52">
        <v>4694.8505175</v>
      </c>
      <c r="D1833" s="48" t="str">
        <f>_xlfn.XLOOKUP(expected_production[[#This Row],[Site Name]],Table1[[Site Name ]],Table1[Commisioned Date],"")</f>
        <v>null</v>
      </c>
      <c r="E1833" s="47" t="str">
        <f>IF(ISNUMBER(expected_production[[#This Row],[Commissioned Date]]),MAX(0,(expected_production[[#This Row],[Date]]-expected_production[[#This Row],[Commissioned Date]])/365.25),"")</f>
        <v/>
      </c>
      <c r="F1833" s="49">
        <f>IF(expected_production[[#This Row],[Age (yrs)]]="",1,(1-DegradationRate)^expected_production[[#This Row],[Age (yrs)]])</f>
        <v>1</v>
      </c>
      <c r="G1833" s="52">
        <f>IF(expected_production[[#This Row],[Base Expected (kWh)]]="","",expected_production[[#This Row],[Base Expected (kWh)]]*expected_production[[#This Row],[Degradation Factor]])</f>
        <v>4694.8505175</v>
      </c>
    </row>
    <row r="1834" spans="1:7" ht="15" hidden="1" customHeight="1" x14ac:dyDescent="0.3">
      <c r="A1834" t="s">
        <v>163</v>
      </c>
      <c r="B1834" s="2">
        <v>46235</v>
      </c>
      <c r="C1834" s="52">
        <v>5144.2252875000004</v>
      </c>
      <c r="D1834" s="48" t="str">
        <f>_xlfn.XLOOKUP(expected_production[[#This Row],[Site Name]],Table1[[Site Name ]],Table1[Commisioned Date],"")</f>
        <v>null</v>
      </c>
      <c r="E1834" s="47" t="str">
        <f>IF(ISNUMBER(expected_production[[#This Row],[Commissioned Date]]),MAX(0,(expected_production[[#This Row],[Date]]-expected_production[[#This Row],[Commissioned Date]])/365.25),"")</f>
        <v/>
      </c>
      <c r="F1834" s="49">
        <f>IF(expected_production[[#This Row],[Age (yrs)]]="",1,(1-DegradationRate)^expected_production[[#This Row],[Age (yrs)]])</f>
        <v>1</v>
      </c>
      <c r="G1834" s="52">
        <f>IF(expected_production[[#This Row],[Base Expected (kWh)]]="","",expected_production[[#This Row],[Base Expected (kWh)]]*expected_production[[#This Row],[Degradation Factor]])</f>
        <v>5144.2252875000004</v>
      </c>
    </row>
    <row r="1835" spans="1:7" ht="15" hidden="1" customHeight="1" x14ac:dyDescent="0.3">
      <c r="A1835" t="s">
        <v>163</v>
      </c>
      <c r="B1835" s="2">
        <v>46266</v>
      </c>
      <c r="C1835" s="52">
        <v>5295.0312674999996</v>
      </c>
      <c r="D1835" s="48" t="str">
        <f>_xlfn.XLOOKUP(expected_production[[#This Row],[Site Name]],Table1[[Site Name ]],Table1[Commisioned Date],"")</f>
        <v>null</v>
      </c>
      <c r="E1835" s="47" t="str">
        <f>IF(ISNUMBER(expected_production[[#This Row],[Commissioned Date]]),MAX(0,(expected_production[[#This Row],[Date]]-expected_production[[#This Row],[Commissioned Date]])/365.25),"")</f>
        <v/>
      </c>
      <c r="F1835" s="49">
        <f>IF(expected_production[[#This Row],[Age (yrs)]]="",1,(1-DegradationRate)^expected_production[[#This Row],[Age (yrs)]])</f>
        <v>1</v>
      </c>
      <c r="G1835" s="52">
        <f>IF(expected_production[[#This Row],[Base Expected (kWh)]]="","",expected_production[[#This Row],[Base Expected (kWh)]]*expected_production[[#This Row],[Degradation Factor]])</f>
        <v>5295.0312674999996</v>
      </c>
    </row>
    <row r="1836" spans="1:7" ht="15" hidden="1" customHeight="1" x14ac:dyDescent="0.3">
      <c r="A1836" t="s">
        <v>163</v>
      </c>
      <c r="B1836" s="2">
        <v>46296</v>
      </c>
      <c r="C1836" s="52">
        <v>5391.4828500000003</v>
      </c>
      <c r="D1836" s="48" t="str">
        <f>_xlfn.XLOOKUP(expected_production[[#This Row],[Site Name]],Table1[[Site Name ]],Table1[Commisioned Date],"")</f>
        <v>null</v>
      </c>
      <c r="E1836" s="47" t="str">
        <f>IF(ISNUMBER(expected_production[[#This Row],[Commissioned Date]]),MAX(0,(expected_production[[#This Row],[Date]]-expected_production[[#This Row],[Commissioned Date]])/365.25),"")</f>
        <v/>
      </c>
      <c r="F1836" s="49">
        <f>IF(expected_production[[#This Row],[Age (yrs)]]="",1,(1-DegradationRate)^expected_production[[#This Row],[Age (yrs)]])</f>
        <v>1</v>
      </c>
      <c r="G1836" s="52">
        <f>IF(expected_production[[#This Row],[Base Expected (kWh)]]="","",expected_production[[#This Row],[Base Expected (kWh)]]*expected_production[[#This Row],[Degradation Factor]])</f>
        <v>5391.4828500000003</v>
      </c>
    </row>
    <row r="1837" spans="1:7" ht="15" hidden="1" customHeight="1" x14ac:dyDescent="0.3">
      <c r="A1837" t="s">
        <v>163</v>
      </c>
      <c r="B1837" s="2">
        <v>46327</v>
      </c>
      <c r="C1837" s="52">
        <v>5210.6678325000003</v>
      </c>
      <c r="D1837" s="48" t="str">
        <f>_xlfn.XLOOKUP(expected_production[[#This Row],[Site Name]],Table1[[Site Name ]],Table1[Commisioned Date],"")</f>
        <v>null</v>
      </c>
      <c r="E1837" s="47" t="str">
        <f>IF(ISNUMBER(expected_production[[#This Row],[Commissioned Date]]),MAX(0,(expected_production[[#This Row],[Date]]-expected_production[[#This Row],[Commissioned Date]])/365.25),"")</f>
        <v/>
      </c>
      <c r="F1837" s="49">
        <f>IF(expected_production[[#This Row],[Age (yrs)]]="",1,(1-DegradationRate)^expected_production[[#This Row],[Age (yrs)]])</f>
        <v>1</v>
      </c>
      <c r="G1837" s="52">
        <f>IF(expected_production[[#This Row],[Base Expected (kWh)]]="","",expected_production[[#This Row],[Base Expected (kWh)]]*expected_production[[#This Row],[Degradation Factor]])</f>
        <v>5210.6678325000003</v>
      </c>
    </row>
    <row r="1838" spans="1:7" ht="15" hidden="1" customHeight="1" x14ac:dyDescent="0.3">
      <c r="A1838" t="s">
        <v>163</v>
      </c>
      <c r="B1838" s="2">
        <v>46357</v>
      </c>
      <c r="C1838" s="52">
        <v>5439.6663749999998</v>
      </c>
      <c r="D1838" s="48" t="str">
        <f>_xlfn.XLOOKUP(expected_production[[#This Row],[Site Name]],Table1[[Site Name ]],Table1[Commisioned Date],"")</f>
        <v>null</v>
      </c>
      <c r="E1838" s="47" t="str">
        <f>IF(ISNUMBER(expected_production[[#This Row],[Commissioned Date]]),MAX(0,(expected_production[[#This Row],[Date]]-expected_production[[#This Row],[Commissioned Date]])/365.25),"")</f>
        <v/>
      </c>
      <c r="F1838" s="49">
        <f>IF(expected_production[[#This Row],[Age (yrs)]]="",1,(1-DegradationRate)^expected_production[[#This Row],[Age (yrs)]])</f>
        <v>1</v>
      </c>
      <c r="G1838" s="52">
        <f>IF(expected_production[[#This Row],[Base Expected (kWh)]]="","",expected_production[[#This Row],[Base Expected (kWh)]]*expected_production[[#This Row],[Degradation Factor]])</f>
        <v>5439.6663749999998</v>
      </c>
    </row>
    <row r="1839" spans="1:7" ht="15" hidden="1" customHeight="1" x14ac:dyDescent="0.3">
      <c r="A1839" t="s">
        <v>166</v>
      </c>
      <c r="B1839" s="2">
        <v>45292</v>
      </c>
      <c r="C1839" s="52">
        <v>23005.8</v>
      </c>
      <c r="D1839" s="48">
        <f>_xlfn.XLOOKUP(expected_production[[#This Row],[Site Name]],Table1[[Site Name ]],Table1[Commisioned Date],"")</f>
        <v>45110</v>
      </c>
      <c r="E1839" s="47">
        <f>IF(ISNUMBER(expected_production[[#This Row],[Commissioned Date]]),MAX(0,(expected_production[[#This Row],[Date]]-expected_production[[#This Row],[Commissioned Date]])/365.25),"")</f>
        <v>0.49828884325804246</v>
      </c>
      <c r="F1839" s="49">
        <f>IF(expected_production[[#This Row],[Age (yrs)]]="",1,(1-DegradationRate)^expected_production[[#This Row],[Age (yrs)]])</f>
        <v>0.99650583161280493</v>
      </c>
      <c r="G1839" s="52">
        <f>IF(expected_production[[#This Row],[Base Expected (kWh)]]="","",expected_production[[#This Row],[Base Expected (kWh)]]*expected_production[[#This Row],[Degradation Factor]])</f>
        <v>22925.413860917866</v>
      </c>
    </row>
    <row r="1840" spans="1:7" ht="15" hidden="1" customHeight="1" x14ac:dyDescent="0.3">
      <c r="A1840" t="s">
        <v>166</v>
      </c>
      <c r="B1840" s="2">
        <v>45323</v>
      </c>
      <c r="C1840" s="52">
        <v>19888.2</v>
      </c>
      <c r="D1840" s="48">
        <f>_xlfn.XLOOKUP(expected_production[[#This Row],[Site Name]],Table1[[Site Name ]],Table1[Commisioned Date],"")</f>
        <v>45110</v>
      </c>
      <c r="E1840" s="47">
        <f>IF(ISNUMBER(expected_production[[#This Row],[Commissioned Date]]),MAX(0,(expected_production[[#This Row],[Date]]-expected_production[[#This Row],[Commissioned Date]])/365.25),"")</f>
        <v>0.58316221765913756</v>
      </c>
      <c r="F1840" s="49">
        <f>IF(expected_production[[#This Row],[Age (yrs)]]="",1,(1-DegradationRate)^expected_production[[#This Row],[Age (yrs)]])</f>
        <v>0.99591188914478701</v>
      </c>
      <c r="G1840" s="52">
        <f>IF(expected_production[[#This Row],[Base Expected (kWh)]]="","",expected_production[[#This Row],[Base Expected (kWh)]]*expected_production[[#This Row],[Degradation Factor]])</f>
        <v>19806.894833689355</v>
      </c>
    </row>
    <row r="1841" spans="1:7" ht="15" hidden="1" customHeight="1" x14ac:dyDescent="0.3">
      <c r="A1841" t="s">
        <v>166</v>
      </c>
      <c r="B1841" s="2">
        <v>45352</v>
      </c>
      <c r="C1841" s="52">
        <v>21952.799999999999</v>
      </c>
      <c r="D1841" s="48">
        <f>_xlfn.XLOOKUP(expected_production[[#This Row],[Site Name]],Table1[[Site Name ]],Table1[Commisioned Date],"")</f>
        <v>45110</v>
      </c>
      <c r="E1841" s="47">
        <f>IF(ISNUMBER(expected_production[[#This Row],[Commissioned Date]]),MAX(0,(expected_production[[#This Row],[Date]]-expected_production[[#This Row],[Commissioned Date]])/365.25),"")</f>
        <v>0.66255989048596853</v>
      </c>
      <c r="F1841" s="49">
        <f>IF(expected_production[[#This Row],[Age (yrs)]]="",1,(1-DegradationRate)^expected_production[[#This Row],[Age (yrs)]])</f>
        <v>0.99535658603262078</v>
      </c>
      <c r="G1841" s="52">
        <f>IF(expected_production[[#This Row],[Base Expected (kWh)]]="","",expected_production[[#This Row],[Base Expected (kWh)]]*expected_production[[#This Row],[Degradation Factor]])</f>
        <v>21850.864061856915</v>
      </c>
    </row>
    <row r="1842" spans="1:7" ht="15" hidden="1" customHeight="1" x14ac:dyDescent="0.3">
      <c r="A1842" t="s">
        <v>166</v>
      </c>
      <c r="B1842" s="2">
        <v>45383</v>
      </c>
      <c r="C1842" s="52">
        <v>21444.3</v>
      </c>
      <c r="D1842" s="48">
        <f>_xlfn.XLOOKUP(expected_production[[#This Row],[Site Name]],Table1[[Site Name ]],Table1[Commisioned Date],"")</f>
        <v>45110</v>
      </c>
      <c r="E1842" s="47">
        <f>IF(ISNUMBER(expected_production[[#This Row],[Commissioned Date]]),MAX(0,(expected_production[[#This Row],[Date]]-expected_production[[#This Row],[Commissioned Date]])/365.25),"")</f>
        <v>0.74743326488706363</v>
      </c>
      <c r="F1842" s="49">
        <f>IF(expected_production[[#This Row],[Age (yrs)]]="",1,(1-DegradationRate)^expected_production[[#This Row],[Age (yrs)]])</f>
        <v>0.99476332854379179</v>
      </c>
      <c r="G1842" s="52">
        <f>IF(expected_production[[#This Row],[Base Expected (kWh)]]="","",expected_production[[#This Row],[Base Expected (kWh)]]*expected_production[[#This Row],[Degradation Factor]])</f>
        <v>21332.003246291635</v>
      </c>
    </row>
    <row r="1843" spans="1:7" ht="15" hidden="1" customHeight="1" x14ac:dyDescent="0.3">
      <c r="A1843" t="s">
        <v>166</v>
      </c>
      <c r="B1843" s="2">
        <v>45413</v>
      </c>
      <c r="C1843" s="52">
        <v>20688.3</v>
      </c>
      <c r="D1843" s="48">
        <f>_xlfn.XLOOKUP(expected_production[[#This Row],[Site Name]],Table1[[Site Name ]],Table1[Commisioned Date],"")</f>
        <v>45110</v>
      </c>
      <c r="E1843" s="47">
        <f>IF(ISNUMBER(expected_production[[#This Row],[Commissioned Date]]),MAX(0,(expected_production[[#This Row],[Date]]-expected_production[[#This Row],[Commissioned Date]])/365.25),"")</f>
        <v>0.82956878850102667</v>
      </c>
      <c r="F1843" s="49">
        <f>IF(expected_production[[#This Row],[Age (yrs)]]="",1,(1-DegradationRate)^expected_production[[#This Row],[Age (yrs)]])</f>
        <v>0.99418954506628499</v>
      </c>
      <c r="G1843" s="52">
        <f>IF(expected_production[[#This Row],[Base Expected (kWh)]]="","",expected_production[[#This Row],[Base Expected (kWh)]]*expected_production[[#This Row],[Degradation Factor]])</f>
        <v>20568.091565194823</v>
      </c>
    </row>
    <row r="1844" spans="1:7" ht="15" hidden="1" customHeight="1" x14ac:dyDescent="0.3">
      <c r="A1844" t="s">
        <v>166</v>
      </c>
      <c r="B1844" s="2">
        <v>45444</v>
      </c>
      <c r="C1844" s="52">
        <v>18646.2</v>
      </c>
      <c r="D1844" s="48">
        <f>_xlfn.XLOOKUP(expected_production[[#This Row],[Site Name]],Table1[[Site Name ]],Table1[Commisioned Date],"")</f>
        <v>45110</v>
      </c>
      <c r="E1844" s="47">
        <f>IF(ISNUMBER(expected_production[[#This Row],[Commissioned Date]]),MAX(0,(expected_production[[#This Row],[Date]]-expected_production[[#This Row],[Commissioned Date]])/365.25),"")</f>
        <v>0.91444216290212188</v>
      </c>
      <c r="F1844" s="49">
        <f>IF(expected_production[[#This Row],[Age (yrs)]]="",1,(1-DegradationRate)^expected_production[[#This Row],[Age (yrs)]])</f>
        <v>0.99359698316314138</v>
      </c>
      <c r="G1844" s="52">
        <f>IF(expected_production[[#This Row],[Base Expected (kWh)]]="","",expected_production[[#This Row],[Base Expected (kWh)]]*expected_production[[#This Row],[Degradation Factor]])</f>
        <v>18526.808067456568</v>
      </c>
    </row>
    <row r="1845" spans="1:7" ht="15" hidden="1" customHeight="1" x14ac:dyDescent="0.3">
      <c r="A1845" t="s">
        <v>166</v>
      </c>
      <c r="B1845" s="2">
        <v>45474</v>
      </c>
      <c r="C1845" s="52">
        <v>19629.900000000001</v>
      </c>
      <c r="D1845" s="48">
        <f>_xlfn.XLOOKUP(expected_production[[#This Row],[Site Name]],Table1[[Site Name ]],Table1[Commisioned Date],"")</f>
        <v>45110</v>
      </c>
      <c r="E1845" s="47">
        <f>IF(ISNUMBER(expected_production[[#This Row],[Commissioned Date]]),MAX(0,(expected_production[[#This Row],[Date]]-expected_production[[#This Row],[Commissioned Date]])/365.25),"")</f>
        <v>0.99657768651608492</v>
      </c>
      <c r="F1845" s="49">
        <f>IF(expected_production[[#This Row],[Age (yrs)]]="",1,(1-DegradationRate)^expected_production[[#This Row],[Age (yrs)]])</f>
        <v>0.9930238724383279</v>
      </c>
      <c r="G1845" s="52">
        <f>IF(expected_production[[#This Row],[Base Expected (kWh)]]="","",expected_production[[#This Row],[Base Expected (kWh)]]*expected_production[[#This Row],[Degradation Factor]])</f>
        <v>19492.959313577136</v>
      </c>
    </row>
    <row r="1846" spans="1:7" ht="15" hidden="1" customHeight="1" x14ac:dyDescent="0.3">
      <c r="A1846" t="s">
        <v>166</v>
      </c>
      <c r="B1846" s="2">
        <v>45505</v>
      </c>
      <c r="C1846" s="52">
        <v>22998.6</v>
      </c>
      <c r="D1846" s="48">
        <f>_xlfn.XLOOKUP(expected_production[[#This Row],[Site Name]],Table1[[Site Name ]],Table1[Commisioned Date],"")</f>
        <v>45110</v>
      </c>
      <c r="E1846" s="47">
        <f>IF(ISNUMBER(expected_production[[#This Row],[Commissioned Date]]),MAX(0,(expected_production[[#This Row],[Date]]-expected_production[[#This Row],[Commissioned Date]])/365.25),"")</f>
        <v>1.0814510609171799</v>
      </c>
      <c r="F1846" s="49">
        <f>IF(expected_production[[#This Row],[Age (yrs)]]="",1,(1-DegradationRate)^expected_production[[#This Row],[Age (yrs)]])</f>
        <v>0.99243200530530551</v>
      </c>
      <c r="G1846" s="52">
        <f>IF(expected_production[[#This Row],[Base Expected (kWh)]]="","",expected_production[[#This Row],[Base Expected (kWh)]]*expected_production[[#This Row],[Degradation Factor]])</f>
        <v>22824.546717214598</v>
      </c>
    </row>
    <row r="1847" spans="1:7" ht="15" hidden="1" customHeight="1" x14ac:dyDescent="0.3">
      <c r="A1847" t="s">
        <v>166</v>
      </c>
      <c r="B1847" s="2">
        <v>45536</v>
      </c>
      <c r="C1847" s="52">
        <v>22670.1</v>
      </c>
      <c r="D1847" s="48">
        <f>_xlfn.XLOOKUP(expected_production[[#This Row],[Site Name]],Table1[[Site Name ]],Table1[Commisioned Date],"")</f>
        <v>45110</v>
      </c>
      <c r="E1847" s="47">
        <f>IF(ISNUMBER(expected_production[[#This Row],[Commissioned Date]]),MAX(0,(expected_production[[#This Row],[Date]]-expected_production[[#This Row],[Commissioned Date]])/365.25),"")</f>
        <v>1.1663244353182751</v>
      </c>
      <c r="F1847" s="49">
        <f>IF(expected_production[[#This Row],[Age (yrs)]]="",1,(1-DegradationRate)^expected_production[[#This Row],[Age (yrs)]])</f>
        <v>0.99184049093993853</v>
      </c>
      <c r="G1847" s="52">
        <f>IF(expected_production[[#This Row],[Base Expected (kWh)]]="","",expected_production[[#This Row],[Base Expected (kWh)]]*expected_production[[#This Row],[Degradation Factor]])</f>
        <v>22485.123113657501</v>
      </c>
    </row>
    <row r="1848" spans="1:7" ht="15" hidden="1" customHeight="1" x14ac:dyDescent="0.3">
      <c r="A1848" t="s">
        <v>166</v>
      </c>
      <c r="B1848" s="2">
        <v>45566</v>
      </c>
      <c r="C1848" s="52">
        <v>22045.5</v>
      </c>
      <c r="D1848" s="48">
        <f>_xlfn.XLOOKUP(expected_production[[#This Row],[Site Name]],Table1[[Site Name ]],Table1[Commisioned Date],"")</f>
        <v>45110</v>
      </c>
      <c r="E1848" s="47">
        <f>IF(ISNUMBER(expected_production[[#This Row],[Commissioned Date]]),MAX(0,(expected_production[[#This Row],[Date]]-expected_production[[#This Row],[Commissioned Date]])/365.25),"")</f>
        <v>1.2484599589322383</v>
      </c>
      <c r="F1848" s="49">
        <f>IF(expected_production[[#This Row],[Age (yrs)]]="",1,(1-DegradationRate)^expected_production[[#This Row],[Age (yrs)]])</f>
        <v>0.99126839336688399</v>
      </c>
      <c r="G1848" s="52">
        <f>IF(expected_production[[#This Row],[Base Expected (kWh)]]="","",expected_production[[#This Row],[Base Expected (kWh)]]*expected_production[[#This Row],[Degradation Factor]])</f>
        <v>21853.007365969643</v>
      </c>
    </row>
    <row r="1849" spans="1:7" ht="15" hidden="1" customHeight="1" x14ac:dyDescent="0.3">
      <c r="A1849" t="s">
        <v>166</v>
      </c>
      <c r="B1849" s="2">
        <v>45597</v>
      </c>
      <c r="C1849" s="52">
        <v>22062.6</v>
      </c>
      <c r="D1849" s="48">
        <f>_xlfn.XLOOKUP(expected_production[[#This Row],[Site Name]],Table1[[Site Name ]],Table1[Commisioned Date],"")</f>
        <v>45110</v>
      </c>
      <c r="E1849" s="47">
        <f>IF(ISNUMBER(expected_production[[#This Row],[Commissioned Date]]),MAX(0,(expected_production[[#This Row],[Date]]-expected_production[[#This Row],[Commissioned Date]])/365.25),"")</f>
        <v>1.3333333333333333</v>
      </c>
      <c r="F1849" s="49">
        <f>IF(expected_production[[#This Row],[Age (yrs)]]="",1,(1-DegradationRate)^expected_production[[#This Row],[Age (yrs)]])</f>
        <v>0.99067757254341571</v>
      </c>
      <c r="G1849" s="52">
        <f>IF(expected_production[[#This Row],[Base Expected (kWh)]]="","",expected_production[[#This Row],[Base Expected (kWh)]]*expected_production[[#This Row],[Degradation Factor]])</f>
        <v>21856.923011996361</v>
      </c>
    </row>
    <row r="1850" spans="1:7" ht="15" hidden="1" customHeight="1" x14ac:dyDescent="0.3">
      <c r="A1850" t="s">
        <v>166</v>
      </c>
      <c r="B1850" s="2">
        <v>45627</v>
      </c>
      <c r="C1850" s="52">
        <v>23333.4</v>
      </c>
      <c r="D1850" s="48">
        <f>_xlfn.XLOOKUP(expected_production[[#This Row],[Site Name]],Table1[[Site Name ]],Table1[Commisioned Date],"")</f>
        <v>45110</v>
      </c>
      <c r="E1850" s="47">
        <f>IF(ISNUMBER(expected_production[[#This Row],[Commissioned Date]]),MAX(0,(expected_production[[#This Row],[Date]]-expected_production[[#This Row],[Commissioned Date]])/365.25),"")</f>
        <v>1.4154688569472964</v>
      </c>
      <c r="F1850" s="49">
        <f>IF(expected_production[[#This Row],[Age (yrs)]]="",1,(1-DegradationRate)^expected_production[[#This Row],[Age (yrs)]])</f>
        <v>0.99010614574635625</v>
      </c>
      <c r="G1850" s="52">
        <f>IF(expected_production[[#This Row],[Base Expected (kWh)]]="","",expected_production[[#This Row],[Base Expected (kWh)]]*expected_production[[#This Row],[Degradation Factor]])</f>
        <v>23102.542741158031</v>
      </c>
    </row>
    <row r="1851" spans="1:7" ht="15" hidden="1" customHeight="1" x14ac:dyDescent="0.3">
      <c r="A1851" t="s">
        <v>166</v>
      </c>
      <c r="B1851" s="2">
        <v>45658</v>
      </c>
      <c r="C1851" s="52">
        <v>23005.8</v>
      </c>
      <c r="D1851" s="48">
        <f>_xlfn.XLOOKUP(expected_production[[#This Row],[Site Name]],Table1[[Site Name ]],Table1[Commisioned Date],"")</f>
        <v>45110</v>
      </c>
      <c r="E1851" s="47">
        <f>IF(ISNUMBER(expected_production[[#This Row],[Commissioned Date]]),MAX(0,(expected_production[[#This Row],[Date]]-expected_production[[#This Row],[Commissioned Date]])/365.25),"")</f>
        <v>1.5003422313483916</v>
      </c>
      <c r="F1851" s="49">
        <f>IF(expected_production[[#This Row],[Age (yrs)]]="",1,(1-DegradationRate)^expected_production[[#This Row],[Age (yrs)]])</f>
        <v>0.98951601765161901</v>
      </c>
      <c r="G1851" s="52">
        <f>IF(expected_production[[#This Row],[Base Expected (kWh)]]="","",expected_production[[#This Row],[Base Expected (kWh)]]*expected_production[[#This Row],[Degradation Factor]])</f>
        <v>22764.607598889615</v>
      </c>
    </row>
    <row r="1852" spans="1:7" ht="15" hidden="1" customHeight="1" x14ac:dyDescent="0.3">
      <c r="A1852" t="s">
        <v>166</v>
      </c>
      <c r="B1852" s="2">
        <v>45689</v>
      </c>
      <c r="C1852" s="52">
        <v>19888.2</v>
      </c>
      <c r="D1852" s="48">
        <f>_xlfn.XLOOKUP(expected_production[[#This Row],[Site Name]],Table1[[Site Name ]],Table1[Commisioned Date],"")</f>
        <v>45110</v>
      </c>
      <c r="E1852" s="47">
        <f>IF(ISNUMBER(expected_production[[#This Row],[Commissioned Date]]),MAX(0,(expected_production[[#This Row],[Date]]-expected_production[[#This Row],[Commissioned Date]])/365.25),"")</f>
        <v>1.5852156057494866</v>
      </c>
      <c r="F1852" s="49">
        <f>IF(expected_production[[#This Row],[Age (yrs)]]="",1,(1-DegradationRate)^expected_production[[#This Row],[Age (yrs)]])</f>
        <v>0.98892624128802653</v>
      </c>
      <c r="G1852" s="52">
        <f>IF(expected_production[[#This Row],[Base Expected (kWh)]]="","",expected_production[[#This Row],[Base Expected (kWh)]]*expected_production[[#This Row],[Degradation Factor]])</f>
        <v>19667.962871984531</v>
      </c>
    </row>
    <row r="1853" spans="1:7" ht="15" hidden="1" customHeight="1" x14ac:dyDescent="0.3">
      <c r="A1853" t="s">
        <v>166</v>
      </c>
      <c r="B1853" s="2">
        <v>45717</v>
      </c>
      <c r="C1853" s="52">
        <v>21952.799999999999</v>
      </c>
      <c r="D1853" s="48">
        <f>_xlfn.XLOOKUP(expected_production[[#This Row],[Site Name]],Table1[[Site Name ]],Table1[Commisioned Date],"")</f>
        <v>45110</v>
      </c>
      <c r="E1853" s="47">
        <f>IF(ISNUMBER(expected_production[[#This Row],[Commissioned Date]]),MAX(0,(expected_production[[#This Row],[Date]]-expected_production[[#This Row],[Commissioned Date]])/365.25),"")</f>
        <v>1.6618754277891854</v>
      </c>
      <c r="F1853" s="49">
        <f>IF(expected_production[[#This Row],[Age (yrs)]]="",1,(1-DegradationRate)^expected_production[[#This Row],[Age (yrs)]])</f>
        <v>0.98839384220243631</v>
      </c>
      <c r="G1853" s="52">
        <f>IF(expected_production[[#This Row],[Base Expected (kWh)]]="","",expected_production[[#This Row],[Base Expected (kWh)]]*expected_production[[#This Row],[Degradation Factor]])</f>
        <v>21698.012339101642</v>
      </c>
    </row>
    <row r="1854" spans="1:7" ht="15" hidden="1" customHeight="1" x14ac:dyDescent="0.3">
      <c r="A1854" t="s">
        <v>166</v>
      </c>
      <c r="B1854" s="2">
        <v>45748</v>
      </c>
      <c r="C1854" s="52">
        <v>21444.3</v>
      </c>
      <c r="D1854" s="48">
        <f>_xlfn.XLOOKUP(expected_production[[#This Row],[Site Name]],Table1[[Site Name ]],Table1[Commisioned Date],"")</f>
        <v>45110</v>
      </c>
      <c r="E1854" s="47">
        <f>IF(ISNUMBER(expected_production[[#This Row],[Commissioned Date]]),MAX(0,(expected_production[[#This Row],[Date]]-expected_production[[#This Row],[Commissioned Date]])/365.25),"")</f>
        <v>1.7467488021902806</v>
      </c>
      <c r="F1854" s="49">
        <f>IF(expected_production[[#This Row],[Age (yrs)]]="",1,(1-DegradationRate)^expected_production[[#This Row],[Age (yrs)]])</f>
        <v>0.98780473468355579</v>
      </c>
      <c r="G1854" s="52">
        <f>IF(expected_production[[#This Row],[Base Expected (kWh)]]="","",expected_production[[#This Row],[Base Expected (kWh)]]*expected_production[[#This Row],[Degradation Factor]])</f>
        <v>21182.781071974576</v>
      </c>
    </row>
    <row r="1855" spans="1:7" ht="15" hidden="1" customHeight="1" x14ac:dyDescent="0.3">
      <c r="A1855" t="s">
        <v>166</v>
      </c>
      <c r="B1855" s="2">
        <v>45778</v>
      </c>
      <c r="C1855" s="52">
        <v>20688.3</v>
      </c>
      <c r="D1855" s="48">
        <f>_xlfn.XLOOKUP(expected_production[[#This Row],[Site Name]],Table1[[Site Name ]],Table1[Commisioned Date],"")</f>
        <v>45110</v>
      </c>
      <c r="E1855" s="47">
        <f>IF(ISNUMBER(expected_production[[#This Row],[Commissioned Date]]),MAX(0,(expected_production[[#This Row],[Date]]-expected_production[[#This Row],[Commissioned Date]])/365.25),"")</f>
        <v>1.8288843258042438</v>
      </c>
      <c r="F1855" s="49">
        <f>IF(expected_production[[#This Row],[Age (yrs)]]="",1,(1-DegradationRate)^expected_production[[#This Row],[Age (yrs)]])</f>
        <v>0.9872349649508958</v>
      </c>
      <c r="G1855" s="52">
        <f>IF(expected_production[[#This Row],[Base Expected (kWh)]]="","",expected_production[[#This Row],[Base Expected (kWh)]]*expected_production[[#This Row],[Degradation Factor]])</f>
        <v>20424.213125393617</v>
      </c>
    </row>
    <row r="1856" spans="1:7" ht="15" hidden="1" customHeight="1" x14ac:dyDescent="0.3">
      <c r="A1856" t="s">
        <v>166</v>
      </c>
      <c r="B1856" s="2">
        <v>45809</v>
      </c>
      <c r="C1856" s="52">
        <v>18646.2</v>
      </c>
      <c r="D1856" s="48">
        <f>_xlfn.XLOOKUP(expected_production[[#This Row],[Site Name]],Table1[[Site Name ]],Table1[Commisioned Date],"")</f>
        <v>45110</v>
      </c>
      <c r="E1856" s="47">
        <f>IF(ISNUMBER(expected_production[[#This Row],[Commissioned Date]]),MAX(0,(expected_production[[#This Row],[Date]]-expected_production[[#This Row],[Commissioned Date]])/365.25),"")</f>
        <v>1.9137577002053388</v>
      </c>
      <c r="F1856" s="49">
        <f>IF(expected_production[[#This Row],[Age (yrs)]]="",1,(1-DegradationRate)^expected_production[[#This Row],[Age (yrs)]])</f>
        <v>0.98664654815192177</v>
      </c>
      <c r="G1856" s="52">
        <f>IF(expected_production[[#This Row],[Base Expected (kWh)]]="","",expected_production[[#This Row],[Base Expected (kWh)]]*expected_production[[#This Row],[Degradation Factor]])</f>
        <v>18397.208866150366</v>
      </c>
    </row>
    <row r="1857" spans="1:7" ht="15" hidden="1" customHeight="1" x14ac:dyDescent="0.3">
      <c r="A1857" t="s">
        <v>166</v>
      </c>
      <c r="B1857" s="2">
        <v>45839</v>
      </c>
      <c r="C1857" s="52">
        <v>19629.900000000001</v>
      </c>
      <c r="D1857" s="48">
        <f>_xlfn.XLOOKUP(expected_production[[#This Row],[Site Name]],Table1[[Site Name ]],Table1[Commisioned Date],"")</f>
        <v>45110</v>
      </c>
      <c r="E1857" s="47">
        <f>IF(ISNUMBER(expected_production[[#This Row],[Commissioned Date]]),MAX(0,(expected_production[[#This Row],[Date]]-expected_production[[#This Row],[Commissioned Date]])/365.25),"")</f>
        <v>1.9958932238193019</v>
      </c>
      <c r="F1857" s="49">
        <f>IF(expected_production[[#This Row],[Age (yrs)]]="",1,(1-DegradationRate)^expected_production[[#This Row],[Age (yrs)]])</f>
        <v>0.98607744646589823</v>
      </c>
      <c r="G1857" s="52">
        <f>IF(expected_production[[#This Row],[Base Expected (kWh)]]="","",expected_production[[#This Row],[Base Expected (kWh)]]*expected_production[[#This Row],[Degradation Factor]])</f>
        <v>19356.601666380939</v>
      </c>
    </row>
    <row r="1858" spans="1:7" ht="15" hidden="1" customHeight="1" x14ac:dyDescent="0.3">
      <c r="A1858" t="s">
        <v>166</v>
      </c>
      <c r="B1858" s="2">
        <v>45870</v>
      </c>
      <c r="C1858" s="52">
        <v>22998.6</v>
      </c>
      <c r="D1858" s="48">
        <f>_xlfn.XLOOKUP(expected_production[[#This Row],[Site Name]],Table1[[Site Name ]],Table1[Commisioned Date],"")</f>
        <v>45110</v>
      </c>
      <c r="E1858" s="47">
        <f>IF(ISNUMBER(expected_production[[#This Row],[Commissioned Date]]),MAX(0,(expected_production[[#This Row],[Date]]-expected_production[[#This Row],[Commissioned Date]])/365.25),"")</f>
        <v>2.0807665982203969</v>
      </c>
      <c r="F1858" s="49">
        <f>IF(expected_production[[#This Row],[Age (yrs)]]="",1,(1-DegradationRate)^expected_production[[#This Row],[Age (yrs)]])</f>
        <v>0.98548971957697196</v>
      </c>
      <c r="G1858" s="52">
        <f>IF(expected_production[[#This Row],[Base Expected (kWh)]]="","",expected_production[[#This Row],[Base Expected (kWh)]]*expected_production[[#This Row],[Degradation Factor]])</f>
        <v>22664.883864662945</v>
      </c>
    </row>
    <row r="1859" spans="1:7" ht="15" hidden="1" customHeight="1" x14ac:dyDescent="0.3">
      <c r="A1859" t="s">
        <v>166</v>
      </c>
      <c r="B1859" s="2">
        <v>45901</v>
      </c>
      <c r="C1859" s="52">
        <v>22670.1</v>
      </c>
      <c r="D1859" s="48">
        <f>_xlfn.XLOOKUP(expected_production[[#This Row],[Site Name]],Table1[[Site Name ]],Table1[Commisioned Date],"")</f>
        <v>45110</v>
      </c>
      <c r="E1859" s="47">
        <f>IF(ISNUMBER(expected_production[[#This Row],[Commissioned Date]]),MAX(0,(expected_production[[#This Row],[Date]]-expected_production[[#This Row],[Commissioned Date]])/365.25),"")</f>
        <v>2.1656399726214923</v>
      </c>
      <c r="F1859" s="49">
        <f>IF(expected_production[[#This Row],[Age (yrs)]]="",1,(1-DegradationRate)^expected_production[[#This Row],[Age (yrs)]])</f>
        <v>0.9849023429880116</v>
      </c>
      <c r="G1859" s="52">
        <f>IF(expected_production[[#This Row],[Base Expected (kWh)]]="","",expected_production[[#This Row],[Base Expected (kWh)]]*expected_production[[#This Row],[Degradation Factor]])</f>
        <v>22327.834605772521</v>
      </c>
    </row>
    <row r="1860" spans="1:7" ht="15" hidden="1" customHeight="1" x14ac:dyDescent="0.3">
      <c r="A1860" t="s">
        <v>166</v>
      </c>
      <c r="B1860" s="2">
        <v>45931</v>
      </c>
      <c r="C1860" s="52">
        <v>22045.5</v>
      </c>
      <c r="D1860" s="48">
        <f>_xlfn.XLOOKUP(expected_production[[#This Row],[Site Name]],Table1[[Site Name ]],Table1[Commisioned Date],"")</f>
        <v>45110</v>
      </c>
      <c r="E1860" s="47">
        <f>IF(ISNUMBER(expected_production[[#This Row],[Commissioned Date]]),MAX(0,(expected_production[[#This Row],[Date]]-expected_production[[#This Row],[Commissioned Date]])/365.25),"")</f>
        <v>2.2477754962354553</v>
      </c>
      <c r="F1860" s="49">
        <f>IF(expected_production[[#This Row],[Age (yrs)]]="",1,(1-DegradationRate)^expected_production[[#This Row],[Age (yrs)]])</f>
        <v>0.98433424736652186</v>
      </c>
      <c r="G1860" s="52">
        <f>IF(expected_production[[#This Row],[Base Expected (kWh)]]="","",expected_production[[#This Row],[Base Expected (kWh)]]*expected_production[[#This Row],[Degradation Factor]])</f>
        <v>21700.140650318659</v>
      </c>
    </row>
    <row r="1861" spans="1:7" ht="15" hidden="1" customHeight="1" x14ac:dyDescent="0.3">
      <c r="A1861" t="s">
        <v>166</v>
      </c>
      <c r="B1861" s="2">
        <v>45962</v>
      </c>
      <c r="C1861" s="52">
        <v>22062.6</v>
      </c>
      <c r="D1861" s="48">
        <f>_xlfn.XLOOKUP(expected_production[[#This Row],[Site Name]],Table1[[Site Name ]],Table1[Commisioned Date],"")</f>
        <v>45110</v>
      </c>
      <c r="E1861" s="47">
        <f>IF(ISNUMBER(expected_production[[#This Row],[Commissioned Date]]),MAX(0,(expected_production[[#This Row],[Date]]-expected_production[[#This Row],[Commissioned Date]])/365.25),"")</f>
        <v>2.3326488706365502</v>
      </c>
      <c r="F1861" s="49">
        <f>IF(expected_production[[#This Row],[Age (yrs)]]="",1,(1-DegradationRate)^expected_production[[#This Row],[Age (yrs)]])</f>
        <v>0.98374755946797821</v>
      </c>
      <c r="G1861" s="52">
        <f>IF(expected_production[[#This Row],[Base Expected (kWh)]]="","",expected_production[[#This Row],[Base Expected (kWh)]]*expected_production[[#This Row],[Degradation Factor]])</f>
        <v>21704.028905518215</v>
      </c>
    </row>
    <row r="1862" spans="1:7" ht="15" hidden="1" customHeight="1" x14ac:dyDescent="0.3">
      <c r="A1862" t="s">
        <v>166</v>
      </c>
      <c r="B1862" s="2">
        <v>45992</v>
      </c>
      <c r="C1862" s="52">
        <v>23333.4</v>
      </c>
      <c r="D1862" s="48">
        <f>_xlfn.XLOOKUP(expected_production[[#This Row],[Site Name]],Table1[[Site Name ]],Table1[Commisioned Date],"")</f>
        <v>45110</v>
      </c>
      <c r="E1862" s="47">
        <f>IF(ISNUMBER(expected_production[[#This Row],[Commissioned Date]]),MAX(0,(expected_production[[#This Row],[Date]]-expected_production[[#This Row],[Commissioned Date]])/365.25),"")</f>
        <v>2.4147843942505132</v>
      </c>
      <c r="F1862" s="49">
        <f>IF(expected_production[[#This Row],[Age (yrs)]]="",1,(1-DegradationRate)^expected_production[[#This Row],[Age (yrs)]])</f>
        <v>0.98318012993025428</v>
      </c>
      <c r="G1862" s="52">
        <f>IF(expected_production[[#This Row],[Base Expected (kWh)]]="","",expected_production[[#This Row],[Base Expected (kWh)]]*expected_production[[#This Row],[Degradation Factor]])</f>
        <v>22940.935243714597</v>
      </c>
    </row>
    <row r="1863" spans="1:7" ht="15" hidden="1" customHeight="1" x14ac:dyDescent="0.3">
      <c r="A1863" t="s">
        <v>166</v>
      </c>
      <c r="B1863" s="2">
        <v>46023</v>
      </c>
      <c r="C1863" s="52">
        <v>23005.8</v>
      </c>
      <c r="D1863" s="48">
        <f>_xlfn.XLOOKUP(expected_production[[#This Row],[Site Name]],Table1[[Site Name ]],Table1[Commisioned Date],"")</f>
        <v>45110</v>
      </c>
      <c r="E1863" s="47">
        <f>IF(ISNUMBER(expected_production[[#This Row],[Commissioned Date]]),MAX(0,(expected_production[[#This Row],[Date]]-expected_production[[#This Row],[Commissioned Date]])/365.25),"")</f>
        <v>2.4996577686516086</v>
      </c>
      <c r="F1863" s="49">
        <f>IF(expected_production[[#This Row],[Age (yrs)]]="",1,(1-DegradationRate)^expected_production[[#This Row],[Age (yrs)]])</f>
        <v>0.98259412991464801</v>
      </c>
      <c r="G1863" s="52">
        <f>IF(expected_production[[#This Row],[Base Expected (kWh)]]="","",expected_production[[#This Row],[Base Expected (kWh)]]*expected_production[[#This Row],[Degradation Factor]])</f>
        <v>22605.364033990409</v>
      </c>
    </row>
    <row r="1864" spans="1:7" ht="15" hidden="1" customHeight="1" x14ac:dyDescent="0.3">
      <c r="A1864" t="s">
        <v>166</v>
      </c>
      <c r="B1864" s="2">
        <v>46054</v>
      </c>
      <c r="C1864" s="52">
        <v>19888.2</v>
      </c>
      <c r="D1864" s="48">
        <f>_xlfn.XLOOKUP(expected_production[[#This Row],[Site Name]],Table1[[Site Name ]],Table1[Commisioned Date],"")</f>
        <v>45110</v>
      </c>
      <c r="E1864" s="47">
        <f>IF(ISNUMBER(expected_production[[#This Row],[Commissioned Date]]),MAX(0,(expected_production[[#This Row],[Date]]-expected_production[[#This Row],[Commissioned Date]])/365.25),"")</f>
        <v>2.5845311430527036</v>
      </c>
      <c r="F1864" s="49">
        <f>IF(expected_production[[#This Row],[Age (yrs)]]="",1,(1-DegradationRate)^expected_production[[#This Row],[Age (yrs)]])</f>
        <v>0.98200847916974776</v>
      </c>
      <c r="G1864" s="52">
        <f>IF(expected_production[[#This Row],[Base Expected (kWh)]]="","",expected_production[[#This Row],[Base Expected (kWh)]]*expected_production[[#This Row],[Degradation Factor]])</f>
        <v>19530.381035423779</v>
      </c>
    </row>
    <row r="1865" spans="1:7" ht="15" hidden="1" customHeight="1" x14ac:dyDescent="0.3">
      <c r="A1865" t="s">
        <v>166</v>
      </c>
      <c r="B1865" s="2">
        <v>46082</v>
      </c>
      <c r="C1865" s="52">
        <v>21952.799999999999</v>
      </c>
      <c r="D1865" s="48">
        <f>_xlfn.XLOOKUP(expected_production[[#This Row],[Site Name]],Table1[[Site Name ]],Table1[Commisioned Date],"")</f>
        <v>45110</v>
      </c>
      <c r="E1865" s="47">
        <f>IF(ISNUMBER(expected_production[[#This Row],[Commissioned Date]]),MAX(0,(expected_production[[#This Row],[Date]]-expected_production[[#This Row],[Commissioned Date]])/365.25),"")</f>
        <v>2.6611909650924024</v>
      </c>
      <c r="F1865" s="49">
        <f>IF(expected_production[[#This Row],[Age (yrs)]]="",1,(1-DegradationRate)^expected_production[[#This Row],[Age (yrs)]])</f>
        <v>0.98147980433584825</v>
      </c>
      <c r="G1865" s="52">
        <f>IF(expected_production[[#This Row],[Base Expected (kWh)]]="","",expected_production[[#This Row],[Base Expected (kWh)]]*expected_production[[#This Row],[Degradation Factor]])</f>
        <v>21546.229848624007</v>
      </c>
    </row>
    <row r="1866" spans="1:7" ht="15" hidden="1" customHeight="1" x14ac:dyDescent="0.3">
      <c r="A1866" t="s">
        <v>166</v>
      </c>
      <c r="B1866" s="2">
        <v>46113</v>
      </c>
      <c r="C1866" s="52">
        <v>21444.3</v>
      </c>
      <c r="D1866" s="48">
        <f>_xlfn.XLOOKUP(expected_production[[#This Row],[Site Name]],Table1[[Site Name ]],Table1[Commisioned Date],"")</f>
        <v>45110</v>
      </c>
      <c r="E1866" s="47">
        <f>IF(ISNUMBER(expected_production[[#This Row],[Commissioned Date]]),MAX(0,(expected_production[[#This Row],[Date]]-expected_production[[#This Row],[Commissioned Date]])/365.25),"")</f>
        <v>2.7460643394934978</v>
      </c>
      <c r="F1866" s="49">
        <f>IF(expected_production[[#This Row],[Age (yrs)]]="",1,(1-DegradationRate)^expected_production[[#This Row],[Age (yrs)]])</f>
        <v>0.98089481775694032</v>
      </c>
      <c r="G1866" s="52">
        <f>IF(expected_production[[#This Row],[Base Expected (kWh)]]="","",expected_production[[#This Row],[Base Expected (kWh)]]*expected_production[[#This Row],[Degradation Factor]])</f>
        <v>21034.602740425154</v>
      </c>
    </row>
    <row r="1867" spans="1:7" ht="15" hidden="1" customHeight="1" x14ac:dyDescent="0.3">
      <c r="A1867" t="s">
        <v>166</v>
      </c>
      <c r="B1867" s="2">
        <v>46143</v>
      </c>
      <c r="C1867" s="52">
        <v>20688.3</v>
      </c>
      <c r="D1867" s="48">
        <f>_xlfn.XLOOKUP(expected_production[[#This Row],[Site Name]],Table1[[Site Name ]],Table1[Commisioned Date],"")</f>
        <v>45110</v>
      </c>
      <c r="E1867" s="47">
        <f>IF(ISNUMBER(expected_production[[#This Row],[Commissioned Date]]),MAX(0,(expected_production[[#This Row],[Date]]-expected_production[[#This Row],[Commissioned Date]])/365.25),"")</f>
        <v>2.8281998631074607</v>
      </c>
      <c r="F1867" s="49">
        <f>IF(expected_production[[#This Row],[Age (yrs)]]="",1,(1-DegradationRate)^expected_production[[#This Row],[Age (yrs)]])</f>
        <v>0.98032903369207658</v>
      </c>
      <c r="G1867" s="52">
        <f>IF(expected_production[[#This Row],[Base Expected (kWh)]]="","",expected_production[[#This Row],[Base Expected (kWh)]]*expected_production[[#This Row],[Degradation Factor]])</f>
        <v>20281.341147731786</v>
      </c>
    </row>
    <row r="1868" spans="1:7" ht="15" hidden="1" customHeight="1" x14ac:dyDescent="0.3">
      <c r="A1868" t="s">
        <v>166</v>
      </c>
      <c r="B1868" s="2">
        <v>46174</v>
      </c>
      <c r="C1868" s="52">
        <v>18646.2</v>
      </c>
      <c r="D1868" s="48">
        <f>_xlfn.XLOOKUP(expected_production[[#This Row],[Site Name]],Table1[[Site Name ]],Table1[Commisioned Date],"")</f>
        <v>45110</v>
      </c>
      <c r="E1868" s="47">
        <f>IF(ISNUMBER(expected_production[[#This Row],[Commissioned Date]]),MAX(0,(expected_production[[#This Row],[Date]]-expected_production[[#This Row],[Commissioned Date]])/365.25),"")</f>
        <v>2.9130732375085557</v>
      </c>
      <c r="F1868" s="49">
        <f>IF(expected_production[[#This Row],[Age (yrs)]]="",1,(1-DegradationRate)^expected_production[[#This Row],[Age (yrs)]])</f>
        <v>0.97974473300133369</v>
      </c>
      <c r="G1868" s="52">
        <f>IF(expected_production[[#This Row],[Base Expected (kWh)]]="","",expected_production[[#This Row],[Base Expected (kWh)]]*expected_production[[#This Row],[Degradation Factor]])</f>
        <v>18268.516240489469</v>
      </c>
    </row>
    <row r="1869" spans="1:7" ht="15" hidden="1" customHeight="1" x14ac:dyDescent="0.3">
      <c r="A1869" t="s">
        <v>166</v>
      </c>
      <c r="B1869" s="2">
        <v>46204</v>
      </c>
      <c r="C1869" s="52">
        <v>19629.900000000001</v>
      </c>
      <c r="D1869" s="48">
        <f>_xlfn.XLOOKUP(expected_production[[#This Row],[Site Name]],Table1[[Site Name ]],Table1[Commisioned Date],"")</f>
        <v>45110</v>
      </c>
      <c r="E1869" s="47">
        <f>IF(ISNUMBER(expected_production[[#This Row],[Commissioned Date]]),MAX(0,(expected_production[[#This Row],[Date]]-expected_production[[#This Row],[Commissioned Date]])/365.25),"")</f>
        <v>2.9952087611225187</v>
      </c>
      <c r="F1869" s="49">
        <f>IF(expected_production[[#This Row],[Age (yrs)]]="",1,(1-DegradationRate)^expected_production[[#This Row],[Age (yrs)]])</f>
        <v>0.97917961230996942</v>
      </c>
      <c r="G1869" s="52">
        <f>IF(expected_production[[#This Row],[Base Expected (kWh)]]="","",expected_production[[#This Row],[Base Expected (kWh)]]*expected_production[[#This Row],[Degradation Factor]])</f>
        <v>19221.197871683471</v>
      </c>
    </row>
    <row r="1870" spans="1:7" ht="15" hidden="1" customHeight="1" x14ac:dyDescent="0.3">
      <c r="A1870" t="s">
        <v>166</v>
      </c>
      <c r="B1870" s="2">
        <v>46235</v>
      </c>
      <c r="C1870" s="52">
        <v>22998.6</v>
      </c>
      <c r="D1870" s="48">
        <f>_xlfn.XLOOKUP(expected_production[[#This Row],[Site Name]],Table1[[Site Name ]],Table1[Commisioned Date],"")</f>
        <v>45110</v>
      </c>
      <c r="E1870" s="47">
        <f>IF(ISNUMBER(expected_production[[#This Row],[Commissioned Date]]),MAX(0,(expected_production[[#This Row],[Date]]-expected_production[[#This Row],[Commissioned Date]])/365.25),"")</f>
        <v>3.0800821355236141</v>
      </c>
      <c r="F1870" s="49">
        <f>IF(expected_production[[#This Row],[Age (yrs)]]="",1,(1-DegradationRate)^expected_production[[#This Row],[Age (yrs)]])</f>
        <v>0.97859599670319786</v>
      </c>
      <c r="G1870" s="52">
        <f>IF(expected_production[[#This Row],[Base Expected (kWh)]]="","",expected_production[[#This Row],[Base Expected (kWh)]]*expected_production[[#This Row],[Degradation Factor]])</f>
        <v>22506.337889778166</v>
      </c>
    </row>
    <row r="1871" spans="1:7" ht="15" hidden="1" customHeight="1" x14ac:dyDescent="0.3">
      <c r="A1871" t="s">
        <v>166</v>
      </c>
      <c r="B1871" s="2">
        <v>46266</v>
      </c>
      <c r="C1871" s="52">
        <v>22670.1</v>
      </c>
      <c r="D1871" s="48">
        <f>_xlfn.XLOOKUP(expected_production[[#This Row],[Site Name]],Table1[[Site Name ]],Table1[Commisioned Date],"")</f>
        <v>45110</v>
      </c>
      <c r="E1871" s="47">
        <f>IF(ISNUMBER(expected_production[[#This Row],[Commissioned Date]]),MAX(0,(expected_production[[#This Row],[Date]]-expected_production[[#This Row],[Commissioned Date]])/365.25),"")</f>
        <v>3.1649555099247091</v>
      </c>
      <c r="F1871" s="49">
        <f>IF(expected_production[[#This Row],[Age (yrs)]]="",1,(1-DegradationRate)^expected_production[[#This Row],[Age (yrs)]])</f>
        <v>0.97801272894596492</v>
      </c>
      <c r="G1871" s="52">
        <f>IF(expected_production[[#This Row],[Base Expected (kWh)]]="","",expected_production[[#This Row],[Base Expected (kWh)]]*expected_production[[#This Row],[Degradation Factor]])</f>
        <v>22171.646366477918</v>
      </c>
    </row>
    <row r="1872" spans="1:7" ht="15" hidden="1" customHeight="1" x14ac:dyDescent="0.3">
      <c r="A1872" t="s">
        <v>166</v>
      </c>
      <c r="B1872" s="2">
        <v>46296</v>
      </c>
      <c r="C1872" s="52">
        <v>22045.5</v>
      </c>
      <c r="D1872" s="48">
        <f>_xlfn.XLOOKUP(expected_production[[#This Row],[Site Name]],Table1[[Site Name ]],Table1[Commisioned Date],"")</f>
        <v>45110</v>
      </c>
      <c r="E1872" s="47">
        <f>IF(ISNUMBER(expected_production[[#This Row],[Commissioned Date]]),MAX(0,(expected_production[[#This Row],[Date]]-expected_production[[#This Row],[Commissioned Date]])/365.25),"")</f>
        <v>3.247091033538672</v>
      </c>
      <c r="F1872" s="49">
        <f>IF(expected_production[[#This Row],[Age (yrs)]]="",1,(1-DegradationRate)^expected_production[[#This Row],[Age (yrs)]])</f>
        <v>0.97744860728148619</v>
      </c>
      <c r="G1872" s="52">
        <f>IF(expected_production[[#This Row],[Base Expected (kWh)]]="","",expected_production[[#This Row],[Base Expected (kWh)]]*expected_production[[#This Row],[Degradation Factor]])</f>
        <v>21548.343271824004</v>
      </c>
    </row>
    <row r="1873" spans="1:7" ht="15" hidden="1" customHeight="1" x14ac:dyDescent="0.3">
      <c r="A1873" t="s">
        <v>166</v>
      </c>
      <c r="B1873" s="2">
        <v>46327</v>
      </c>
      <c r="C1873" s="52">
        <v>22062.6</v>
      </c>
      <c r="D1873" s="48">
        <f>_xlfn.XLOOKUP(expected_production[[#This Row],[Site Name]],Table1[[Site Name ]],Table1[Commisioned Date],"")</f>
        <v>45110</v>
      </c>
      <c r="E1873" s="47">
        <f>IF(ISNUMBER(expected_production[[#This Row],[Commissioned Date]]),MAX(0,(expected_production[[#This Row],[Date]]-expected_production[[#This Row],[Commissioned Date]])/365.25),"")</f>
        <v>3.3319644079397674</v>
      </c>
      <c r="F1873" s="49">
        <f>IF(expected_production[[#This Row],[Age (yrs)]]="",1,(1-DegradationRate)^expected_production[[#This Row],[Age (yrs)]])</f>
        <v>0.97686602339712514</v>
      </c>
      <c r="G1873" s="52">
        <f>IF(expected_production[[#This Row],[Base Expected (kWh)]]="","",expected_production[[#This Row],[Base Expected (kWh)]]*expected_production[[#This Row],[Degradation Factor]])</f>
        <v>21552.204327801413</v>
      </c>
    </row>
    <row r="1874" spans="1:7" ht="15" hidden="1" customHeight="1" x14ac:dyDescent="0.3">
      <c r="A1874" t="s">
        <v>166</v>
      </c>
      <c r="B1874" s="2">
        <v>46357</v>
      </c>
      <c r="C1874" s="52">
        <v>23333.4</v>
      </c>
      <c r="D1874" s="48">
        <f>_xlfn.XLOOKUP(expected_production[[#This Row],[Site Name]],Table1[[Site Name ]],Table1[Commisioned Date],"")</f>
        <v>45110</v>
      </c>
      <c r="E1874" s="47">
        <f>IF(ISNUMBER(expected_production[[#This Row],[Commissioned Date]]),MAX(0,(expected_production[[#This Row],[Date]]-expected_production[[#This Row],[Commissioned Date]])/365.25),"")</f>
        <v>3.4140999315537304</v>
      </c>
      <c r="F1874" s="49">
        <f>IF(expected_production[[#This Row],[Age (yrs)]]="",1,(1-DegradationRate)^expected_production[[#This Row],[Age (yrs)]])</f>
        <v>0.97630256315700603</v>
      </c>
      <c r="G1874" s="52">
        <f>IF(expected_production[[#This Row],[Base Expected (kWh)]]="","",expected_production[[#This Row],[Base Expected (kWh)]]*expected_production[[#This Row],[Degradation Factor]])</f>
        <v>22780.458227167685</v>
      </c>
    </row>
    <row r="1875" spans="1:7" ht="15" hidden="1" customHeight="1" x14ac:dyDescent="0.3">
      <c r="A1875" t="s">
        <v>169</v>
      </c>
      <c r="B1875" s="2">
        <v>45292</v>
      </c>
      <c r="C1875" s="52">
        <v>3308.4549999999999</v>
      </c>
      <c r="D1875" s="48">
        <f>_xlfn.XLOOKUP(expected_production[[#This Row],[Site Name]],Table1[[Site Name ]],Table1[Commisioned Date],"")</f>
        <v>45111</v>
      </c>
      <c r="E1875" s="47">
        <f>IF(ISNUMBER(expected_production[[#This Row],[Commissioned Date]]),MAX(0,(expected_production[[#This Row],[Date]]-expected_production[[#This Row],[Commissioned Date]])/365.25),"")</f>
        <v>0.49555099247091033</v>
      </c>
      <c r="F1875" s="49">
        <f>IF(expected_production[[#This Row],[Age (yrs)]]="",1,(1-DegradationRate)^expected_production[[#This Row],[Age (yrs)]])</f>
        <v>0.99652499694357521</v>
      </c>
      <c r="G1875" s="52">
        <f>IF(expected_production[[#This Row],[Base Expected (kWh)]]="","",expected_production[[#This Row],[Base Expected (kWh)]]*expected_production[[#This Row],[Degradation Factor]])</f>
        <v>3296.9581087629563</v>
      </c>
    </row>
    <row r="1876" spans="1:7" ht="15" hidden="1" customHeight="1" x14ac:dyDescent="0.3">
      <c r="A1876" t="s">
        <v>169</v>
      </c>
      <c r="B1876" s="2">
        <v>45323</v>
      </c>
      <c r="C1876" s="52">
        <v>2856.5949999999998</v>
      </c>
      <c r="D1876" s="48">
        <f>_xlfn.XLOOKUP(expected_production[[#This Row],[Site Name]],Table1[[Site Name ]],Table1[Commisioned Date],"")</f>
        <v>45111</v>
      </c>
      <c r="E1876" s="47">
        <f>IF(ISNUMBER(expected_production[[#This Row],[Commissioned Date]]),MAX(0,(expected_production[[#This Row],[Date]]-expected_production[[#This Row],[Commissioned Date]])/365.25),"")</f>
        <v>0.58042436687200549</v>
      </c>
      <c r="F1876" s="49">
        <f>IF(expected_production[[#This Row],[Age (yrs)]]="",1,(1-DegradationRate)^expected_production[[#This Row],[Age (yrs)]])</f>
        <v>0.99593104305253943</v>
      </c>
      <c r="G1876" s="52">
        <f>IF(expected_production[[#This Row],[Base Expected (kWh)]]="","",expected_production[[#This Row],[Base Expected (kWh)]]*expected_production[[#This Row],[Degradation Factor]])</f>
        <v>2844.9716379286688</v>
      </c>
    </row>
    <row r="1877" spans="1:7" ht="15" hidden="1" customHeight="1" x14ac:dyDescent="0.3">
      <c r="A1877" t="s">
        <v>169</v>
      </c>
      <c r="B1877" s="2">
        <v>45352</v>
      </c>
      <c r="C1877" s="52">
        <v>3155.625</v>
      </c>
      <c r="D1877" s="48">
        <f>_xlfn.XLOOKUP(expected_production[[#This Row],[Site Name]],Table1[[Site Name ]],Table1[Commisioned Date],"")</f>
        <v>45111</v>
      </c>
      <c r="E1877" s="47">
        <f>IF(ISNUMBER(expected_production[[#This Row],[Commissioned Date]]),MAX(0,(expected_production[[#This Row],[Date]]-expected_production[[#This Row],[Commissioned Date]])/365.25),"")</f>
        <v>0.65982203969883646</v>
      </c>
      <c r="F1877" s="49">
        <f>IF(expected_production[[#This Row],[Age (yrs)]]="",1,(1-DegradationRate)^expected_production[[#This Row],[Age (yrs)]])</f>
        <v>0.99537572926048812</v>
      </c>
      <c r="G1877" s="52">
        <f>IF(expected_production[[#This Row],[Base Expected (kWh)]]="","",expected_production[[#This Row],[Base Expected (kWh)]]*expected_production[[#This Row],[Degradation Factor]])</f>
        <v>3141.0325356476278</v>
      </c>
    </row>
    <row r="1878" spans="1:7" ht="15" hidden="1" customHeight="1" x14ac:dyDescent="0.3">
      <c r="A1878" t="s">
        <v>169</v>
      </c>
      <c r="B1878" s="2">
        <v>45383</v>
      </c>
      <c r="C1878" s="52">
        <v>3081.8449999999998</v>
      </c>
      <c r="D1878" s="48">
        <f>_xlfn.XLOOKUP(expected_production[[#This Row],[Site Name]],Table1[[Site Name ]],Table1[Commisioned Date],"")</f>
        <v>45111</v>
      </c>
      <c r="E1878" s="47">
        <f>IF(ISNUMBER(expected_production[[#This Row],[Commissioned Date]]),MAX(0,(expected_production[[#This Row],[Date]]-expected_production[[#This Row],[Commissioned Date]])/365.25),"")</f>
        <v>0.74469541409993156</v>
      </c>
      <c r="F1878" s="49">
        <f>IF(expected_production[[#This Row],[Age (yrs)]]="",1,(1-DegradationRate)^expected_production[[#This Row],[Age (yrs)]])</f>
        <v>0.99478246036181517</v>
      </c>
      <c r="G1878" s="52">
        <f>IF(expected_production[[#This Row],[Base Expected (kWh)]]="","",expected_production[[#This Row],[Base Expected (kWh)]]*expected_production[[#This Row],[Degradation Factor]])</f>
        <v>3065.7653515537581</v>
      </c>
    </row>
    <row r="1879" spans="1:7" ht="15" hidden="1" customHeight="1" x14ac:dyDescent="0.3">
      <c r="A1879" t="s">
        <v>169</v>
      </c>
      <c r="B1879" s="2">
        <v>45413</v>
      </c>
      <c r="C1879" s="52">
        <v>2972.875</v>
      </c>
      <c r="D1879" s="48">
        <f>_xlfn.XLOOKUP(expected_production[[#This Row],[Site Name]],Table1[[Site Name ]],Table1[Commisioned Date],"")</f>
        <v>45111</v>
      </c>
      <c r="E1879" s="47">
        <f>IF(ISNUMBER(expected_production[[#This Row],[Commissioned Date]]),MAX(0,(expected_production[[#This Row],[Date]]-expected_production[[#This Row],[Commissioned Date]])/365.25),"")</f>
        <v>0.8268309377138946</v>
      </c>
      <c r="F1879" s="49">
        <f>IF(expected_production[[#This Row],[Age (yrs)]]="",1,(1-DegradationRate)^expected_production[[#This Row],[Age (yrs)]])</f>
        <v>0.99420866584899903</v>
      </c>
      <c r="G1879" s="52">
        <f>IF(expected_production[[#This Row],[Base Expected (kWh)]]="","",expected_production[[#This Row],[Base Expected (kWh)]]*expected_production[[#This Row],[Degradation Factor]])</f>
        <v>2955.6580874858428</v>
      </c>
    </row>
    <row r="1880" spans="1:7" ht="15" hidden="1" customHeight="1" x14ac:dyDescent="0.3">
      <c r="A1880" t="s">
        <v>169</v>
      </c>
      <c r="B1880" s="2">
        <v>45444</v>
      </c>
      <c r="C1880" s="52">
        <v>2678.69</v>
      </c>
      <c r="D1880" s="48">
        <f>_xlfn.XLOOKUP(expected_production[[#This Row],[Site Name]],Table1[[Site Name ]],Table1[Commisioned Date],"")</f>
        <v>45111</v>
      </c>
      <c r="E1880" s="47">
        <f>IF(ISNUMBER(expected_production[[#This Row],[Commissioned Date]]),MAX(0,(expected_production[[#This Row],[Date]]-expected_production[[#This Row],[Commissioned Date]])/365.25),"")</f>
        <v>0.9117043121149897</v>
      </c>
      <c r="F1880" s="49">
        <f>IF(expected_production[[#This Row],[Age (yrs)]]="",1,(1-DegradationRate)^expected_production[[#This Row],[Age (yrs)]])</f>
        <v>0.99361609254938932</v>
      </c>
      <c r="G1880" s="52">
        <f>IF(expected_production[[#This Row],[Base Expected (kWh)]]="","",expected_production[[#This Row],[Base Expected (kWh)]]*expected_production[[#This Row],[Degradation Factor]])</f>
        <v>2661.5894909511239</v>
      </c>
    </row>
    <row r="1881" spans="1:7" ht="15" hidden="1" customHeight="1" x14ac:dyDescent="0.3">
      <c r="A1881" t="s">
        <v>169</v>
      </c>
      <c r="B1881" s="2">
        <v>45474</v>
      </c>
      <c r="C1881" s="52">
        <v>2819.0250000000001</v>
      </c>
      <c r="D1881" s="48">
        <f>_xlfn.XLOOKUP(expected_production[[#This Row],[Site Name]],Table1[[Site Name ]],Table1[Commisioned Date],"")</f>
        <v>45111</v>
      </c>
      <c r="E1881" s="47">
        <f>IF(ISNUMBER(expected_production[[#This Row],[Commissioned Date]]),MAX(0,(expected_production[[#This Row],[Date]]-expected_production[[#This Row],[Commissioned Date]])/365.25),"")</f>
        <v>0.99383983572895274</v>
      </c>
      <c r="F1881" s="49">
        <f>IF(expected_production[[#This Row],[Age (yrs)]]="",1,(1-DegradationRate)^expected_production[[#This Row],[Age (yrs)]])</f>
        <v>0.99304297080220527</v>
      </c>
      <c r="G1881" s="52">
        <f>IF(expected_production[[#This Row],[Base Expected (kWh)]]="","",expected_production[[#This Row],[Base Expected (kWh)]]*expected_production[[#This Row],[Degradation Factor]])</f>
        <v>2799.4129607656869</v>
      </c>
    </row>
    <row r="1882" spans="1:7" ht="15" hidden="1" customHeight="1" x14ac:dyDescent="0.3">
      <c r="A1882" t="s">
        <v>169</v>
      </c>
      <c r="B1882" s="2">
        <v>45505</v>
      </c>
      <c r="C1882" s="52">
        <v>3304.375</v>
      </c>
      <c r="D1882" s="48">
        <f>_xlfn.XLOOKUP(expected_production[[#This Row],[Site Name]],Table1[[Site Name ]],Table1[Commisioned Date],"")</f>
        <v>45111</v>
      </c>
      <c r="E1882" s="47">
        <f>IF(ISNUMBER(expected_production[[#This Row],[Commissioned Date]]),MAX(0,(expected_production[[#This Row],[Date]]-expected_production[[#This Row],[Commissioned Date]])/365.25),"")</f>
        <v>1.0787132101300478</v>
      </c>
      <c r="F1882" s="49">
        <f>IF(expected_production[[#This Row],[Age (yrs)]]="",1,(1-DegradationRate)^expected_production[[#This Row],[Age (yrs)]])</f>
        <v>0.99245109228607908</v>
      </c>
      <c r="G1882" s="52">
        <f>IF(expected_production[[#This Row],[Base Expected (kWh)]]="","",expected_production[[#This Row],[Base Expected (kWh)]]*expected_production[[#This Row],[Degradation Factor]])</f>
        <v>3279.4305780728128</v>
      </c>
    </row>
    <row r="1883" spans="1:7" ht="15" hidden="1" customHeight="1" x14ac:dyDescent="0.3">
      <c r="A1883" t="s">
        <v>169</v>
      </c>
      <c r="B1883" s="2">
        <v>45536</v>
      </c>
      <c r="C1883" s="52">
        <v>3255.7550000000001</v>
      </c>
      <c r="D1883" s="48">
        <f>_xlfn.XLOOKUP(expected_production[[#This Row],[Site Name]],Table1[[Site Name ]],Table1[Commisioned Date],"")</f>
        <v>45111</v>
      </c>
      <c r="E1883" s="47">
        <f>IF(ISNUMBER(expected_production[[#This Row],[Commissioned Date]]),MAX(0,(expected_production[[#This Row],[Date]]-expected_production[[#This Row],[Commissioned Date]])/365.25),"")</f>
        <v>1.1635865845311431</v>
      </c>
      <c r="F1883" s="49">
        <f>IF(expected_production[[#This Row],[Age (yrs)]]="",1,(1-DegradationRate)^expected_production[[#This Row],[Age (yrs)]])</f>
        <v>0.99185956654439278</v>
      </c>
      <c r="G1883" s="52">
        <f>IF(expected_production[[#This Row],[Base Expected (kWh)]]="","",expected_production[[#This Row],[Base Expected (kWh)]]*expected_production[[#This Row],[Degradation Factor]])</f>
        <v>3229.2517430747398</v>
      </c>
    </row>
    <row r="1884" spans="1:7" ht="15" hidden="1" customHeight="1" x14ac:dyDescent="0.3">
      <c r="A1884" t="s">
        <v>169</v>
      </c>
      <c r="B1884" s="2">
        <v>45566</v>
      </c>
      <c r="C1884" s="52">
        <v>3170.2449999999999</v>
      </c>
      <c r="D1884" s="48">
        <f>_xlfn.XLOOKUP(expected_production[[#This Row],[Site Name]],Table1[[Site Name ]],Table1[Commisioned Date],"")</f>
        <v>45111</v>
      </c>
      <c r="E1884" s="47">
        <f>IF(ISNUMBER(expected_production[[#This Row],[Commissioned Date]]),MAX(0,(expected_production[[#This Row],[Date]]-expected_production[[#This Row],[Commissioned Date]])/365.25),"")</f>
        <v>1.2457221081451062</v>
      </c>
      <c r="F1884" s="49">
        <f>IF(expected_production[[#This Row],[Age (yrs)]]="",1,(1-DegradationRate)^expected_production[[#This Row],[Age (yrs)]])</f>
        <v>0.99128745796845308</v>
      </c>
      <c r="G1884" s="52">
        <f>IF(expected_production[[#This Row],[Base Expected (kWh)]]="","",expected_production[[#This Row],[Base Expected (kWh)]]*expected_production[[#This Row],[Degradation Factor]])</f>
        <v>3142.6241071871982</v>
      </c>
    </row>
    <row r="1885" spans="1:7" ht="15" hidden="1" customHeight="1" x14ac:dyDescent="0.3">
      <c r="A1885" t="s">
        <v>169</v>
      </c>
      <c r="B1885" s="2">
        <v>45597</v>
      </c>
      <c r="C1885" s="52">
        <v>3173.1350000000002</v>
      </c>
      <c r="D1885" s="48">
        <f>_xlfn.XLOOKUP(expected_production[[#This Row],[Site Name]],Table1[[Site Name ]],Table1[Commisioned Date],"")</f>
        <v>45111</v>
      </c>
      <c r="E1885" s="47">
        <f>IF(ISNUMBER(expected_production[[#This Row],[Commissioned Date]]),MAX(0,(expected_production[[#This Row],[Date]]-expected_production[[#This Row],[Commissioned Date]])/365.25),"")</f>
        <v>1.3305954825462012</v>
      </c>
      <c r="F1885" s="49">
        <f>IF(expected_production[[#This Row],[Age (yrs)]]="",1,(1-DegradationRate)^expected_production[[#This Row],[Age (yrs)]])</f>
        <v>0.99069662578200413</v>
      </c>
      <c r="G1885" s="52">
        <f>IF(expected_production[[#This Row],[Base Expected (kWh)]]="","",expected_production[[#This Row],[Base Expected (kWh)]]*expected_production[[#This Row],[Degradation Factor]])</f>
        <v>3143.6141376507799</v>
      </c>
    </row>
    <row r="1886" spans="1:7" ht="15" hidden="1" customHeight="1" x14ac:dyDescent="0.3">
      <c r="A1886" t="s">
        <v>169</v>
      </c>
      <c r="B1886" s="2">
        <v>45627</v>
      </c>
      <c r="C1886" s="52">
        <v>3354.1849999999999</v>
      </c>
      <c r="D1886" s="48">
        <f>_xlfn.XLOOKUP(expected_production[[#This Row],[Site Name]],Table1[[Site Name ]],Table1[Commisioned Date],"")</f>
        <v>45111</v>
      </c>
      <c r="E1886" s="47">
        <f>IF(ISNUMBER(expected_production[[#This Row],[Commissioned Date]]),MAX(0,(expected_production[[#This Row],[Date]]-expected_production[[#This Row],[Commissioned Date]])/365.25),"")</f>
        <v>1.4127310061601643</v>
      </c>
      <c r="F1886" s="49">
        <f>IF(expected_production[[#This Row],[Age (yrs)]]="",1,(1-DegradationRate)^expected_production[[#This Row],[Age (yrs)]])</f>
        <v>0.9901251879949603</v>
      </c>
      <c r="G1886" s="52">
        <f>IF(expected_production[[#This Row],[Base Expected (kWh)]]="","",expected_production[[#This Row],[Base Expected (kWh)]]*expected_production[[#This Row],[Degradation Factor]])</f>
        <v>3321.0630536948756</v>
      </c>
    </row>
    <row r="1887" spans="1:7" ht="15" hidden="1" customHeight="1" x14ac:dyDescent="0.3">
      <c r="A1887" t="s">
        <v>169</v>
      </c>
      <c r="B1887" s="2">
        <v>45658</v>
      </c>
      <c r="C1887" s="52">
        <v>3308.4549999999999</v>
      </c>
      <c r="D1887" s="48">
        <f>_xlfn.XLOOKUP(expected_production[[#This Row],[Site Name]],Table1[[Site Name ]],Table1[Commisioned Date],"")</f>
        <v>45111</v>
      </c>
      <c r="E1887" s="47">
        <f>IF(ISNUMBER(expected_production[[#This Row],[Commissioned Date]]),MAX(0,(expected_production[[#This Row],[Date]]-expected_production[[#This Row],[Commissioned Date]])/365.25),"")</f>
        <v>1.4976043805612593</v>
      </c>
      <c r="F1887" s="49">
        <f>IF(expected_production[[#This Row],[Age (yrs)]]="",1,(1-DegradationRate)^expected_production[[#This Row],[Age (yrs)]])</f>
        <v>0.98953504855056518</v>
      </c>
      <c r="G1887" s="52">
        <f>IF(expected_production[[#This Row],[Base Expected (kWh)]]="","",expected_production[[#This Row],[Base Expected (kWh)]]*expected_production[[#This Row],[Degradation Factor]])</f>
        <v>3273.8321790523601</v>
      </c>
    </row>
    <row r="1888" spans="1:7" ht="15" hidden="1" customHeight="1" x14ac:dyDescent="0.3">
      <c r="A1888" t="s">
        <v>169</v>
      </c>
      <c r="B1888" s="2">
        <v>45689</v>
      </c>
      <c r="C1888" s="52">
        <v>2856.5949999999998</v>
      </c>
      <c r="D1888" s="48">
        <f>_xlfn.XLOOKUP(expected_production[[#This Row],[Site Name]],Table1[[Site Name ]],Table1[Commisioned Date],"")</f>
        <v>45111</v>
      </c>
      <c r="E1888" s="47">
        <f>IF(ISNUMBER(expected_production[[#This Row],[Commissioned Date]]),MAX(0,(expected_production[[#This Row],[Date]]-expected_production[[#This Row],[Commissioned Date]])/365.25),"")</f>
        <v>1.5824777549623545</v>
      </c>
      <c r="F1888" s="49">
        <f>IF(expected_production[[#This Row],[Age (yrs)]]="",1,(1-DegradationRate)^expected_production[[#This Row],[Age (yrs)]])</f>
        <v>0.98894526084407974</v>
      </c>
      <c r="G1888" s="52">
        <f>IF(expected_production[[#This Row],[Base Expected (kWh)]]="","",expected_production[[#This Row],[Base Expected (kWh)]]*expected_production[[#This Row],[Degradation Factor]])</f>
        <v>2825.0160874008939</v>
      </c>
    </row>
    <row r="1889" spans="1:7" ht="15" hidden="1" customHeight="1" x14ac:dyDescent="0.3">
      <c r="A1889" t="s">
        <v>169</v>
      </c>
      <c r="B1889" s="2">
        <v>45717</v>
      </c>
      <c r="C1889" s="52">
        <v>3155.625</v>
      </c>
      <c r="D1889" s="48">
        <f>_xlfn.XLOOKUP(expected_production[[#This Row],[Site Name]],Table1[[Site Name ]],Table1[Commisioned Date],"")</f>
        <v>45111</v>
      </c>
      <c r="E1889" s="47">
        <f>IF(ISNUMBER(expected_production[[#This Row],[Commissioned Date]]),MAX(0,(expected_production[[#This Row],[Date]]-expected_production[[#This Row],[Commissioned Date]])/365.25),"")</f>
        <v>1.6591375770020533</v>
      </c>
      <c r="F1889" s="49">
        <f>IF(expected_production[[#This Row],[Age (yrs)]]="",1,(1-DegradationRate)^expected_production[[#This Row],[Age (yrs)]])</f>
        <v>0.98841285151910685</v>
      </c>
      <c r="G1889" s="52">
        <f>IF(expected_production[[#This Row],[Base Expected (kWh)]]="","",expected_production[[#This Row],[Base Expected (kWh)]]*expected_production[[#This Row],[Degradation Factor]])</f>
        <v>3119.0603045749817</v>
      </c>
    </row>
    <row r="1890" spans="1:7" ht="15" hidden="1" customHeight="1" x14ac:dyDescent="0.3">
      <c r="A1890" t="s">
        <v>169</v>
      </c>
      <c r="B1890" s="2">
        <v>45748</v>
      </c>
      <c r="C1890" s="52">
        <v>3081.8449999999998</v>
      </c>
      <c r="D1890" s="48">
        <f>_xlfn.XLOOKUP(expected_production[[#This Row],[Site Name]],Table1[[Site Name ]],Table1[Commisioned Date],"")</f>
        <v>45111</v>
      </c>
      <c r="E1890" s="47">
        <f>IF(ISNUMBER(expected_production[[#This Row],[Commissioned Date]]),MAX(0,(expected_production[[#This Row],[Date]]-expected_production[[#This Row],[Commissioned Date]])/365.25),"")</f>
        <v>1.7440109514031485</v>
      </c>
      <c r="F1890" s="49">
        <f>IF(expected_production[[#This Row],[Age (yrs)]]="",1,(1-DegradationRate)^expected_production[[#This Row],[Age (yrs)]])</f>
        <v>0.98782373267019674</v>
      </c>
      <c r="G1890" s="52">
        <f>IF(expected_production[[#This Row],[Base Expected (kWh)]]="","",expected_production[[#This Row],[Base Expected (kWh)]]*expected_production[[#This Row],[Degradation Factor]])</f>
        <v>3044.3196314109823</v>
      </c>
    </row>
    <row r="1891" spans="1:7" ht="15" hidden="1" customHeight="1" x14ac:dyDescent="0.3">
      <c r="A1891" t="s">
        <v>169</v>
      </c>
      <c r="B1891" s="2">
        <v>45778</v>
      </c>
      <c r="C1891" s="52">
        <v>2972.875</v>
      </c>
      <c r="D1891" s="48">
        <f>_xlfn.XLOOKUP(expected_production[[#This Row],[Site Name]],Table1[[Site Name ]],Table1[Commisioned Date],"")</f>
        <v>45111</v>
      </c>
      <c r="E1891" s="47">
        <f>IF(ISNUMBER(expected_production[[#This Row],[Commissioned Date]]),MAX(0,(expected_production[[#This Row],[Date]]-expected_production[[#This Row],[Commissioned Date]])/365.25),"")</f>
        <v>1.8261464750171115</v>
      </c>
      <c r="F1891" s="49">
        <f>IF(expected_production[[#This Row],[Age (yrs)]]="",1,(1-DegradationRate)^expected_production[[#This Row],[Age (yrs)]])</f>
        <v>0.9872539519794219</v>
      </c>
      <c r="G1891" s="52">
        <f>IF(expected_production[[#This Row],[Base Expected (kWh)]]="","",expected_production[[#This Row],[Base Expected (kWh)]]*expected_production[[#This Row],[Degradation Factor]])</f>
        <v>2934.9825924908237</v>
      </c>
    </row>
    <row r="1892" spans="1:7" ht="15" hidden="1" customHeight="1" x14ac:dyDescent="0.3">
      <c r="A1892" t="s">
        <v>169</v>
      </c>
      <c r="B1892" s="2">
        <v>45809</v>
      </c>
      <c r="C1892" s="52">
        <v>2678.69</v>
      </c>
      <c r="D1892" s="48">
        <f>_xlfn.XLOOKUP(expected_production[[#This Row],[Site Name]],Table1[[Site Name ]],Table1[Commisioned Date],"")</f>
        <v>45111</v>
      </c>
      <c r="E1892" s="47">
        <f>IF(ISNUMBER(expected_production[[#This Row],[Commissioned Date]]),MAX(0,(expected_production[[#This Row],[Date]]-expected_production[[#This Row],[Commissioned Date]])/365.25),"")</f>
        <v>1.9110198494182067</v>
      </c>
      <c r="F1892" s="49">
        <f>IF(expected_production[[#This Row],[Age (yrs)]]="",1,(1-DegradationRate)^expected_production[[#This Row],[Age (yrs)]])</f>
        <v>0.98666552386370265</v>
      </c>
      <c r="G1892" s="52">
        <f>IF(expected_production[[#This Row],[Base Expected (kWh)]]="","",expected_production[[#This Row],[Base Expected (kWh)]]*expected_production[[#This Row],[Degradation Factor]])</f>
        <v>2642.9710721184615</v>
      </c>
    </row>
    <row r="1893" spans="1:7" ht="15" hidden="1" customHeight="1" x14ac:dyDescent="0.3">
      <c r="A1893" t="s">
        <v>169</v>
      </c>
      <c r="B1893" s="2">
        <v>45839</v>
      </c>
      <c r="C1893" s="52">
        <v>2819.0250000000001</v>
      </c>
      <c r="D1893" s="48">
        <f>_xlfn.XLOOKUP(expected_production[[#This Row],[Site Name]],Table1[[Site Name ]],Table1[Commisioned Date],"")</f>
        <v>45111</v>
      </c>
      <c r="E1893" s="47">
        <f>IF(ISNUMBER(expected_production[[#This Row],[Commissioned Date]]),MAX(0,(expected_production[[#This Row],[Date]]-expected_production[[#This Row],[Commissioned Date]])/365.25),"")</f>
        <v>1.9931553730321698</v>
      </c>
      <c r="F1893" s="49">
        <f>IF(expected_production[[#This Row],[Age (yrs)]]="",1,(1-DegradationRate)^expected_production[[#This Row],[Age (yrs)]])</f>
        <v>0.98609641123241254</v>
      </c>
      <c r="G1893" s="52">
        <f>IF(expected_production[[#This Row],[Base Expected (kWh)]]="","",expected_production[[#This Row],[Base Expected (kWh)]]*expected_production[[#This Row],[Degradation Factor]])</f>
        <v>2779.830435674452</v>
      </c>
    </row>
    <row r="1894" spans="1:7" ht="15" hidden="1" customHeight="1" x14ac:dyDescent="0.3">
      <c r="A1894" t="s">
        <v>169</v>
      </c>
      <c r="B1894" s="2">
        <v>45870</v>
      </c>
      <c r="C1894" s="52">
        <v>3304.375</v>
      </c>
      <c r="D1894" s="48">
        <f>_xlfn.XLOOKUP(expected_production[[#This Row],[Site Name]],Table1[[Site Name ]],Table1[Commisioned Date],"")</f>
        <v>45111</v>
      </c>
      <c r="E1894" s="47">
        <f>IF(ISNUMBER(expected_production[[#This Row],[Commissioned Date]]),MAX(0,(expected_production[[#This Row],[Date]]-expected_production[[#This Row],[Commissioned Date]])/365.25),"")</f>
        <v>2.0780287474332648</v>
      </c>
      <c r="F1894" s="49">
        <f>IF(expected_production[[#This Row],[Age (yrs)]]="",1,(1-DegradationRate)^expected_production[[#This Row],[Age (yrs)]])</f>
        <v>0.98550867304000966</v>
      </c>
      <c r="G1894" s="52">
        <f>IF(expected_production[[#This Row],[Base Expected (kWh)]]="","",expected_production[[#This Row],[Base Expected (kWh)]]*expected_production[[#This Row],[Degradation Factor]])</f>
        <v>3256.4902214765821</v>
      </c>
    </row>
    <row r="1895" spans="1:7" ht="15" hidden="1" customHeight="1" x14ac:dyDescent="0.3">
      <c r="A1895" t="s">
        <v>169</v>
      </c>
      <c r="B1895" s="2">
        <v>45901</v>
      </c>
      <c r="C1895" s="52">
        <v>3255.7550000000001</v>
      </c>
      <c r="D1895" s="48">
        <f>_xlfn.XLOOKUP(expected_production[[#This Row],[Site Name]],Table1[[Site Name ]],Table1[Commisioned Date],"")</f>
        <v>45111</v>
      </c>
      <c r="E1895" s="47">
        <f>IF(ISNUMBER(expected_production[[#This Row],[Commissioned Date]]),MAX(0,(expected_production[[#This Row],[Date]]-expected_production[[#This Row],[Commissioned Date]])/365.25),"")</f>
        <v>2.1629021218343598</v>
      </c>
      <c r="F1895" s="49">
        <f>IF(expected_production[[#This Row],[Age (yrs)]]="",1,(1-DegradationRate)^expected_production[[#This Row],[Age (yrs)]])</f>
        <v>0.98492128515430999</v>
      </c>
      <c r="G1895" s="52">
        <f>IF(expected_production[[#This Row],[Base Expected (kWh)]]="","",expected_production[[#This Row],[Base Expected (kWh)]]*expected_production[[#This Row],[Degradation Factor]])</f>
        <v>3206.6623987475705</v>
      </c>
    </row>
    <row r="1896" spans="1:7" ht="15" hidden="1" customHeight="1" x14ac:dyDescent="0.3">
      <c r="A1896" t="s">
        <v>169</v>
      </c>
      <c r="B1896" s="2">
        <v>45931</v>
      </c>
      <c r="C1896" s="52">
        <v>3170.2449999999999</v>
      </c>
      <c r="D1896" s="48">
        <f>_xlfn.XLOOKUP(expected_production[[#This Row],[Site Name]],Table1[[Site Name ]],Table1[Commisioned Date],"")</f>
        <v>45111</v>
      </c>
      <c r="E1896" s="47">
        <f>IF(ISNUMBER(expected_production[[#This Row],[Commissioned Date]]),MAX(0,(expected_production[[#This Row],[Date]]-expected_production[[#This Row],[Commissioned Date]])/365.25),"")</f>
        <v>2.2450376454483232</v>
      </c>
      <c r="F1896" s="49">
        <f>IF(expected_production[[#This Row],[Age (yrs)]]="",1,(1-DegradationRate)^expected_production[[#This Row],[Age (yrs)]])</f>
        <v>0.98435317860690286</v>
      </c>
      <c r="G1896" s="52">
        <f>IF(expected_production[[#This Row],[Base Expected (kWh)]]="","",expected_production[[#This Row],[Base Expected (kWh)]]*expected_production[[#This Row],[Degradation Factor]])</f>
        <v>3120.6407427126405</v>
      </c>
    </row>
    <row r="1897" spans="1:7" ht="15" hidden="1" customHeight="1" x14ac:dyDescent="0.3">
      <c r="A1897" t="s">
        <v>169</v>
      </c>
      <c r="B1897" s="2">
        <v>45962</v>
      </c>
      <c r="C1897" s="52">
        <v>3173.1350000000002</v>
      </c>
      <c r="D1897" s="48">
        <f>_xlfn.XLOOKUP(expected_production[[#This Row],[Site Name]],Table1[[Site Name ]],Table1[Commisioned Date],"")</f>
        <v>45111</v>
      </c>
      <c r="E1897" s="47">
        <f>IF(ISNUMBER(expected_production[[#This Row],[Commissioned Date]]),MAX(0,(expected_production[[#This Row],[Date]]-expected_production[[#This Row],[Commissioned Date]])/365.25),"")</f>
        <v>2.3299110198494182</v>
      </c>
      <c r="F1897" s="49">
        <f>IF(expected_production[[#This Row],[Age (yrs)]]="",1,(1-DegradationRate)^expected_production[[#This Row],[Age (yrs)]])</f>
        <v>0.98376647942486517</v>
      </c>
      <c r="G1897" s="52">
        <f>IF(expected_production[[#This Row],[Base Expected (kWh)]]="","",expected_production[[#This Row],[Base Expected (kWh)]]*expected_production[[#This Row],[Degradation Factor]])</f>
        <v>3121.6238476898197</v>
      </c>
    </row>
    <row r="1898" spans="1:7" ht="15" hidden="1" customHeight="1" x14ac:dyDescent="0.3">
      <c r="A1898" t="s">
        <v>169</v>
      </c>
      <c r="B1898" s="2">
        <v>45992</v>
      </c>
      <c r="C1898" s="52">
        <v>3354.1849999999999</v>
      </c>
      <c r="D1898" s="48">
        <f>_xlfn.XLOOKUP(expected_production[[#This Row],[Site Name]],Table1[[Site Name ]],Table1[Commisioned Date],"")</f>
        <v>45111</v>
      </c>
      <c r="E1898" s="47">
        <f>IF(ISNUMBER(expected_production[[#This Row],[Commissioned Date]]),MAX(0,(expected_production[[#This Row],[Date]]-expected_production[[#This Row],[Commissioned Date]])/365.25),"")</f>
        <v>2.4120465434633811</v>
      </c>
      <c r="F1898" s="49">
        <f>IF(expected_production[[#This Row],[Age (yrs)]]="",1,(1-DegradationRate)^expected_production[[#This Row],[Age (yrs)]])</f>
        <v>0.98319903897403416</v>
      </c>
      <c r="G1898" s="52">
        <f>IF(expected_production[[#This Row],[Base Expected (kWh)]]="","",expected_production[[#This Row],[Base Expected (kWh)]]*expected_production[[#This Row],[Degradation Factor]])</f>
        <v>3297.8314685411206</v>
      </c>
    </row>
    <row r="1899" spans="1:7" ht="15" hidden="1" customHeight="1" x14ac:dyDescent="0.3">
      <c r="A1899" t="s">
        <v>169</v>
      </c>
      <c r="B1899" s="2">
        <v>46023</v>
      </c>
      <c r="C1899" s="52">
        <v>3308.4549999999999</v>
      </c>
      <c r="D1899" s="48">
        <f>_xlfn.XLOOKUP(expected_production[[#This Row],[Site Name]],Table1[[Site Name ]],Table1[Commisioned Date],"")</f>
        <v>45111</v>
      </c>
      <c r="E1899" s="47">
        <f>IF(ISNUMBER(expected_production[[#This Row],[Commissioned Date]]),MAX(0,(expected_production[[#This Row],[Date]]-expected_production[[#This Row],[Commissioned Date]])/365.25),"")</f>
        <v>2.4969199178644765</v>
      </c>
      <c r="F1899" s="49">
        <f>IF(expected_production[[#This Row],[Age (yrs)]]="",1,(1-DegradationRate)^expected_production[[#This Row],[Age (yrs)]])</f>
        <v>0.9826130276881635</v>
      </c>
      <c r="G1899" s="52">
        <f>IF(expected_production[[#This Row],[Base Expected (kWh)]]="","",expected_production[[#This Row],[Base Expected (kWh)]]*expected_production[[#This Row],[Degradation Factor]])</f>
        <v>3250.9309845200428</v>
      </c>
    </row>
    <row r="1900" spans="1:7" ht="15" hidden="1" customHeight="1" x14ac:dyDescent="0.3">
      <c r="A1900" t="s">
        <v>169</v>
      </c>
      <c r="B1900" s="2">
        <v>46054</v>
      </c>
      <c r="C1900" s="52">
        <v>2856.5949999999998</v>
      </c>
      <c r="D1900" s="48">
        <f>_xlfn.XLOOKUP(expected_production[[#This Row],[Site Name]],Table1[[Site Name ]],Table1[Commisioned Date],"")</f>
        <v>45111</v>
      </c>
      <c r="E1900" s="47">
        <f>IF(ISNUMBER(expected_production[[#This Row],[Commissioned Date]]),MAX(0,(expected_production[[#This Row],[Date]]-expected_production[[#This Row],[Commissioned Date]])/365.25),"")</f>
        <v>2.5817932922655715</v>
      </c>
      <c r="F1900" s="49">
        <f>IF(expected_production[[#This Row],[Age (yrs)]]="",1,(1-DegradationRate)^expected_production[[#This Row],[Age (yrs)]])</f>
        <v>0.98202736567971638</v>
      </c>
      <c r="G1900" s="52">
        <f>IF(expected_production[[#This Row],[Base Expected (kWh)]]="","",expected_production[[#This Row],[Base Expected (kWh)]]*expected_production[[#This Row],[Degradation Factor]])</f>
        <v>2805.2544626638492</v>
      </c>
    </row>
    <row r="1901" spans="1:7" ht="15" hidden="1" customHeight="1" x14ac:dyDescent="0.3">
      <c r="A1901" t="s">
        <v>169</v>
      </c>
      <c r="B1901" s="2">
        <v>46082</v>
      </c>
      <c r="C1901" s="52">
        <v>3155.625</v>
      </c>
      <c r="D1901" s="48">
        <f>_xlfn.XLOOKUP(expected_production[[#This Row],[Site Name]],Table1[[Site Name ]],Table1[Commisioned Date],"")</f>
        <v>45111</v>
      </c>
      <c r="E1901" s="47">
        <f>IF(ISNUMBER(expected_production[[#This Row],[Commissioned Date]]),MAX(0,(expected_production[[#This Row],[Date]]-expected_production[[#This Row],[Commissioned Date]])/365.25),"")</f>
        <v>2.6584531143052703</v>
      </c>
      <c r="F1901" s="49">
        <f>IF(expected_production[[#This Row],[Age (yrs)]]="",1,(1-DegradationRate)^expected_production[[#This Row],[Age (yrs)]])</f>
        <v>0.9814986806780609</v>
      </c>
      <c r="G1901" s="52">
        <f>IF(expected_production[[#This Row],[Base Expected (kWh)]]="","",expected_production[[#This Row],[Base Expected (kWh)]]*expected_production[[#This Row],[Degradation Factor]])</f>
        <v>3097.2417742147059</v>
      </c>
    </row>
    <row r="1902" spans="1:7" ht="15" hidden="1" customHeight="1" x14ac:dyDescent="0.3">
      <c r="A1902" t="s">
        <v>169</v>
      </c>
      <c r="B1902" s="2">
        <v>46113</v>
      </c>
      <c r="C1902" s="52">
        <v>3081.8449999999998</v>
      </c>
      <c r="D1902" s="48">
        <f>_xlfn.XLOOKUP(expected_production[[#This Row],[Site Name]],Table1[[Site Name ]],Table1[Commisioned Date],"")</f>
        <v>45111</v>
      </c>
      <c r="E1902" s="47">
        <f>IF(ISNUMBER(expected_production[[#This Row],[Commissioned Date]]),MAX(0,(expected_production[[#This Row],[Date]]-expected_production[[#This Row],[Commissioned Date]])/365.25),"")</f>
        <v>2.7433264887063653</v>
      </c>
      <c r="F1902" s="49">
        <f>IF(expected_production[[#This Row],[Age (yrs)]]="",1,(1-DegradationRate)^expected_production[[#This Row],[Age (yrs)]])</f>
        <v>0.98091368284837965</v>
      </c>
      <c r="G1902" s="52">
        <f>IF(expected_production[[#This Row],[Base Expected (kWh)]]="","",expected_production[[#This Row],[Base Expected (kWh)]]*expected_production[[#This Row],[Degradation Factor]])</f>
        <v>3023.0239289178644</v>
      </c>
    </row>
    <row r="1903" spans="1:7" ht="15" hidden="1" customHeight="1" x14ac:dyDescent="0.3">
      <c r="A1903" t="s">
        <v>169</v>
      </c>
      <c r="B1903" s="2">
        <v>46143</v>
      </c>
      <c r="C1903" s="52">
        <v>2972.875</v>
      </c>
      <c r="D1903" s="48">
        <f>_xlfn.XLOOKUP(expected_production[[#This Row],[Site Name]],Table1[[Site Name ]],Table1[Commisioned Date],"")</f>
        <v>45111</v>
      </c>
      <c r="E1903" s="47">
        <f>IF(ISNUMBER(expected_production[[#This Row],[Commissioned Date]]),MAX(0,(expected_production[[#This Row],[Date]]-expected_production[[#This Row],[Commissioned Date]])/365.25),"")</f>
        <v>2.8254620123203287</v>
      </c>
      <c r="F1903" s="49">
        <f>IF(expected_production[[#This Row],[Age (yrs)]]="",1,(1-DegradationRate)^expected_production[[#This Row],[Age (yrs)]])</f>
        <v>0.9803478879020554</v>
      </c>
      <c r="G1903" s="52">
        <f>IF(expected_production[[#This Row],[Base Expected (kWh)]]="","",expected_production[[#This Row],[Base Expected (kWh)]]*expected_production[[#This Row],[Degradation Factor]])</f>
        <v>2914.4517272468229</v>
      </c>
    </row>
    <row r="1904" spans="1:7" ht="15" hidden="1" customHeight="1" x14ac:dyDescent="0.3">
      <c r="A1904" t="s">
        <v>169</v>
      </c>
      <c r="B1904" s="2">
        <v>46174</v>
      </c>
      <c r="C1904" s="52">
        <v>2678.69</v>
      </c>
      <c r="D1904" s="48">
        <f>_xlfn.XLOOKUP(expected_production[[#This Row],[Site Name]],Table1[[Site Name ]],Table1[Commisioned Date],"")</f>
        <v>45111</v>
      </c>
      <c r="E1904" s="47">
        <f>IF(ISNUMBER(expected_production[[#This Row],[Commissioned Date]]),MAX(0,(expected_production[[#This Row],[Date]]-expected_production[[#This Row],[Commissioned Date]])/365.25),"")</f>
        <v>2.9103353867214237</v>
      </c>
      <c r="F1904" s="49">
        <f>IF(expected_production[[#This Row],[Age (yrs)]]="",1,(1-DegradationRate)^expected_production[[#This Row],[Age (yrs)]])</f>
        <v>0.97976357597373054</v>
      </c>
      <c r="G1904" s="52">
        <f>IF(expected_production[[#This Row],[Base Expected (kWh)]]="","",expected_production[[#This Row],[Base Expected (kWh)]]*expected_production[[#This Row],[Degradation Factor]])</f>
        <v>2624.4828933250724</v>
      </c>
    </row>
    <row r="1905" spans="1:7" ht="15" hidden="1" customHeight="1" x14ac:dyDescent="0.3">
      <c r="A1905" t="s">
        <v>169</v>
      </c>
      <c r="B1905" s="2">
        <v>46204</v>
      </c>
      <c r="C1905" s="52">
        <v>2819.0250000000001</v>
      </c>
      <c r="D1905" s="48">
        <f>_xlfn.XLOOKUP(expected_production[[#This Row],[Site Name]],Table1[[Site Name ]],Table1[Commisioned Date],"")</f>
        <v>45111</v>
      </c>
      <c r="E1905" s="47">
        <f>IF(ISNUMBER(expected_production[[#This Row],[Commissioned Date]]),MAX(0,(expected_production[[#This Row],[Date]]-expected_production[[#This Row],[Commissioned Date]])/365.25),"")</f>
        <v>2.9924709103353866</v>
      </c>
      <c r="F1905" s="49">
        <f>IF(expected_production[[#This Row],[Age (yrs)]]="",1,(1-DegradationRate)^expected_production[[#This Row],[Age (yrs)]])</f>
        <v>0.97919844441366433</v>
      </c>
      <c r="G1905" s="52">
        <f>IF(expected_production[[#This Row],[Base Expected (kWh)]]="","",expected_production[[#This Row],[Base Expected (kWh)]]*expected_production[[#This Row],[Degradation Factor]])</f>
        <v>2760.38489476323</v>
      </c>
    </row>
    <row r="1906" spans="1:7" ht="15" hidden="1" customHeight="1" x14ac:dyDescent="0.3">
      <c r="A1906" t="s">
        <v>169</v>
      </c>
      <c r="B1906" s="2">
        <v>46235</v>
      </c>
      <c r="C1906" s="52">
        <v>3304.375</v>
      </c>
      <c r="D1906" s="48">
        <f>_xlfn.XLOOKUP(expected_production[[#This Row],[Site Name]],Table1[[Site Name ]],Table1[Commisioned Date],"")</f>
        <v>45111</v>
      </c>
      <c r="E1906" s="47">
        <f>IF(ISNUMBER(expected_production[[#This Row],[Commissioned Date]]),MAX(0,(expected_production[[#This Row],[Date]]-expected_production[[#This Row],[Commissioned Date]])/365.25),"")</f>
        <v>3.077344284736482</v>
      </c>
      <c r="F1906" s="49">
        <f>IF(expected_production[[#This Row],[Age (yrs)]]="",1,(1-DegradationRate)^expected_production[[#This Row],[Age (yrs)]])</f>
        <v>0.97861481758248647</v>
      </c>
      <c r="G1906" s="52">
        <f>IF(expected_production[[#This Row],[Base Expected (kWh)]]="","",expected_production[[#This Row],[Base Expected (kWh)]]*expected_production[[#This Row],[Degradation Factor]])</f>
        <v>3233.7103378491288</v>
      </c>
    </row>
    <row r="1907" spans="1:7" ht="15" hidden="1" customHeight="1" x14ac:dyDescent="0.3">
      <c r="A1907" t="s">
        <v>169</v>
      </c>
      <c r="B1907" s="2">
        <v>46266</v>
      </c>
      <c r="C1907" s="52">
        <v>3255.7550000000001</v>
      </c>
      <c r="D1907" s="48">
        <f>_xlfn.XLOOKUP(expected_production[[#This Row],[Site Name]],Table1[[Site Name ]],Table1[Commisioned Date],"")</f>
        <v>45111</v>
      </c>
      <c r="E1907" s="47">
        <f>IF(ISNUMBER(expected_production[[#This Row],[Commissioned Date]]),MAX(0,(expected_production[[#This Row],[Date]]-expected_production[[#This Row],[Commissioned Date]])/365.25),"")</f>
        <v>3.162217659137577</v>
      </c>
      <c r="F1907" s="49">
        <f>IF(expected_production[[#This Row],[Age (yrs)]]="",1,(1-DegradationRate)^expected_production[[#This Row],[Age (yrs)]])</f>
        <v>0.97803153860753744</v>
      </c>
      <c r="G1907" s="52">
        <f>IF(expected_production[[#This Row],[Base Expected (kWh)]]="","",expected_production[[#This Row],[Base Expected (kWh)]]*expected_production[[#This Row],[Degradation Factor]])</f>
        <v>3184.2310719791831</v>
      </c>
    </row>
    <row r="1908" spans="1:7" ht="15" hidden="1" customHeight="1" x14ac:dyDescent="0.3">
      <c r="A1908" t="s">
        <v>169</v>
      </c>
      <c r="B1908" s="2">
        <v>46296</v>
      </c>
      <c r="C1908" s="52">
        <v>3170.2449999999999</v>
      </c>
      <c r="D1908" s="48">
        <f>_xlfn.XLOOKUP(expected_production[[#This Row],[Site Name]],Table1[[Site Name ]],Table1[Commisioned Date],"")</f>
        <v>45111</v>
      </c>
      <c r="E1908" s="47">
        <f>IF(ISNUMBER(expected_production[[#This Row],[Commissioned Date]]),MAX(0,(expected_production[[#This Row],[Date]]-expected_production[[#This Row],[Commissioned Date]])/365.25),"")</f>
        <v>3.2443531827515399</v>
      </c>
      <c r="F1908" s="49">
        <f>IF(expected_production[[#This Row],[Age (yrs)]]="",1,(1-DegradationRate)^expected_production[[#This Row],[Age (yrs)]])</f>
        <v>0.97746740609357052</v>
      </c>
      <c r="G1908" s="52">
        <f>IF(expected_production[[#This Row],[Base Expected (kWh)]]="","",expected_production[[#This Row],[Base Expected (kWh)]]*expected_production[[#This Row],[Degradation Factor]])</f>
        <v>3098.8111568311115</v>
      </c>
    </row>
    <row r="1909" spans="1:7" ht="15" hidden="1" customHeight="1" x14ac:dyDescent="0.3">
      <c r="A1909" t="s">
        <v>169</v>
      </c>
      <c r="B1909" s="2">
        <v>46327</v>
      </c>
      <c r="C1909" s="52">
        <v>3173.1350000000002</v>
      </c>
      <c r="D1909" s="48">
        <f>_xlfn.XLOOKUP(expected_production[[#This Row],[Site Name]],Table1[[Site Name ]],Table1[Commisioned Date],"")</f>
        <v>45111</v>
      </c>
      <c r="E1909" s="47">
        <f>IF(ISNUMBER(expected_production[[#This Row],[Commissioned Date]]),MAX(0,(expected_production[[#This Row],[Date]]-expected_production[[#This Row],[Commissioned Date]])/365.25),"")</f>
        <v>3.3292265571526354</v>
      </c>
      <c r="F1909" s="49">
        <f>IF(expected_production[[#This Row],[Age (yrs)]]="",1,(1-DegradationRate)^expected_production[[#This Row],[Age (yrs)]])</f>
        <v>0.97688481100464597</v>
      </c>
      <c r="G1909" s="52">
        <f>IF(expected_production[[#This Row],[Base Expected (kWh)]]="","",expected_production[[#This Row],[Base Expected (kWh)]]*expected_production[[#This Row],[Degradation Factor]])</f>
        <v>3099.7873847672276</v>
      </c>
    </row>
    <row r="1910" spans="1:7" ht="15" hidden="1" customHeight="1" x14ac:dyDescent="0.3">
      <c r="A1910" t="s">
        <v>169</v>
      </c>
      <c r="B1910" s="2">
        <v>46357</v>
      </c>
      <c r="C1910" s="52">
        <v>3354.1849999999999</v>
      </c>
      <c r="D1910" s="48">
        <f>_xlfn.XLOOKUP(expected_production[[#This Row],[Site Name]],Table1[[Site Name ]],Table1[Commisioned Date],"")</f>
        <v>45111</v>
      </c>
      <c r="E1910" s="47">
        <f>IF(ISNUMBER(expected_production[[#This Row],[Commissioned Date]]),MAX(0,(expected_production[[#This Row],[Date]]-expected_production[[#This Row],[Commissioned Date]])/365.25),"")</f>
        <v>3.4113620807665983</v>
      </c>
      <c r="F1910" s="49">
        <f>IF(expected_production[[#This Row],[Age (yrs)]]="",1,(1-DegradationRate)^expected_production[[#This Row],[Age (yrs)]])</f>
        <v>0.97632133992775949</v>
      </c>
      <c r="G1910" s="52">
        <f>IF(expected_production[[#This Row],[Base Expected (kWh)]]="","",expected_production[[#This Row],[Base Expected (kWh)]]*expected_production[[#This Row],[Degradation Factor]])</f>
        <v>3274.762393565592</v>
      </c>
    </row>
    <row r="1911" spans="1:7" ht="15" hidden="1" customHeight="1" x14ac:dyDescent="0.3">
      <c r="A1911" t="s">
        <v>171</v>
      </c>
      <c r="B1911" s="2">
        <v>45292</v>
      </c>
      <c r="C1911" s="52">
        <v>12489.555</v>
      </c>
      <c r="D1911" s="48">
        <f>_xlfn.XLOOKUP(expected_production[[#This Row],[Site Name]],Table1[[Site Name ]],Table1[Commisioned Date],"")</f>
        <v>45111</v>
      </c>
      <c r="E1911" s="47">
        <f>IF(ISNUMBER(expected_production[[#This Row],[Commissioned Date]]),MAX(0,(expected_production[[#This Row],[Date]]-expected_production[[#This Row],[Commissioned Date]])/365.25),"")</f>
        <v>0.49555099247091033</v>
      </c>
      <c r="F1911" s="49">
        <f>IF(expected_production[[#This Row],[Age (yrs)]]="",1,(1-DegradationRate)^expected_production[[#This Row],[Age (yrs)]])</f>
        <v>0.99652499694357521</v>
      </c>
      <c r="G1911" s="52">
        <f>IF(expected_production[[#This Row],[Base Expected (kWh)]]="","",expected_production[[#This Row],[Base Expected (kWh)]]*expected_production[[#This Row],[Degradation Factor]])</f>
        <v>12446.153758201615</v>
      </c>
    </row>
    <row r="1912" spans="1:7" ht="15" hidden="1" customHeight="1" x14ac:dyDescent="0.3">
      <c r="A1912" t="s">
        <v>171</v>
      </c>
      <c r="B1912" s="2">
        <v>45323</v>
      </c>
      <c r="C1912" s="52">
        <v>10877.69</v>
      </c>
      <c r="D1912" s="48">
        <f>_xlfn.XLOOKUP(expected_production[[#This Row],[Site Name]],Table1[[Site Name ]],Table1[Commisioned Date],"")</f>
        <v>45111</v>
      </c>
      <c r="E1912" s="47">
        <f>IF(ISNUMBER(expected_production[[#This Row],[Commissioned Date]]),MAX(0,(expected_production[[#This Row],[Date]]-expected_production[[#This Row],[Commissioned Date]])/365.25),"")</f>
        <v>0.58042436687200549</v>
      </c>
      <c r="F1912" s="49">
        <f>IF(expected_production[[#This Row],[Age (yrs)]]="",1,(1-DegradationRate)^expected_production[[#This Row],[Age (yrs)]])</f>
        <v>0.99593104305253943</v>
      </c>
      <c r="G1912" s="52">
        <f>IF(expected_production[[#This Row],[Base Expected (kWh)]]="","",expected_production[[#This Row],[Base Expected (kWh)]]*expected_production[[#This Row],[Degradation Factor]])</f>
        <v>10833.429147702178</v>
      </c>
    </row>
    <row r="1913" spans="1:7" ht="15" hidden="1" customHeight="1" x14ac:dyDescent="0.3">
      <c r="A1913" t="s">
        <v>171</v>
      </c>
      <c r="B1913" s="2">
        <v>45352</v>
      </c>
      <c r="C1913" s="52">
        <v>10897.355</v>
      </c>
      <c r="D1913" s="48">
        <f>_xlfn.XLOOKUP(expected_production[[#This Row],[Site Name]],Table1[[Site Name ]],Table1[Commisioned Date],"")</f>
        <v>45111</v>
      </c>
      <c r="E1913" s="47">
        <f>IF(ISNUMBER(expected_production[[#This Row],[Commissioned Date]]),MAX(0,(expected_production[[#This Row],[Date]]-expected_production[[#This Row],[Commissioned Date]])/365.25),"")</f>
        <v>0.65982203969883646</v>
      </c>
      <c r="F1913" s="49">
        <f>IF(expected_production[[#This Row],[Age (yrs)]]="",1,(1-DegradationRate)^expected_production[[#This Row],[Age (yrs)]])</f>
        <v>0.99537572926048812</v>
      </c>
      <c r="G1913" s="52">
        <f>IF(expected_production[[#This Row],[Base Expected (kWh)]]="","",expected_production[[#This Row],[Base Expected (kWh)]]*expected_production[[#This Row],[Degradation Factor]])</f>
        <v>10846.962680135426</v>
      </c>
    </row>
    <row r="1914" spans="1:7" ht="15" hidden="1" customHeight="1" x14ac:dyDescent="0.3">
      <c r="A1914" t="s">
        <v>171</v>
      </c>
      <c r="B1914" s="2">
        <v>45383</v>
      </c>
      <c r="C1914" s="52">
        <v>8757.9549999999999</v>
      </c>
      <c r="D1914" s="48">
        <f>_xlfn.XLOOKUP(expected_production[[#This Row],[Site Name]],Table1[[Site Name ]],Table1[Commisioned Date],"")</f>
        <v>45111</v>
      </c>
      <c r="E1914" s="47">
        <f>IF(ISNUMBER(expected_production[[#This Row],[Commissioned Date]]),MAX(0,(expected_production[[#This Row],[Date]]-expected_production[[#This Row],[Commissioned Date]])/365.25),"")</f>
        <v>0.74469541409993156</v>
      </c>
      <c r="F1914" s="49">
        <f>IF(expected_production[[#This Row],[Age (yrs)]]="",1,(1-DegradationRate)^expected_production[[#This Row],[Age (yrs)]])</f>
        <v>0.99478246036181517</v>
      </c>
      <c r="G1914" s="52">
        <f>IF(expected_production[[#This Row],[Base Expected (kWh)]]="","",expected_production[[#This Row],[Base Expected (kWh)]]*expected_production[[#This Row],[Degradation Factor]])</f>
        <v>8712.26002263806</v>
      </c>
    </row>
    <row r="1915" spans="1:7" ht="15" hidden="1" customHeight="1" x14ac:dyDescent="0.3">
      <c r="A1915" t="s">
        <v>171</v>
      </c>
      <c r="B1915" s="2">
        <v>45413</v>
      </c>
      <c r="C1915" s="52">
        <v>7449.4250000000002</v>
      </c>
      <c r="D1915" s="48">
        <f>_xlfn.XLOOKUP(expected_production[[#This Row],[Site Name]],Table1[[Site Name ]],Table1[Commisioned Date],"")</f>
        <v>45111</v>
      </c>
      <c r="E1915" s="47">
        <f>IF(ISNUMBER(expected_production[[#This Row],[Commissioned Date]]),MAX(0,(expected_production[[#This Row],[Date]]-expected_production[[#This Row],[Commissioned Date]])/365.25),"")</f>
        <v>0.8268309377138946</v>
      </c>
      <c r="F1915" s="49">
        <f>IF(expected_production[[#This Row],[Age (yrs)]]="",1,(1-DegradationRate)^expected_production[[#This Row],[Age (yrs)]])</f>
        <v>0.99420866584899903</v>
      </c>
      <c r="G1915" s="52">
        <f>IF(expected_production[[#This Row],[Base Expected (kWh)]]="","",expected_production[[#This Row],[Base Expected (kWh)]]*expected_production[[#This Row],[Degradation Factor]])</f>
        <v>7406.2828905921797</v>
      </c>
    </row>
    <row r="1916" spans="1:7" ht="15" hidden="1" customHeight="1" x14ac:dyDescent="0.3">
      <c r="A1916" t="s">
        <v>171</v>
      </c>
      <c r="B1916" s="2">
        <v>45444</v>
      </c>
      <c r="C1916" s="52">
        <v>6752.6949999999997</v>
      </c>
      <c r="D1916" s="48">
        <f>_xlfn.XLOOKUP(expected_production[[#This Row],[Site Name]],Table1[[Site Name ]],Table1[Commisioned Date],"")</f>
        <v>45111</v>
      </c>
      <c r="E1916" s="47">
        <f>IF(ISNUMBER(expected_production[[#This Row],[Commissioned Date]]),MAX(0,(expected_production[[#This Row],[Date]]-expected_production[[#This Row],[Commissioned Date]])/365.25),"")</f>
        <v>0.9117043121149897</v>
      </c>
      <c r="F1916" s="49">
        <f>IF(expected_production[[#This Row],[Age (yrs)]]="",1,(1-DegradationRate)^expected_production[[#This Row],[Age (yrs)]])</f>
        <v>0.99361609254938932</v>
      </c>
      <c r="G1916" s="52">
        <f>IF(expected_production[[#This Row],[Base Expected (kWh)]]="","",expected_production[[#This Row],[Base Expected (kWh)]]*expected_production[[#This Row],[Degradation Factor]])</f>
        <v>6709.5864200777978</v>
      </c>
    </row>
    <row r="1917" spans="1:7" ht="15" hidden="1" customHeight="1" x14ac:dyDescent="0.3">
      <c r="A1917" t="s">
        <v>171</v>
      </c>
      <c r="B1917" s="2">
        <v>45474</v>
      </c>
      <c r="C1917" s="52">
        <v>7274.2449999999999</v>
      </c>
      <c r="D1917" s="48">
        <f>_xlfn.XLOOKUP(expected_production[[#This Row],[Site Name]],Table1[[Site Name ]],Table1[Commisioned Date],"")</f>
        <v>45111</v>
      </c>
      <c r="E1917" s="47">
        <f>IF(ISNUMBER(expected_production[[#This Row],[Commissioned Date]]),MAX(0,(expected_production[[#This Row],[Date]]-expected_production[[#This Row],[Commissioned Date]])/365.25),"")</f>
        <v>0.99383983572895274</v>
      </c>
      <c r="F1917" s="49">
        <f>IF(expected_production[[#This Row],[Age (yrs)]]="",1,(1-DegradationRate)^expected_production[[#This Row],[Age (yrs)]])</f>
        <v>0.99304297080220527</v>
      </c>
      <c r="G1917" s="52">
        <f>IF(expected_production[[#This Row],[Base Expected (kWh)]]="","",expected_production[[#This Row],[Base Expected (kWh)]]*expected_production[[#This Row],[Degradation Factor]])</f>
        <v>7223.6378651430878</v>
      </c>
    </row>
    <row r="1918" spans="1:7" ht="15" hidden="1" customHeight="1" x14ac:dyDescent="0.3">
      <c r="A1918" t="s">
        <v>171</v>
      </c>
      <c r="B1918" s="2">
        <v>45505</v>
      </c>
      <c r="C1918" s="52">
        <v>8568.7150000000001</v>
      </c>
      <c r="D1918" s="48">
        <f>_xlfn.XLOOKUP(expected_production[[#This Row],[Site Name]],Table1[[Site Name ]],Table1[Commisioned Date],"")</f>
        <v>45111</v>
      </c>
      <c r="E1918" s="47">
        <f>IF(ISNUMBER(expected_production[[#This Row],[Commissioned Date]]),MAX(0,(expected_production[[#This Row],[Date]]-expected_production[[#This Row],[Commissioned Date]])/365.25),"")</f>
        <v>1.0787132101300478</v>
      </c>
      <c r="F1918" s="49">
        <f>IF(expected_production[[#This Row],[Age (yrs)]]="",1,(1-DegradationRate)^expected_production[[#This Row],[Age (yrs)]])</f>
        <v>0.99245109228607908</v>
      </c>
      <c r="G1918" s="52">
        <f>IF(expected_production[[#This Row],[Base Expected (kWh)]]="","",expected_production[[#This Row],[Base Expected (kWh)]]*expected_production[[#This Row],[Degradation Factor]])</f>
        <v>8504.0305612381107</v>
      </c>
    </row>
    <row r="1919" spans="1:7" ht="15" hidden="1" customHeight="1" x14ac:dyDescent="0.3">
      <c r="A1919" t="s">
        <v>171</v>
      </c>
      <c r="B1919" s="2">
        <v>45536</v>
      </c>
      <c r="C1919" s="52">
        <v>9196</v>
      </c>
      <c r="D1919" s="48">
        <f>_xlfn.XLOOKUP(expected_production[[#This Row],[Site Name]],Table1[[Site Name ]],Table1[Commisioned Date],"")</f>
        <v>45111</v>
      </c>
      <c r="E1919" s="47">
        <f>IF(ISNUMBER(expected_production[[#This Row],[Commissioned Date]]),MAX(0,(expected_production[[#This Row],[Date]]-expected_production[[#This Row],[Commissioned Date]])/365.25),"")</f>
        <v>1.1635865845311431</v>
      </c>
      <c r="F1919" s="49">
        <f>IF(expected_production[[#This Row],[Age (yrs)]]="",1,(1-DegradationRate)^expected_production[[#This Row],[Age (yrs)]])</f>
        <v>0.99185956654439278</v>
      </c>
      <c r="G1919" s="52">
        <f>IF(expected_production[[#This Row],[Base Expected (kWh)]]="","",expected_production[[#This Row],[Base Expected (kWh)]]*expected_production[[#This Row],[Degradation Factor]])</f>
        <v>9121.1405739422353</v>
      </c>
    </row>
    <row r="1920" spans="1:7" ht="15" hidden="1" customHeight="1" x14ac:dyDescent="0.3">
      <c r="A1920" t="s">
        <v>171</v>
      </c>
      <c r="B1920" s="2">
        <v>45566</v>
      </c>
      <c r="C1920" s="52">
        <v>10753.525</v>
      </c>
      <c r="D1920" s="48">
        <f>_xlfn.XLOOKUP(expected_production[[#This Row],[Site Name]],Table1[[Site Name ]],Table1[Commisioned Date],"")</f>
        <v>45111</v>
      </c>
      <c r="E1920" s="47">
        <f>IF(ISNUMBER(expected_production[[#This Row],[Commissioned Date]]),MAX(0,(expected_production[[#This Row],[Date]]-expected_production[[#This Row],[Commissioned Date]])/365.25),"")</f>
        <v>1.2457221081451062</v>
      </c>
      <c r="F1920" s="49">
        <f>IF(expected_production[[#This Row],[Age (yrs)]]="",1,(1-DegradationRate)^expected_production[[#This Row],[Age (yrs)]])</f>
        <v>0.99128745796845308</v>
      </c>
      <c r="G1920" s="52">
        <f>IF(expected_production[[#This Row],[Base Expected (kWh)]]="","",expected_production[[#This Row],[Base Expected (kWh)]]*expected_production[[#This Row],[Degradation Factor]])</f>
        <v>10659.834461450209</v>
      </c>
    </row>
    <row r="1921" spans="1:7" ht="15" hidden="1" customHeight="1" x14ac:dyDescent="0.3">
      <c r="A1921" t="s">
        <v>171</v>
      </c>
      <c r="B1921" s="2">
        <v>45597</v>
      </c>
      <c r="C1921" s="52">
        <v>11159.27</v>
      </c>
      <c r="D1921" s="48">
        <f>_xlfn.XLOOKUP(expected_production[[#This Row],[Site Name]],Table1[[Site Name ]],Table1[Commisioned Date],"")</f>
        <v>45111</v>
      </c>
      <c r="E1921" s="47">
        <f>IF(ISNUMBER(expected_production[[#This Row],[Commissioned Date]]),MAX(0,(expected_production[[#This Row],[Date]]-expected_production[[#This Row],[Commissioned Date]])/365.25),"")</f>
        <v>1.3305954825462012</v>
      </c>
      <c r="F1921" s="49">
        <f>IF(expected_production[[#This Row],[Age (yrs)]]="",1,(1-DegradationRate)^expected_production[[#This Row],[Age (yrs)]])</f>
        <v>0.99069662578200413</v>
      </c>
      <c r="G1921" s="52">
        <f>IF(expected_production[[#This Row],[Base Expected (kWh)]]="","",expected_production[[#This Row],[Base Expected (kWh)]]*expected_production[[#This Row],[Degradation Factor]])</f>
        <v>11055.451135190346</v>
      </c>
    </row>
    <row r="1922" spans="1:7" ht="15" hidden="1" customHeight="1" x14ac:dyDescent="0.3">
      <c r="A1922" t="s">
        <v>171</v>
      </c>
      <c r="B1922" s="2">
        <v>45627</v>
      </c>
      <c r="C1922" s="52">
        <v>12687.82</v>
      </c>
      <c r="D1922" s="48">
        <f>_xlfn.XLOOKUP(expected_production[[#This Row],[Site Name]],Table1[[Site Name ]],Table1[Commisioned Date],"")</f>
        <v>45111</v>
      </c>
      <c r="E1922" s="47">
        <f>IF(ISNUMBER(expected_production[[#This Row],[Commissioned Date]]),MAX(0,(expected_production[[#This Row],[Date]]-expected_production[[#This Row],[Commissioned Date]])/365.25),"")</f>
        <v>1.4127310061601643</v>
      </c>
      <c r="F1922" s="49">
        <f>IF(expected_production[[#This Row],[Age (yrs)]]="",1,(1-DegradationRate)^expected_production[[#This Row],[Age (yrs)]])</f>
        <v>0.9901251879949603</v>
      </c>
      <c r="G1922" s="52">
        <f>IF(expected_production[[#This Row],[Base Expected (kWh)]]="","",expected_production[[#This Row],[Base Expected (kWh)]]*expected_production[[#This Row],[Degradation Factor]])</f>
        <v>12562.530162746218</v>
      </c>
    </row>
    <row r="1923" spans="1:7" ht="15" hidden="1" customHeight="1" x14ac:dyDescent="0.3">
      <c r="A1923" t="s">
        <v>171</v>
      </c>
      <c r="B1923" s="2">
        <v>45658</v>
      </c>
      <c r="C1923" s="52">
        <v>12489.555</v>
      </c>
      <c r="D1923" s="48">
        <f>_xlfn.XLOOKUP(expected_production[[#This Row],[Site Name]],Table1[[Site Name ]],Table1[Commisioned Date],"")</f>
        <v>45111</v>
      </c>
      <c r="E1923" s="47">
        <f>IF(ISNUMBER(expected_production[[#This Row],[Commissioned Date]]),MAX(0,(expected_production[[#This Row],[Date]]-expected_production[[#This Row],[Commissioned Date]])/365.25),"")</f>
        <v>1.4976043805612593</v>
      </c>
      <c r="F1923" s="49">
        <f>IF(expected_production[[#This Row],[Age (yrs)]]="",1,(1-DegradationRate)^expected_production[[#This Row],[Age (yrs)]])</f>
        <v>0.98953504855056518</v>
      </c>
      <c r="G1923" s="52">
        <f>IF(expected_production[[#This Row],[Base Expected (kWh)]]="","",expected_production[[#This Row],[Base Expected (kWh)]]*expected_production[[#This Row],[Degradation Factor]])</f>
        <v>12358.852413299954</v>
      </c>
    </row>
    <row r="1924" spans="1:7" ht="15" hidden="1" customHeight="1" x14ac:dyDescent="0.3">
      <c r="A1924" t="s">
        <v>171</v>
      </c>
      <c r="B1924" s="2">
        <v>45689</v>
      </c>
      <c r="C1924" s="52">
        <v>10877.69</v>
      </c>
      <c r="D1924" s="48">
        <f>_xlfn.XLOOKUP(expected_production[[#This Row],[Site Name]],Table1[[Site Name ]],Table1[Commisioned Date],"")</f>
        <v>45111</v>
      </c>
      <c r="E1924" s="47">
        <f>IF(ISNUMBER(expected_production[[#This Row],[Commissioned Date]]),MAX(0,(expected_production[[#This Row],[Date]]-expected_production[[#This Row],[Commissioned Date]])/365.25),"")</f>
        <v>1.5824777549623545</v>
      </c>
      <c r="F1924" s="49">
        <f>IF(expected_production[[#This Row],[Age (yrs)]]="",1,(1-DegradationRate)^expected_production[[#This Row],[Age (yrs)]])</f>
        <v>0.98894526084407974</v>
      </c>
      <c r="G1924" s="52">
        <f>IF(expected_production[[#This Row],[Base Expected (kWh)]]="","",expected_production[[#This Row],[Base Expected (kWh)]]*expected_production[[#This Row],[Degradation Factor]])</f>
        <v>10757.439974431038</v>
      </c>
    </row>
    <row r="1925" spans="1:7" ht="15" hidden="1" customHeight="1" x14ac:dyDescent="0.3">
      <c r="A1925" t="s">
        <v>171</v>
      </c>
      <c r="B1925" s="2">
        <v>45717</v>
      </c>
      <c r="C1925" s="52">
        <v>10897.355</v>
      </c>
      <c r="D1925" s="48">
        <f>_xlfn.XLOOKUP(expected_production[[#This Row],[Site Name]],Table1[[Site Name ]],Table1[Commisioned Date],"")</f>
        <v>45111</v>
      </c>
      <c r="E1925" s="47">
        <f>IF(ISNUMBER(expected_production[[#This Row],[Commissioned Date]]),MAX(0,(expected_production[[#This Row],[Date]]-expected_production[[#This Row],[Commissioned Date]])/365.25),"")</f>
        <v>1.6591375770020533</v>
      </c>
      <c r="F1925" s="49">
        <f>IF(expected_production[[#This Row],[Age (yrs)]]="",1,(1-DegradationRate)^expected_production[[#This Row],[Age (yrs)]])</f>
        <v>0.98841285151910685</v>
      </c>
      <c r="G1925" s="52">
        <f>IF(expected_production[[#This Row],[Base Expected (kWh)]]="","",expected_production[[#This Row],[Base Expected (kWh)]]*expected_production[[#This Row],[Degradation Factor]])</f>
        <v>10771.085729565997</v>
      </c>
    </row>
    <row r="1926" spans="1:7" ht="15" hidden="1" customHeight="1" x14ac:dyDescent="0.3">
      <c r="A1926" t="s">
        <v>171</v>
      </c>
      <c r="B1926" s="2">
        <v>45748</v>
      </c>
      <c r="C1926" s="52">
        <v>8757.9549999999999</v>
      </c>
      <c r="D1926" s="48">
        <f>_xlfn.XLOOKUP(expected_production[[#This Row],[Site Name]],Table1[[Site Name ]],Table1[Commisioned Date],"")</f>
        <v>45111</v>
      </c>
      <c r="E1926" s="47">
        <f>IF(ISNUMBER(expected_production[[#This Row],[Commissioned Date]]),MAX(0,(expected_production[[#This Row],[Date]]-expected_production[[#This Row],[Commissioned Date]])/365.25),"")</f>
        <v>1.7440109514031485</v>
      </c>
      <c r="F1926" s="49">
        <f>IF(expected_production[[#This Row],[Age (yrs)]]="",1,(1-DegradationRate)^expected_production[[#This Row],[Age (yrs)]])</f>
        <v>0.98782373267019674</v>
      </c>
      <c r="G1926" s="52">
        <f>IF(expected_production[[#This Row],[Base Expected (kWh)]]="","",expected_production[[#This Row],[Base Expected (kWh)]]*expected_production[[#This Row],[Degradation Factor]])</f>
        <v>8651.3157986576134</v>
      </c>
    </row>
    <row r="1927" spans="1:7" ht="15" hidden="1" customHeight="1" x14ac:dyDescent="0.3">
      <c r="A1927" t="s">
        <v>171</v>
      </c>
      <c r="B1927" s="2">
        <v>45778</v>
      </c>
      <c r="C1927" s="52">
        <v>7449.4250000000002</v>
      </c>
      <c r="D1927" s="48">
        <f>_xlfn.XLOOKUP(expected_production[[#This Row],[Site Name]],Table1[[Site Name ]],Table1[Commisioned Date],"")</f>
        <v>45111</v>
      </c>
      <c r="E1927" s="47">
        <f>IF(ISNUMBER(expected_production[[#This Row],[Commissioned Date]]),MAX(0,(expected_production[[#This Row],[Date]]-expected_production[[#This Row],[Commissioned Date]])/365.25),"")</f>
        <v>1.8261464750171115</v>
      </c>
      <c r="F1927" s="49">
        <f>IF(expected_production[[#This Row],[Age (yrs)]]="",1,(1-DegradationRate)^expected_production[[#This Row],[Age (yrs)]])</f>
        <v>0.9872539519794219</v>
      </c>
      <c r="G1927" s="52">
        <f>IF(expected_production[[#This Row],[Base Expected (kWh)]]="","",expected_production[[#This Row],[Base Expected (kWh)]]*expected_production[[#This Row],[Degradation Factor]])</f>
        <v>7354.4742712243051</v>
      </c>
    </row>
    <row r="1928" spans="1:7" ht="15" hidden="1" customHeight="1" x14ac:dyDescent="0.3">
      <c r="A1928" t="s">
        <v>171</v>
      </c>
      <c r="B1928" s="2">
        <v>45809</v>
      </c>
      <c r="C1928" s="52">
        <v>6752.6949999999997</v>
      </c>
      <c r="D1928" s="48">
        <f>_xlfn.XLOOKUP(expected_production[[#This Row],[Site Name]],Table1[[Site Name ]],Table1[Commisioned Date],"")</f>
        <v>45111</v>
      </c>
      <c r="E1928" s="47">
        <f>IF(ISNUMBER(expected_production[[#This Row],[Commissioned Date]]),MAX(0,(expected_production[[#This Row],[Date]]-expected_production[[#This Row],[Commissioned Date]])/365.25),"")</f>
        <v>1.9110198494182067</v>
      </c>
      <c r="F1928" s="49">
        <f>IF(expected_production[[#This Row],[Age (yrs)]]="",1,(1-DegradationRate)^expected_production[[#This Row],[Age (yrs)]])</f>
        <v>0.98666552386370265</v>
      </c>
      <c r="G1928" s="52">
        <f>IF(expected_production[[#This Row],[Base Expected (kWh)]]="","",expected_production[[#This Row],[Base Expected (kWh)]]*expected_production[[#This Row],[Degradation Factor]])</f>
        <v>6662.6513496668049</v>
      </c>
    </row>
    <row r="1929" spans="1:7" ht="15" hidden="1" customHeight="1" x14ac:dyDescent="0.3">
      <c r="A1929" t="s">
        <v>171</v>
      </c>
      <c r="B1929" s="2">
        <v>45839</v>
      </c>
      <c r="C1929" s="52">
        <v>7274.2449999999999</v>
      </c>
      <c r="D1929" s="48">
        <f>_xlfn.XLOOKUP(expected_production[[#This Row],[Site Name]],Table1[[Site Name ]],Table1[Commisioned Date],"")</f>
        <v>45111</v>
      </c>
      <c r="E1929" s="47">
        <f>IF(ISNUMBER(expected_production[[#This Row],[Commissioned Date]]),MAX(0,(expected_production[[#This Row],[Date]]-expected_production[[#This Row],[Commissioned Date]])/365.25),"")</f>
        <v>1.9931553730321698</v>
      </c>
      <c r="F1929" s="49">
        <f>IF(expected_production[[#This Row],[Age (yrs)]]="",1,(1-DegradationRate)^expected_production[[#This Row],[Age (yrs)]])</f>
        <v>0.98609641123241254</v>
      </c>
      <c r="G1929" s="52">
        <f>IF(expected_production[[#This Row],[Base Expected (kWh)]]="","",expected_production[[#This Row],[Base Expected (kWh)]]*expected_production[[#This Row],[Degradation Factor]])</f>
        <v>7173.1068889253211</v>
      </c>
    </row>
    <row r="1930" spans="1:7" ht="15" hidden="1" customHeight="1" x14ac:dyDescent="0.3">
      <c r="A1930" t="s">
        <v>171</v>
      </c>
      <c r="B1930" s="2">
        <v>45870</v>
      </c>
      <c r="C1930" s="52">
        <v>8568.7150000000001</v>
      </c>
      <c r="D1930" s="48">
        <f>_xlfn.XLOOKUP(expected_production[[#This Row],[Site Name]],Table1[[Site Name ]],Table1[Commisioned Date],"")</f>
        <v>45111</v>
      </c>
      <c r="E1930" s="47">
        <f>IF(ISNUMBER(expected_production[[#This Row],[Commissioned Date]]),MAX(0,(expected_production[[#This Row],[Date]]-expected_production[[#This Row],[Commissioned Date]])/365.25),"")</f>
        <v>2.0780287474332648</v>
      </c>
      <c r="F1930" s="49">
        <f>IF(expected_production[[#This Row],[Age (yrs)]]="",1,(1-DegradationRate)^expected_production[[#This Row],[Age (yrs)]])</f>
        <v>0.98550867304000966</v>
      </c>
      <c r="G1930" s="52">
        <f>IF(expected_production[[#This Row],[Base Expected (kWh)]]="","",expected_production[[#This Row],[Base Expected (kWh)]]*expected_production[[#This Row],[Degradation Factor]])</f>
        <v>8444.5429493080264</v>
      </c>
    </row>
    <row r="1931" spans="1:7" ht="15" hidden="1" customHeight="1" x14ac:dyDescent="0.3">
      <c r="A1931" t="s">
        <v>171</v>
      </c>
      <c r="B1931" s="2">
        <v>45901</v>
      </c>
      <c r="C1931" s="52">
        <v>9196</v>
      </c>
      <c r="D1931" s="48">
        <f>_xlfn.XLOOKUP(expected_production[[#This Row],[Site Name]],Table1[[Site Name ]],Table1[Commisioned Date],"")</f>
        <v>45111</v>
      </c>
      <c r="E1931" s="47">
        <f>IF(ISNUMBER(expected_production[[#This Row],[Commissioned Date]]),MAX(0,(expected_production[[#This Row],[Date]]-expected_production[[#This Row],[Commissioned Date]])/365.25),"")</f>
        <v>2.1629021218343598</v>
      </c>
      <c r="F1931" s="49">
        <f>IF(expected_production[[#This Row],[Age (yrs)]]="",1,(1-DegradationRate)^expected_production[[#This Row],[Age (yrs)]])</f>
        <v>0.98492128515430999</v>
      </c>
      <c r="G1931" s="52">
        <f>IF(expected_production[[#This Row],[Base Expected (kWh)]]="","",expected_production[[#This Row],[Base Expected (kWh)]]*expected_production[[#This Row],[Degradation Factor]])</f>
        <v>9057.3361382790354</v>
      </c>
    </row>
    <row r="1932" spans="1:7" ht="15" hidden="1" customHeight="1" x14ac:dyDescent="0.3">
      <c r="A1932" t="s">
        <v>171</v>
      </c>
      <c r="B1932" s="2">
        <v>45931</v>
      </c>
      <c r="C1932" s="52">
        <v>10753.525</v>
      </c>
      <c r="D1932" s="48">
        <f>_xlfn.XLOOKUP(expected_production[[#This Row],[Site Name]],Table1[[Site Name ]],Table1[Commisioned Date],"")</f>
        <v>45111</v>
      </c>
      <c r="E1932" s="47">
        <f>IF(ISNUMBER(expected_production[[#This Row],[Commissioned Date]]),MAX(0,(expected_production[[#This Row],[Date]]-expected_production[[#This Row],[Commissioned Date]])/365.25),"")</f>
        <v>2.2450376454483232</v>
      </c>
      <c r="F1932" s="49">
        <f>IF(expected_production[[#This Row],[Age (yrs)]]="",1,(1-DegradationRate)^expected_production[[#This Row],[Age (yrs)]])</f>
        <v>0.98435317860690286</v>
      </c>
      <c r="G1932" s="52">
        <f>IF(expected_production[[#This Row],[Base Expected (kWh)]]="","",expected_production[[#This Row],[Base Expected (kWh)]]*expected_production[[#This Row],[Degradation Factor]])</f>
        <v>10585.266514978795</v>
      </c>
    </row>
    <row r="1933" spans="1:7" ht="15" hidden="1" customHeight="1" x14ac:dyDescent="0.3">
      <c r="A1933" t="s">
        <v>171</v>
      </c>
      <c r="B1933" s="2">
        <v>45962</v>
      </c>
      <c r="C1933" s="52">
        <v>11159.27</v>
      </c>
      <c r="D1933" s="48">
        <f>_xlfn.XLOOKUP(expected_production[[#This Row],[Site Name]],Table1[[Site Name ]],Table1[Commisioned Date],"")</f>
        <v>45111</v>
      </c>
      <c r="E1933" s="47">
        <f>IF(ISNUMBER(expected_production[[#This Row],[Commissioned Date]]),MAX(0,(expected_production[[#This Row],[Date]]-expected_production[[#This Row],[Commissioned Date]])/365.25),"")</f>
        <v>2.3299110198494182</v>
      </c>
      <c r="F1933" s="49">
        <f>IF(expected_production[[#This Row],[Age (yrs)]]="",1,(1-DegradationRate)^expected_production[[#This Row],[Age (yrs)]])</f>
        <v>0.98376647942486517</v>
      </c>
      <c r="G1933" s="52">
        <f>IF(expected_production[[#This Row],[Base Expected (kWh)]]="","",expected_production[[#This Row],[Base Expected (kWh)]]*expected_production[[#This Row],[Degradation Factor]])</f>
        <v>10978.115760851515</v>
      </c>
    </row>
    <row r="1934" spans="1:7" ht="15" hidden="1" customHeight="1" x14ac:dyDescent="0.3">
      <c r="A1934" t="s">
        <v>171</v>
      </c>
      <c r="B1934" s="2">
        <v>45992</v>
      </c>
      <c r="C1934" s="52">
        <v>12687.82</v>
      </c>
      <c r="D1934" s="48">
        <f>_xlfn.XLOOKUP(expected_production[[#This Row],[Site Name]],Table1[[Site Name ]],Table1[Commisioned Date],"")</f>
        <v>45111</v>
      </c>
      <c r="E1934" s="47">
        <f>IF(ISNUMBER(expected_production[[#This Row],[Commissioned Date]]),MAX(0,(expected_production[[#This Row],[Date]]-expected_production[[#This Row],[Commissioned Date]])/365.25),"")</f>
        <v>2.4120465434633811</v>
      </c>
      <c r="F1934" s="49">
        <f>IF(expected_production[[#This Row],[Age (yrs)]]="",1,(1-DegradationRate)^expected_production[[#This Row],[Age (yrs)]])</f>
        <v>0.98319903897403416</v>
      </c>
      <c r="G1934" s="52">
        <f>IF(expected_production[[#This Row],[Base Expected (kWh)]]="","",expected_production[[#This Row],[Base Expected (kWh)]]*expected_production[[#This Row],[Degradation Factor]])</f>
        <v>12474.652430675529</v>
      </c>
    </row>
    <row r="1935" spans="1:7" ht="15" hidden="1" customHeight="1" x14ac:dyDescent="0.3">
      <c r="A1935" t="s">
        <v>171</v>
      </c>
      <c r="B1935" s="2">
        <v>46023</v>
      </c>
      <c r="C1935" s="52">
        <v>12489.555</v>
      </c>
      <c r="D1935" s="48">
        <f>_xlfn.XLOOKUP(expected_production[[#This Row],[Site Name]],Table1[[Site Name ]],Table1[Commisioned Date],"")</f>
        <v>45111</v>
      </c>
      <c r="E1935" s="47">
        <f>IF(ISNUMBER(expected_production[[#This Row],[Commissioned Date]]),MAX(0,(expected_production[[#This Row],[Date]]-expected_production[[#This Row],[Commissioned Date]])/365.25),"")</f>
        <v>2.4969199178644765</v>
      </c>
      <c r="F1935" s="49">
        <f>IF(expected_production[[#This Row],[Age (yrs)]]="",1,(1-DegradationRate)^expected_production[[#This Row],[Age (yrs)]])</f>
        <v>0.9826130276881635</v>
      </c>
      <c r="G1935" s="52">
        <f>IF(expected_production[[#This Row],[Base Expected (kWh)]]="","",expected_production[[#This Row],[Base Expected (kWh)]]*expected_production[[#This Row],[Degradation Factor]])</f>
        <v>12272.399453027841</v>
      </c>
    </row>
    <row r="1936" spans="1:7" ht="15" hidden="1" customHeight="1" x14ac:dyDescent="0.3">
      <c r="A1936" t="s">
        <v>171</v>
      </c>
      <c r="B1936" s="2">
        <v>46054</v>
      </c>
      <c r="C1936" s="52">
        <v>10877.69</v>
      </c>
      <c r="D1936" s="48">
        <f>_xlfn.XLOOKUP(expected_production[[#This Row],[Site Name]],Table1[[Site Name ]],Table1[Commisioned Date],"")</f>
        <v>45111</v>
      </c>
      <c r="E1936" s="47">
        <f>IF(ISNUMBER(expected_production[[#This Row],[Commissioned Date]]),MAX(0,(expected_production[[#This Row],[Date]]-expected_production[[#This Row],[Commissioned Date]])/365.25),"")</f>
        <v>2.5817932922655715</v>
      </c>
      <c r="F1936" s="49">
        <f>IF(expected_production[[#This Row],[Age (yrs)]]="",1,(1-DegradationRate)^expected_production[[#This Row],[Age (yrs)]])</f>
        <v>0.98202736567971638</v>
      </c>
      <c r="G1936" s="52">
        <f>IF(expected_production[[#This Row],[Base Expected (kWh)]]="","",expected_production[[#This Row],[Base Expected (kWh)]]*expected_production[[#This Row],[Degradation Factor]])</f>
        <v>10682.189255380594</v>
      </c>
    </row>
    <row r="1937" spans="1:7" ht="15" hidden="1" customHeight="1" x14ac:dyDescent="0.3">
      <c r="A1937" t="s">
        <v>171</v>
      </c>
      <c r="B1937" s="2">
        <v>46082</v>
      </c>
      <c r="C1937" s="52">
        <v>10897.355</v>
      </c>
      <c r="D1937" s="48">
        <f>_xlfn.XLOOKUP(expected_production[[#This Row],[Site Name]],Table1[[Site Name ]],Table1[Commisioned Date],"")</f>
        <v>45111</v>
      </c>
      <c r="E1937" s="47">
        <f>IF(ISNUMBER(expected_production[[#This Row],[Commissioned Date]]),MAX(0,(expected_production[[#This Row],[Date]]-expected_production[[#This Row],[Commissioned Date]])/365.25),"")</f>
        <v>2.6584531143052703</v>
      </c>
      <c r="F1937" s="49">
        <f>IF(expected_production[[#This Row],[Age (yrs)]]="",1,(1-DegradationRate)^expected_production[[#This Row],[Age (yrs)]])</f>
        <v>0.9814986806780609</v>
      </c>
      <c r="G1937" s="52">
        <f>IF(expected_production[[#This Row],[Base Expected (kWh)]]="","",expected_production[[#This Row],[Base Expected (kWh)]]*expected_production[[#This Row],[Degradation Factor]])</f>
        <v>10695.739555380469</v>
      </c>
    </row>
    <row r="1938" spans="1:7" ht="15" hidden="1" customHeight="1" x14ac:dyDescent="0.3">
      <c r="A1938" t="s">
        <v>171</v>
      </c>
      <c r="B1938" s="2">
        <v>46113</v>
      </c>
      <c r="C1938" s="52">
        <v>8757.9549999999999</v>
      </c>
      <c r="D1938" s="48">
        <f>_xlfn.XLOOKUP(expected_production[[#This Row],[Site Name]],Table1[[Site Name ]],Table1[Commisioned Date],"")</f>
        <v>45111</v>
      </c>
      <c r="E1938" s="47">
        <f>IF(ISNUMBER(expected_production[[#This Row],[Commissioned Date]]),MAX(0,(expected_production[[#This Row],[Date]]-expected_production[[#This Row],[Commissioned Date]])/365.25),"")</f>
        <v>2.7433264887063653</v>
      </c>
      <c r="F1938" s="49">
        <f>IF(expected_production[[#This Row],[Age (yrs)]]="",1,(1-DegradationRate)^expected_production[[#This Row],[Age (yrs)]])</f>
        <v>0.98091368284837965</v>
      </c>
      <c r="G1938" s="52">
        <f>IF(expected_production[[#This Row],[Base Expected (kWh)]]="","",expected_production[[#This Row],[Base Expected (kWh)]]*expected_production[[#This Row],[Degradation Factor]])</f>
        <v>8590.7978932703809</v>
      </c>
    </row>
    <row r="1939" spans="1:7" ht="15" hidden="1" customHeight="1" x14ac:dyDescent="0.3">
      <c r="A1939" t="s">
        <v>171</v>
      </c>
      <c r="B1939" s="2">
        <v>46143</v>
      </c>
      <c r="C1939" s="52">
        <v>7449.4250000000002</v>
      </c>
      <c r="D1939" s="48">
        <f>_xlfn.XLOOKUP(expected_production[[#This Row],[Site Name]],Table1[[Site Name ]],Table1[Commisioned Date],"")</f>
        <v>45111</v>
      </c>
      <c r="E1939" s="47">
        <f>IF(ISNUMBER(expected_production[[#This Row],[Commissioned Date]]),MAX(0,(expected_production[[#This Row],[Date]]-expected_production[[#This Row],[Commissioned Date]])/365.25),"")</f>
        <v>2.8254620123203287</v>
      </c>
      <c r="F1939" s="49">
        <f>IF(expected_production[[#This Row],[Age (yrs)]]="",1,(1-DegradationRate)^expected_production[[#This Row],[Age (yrs)]])</f>
        <v>0.9803478879020554</v>
      </c>
      <c r="G1939" s="52">
        <f>IF(expected_production[[#This Row],[Base Expected (kWh)]]="","",expected_production[[#This Row],[Base Expected (kWh)]]*expected_production[[#This Row],[Degradation Factor]])</f>
        <v>7303.0280648347689</v>
      </c>
    </row>
    <row r="1940" spans="1:7" ht="15" hidden="1" customHeight="1" x14ac:dyDescent="0.3">
      <c r="A1940" t="s">
        <v>171</v>
      </c>
      <c r="B1940" s="2">
        <v>46174</v>
      </c>
      <c r="C1940" s="52">
        <v>6752.6949999999997</v>
      </c>
      <c r="D1940" s="48">
        <f>_xlfn.XLOOKUP(expected_production[[#This Row],[Site Name]],Table1[[Site Name ]],Table1[Commisioned Date],"")</f>
        <v>45111</v>
      </c>
      <c r="E1940" s="47">
        <f>IF(ISNUMBER(expected_production[[#This Row],[Commissioned Date]]),MAX(0,(expected_production[[#This Row],[Date]]-expected_production[[#This Row],[Commissioned Date]])/365.25),"")</f>
        <v>2.9103353867214237</v>
      </c>
      <c r="F1940" s="49">
        <f>IF(expected_production[[#This Row],[Age (yrs)]]="",1,(1-DegradationRate)^expected_production[[#This Row],[Age (yrs)]])</f>
        <v>0.97976357597373054</v>
      </c>
      <c r="G1940" s="52">
        <f>IF(expected_production[[#This Row],[Base Expected (kWh)]]="","",expected_production[[#This Row],[Base Expected (kWh)]]*expected_production[[#This Row],[Degradation Factor]])</f>
        <v>6616.0446006599304</v>
      </c>
    </row>
    <row r="1941" spans="1:7" ht="15" hidden="1" customHeight="1" x14ac:dyDescent="0.3">
      <c r="A1941" t="s">
        <v>171</v>
      </c>
      <c r="B1941" s="2">
        <v>46204</v>
      </c>
      <c r="C1941" s="52">
        <v>7274.2449999999999</v>
      </c>
      <c r="D1941" s="48">
        <f>_xlfn.XLOOKUP(expected_production[[#This Row],[Site Name]],Table1[[Site Name ]],Table1[Commisioned Date],"")</f>
        <v>45111</v>
      </c>
      <c r="E1941" s="47">
        <f>IF(ISNUMBER(expected_production[[#This Row],[Commissioned Date]]),MAX(0,(expected_production[[#This Row],[Date]]-expected_production[[#This Row],[Commissioned Date]])/365.25),"")</f>
        <v>2.9924709103353866</v>
      </c>
      <c r="F1941" s="49">
        <f>IF(expected_production[[#This Row],[Age (yrs)]]="",1,(1-DegradationRate)^expected_production[[#This Row],[Age (yrs)]])</f>
        <v>0.97919844441366433</v>
      </c>
      <c r="G1941" s="52">
        <f>IF(expected_production[[#This Row],[Base Expected (kWh)]]="","",expected_production[[#This Row],[Base Expected (kWh)]]*expected_production[[#This Row],[Degradation Factor]])</f>
        <v>7122.9293882838756</v>
      </c>
    </row>
    <row r="1942" spans="1:7" ht="15" hidden="1" customHeight="1" x14ac:dyDescent="0.3">
      <c r="A1942" t="s">
        <v>171</v>
      </c>
      <c r="B1942" s="2">
        <v>46235</v>
      </c>
      <c r="C1942" s="52">
        <v>8568.7150000000001</v>
      </c>
      <c r="D1942" s="48">
        <f>_xlfn.XLOOKUP(expected_production[[#This Row],[Site Name]],Table1[[Site Name ]],Table1[Commisioned Date],"")</f>
        <v>45111</v>
      </c>
      <c r="E1942" s="47">
        <f>IF(ISNUMBER(expected_production[[#This Row],[Commissioned Date]]),MAX(0,(expected_production[[#This Row],[Date]]-expected_production[[#This Row],[Commissioned Date]])/365.25),"")</f>
        <v>3.077344284736482</v>
      </c>
      <c r="F1942" s="49">
        <f>IF(expected_production[[#This Row],[Age (yrs)]]="",1,(1-DegradationRate)^expected_production[[#This Row],[Age (yrs)]])</f>
        <v>0.97861481758248647</v>
      </c>
      <c r="G1942" s="52">
        <f>IF(expected_production[[#This Row],[Base Expected (kWh)]]="","",expected_production[[#This Row],[Base Expected (kWh)]]*expected_production[[#This Row],[Degradation Factor]])</f>
        <v>8385.4714666413165</v>
      </c>
    </row>
    <row r="1943" spans="1:7" ht="15" hidden="1" customHeight="1" x14ac:dyDescent="0.3">
      <c r="A1943" t="s">
        <v>171</v>
      </c>
      <c r="B1943" s="2">
        <v>46266</v>
      </c>
      <c r="C1943" s="52">
        <v>9196</v>
      </c>
      <c r="D1943" s="48">
        <f>_xlfn.XLOOKUP(expected_production[[#This Row],[Site Name]],Table1[[Site Name ]],Table1[Commisioned Date],"")</f>
        <v>45111</v>
      </c>
      <c r="E1943" s="47">
        <f>IF(ISNUMBER(expected_production[[#This Row],[Commissioned Date]]),MAX(0,(expected_production[[#This Row],[Date]]-expected_production[[#This Row],[Commissioned Date]])/365.25),"")</f>
        <v>3.162217659137577</v>
      </c>
      <c r="F1943" s="49">
        <f>IF(expected_production[[#This Row],[Age (yrs)]]="",1,(1-DegradationRate)^expected_production[[#This Row],[Age (yrs)]])</f>
        <v>0.97803153860753744</v>
      </c>
      <c r="G1943" s="52">
        <f>IF(expected_production[[#This Row],[Base Expected (kWh)]]="","",expected_production[[#This Row],[Base Expected (kWh)]]*expected_production[[#This Row],[Degradation Factor]])</f>
        <v>8993.9780290349136</v>
      </c>
    </row>
    <row r="1944" spans="1:7" ht="15" hidden="1" customHeight="1" x14ac:dyDescent="0.3">
      <c r="A1944" t="s">
        <v>171</v>
      </c>
      <c r="B1944" s="2">
        <v>46296</v>
      </c>
      <c r="C1944" s="52">
        <v>10753.525</v>
      </c>
      <c r="D1944" s="48">
        <f>_xlfn.XLOOKUP(expected_production[[#This Row],[Site Name]],Table1[[Site Name ]],Table1[Commisioned Date],"")</f>
        <v>45111</v>
      </c>
      <c r="E1944" s="47">
        <f>IF(ISNUMBER(expected_production[[#This Row],[Commissioned Date]]),MAX(0,(expected_production[[#This Row],[Date]]-expected_production[[#This Row],[Commissioned Date]])/365.25),"")</f>
        <v>3.2443531827515399</v>
      </c>
      <c r="F1944" s="49">
        <f>IF(expected_production[[#This Row],[Age (yrs)]]="",1,(1-DegradationRate)^expected_production[[#This Row],[Age (yrs)]])</f>
        <v>0.97746740609357052</v>
      </c>
      <c r="G1944" s="52">
        <f>IF(expected_production[[#This Row],[Base Expected (kWh)]]="","",expected_production[[#This Row],[Base Expected (kWh)]]*expected_production[[#This Row],[Degradation Factor]])</f>
        <v>10511.220188112362</v>
      </c>
    </row>
    <row r="1945" spans="1:7" ht="15" hidden="1" customHeight="1" x14ac:dyDescent="0.3">
      <c r="A1945" t="s">
        <v>171</v>
      </c>
      <c r="B1945" s="2">
        <v>46327</v>
      </c>
      <c r="C1945" s="52">
        <v>11159.27</v>
      </c>
      <c r="D1945" s="48">
        <f>_xlfn.XLOOKUP(expected_production[[#This Row],[Site Name]],Table1[[Site Name ]],Table1[Commisioned Date],"")</f>
        <v>45111</v>
      </c>
      <c r="E1945" s="47">
        <f>IF(ISNUMBER(expected_production[[#This Row],[Commissioned Date]]),MAX(0,(expected_production[[#This Row],[Date]]-expected_production[[#This Row],[Commissioned Date]])/365.25),"")</f>
        <v>3.3292265571526354</v>
      </c>
      <c r="F1945" s="49">
        <f>IF(expected_production[[#This Row],[Age (yrs)]]="",1,(1-DegradationRate)^expected_production[[#This Row],[Age (yrs)]])</f>
        <v>0.97688481100464597</v>
      </c>
      <c r="G1945" s="52">
        <f>IF(expected_production[[#This Row],[Base Expected (kWh)]]="","",expected_production[[#This Row],[Base Expected (kWh)]]*expected_production[[#This Row],[Degradation Factor]])</f>
        <v>10901.321364899815</v>
      </c>
    </row>
    <row r="1946" spans="1:7" ht="15" hidden="1" customHeight="1" x14ac:dyDescent="0.3">
      <c r="A1946" t="s">
        <v>171</v>
      </c>
      <c r="B1946" s="2">
        <v>46357</v>
      </c>
      <c r="C1946" s="52">
        <v>12687.82</v>
      </c>
      <c r="D1946" s="48">
        <f>_xlfn.XLOOKUP(expected_production[[#This Row],[Site Name]],Table1[[Site Name ]],Table1[Commisioned Date],"")</f>
        <v>45111</v>
      </c>
      <c r="E1946" s="47">
        <f>IF(ISNUMBER(expected_production[[#This Row],[Commissioned Date]]),MAX(0,(expected_production[[#This Row],[Date]]-expected_production[[#This Row],[Commissioned Date]])/365.25),"")</f>
        <v>3.4113620807665983</v>
      </c>
      <c r="F1946" s="49">
        <f>IF(expected_production[[#This Row],[Age (yrs)]]="",1,(1-DegradationRate)^expected_production[[#This Row],[Age (yrs)]])</f>
        <v>0.97632133992775949</v>
      </c>
      <c r="G1946" s="52">
        <f>IF(expected_production[[#This Row],[Base Expected (kWh)]]="","",expected_production[[#This Row],[Base Expected (kWh)]]*expected_production[[#This Row],[Degradation Factor]])</f>
        <v>12387.389423162225</v>
      </c>
    </row>
    <row r="1947" spans="1:7" ht="15" hidden="1" customHeight="1" x14ac:dyDescent="0.3">
      <c r="A1947" t="s">
        <v>172</v>
      </c>
      <c r="B1947" s="2">
        <v>45292</v>
      </c>
      <c r="C1947" s="52">
        <v>13218.014999999999</v>
      </c>
      <c r="D1947" s="48">
        <f>_xlfn.XLOOKUP(expected_production[[#This Row],[Site Name]],Table1[[Site Name ]],Table1[Commisioned Date],"")</f>
        <v>44159</v>
      </c>
      <c r="E1947" s="47">
        <f>IF(ISNUMBER(expected_production[[#This Row],[Commissioned Date]]),MAX(0,(expected_production[[#This Row],[Date]]-expected_production[[#This Row],[Commissioned Date]])/365.25),"")</f>
        <v>3.1019849418206706</v>
      </c>
      <c r="F1947" s="49">
        <f>IF(expected_production[[#This Row],[Age (yrs)]]="",1,(1-DegradationRate)^expected_production[[#This Row],[Age (yrs)]])</f>
        <v>0.97844544269908706</v>
      </c>
      <c r="G1947" s="52">
        <f>IF(expected_production[[#This Row],[Base Expected (kWh)]]="","",expected_production[[#This Row],[Base Expected (kWh)]]*expected_production[[#This Row],[Degradation Factor]])</f>
        <v>12933.106538278173</v>
      </c>
    </row>
    <row r="1948" spans="1:7" ht="15" hidden="1" customHeight="1" x14ac:dyDescent="0.3">
      <c r="A1948" t="s">
        <v>172</v>
      </c>
      <c r="B1948" s="2">
        <v>45323</v>
      </c>
      <c r="C1948" s="52">
        <v>10966.135</v>
      </c>
      <c r="D1948" s="48">
        <f>_xlfn.XLOOKUP(expected_production[[#This Row],[Site Name]],Table1[[Site Name ]],Table1[Commisioned Date],"")</f>
        <v>44159</v>
      </c>
      <c r="E1948" s="47">
        <f>IF(ISNUMBER(expected_production[[#This Row],[Commissioned Date]]),MAX(0,(expected_production[[#This Row],[Date]]-expected_production[[#This Row],[Commissioned Date]])/365.25),"")</f>
        <v>3.1868583162217661</v>
      </c>
      <c r="F1948" s="49">
        <f>IF(expected_production[[#This Row],[Age (yrs)]]="",1,(1-DegradationRate)^expected_production[[#This Row],[Age (yrs)]])</f>
        <v>0.97786226467581649</v>
      </c>
      <c r="G1948" s="52">
        <f>IF(expected_production[[#This Row],[Base Expected (kWh)]]="","",expected_production[[#This Row],[Base Expected (kWh)]]*expected_production[[#This Row],[Degradation Factor]])</f>
        <v>10723.369605840735</v>
      </c>
    </row>
    <row r="1949" spans="1:7" ht="15" hidden="1" customHeight="1" x14ac:dyDescent="0.3">
      <c r="A1949" t="s">
        <v>172</v>
      </c>
      <c r="B1949" s="2">
        <v>45352</v>
      </c>
      <c r="C1949" s="52">
        <v>11441.135</v>
      </c>
      <c r="D1949" s="48">
        <f>_xlfn.XLOOKUP(expected_production[[#This Row],[Site Name]],Table1[[Site Name ]],Table1[Commisioned Date],"")</f>
        <v>44159</v>
      </c>
      <c r="E1949" s="47">
        <f>IF(ISNUMBER(expected_production[[#This Row],[Commissioned Date]]),MAX(0,(expected_production[[#This Row],[Date]]-expected_production[[#This Row],[Commissioned Date]])/365.25),"")</f>
        <v>3.2662559890485969</v>
      </c>
      <c r="F1949" s="49">
        <f>IF(expected_production[[#This Row],[Age (yrs)]]="",1,(1-DegradationRate)^expected_production[[#This Row],[Age (yrs)]])</f>
        <v>0.97731702571967682</v>
      </c>
      <c r="G1949" s="52">
        <f>IF(expected_production[[#This Row],[Base Expected (kWh)]]="","",expected_production[[#This Row],[Base Expected (kWh)]]*expected_production[[#This Row],[Degradation Factor]])</f>
        <v>11181.616029057295</v>
      </c>
    </row>
    <row r="1950" spans="1:7" ht="15" hidden="1" customHeight="1" x14ac:dyDescent="0.3">
      <c r="A1950" t="s">
        <v>172</v>
      </c>
      <c r="B1950" s="2">
        <v>45383</v>
      </c>
      <c r="C1950" s="52">
        <v>10004.07</v>
      </c>
      <c r="D1950" s="48">
        <f>_xlfn.XLOOKUP(expected_production[[#This Row],[Site Name]],Table1[[Site Name ]],Table1[Commisioned Date],"")</f>
        <v>44159</v>
      </c>
      <c r="E1950" s="47">
        <f>IF(ISNUMBER(expected_production[[#This Row],[Commissioned Date]]),MAX(0,(expected_production[[#This Row],[Date]]-expected_production[[#This Row],[Commissioned Date]])/365.25),"")</f>
        <v>3.3511293634496919</v>
      </c>
      <c r="F1950" s="49">
        <f>IF(expected_production[[#This Row],[Age (yrs)]]="",1,(1-DegradationRate)^expected_production[[#This Row],[Age (yrs)]])</f>
        <v>0.97673452026122665</v>
      </c>
      <c r="G1950" s="52">
        <f>IF(expected_production[[#This Row],[Base Expected (kWh)]]="","",expected_production[[#This Row],[Base Expected (kWh)]]*expected_production[[#This Row],[Degradation Factor]])</f>
        <v>9771.320512109729</v>
      </c>
    </row>
    <row r="1951" spans="1:7" ht="15" hidden="1" customHeight="1" x14ac:dyDescent="0.3">
      <c r="A1951" t="s">
        <v>172</v>
      </c>
      <c r="B1951" s="2">
        <v>45413</v>
      </c>
      <c r="C1951" s="52">
        <v>8979.59</v>
      </c>
      <c r="D1951" s="48">
        <f>_xlfn.XLOOKUP(expected_production[[#This Row],[Site Name]],Table1[[Site Name ]],Table1[Commisioned Date],"")</f>
        <v>44159</v>
      </c>
      <c r="E1951" s="47">
        <f>IF(ISNUMBER(expected_production[[#This Row],[Commissioned Date]]),MAX(0,(expected_production[[#This Row],[Date]]-expected_production[[#This Row],[Commissioned Date]])/365.25),"")</f>
        <v>3.4332648870636548</v>
      </c>
      <c r="F1951" s="49">
        <f>IF(expected_production[[#This Row],[Age (yrs)]]="",1,(1-DegradationRate)^expected_production[[#This Row],[Age (yrs)]])</f>
        <v>0.9761711358726437</v>
      </c>
      <c r="G1951" s="52">
        <f>IF(expected_production[[#This Row],[Base Expected (kWh)]]="","",expected_production[[#This Row],[Base Expected (kWh)]]*expected_production[[#This Row],[Degradation Factor]])</f>
        <v>8765.6165699706326</v>
      </c>
    </row>
    <row r="1952" spans="1:7" ht="15" hidden="1" customHeight="1" x14ac:dyDescent="0.3">
      <c r="A1952" t="s">
        <v>172</v>
      </c>
      <c r="B1952" s="2">
        <v>45444</v>
      </c>
      <c r="C1952" s="52">
        <v>7800.26</v>
      </c>
      <c r="D1952" s="48">
        <f>_xlfn.XLOOKUP(expected_production[[#This Row],[Site Name]],Table1[[Site Name ]],Table1[Commisioned Date],"")</f>
        <v>44159</v>
      </c>
      <c r="E1952" s="47">
        <f>IF(ISNUMBER(expected_production[[#This Row],[Commissioned Date]]),MAX(0,(expected_production[[#This Row],[Date]]-expected_production[[#This Row],[Commissioned Date]])/365.25),"")</f>
        <v>3.5181382614647503</v>
      </c>
      <c r="F1952" s="49">
        <f>IF(expected_production[[#This Row],[Age (yrs)]]="",1,(1-DegradationRate)^expected_production[[#This Row],[Age (yrs)]])</f>
        <v>0.97558931339328137</v>
      </c>
      <c r="G1952" s="52">
        <f>IF(expected_production[[#This Row],[Base Expected (kWh)]]="","",expected_production[[#This Row],[Base Expected (kWh)]]*expected_production[[#This Row],[Degradation Factor]])</f>
        <v>7609.8502976890768</v>
      </c>
    </row>
    <row r="1953" spans="1:7" ht="15" hidden="1" customHeight="1" x14ac:dyDescent="0.3">
      <c r="A1953" t="s">
        <v>172</v>
      </c>
      <c r="B1953" s="2">
        <v>45474</v>
      </c>
      <c r="C1953" s="52">
        <v>8635.69</v>
      </c>
      <c r="D1953" s="48">
        <f>_xlfn.XLOOKUP(expected_production[[#This Row],[Site Name]],Table1[[Site Name ]],Table1[Commisioned Date],"")</f>
        <v>44159</v>
      </c>
      <c r="E1953" s="47">
        <f>IF(ISNUMBER(expected_production[[#This Row],[Commissioned Date]]),MAX(0,(expected_production[[#This Row],[Date]]-expected_production[[#This Row],[Commissioned Date]])/365.25),"")</f>
        <v>3.6002737850787132</v>
      </c>
      <c r="F1953" s="49">
        <f>IF(expected_production[[#This Row],[Age (yrs)]]="",1,(1-DegradationRate)^expected_production[[#This Row],[Age (yrs)]])</f>
        <v>0.97502658956461274</v>
      </c>
      <c r="G1953" s="52">
        <f>IF(expected_production[[#This Row],[Base Expected (kWh)]]="","",expected_production[[#This Row],[Base Expected (kWh)]]*expected_production[[#This Row],[Degradation Factor]])</f>
        <v>8420.0273692372302</v>
      </c>
    </row>
    <row r="1954" spans="1:7" ht="15" hidden="1" customHeight="1" x14ac:dyDescent="0.3">
      <c r="A1954" t="s">
        <v>172</v>
      </c>
      <c r="B1954" s="2">
        <v>45505</v>
      </c>
      <c r="C1954" s="52">
        <v>9829.9349999999995</v>
      </c>
      <c r="D1954" s="48">
        <f>_xlfn.XLOOKUP(expected_production[[#This Row],[Site Name]],Table1[[Site Name ]],Table1[Commisioned Date],"")</f>
        <v>44159</v>
      </c>
      <c r="E1954" s="47">
        <f>IF(ISNUMBER(expected_production[[#This Row],[Commissioned Date]]),MAX(0,(expected_production[[#This Row],[Date]]-expected_production[[#This Row],[Commissioned Date]])/365.25),"")</f>
        <v>3.6851471594798082</v>
      </c>
      <c r="F1954" s="49">
        <f>IF(expected_production[[#This Row],[Age (yrs)]]="",1,(1-DegradationRate)^expected_production[[#This Row],[Age (yrs)]])</f>
        <v>0.97444544926355525</v>
      </c>
      <c r="G1954" s="52">
        <f>IF(expected_production[[#This Row],[Base Expected (kWh)]]="","",expected_production[[#This Row],[Base Expected (kWh)]]*expected_production[[#This Row],[Degradation Factor]])</f>
        <v>9578.7354273065448</v>
      </c>
    </row>
    <row r="1955" spans="1:7" ht="15" hidden="1" customHeight="1" x14ac:dyDescent="0.3">
      <c r="A1955" t="s">
        <v>172</v>
      </c>
      <c r="B1955" s="2">
        <v>45536</v>
      </c>
      <c r="C1955" s="52">
        <v>10568.94</v>
      </c>
      <c r="D1955" s="48">
        <f>_xlfn.XLOOKUP(expected_production[[#This Row],[Site Name]],Table1[[Site Name ]],Table1[Commisioned Date],"")</f>
        <v>44159</v>
      </c>
      <c r="E1955" s="47">
        <f>IF(ISNUMBER(expected_production[[#This Row],[Commissioned Date]]),MAX(0,(expected_production[[#This Row],[Date]]-expected_production[[#This Row],[Commissioned Date]])/365.25),"")</f>
        <v>3.7700205338809036</v>
      </c>
      <c r="F1955" s="49">
        <f>IF(expected_production[[#This Row],[Age (yrs)]]="",1,(1-DegradationRate)^expected_production[[#This Row],[Age (yrs)]])</f>
        <v>0.97386465533669209</v>
      </c>
      <c r="G1955" s="52">
        <f>IF(expected_production[[#This Row],[Base Expected (kWh)]]="","",expected_production[[#This Row],[Base Expected (kWh)]]*expected_production[[#This Row],[Degradation Factor]])</f>
        <v>10292.717110374178</v>
      </c>
    </row>
    <row r="1956" spans="1:7" ht="15" hidden="1" customHeight="1" x14ac:dyDescent="0.3">
      <c r="A1956" t="s">
        <v>172</v>
      </c>
      <c r="B1956" s="2">
        <v>45566</v>
      </c>
      <c r="C1956" s="52">
        <v>11606.34</v>
      </c>
      <c r="D1956" s="48">
        <f>_xlfn.XLOOKUP(expected_production[[#This Row],[Site Name]],Table1[[Site Name ]],Table1[Commisioned Date],"")</f>
        <v>44159</v>
      </c>
      <c r="E1956" s="47">
        <f>IF(ISNUMBER(expected_production[[#This Row],[Commissioned Date]]),MAX(0,(expected_production[[#This Row],[Date]]-expected_production[[#This Row],[Commissioned Date]])/365.25),"")</f>
        <v>3.8521560574948666</v>
      </c>
      <c r="F1956" s="49">
        <f>IF(expected_production[[#This Row],[Age (yrs)]]="",1,(1-DegradationRate)^expected_production[[#This Row],[Age (yrs)]])</f>
        <v>0.97330292629770754</v>
      </c>
      <c r="G1956" s="52">
        <f>IF(expected_production[[#This Row],[Base Expected (kWh)]]="","",expected_production[[#This Row],[Base Expected (kWh)]]*expected_production[[#This Row],[Degradation Factor]])</f>
        <v>11296.484685606136</v>
      </c>
    </row>
    <row r="1957" spans="1:7" ht="15" hidden="1" customHeight="1" x14ac:dyDescent="0.3">
      <c r="A1957" t="s">
        <v>172</v>
      </c>
      <c r="B1957" s="2">
        <v>45597</v>
      </c>
      <c r="C1957" s="52">
        <v>12483.285</v>
      </c>
      <c r="D1957" s="48">
        <f>_xlfn.XLOOKUP(expected_production[[#This Row],[Site Name]],Table1[[Site Name ]],Table1[Commisioned Date],"")</f>
        <v>44159</v>
      </c>
      <c r="E1957" s="47">
        <f>IF(ISNUMBER(expected_production[[#This Row],[Commissioned Date]]),MAX(0,(expected_production[[#This Row],[Date]]-expected_production[[#This Row],[Commissioned Date]])/365.25),"")</f>
        <v>3.9370294318959616</v>
      </c>
      <c r="F1957" s="49">
        <f>IF(expected_production[[#This Row],[Age (yrs)]]="",1,(1-DegradationRate)^expected_production[[#This Row],[Age (yrs)]])</f>
        <v>0.97272281334318655</v>
      </c>
      <c r="G1957" s="52">
        <f>IF(expected_production[[#This Row],[Base Expected (kWh)]]="","",expected_production[[#This Row],[Base Expected (kWh)]]*expected_production[[#This Row],[Degradation Factor]])</f>
        <v>12142.7761049648</v>
      </c>
    </row>
    <row r="1958" spans="1:7" ht="15" hidden="1" customHeight="1" x14ac:dyDescent="0.3">
      <c r="A1958" t="s">
        <v>172</v>
      </c>
      <c r="B1958" s="2">
        <v>45627</v>
      </c>
      <c r="C1958" s="52">
        <v>13393.575000000001</v>
      </c>
      <c r="D1958" s="48">
        <f>_xlfn.XLOOKUP(expected_production[[#This Row],[Site Name]],Table1[[Site Name ]],Table1[Commisioned Date],"")</f>
        <v>44159</v>
      </c>
      <c r="E1958" s="47">
        <f>IF(ISNUMBER(expected_production[[#This Row],[Commissioned Date]]),MAX(0,(expected_production[[#This Row],[Date]]-expected_production[[#This Row],[Commissioned Date]])/365.25),"")</f>
        <v>4.0191649555099245</v>
      </c>
      <c r="F1958" s="49">
        <f>IF(expected_production[[#This Row],[Age (yrs)]]="",1,(1-DegradationRate)^expected_production[[#This Row],[Age (yrs)]])</f>
        <v>0.9721617429232432</v>
      </c>
      <c r="G1958" s="52">
        <f>IF(expected_production[[#This Row],[Base Expected (kWh)]]="","",expected_production[[#This Row],[Base Expected (kWh)]]*expected_production[[#This Row],[Degradation Factor]])</f>
        <v>13020.721215973177</v>
      </c>
    </row>
    <row r="1959" spans="1:7" ht="15" hidden="1" customHeight="1" x14ac:dyDescent="0.3">
      <c r="A1959" t="s">
        <v>172</v>
      </c>
      <c r="B1959" s="2">
        <v>45658</v>
      </c>
      <c r="C1959" s="52">
        <v>13218.014999999999</v>
      </c>
      <c r="D1959" s="48">
        <f>_xlfn.XLOOKUP(expected_production[[#This Row],[Site Name]],Table1[[Site Name ]],Table1[Commisioned Date],"")</f>
        <v>44159</v>
      </c>
      <c r="E1959" s="47">
        <f>IF(ISNUMBER(expected_production[[#This Row],[Commissioned Date]]),MAX(0,(expected_production[[#This Row],[Date]]-expected_production[[#This Row],[Commissioned Date]])/365.25),"")</f>
        <v>4.1040383299110195</v>
      </c>
      <c r="F1959" s="49">
        <f>IF(expected_production[[#This Row],[Age (yrs)]]="",1,(1-DegradationRate)^expected_production[[#This Row],[Age (yrs)]])</f>
        <v>0.9715823101426343</v>
      </c>
      <c r="G1959" s="52">
        <f>IF(expected_production[[#This Row],[Base Expected (kWh)]]="","",expected_production[[#This Row],[Base Expected (kWh)]]*expected_production[[#This Row],[Degradation Factor]])</f>
        <v>12842.389549199992</v>
      </c>
    </row>
    <row r="1960" spans="1:7" ht="15" hidden="1" customHeight="1" x14ac:dyDescent="0.3">
      <c r="A1960" t="s">
        <v>172</v>
      </c>
      <c r="B1960" s="2">
        <v>45689</v>
      </c>
      <c r="C1960" s="52">
        <v>10966.135</v>
      </c>
      <c r="D1960" s="48">
        <f>_xlfn.XLOOKUP(expected_production[[#This Row],[Site Name]],Table1[[Site Name ]],Table1[Commisioned Date],"")</f>
        <v>44159</v>
      </c>
      <c r="E1960" s="47">
        <f>IF(ISNUMBER(expected_production[[#This Row],[Commissioned Date]]),MAX(0,(expected_production[[#This Row],[Date]]-expected_production[[#This Row],[Commissioned Date]])/365.25),"")</f>
        <v>4.1889117043121153</v>
      </c>
      <c r="F1960" s="49">
        <f>IF(expected_production[[#This Row],[Age (yrs)]]="",1,(1-DegradationRate)^expected_production[[#This Row],[Age (yrs)]])</f>
        <v>0.97100322271849482</v>
      </c>
      <c r="G1960" s="52">
        <f>IF(expected_production[[#This Row],[Base Expected (kWh)]]="","",expected_production[[#This Row],[Base Expected (kWh)]]*expected_production[[#This Row],[Degradation Factor]])</f>
        <v>10648.152425766082</v>
      </c>
    </row>
    <row r="1961" spans="1:7" ht="15" hidden="1" customHeight="1" x14ac:dyDescent="0.3">
      <c r="A1961" t="s">
        <v>172</v>
      </c>
      <c r="B1961" s="2">
        <v>45717</v>
      </c>
      <c r="C1961" s="52">
        <v>11441.135</v>
      </c>
      <c r="D1961" s="48">
        <f>_xlfn.XLOOKUP(expected_production[[#This Row],[Site Name]],Table1[[Site Name ]],Table1[Commisioned Date],"")</f>
        <v>44159</v>
      </c>
      <c r="E1961" s="47">
        <f>IF(ISNUMBER(expected_production[[#This Row],[Commissioned Date]]),MAX(0,(expected_production[[#This Row],[Date]]-expected_production[[#This Row],[Commissioned Date]])/365.25),"")</f>
        <v>4.2655715263518141</v>
      </c>
      <c r="F1961" s="49">
        <f>IF(expected_production[[#This Row],[Age (yrs)]]="",1,(1-DegradationRate)^expected_production[[#This Row],[Age (yrs)]])</f>
        <v>0.97048047268285298</v>
      </c>
      <c r="G1961" s="52">
        <f>IF(expected_production[[#This Row],[Base Expected (kWh)]]="","",expected_production[[#This Row],[Base Expected (kWh)]]*expected_production[[#This Row],[Degradation Factor]])</f>
        <v>11103.398102828334</v>
      </c>
    </row>
    <row r="1962" spans="1:7" ht="15" hidden="1" customHeight="1" x14ac:dyDescent="0.3">
      <c r="A1962" t="s">
        <v>172</v>
      </c>
      <c r="B1962" s="2">
        <v>45748</v>
      </c>
      <c r="C1962" s="52">
        <v>10004.07</v>
      </c>
      <c r="D1962" s="48">
        <f>_xlfn.XLOOKUP(expected_production[[#This Row],[Site Name]],Table1[[Site Name ]],Table1[Commisioned Date],"")</f>
        <v>44159</v>
      </c>
      <c r="E1962" s="47">
        <f>IF(ISNUMBER(expected_production[[#This Row],[Commissioned Date]]),MAX(0,(expected_production[[#This Row],[Date]]-expected_production[[#This Row],[Commissioned Date]])/365.25),"")</f>
        <v>4.3504449007529091</v>
      </c>
      <c r="F1962" s="49">
        <f>IF(expected_production[[#This Row],[Age (yrs)]]="",1,(1-DegradationRate)^expected_production[[#This Row],[Age (yrs)]])</f>
        <v>0.96990204198147356</v>
      </c>
      <c r="G1962" s="52">
        <f>IF(expected_production[[#This Row],[Base Expected (kWh)]]="","",expected_production[[#This Row],[Base Expected (kWh)]]*expected_production[[#This Row],[Degradation Factor]])</f>
        <v>9702.9679211256007</v>
      </c>
    </row>
    <row r="1963" spans="1:7" ht="15" hidden="1" customHeight="1" x14ac:dyDescent="0.3">
      <c r="A1963" t="s">
        <v>172</v>
      </c>
      <c r="B1963" s="2">
        <v>45778</v>
      </c>
      <c r="C1963" s="52">
        <v>8979.59</v>
      </c>
      <c r="D1963" s="48">
        <f>_xlfn.XLOOKUP(expected_production[[#This Row],[Site Name]],Table1[[Site Name ]],Table1[Commisioned Date],"")</f>
        <v>44159</v>
      </c>
      <c r="E1963" s="47">
        <f>IF(ISNUMBER(expected_production[[#This Row],[Commissioned Date]]),MAX(0,(expected_production[[#This Row],[Date]]-expected_production[[#This Row],[Commissioned Date]])/365.25),"")</f>
        <v>4.4325804243668721</v>
      </c>
      <c r="F1963" s="49">
        <f>IF(expected_production[[#This Row],[Age (yrs)]]="",1,(1-DegradationRate)^expected_production[[#This Row],[Age (yrs)]])</f>
        <v>0.96934259859376481</v>
      </c>
      <c r="G1963" s="52">
        <f>IF(expected_production[[#This Row],[Base Expected (kWh)]]="","",expected_production[[#This Row],[Base Expected (kWh)]]*expected_production[[#This Row],[Degradation Factor]])</f>
        <v>8704.299104906584</v>
      </c>
    </row>
    <row r="1964" spans="1:7" ht="15" hidden="1" customHeight="1" x14ac:dyDescent="0.3">
      <c r="A1964" t="s">
        <v>172</v>
      </c>
      <c r="B1964" s="2">
        <v>45809</v>
      </c>
      <c r="C1964" s="52">
        <v>7800.26</v>
      </c>
      <c r="D1964" s="48">
        <f>_xlfn.XLOOKUP(expected_production[[#This Row],[Site Name]],Table1[[Site Name ]],Table1[Commisioned Date],"")</f>
        <v>44159</v>
      </c>
      <c r="E1964" s="47">
        <f>IF(ISNUMBER(expected_production[[#This Row],[Commissioned Date]]),MAX(0,(expected_production[[#This Row],[Date]]-expected_production[[#This Row],[Commissioned Date]])/365.25),"")</f>
        <v>4.517453798767967</v>
      </c>
      <c r="F1964" s="49">
        <f>IF(expected_production[[#This Row],[Age (yrs)]]="",1,(1-DegradationRate)^expected_production[[#This Row],[Age (yrs)]])</f>
        <v>0.96876484609388036</v>
      </c>
      <c r="G1964" s="52">
        <f>IF(expected_production[[#This Row],[Base Expected (kWh)]]="","",expected_production[[#This Row],[Base Expected (kWh)]]*expected_production[[#This Row],[Degradation Factor]])</f>
        <v>7556.617678392251</v>
      </c>
    </row>
    <row r="1965" spans="1:7" ht="15" hidden="1" customHeight="1" x14ac:dyDescent="0.3">
      <c r="A1965" t="s">
        <v>172</v>
      </c>
      <c r="B1965" s="2">
        <v>45839</v>
      </c>
      <c r="C1965" s="52">
        <v>8635.69</v>
      </c>
      <c r="D1965" s="48">
        <f>_xlfn.XLOOKUP(expected_production[[#This Row],[Site Name]],Table1[[Site Name ]],Table1[Commisioned Date],"")</f>
        <v>44159</v>
      </c>
      <c r="E1965" s="47">
        <f>IF(ISNUMBER(expected_production[[#This Row],[Commissioned Date]]),MAX(0,(expected_production[[#This Row],[Date]]-expected_production[[#This Row],[Commissioned Date]])/365.25),"")</f>
        <v>4.59958932238193</v>
      </c>
      <c r="F1965" s="49">
        <f>IF(expected_production[[#This Row],[Age (yrs)]]="",1,(1-DegradationRate)^expected_production[[#This Row],[Age (yrs)]])</f>
        <v>0.96820605864532039</v>
      </c>
      <c r="G1965" s="52">
        <f>IF(expected_production[[#This Row],[Base Expected (kWh)]]="","",expected_production[[#This Row],[Base Expected (kWh)]]*expected_production[[#This Row],[Degradation Factor]])</f>
        <v>8361.1273785828071</v>
      </c>
    </row>
    <row r="1966" spans="1:7" ht="15" hidden="1" customHeight="1" x14ac:dyDescent="0.3">
      <c r="A1966" t="s">
        <v>172</v>
      </c>
      <c r="B1966" s="2">
        <v>45870</v>
      </c>
      <c r="C1966" s="52">
        <v>9829.9349999999995</v>
      </c>
      <c r="D1966" s="48">
        <f>_xlfn.XLOOKUP(expected_production[[#This Row],[Site Name]],Table1[[Site Name ]],Table1[Commisioned Date],"")</f>
        <v>44159</v>
      </c>
      <c r="E1966" s="47">
        <f>IF(ISNUMBER(expected_production[[#This Row],[Commissioned Date]]),MAX(0,(expected_production[[#This Row],[Date]]-expected_production[[#This Row],[Commissioned Date]])/365.25),"")</f>
        <v>4.684462696783025</v>
      </c>
      <c r="F1966" s="49">
        <f>IF(expected_production[[#This Row],[Age (yrs)]]="",1,(1-DegradationRate)^expected_production[[#This Row],[Age (yrs)]])</f>
        <v>0.96762898355174964</v>
      </c>
      <c r="G1966" s="52">
        <f>IF(expected_production[[#This Row],[Base Expected (kWh)]]="","",expected_production[[#This Row],[Base Expected (kWh)]]*expected_production[[#This Row],[Degradation Factor]])</f>
        <v>9511.7300124297672</v>
      </c>
    </row>
    <row r="1967" spans="1:7" ht="15" hidden="1" customHeight="1" x14ac:dyDescent="0.3">
      <c r="A1967" t="s">
        <v>172</v>
      </c>
      <c r="B1967" s="2">
        <v>45901</v>
      </c>
      <c r="C1967" s="52">
        <v>10568.94</v>
      </c>
      <c r="D1967" s="48">
        <f>_xlfn.XLOOKUP(expected_production[[#This Row],[Site Name]],Table1[[Site Name ]],Table1[Commisioned Date],"")</f>
        <v>44159</v>
      </c>
      <c r="E1967" s="47">
        <f>IF(ISNUMBER(expected_production[[#This Row],[Commissioned Date]]),MAX(0,(expected_production[[#This Row],[Date]]-expected_production[[#This Row],[Commissioned Date]])/365.25),"")</f>
        <v>4.7693360711841208</v>
      </c>
      <c r="F1967" s="49">
        <f>IF(expected_production[[#This Row],[Age (yrs)]]="",1,(1-DegradationRate)^expected_production[[#This Row],[Age (yrs)]])</f>
        <v>0.96705225240940784</v>
      </c>
      <c r="G1967" s="52">
        <f>IF(expected_production[[#This Row],[Base Expected (kWh)]]="","",expected_production[[#This Row],[Base Expected (kWh)]]*expected_production[[#This Row],[Degradation Factor]])</f>
        <v>10220.717232579887</v>
      </c>
    </row>
    <row r="1968" spans="1:7" ht="15" hidden="1" customHeight="1" x14ac:dyDescent="0.3">
      <c r="A1968" t="s">
        <v>172</v>
      </c>
      <c r="B1968" s="2">
        <v>45931</v>
      </c>
      <c r="C1968" s="52">
        <v>11606.34</v>
      </c>
      <c r="D1968" s="48">
        <f>_xlfn.XLOOKUP(expected_production[[#This Row],[Site Name]],Table1[[Site Name ]],Table1[Commisioned Date],"")</f>
        <v>44159</v>
      </c>
      <c r="E1968" s="47">
        <f>IF(ISNUMBER(expected_production[[#This Row],[Commissioned Date]]),MAX(0,(expected_production[[#This Row],[Date]]-expected_production[[#This Row],[Commissioned Date]])/365.25),"")</f>
        <v>4.8514715947980838</v>
      </c>
      <c r="F1968" s="49">
        <f>IF(expected_production[[#This Row],[Age (yrs)]]="",1,(1-DegradationRate)^expected_production[[#This Row],[Age (yrs)]])</f>
        <v>0.9664944527917535</v>
      </c>
      <c r="G1968" s="52">
        <f>IF(expected_production[[#This Row],[Base Expected (kWh)]]="","",expected_production[[#This Row],[Base Expected (kWh)]]*expected_production[[#This Row],[Degradation Factor]])</f>
        <v>11217.463227215041</v>
      </c>
    </row>
    <row r="1969" spans="1:7" ht="15" hidden="1" customHeight="1" x14ac:dyDescent="0.3">
      <c r="A1969" t="s">
        <v>172</v>
      </c>
      <c r="B1969" s="2">
        <v>45962</v>
      </c>
      <c r="C1969" s="52">
        <v>12483.285</v>
      </c>
      <c r="D1969" s="48">
        <f>_xlfn.XLOOKUP(expected_production[[#This Row],[Site Name]],Table1[[Site Name ]],Table1[Commisioned Date],"")</f>
        <v>44159</v>
      </c>
      <c r="E1969" s="47">
        <f>IF(ISNUMBER(expected_production[[#This Row],[Commissioned Date]]),MAX(0,(expected_production[[#This Row],[Date]]-expected_production[[#This Row],[Commissioned Date]])/365.25),"")</f>
        <v>4.9363449691991788</v>
      </c>
      <c r="F1969" s="49">
        <f>IF(expected_production[[#This Row],[Age (yrs)]]="",1,(1-DegradationRate)^expected_production[[#This Row],[Age (yrs)]])</f>
        <v>0.96591839785819866</v>
      </c>
      <c r="G1969" s="52">
        <f>IF(expected_production[[#This Row],[Base Expected (kWh)]]="","",expected_production[[#This Row],[Base Expected (kWh)]]*expected_production[[#This Row],[Degradation Factor]])</f>
        <v>12057.834647207283</v>
      </c>
    </row>
    <row r="1970" spans="1:7" ht="15" hidden="1" customHeight="1" x14ac:dyDescent="0.3">
      <c r="A1970" t="s">
        <v>172</v>
      </c>
      <c r="B1970" s="2">
        <v>45992</v>
      </c>
      <c r="C1970" s="52">
        <v>13393.575000000001</v>
      </c>
      <c r="D1970" s="48">
        <f>_xlfn.XLOOKUP(expected_production[[#This Row],[Site Name]],Table1[[Site Name ]],Table1[Commisioned Date],"")</f>
        <v>44159</v>
      </c>
      <c r="E1970" s="47">
        <f>IF(ISNUMBER(expected_production[[#This Row],[Commissioned Date]]),MAX(0,(expected_production[[#This Row],[Date]]-expected_production[[#This Row],[Commissioned Date]])/365.25),"")</f>
        <v>5.0184804928131417</v>
      </c>
      <c r="F1970" s="49">
        <f>IF(expected_production[[#This Row],[Age (yrs)]]="",1,(1-DegradationRate)^expected_production[[#This Row],[Age (yrs)]])</f>
        <v>0.965361252252397</v>
      </c>
      <c r="G1970" s="52">
        <f>IF(expected_production[[#This Row],[Base Expected (kWh)]]="","",expected_production[[#This Row],[Base Expected (kWh)]]*expected_production[[#This Row],[Degradation Factor]])</f>
        <v>12929.638334136398</v>
      </c>
    </row>
    <row r="1971" spans="1:7" ht="15" hidden="1" customHeight="1" x14ac:dyDescent="0.3">
      <c r="A1971" t="s">
        <v>172</v>
      </c>
      <c r="B1971" s="2">
        <v>46023</v>
      </c>
      <c r="C1971" s="52">
        <v>13218.014999999999</v>
      </c>
      <c r="D1971" s="48">
        <f>_xlfn.XLOOKUP(expected_production[[#This Row],[Site Name]],Table1[[Site Name ]],Table1[Commisioned Date],"")</f>
        <v>44159</v>
      </c>
      <c r="E1971" s="47">
        <f>IF(ISNUMBER(expected_production[[#This Row],[Commissioned Date]]),MAX(0,(expected_production[[#This Row],[Date]]-expected_production[[#This Row],[Commissioned Date]])/365.25),"")</f>
        <v>5.1033538672142367</v>
      </c>
      <c r="F1971" s="49">
        <f>IF(expected_production[[#This Row],[Age (yrs)]]="",1,(1-DegradationRate)^expected_production[[#This Row],[Age (yrs)]])</f>
        <v>0.96478587273478422</v>
      </c>
      <c r="G1971" s="52">
        <f>IF(expected_production[[#This Row],[Base Expected (kWh)]]="","",expected_production[[#This Row],[Base Expected (kWh)]]*expected_production[[#This Row],[Degradation Factor]])</f>
        <v>12752.554137596468</v>
      </c>
    </row>
    <row r="1972" spans="1:7" ht="15" hidden="1" customHeight="1" x14ac:dyDescent="0.3">
      <c r="A1972" t="s">
        <v>172</v>
      </c>
      <c r="B1972" s="2">
        <v>46054</v>
      </c>
      <c r="C1972" s="52">
        <v>10966.135</v>
      </c>
      <c r="D1972" s="48">
        <f>_xlfn.XLOOKUP(expected_production[[#This Row],[Site Name]],Table1[[Site Name ]],Table1[Commisioned Date],"")</f>
        <v>44159</v>
      </c>
      <c r="E1972" s="47">
        <f>IF(ISNUMBER(expected_production[[#This Row],[Commissioned Date]]),MAX(0,(expected_production[[#This Row],[Date]]-expected_production[[#This Row],[Commissioned Date]])/365.25),"")</f>
        <v>5.1882272416153317</v>
      </c>
      <c r="F1972" s="49">
        <f>IF(expected_production[[#This Row],[Age (yrs)]]="",1,(1-DegradationRate)^expected_production[[#This Row],[Age (yrs)]])</f>
        <v>0.96421083615779457</v>
      </c>
      <c r="G1972" s="52">
        <f>IF(expected_production[[#This Row],[Base Expected (kWh)]]="","",expected_production[[#This Row],[Base Expected (kWh)]]*expected_production[[#This Row],[Degradation Factor]])</f>
        <v>10573.666197769257</v>
      </c>
    </row>
    <row r="1973" spans="1:7" ht="15" hidden="1" customHeight="1" x14ac:dyDescent="0.3">
      <c r="A1973" t="s">
        <v>172</v>
      </c>
      <c r="B1973" s="2">
        <v>46082</v>
      </c>
      <c r="C1973" s="52">
        <v>11441.135</v>
      </c>
      <c r="D1973" s="48">
        <f>_xlfn.XLOOKUP(expected_production[[#This Row],[Site Name]],Table1[[Site Name ]],Table1[Commisioned Date],"")</f>
        <v>44159</v>
      </c>
      <c r="E1973" s="47">
        <f>IF(ISNUMBER(expected_production[[#This Row],[Commissioned Date]]),MAX(0,(expected_production[[#This Row],[Date]]-expected_production[[#This Row],[Commissioned Date]])/365.25),"")</f>
        <v>5.2648870636550305</v>
      </c>
      <c r="F1973" s="49">
        <f>IF(expected_production[[#This Row],[Age (yrs)]]="",1,(1-DegradationRate)^expected_production[[#This Row],[Age (yrs)]])</f>
        <v>0.96369174287656267</v>
      </c>
      <c r="G1973" s="52">
        <f>IF(expected_production[[#This Row],[Base Expected (kWh)]]="","",expected_production[[#This Row],[Base Expected (kWh)]]*expected_production[[#This Row],[Degradation Factor]])</f>
        <v>11025.727328636041</v>
      </c>
    </row>
    <row r="1974" spans="1:7" ht="15" hidden="1" customHeight="1" x14ac:dyDescent="0.3">
      <c r="A1974" t="s">
        <v>172</v>
      </c>
      <c r="B1974" s="2">
        <v>46113</v>
      </c>
      <c r="C1974" s="52">
        <v>10004.07</v>
      </c>
      <c r="D1974" s="48">
        <f>_xlfn.XLOOKUP(expected_production[[#This Row],[Site Name]],Table1[[Site Name ]],Table1[Commisioned Date],"")</f>
        <v>44159</v>
      </c>
      <c r="E1974" s="47">
        <f>IF(ISNUMBER(expected_production[[#This Row],[Commissioned Date]]),MAX(0,(expected_production[[#This Row],[Date]]-expected_production[[#This Row],[Commissioned Date]])/365.25),"")</f>
        <v>5.3497604380561263</v>
      </c>
      <c r="F1974" s="49">
        <f>IF(expected_production[[#This Row],[Age (yrs)]]="",1,(1-DegradationRate)^expected_production[[#This Row],[Age (yrs)]])</f>
        <v>0.96311735842840918</v>
      </c>
      <c r="G1974" s="52">
        <f>IF(expected_production[[#This Row],[Base Expected (kWh)]]="","",expected_production[[#This Row],[Base Expected (kWh)]]*expected_production[[#This Row],[Degradation Factor]])</f>
        <v>9635.0934719328943</v>
      </c>
    </row>
    <row r="1975" spans="1:7" ht="15" hidden="1" customHeight="1" x14ac:dyDescent="0.3">
      <c r="A1975" t="s">
        <v>172</v>
      </c>
      <c r="B1975" s="2">
        <v>46143</v>
      </c>
      <c r="C1975" s="52">
        <v>8979.59</v>
      </c>
      <c r="D1975" s="48">
        <f>_xlfn.XLOOKUP(expected_production[[#This Row],[Site Name]],Table1[[Site Name ]],Table1[Commisioned Date],"")</f>
        <v>44159</v>
      </c>
      <c r="E1975" s="47">
        <f>IF(ISNUMBER(expected_production[[#This Row],[Commissioned Date]]),MAX(0,(expected_production[[#This Row],[Date]]-expected_production[[#This Row],[Commissioned Date]])/365.25),"")</f>
        <v>5.4318959616700893</v>
      </c>
      <c r="F1975" s="49">
        <f>IF(expected_production[[#This Row],[Age (yrs)]]="",1,(1-DegradationRate)^expected_production[[#This Row],[Age (yrs)]])</f>
        <v>0.96256182847338445</v>
      </c>
      <c r="G1975" s="52">
        <f>IF(expected_production[[#This Row],[Base Expected (kWh)]]="","",expected_production[[#This Row],[Base Expected (kWh)]]*expected_production[[#This Row],[Degradation Factor]])</f>
        <v>8643.4105693413185</v>
      </c>
    </row>
    <row r="1976" spans="1:7" ht="15" hidden="1" customHeight="1" x14ac:dyDescent="0.3">
      <c r="A1976" t="s">
        <v>172</v>
      </c>
      <c r="B1976" s="2">
        <v>46174</v>
      </c>
      <c r="C1976" s="52">
        <v>7800.26</v>
      </c>
      <c r="D1976" s="48">
        <f>_xlfn.XLOOKUP(expected_production[[#This Row],[Site Name]],Table1[[Site Name ]],Table1[Commisioned Date],"")</f>
        <v>44159</v>
      </c>
      <c r="E1976" s="47">
        <f>IF(ISNUMBER(expected_production[[#This Row],[Commissioned Date]]),MAX(0,(expected_production[[#This Row],[Date]]-expected_production[[#This Row],[Commissioned Date]])/365.25),"")</f>
        <v>5.5167693360711842</v>
      </c>
      <c r="F1976" s="49">
        <f>IF(expected_production[[#This Row],[Age (yrs)]]="",1,(1-DegradationRate)^expected_production[[#This Row],[Age (yrs)]])</f>
        <v>0.96198811748255364</v>
      </c>
      <c r="G1976" s="52">
        <f>IF(expected_production[[#This Row],[Base Expected (kWh)]]="","",expected_production[[#This Row],[Base Expected (kWh)]]*expected_production[[#This Row],[Degradation Factor]])</f>
        <v>7503.7574332744643</v>
      </c>
    </row>
    <row r="1977" spans="1:7" ht="15" hidden="1" customHeight="1" x14ac:dyDescent="0.3">
      <c r="A1977" t="s">
        <v>172</v>
      </c>
      <c r="B1977" s="2">
        <v>46204</v>
      </c>
      <c r="C1977" s="52">
        <v>8635.69</v>
      </c>
      <c r="D1977" s="48">
        <f>_xlfn.XLOOKUP(expected_production[[#This Row],[Site Name]],Table1[[Site Name ]],Table1[Commisioned Date],"")</f>
        <v>44159</v>
      </c>
      <c r="E1977" s="47">
        <f>IF(ISNUMBER(expected_production[[#This Row],[Commissioned Date]]),MAX(0,(expected_production[[#This Row],[Date]]-expected_production[[#This Row],[Commissioned Date]])/365.25),"")</f>
        <v>5.5989048596851472</v>
      </c>
      <c r="F1977" s="49">
        <f>IF(expected_production[[#This Row],[Age (yrs)]]="",1,(1-DegradationRate)^expected_production[[#This Row],[Age (yrs)]])</f>
        <v>0.9614332388782354</v>
      </c>
      <c r="G1977" s="52">
        <f>IF(expected_production[[#This Row],[Base Expected (kWh)]]="","",expected_production[[#This Row],[Base Expected (kWh)]]*expected_production[[#This Row],[Degradation Factor]])</f>
        <v>8302.6394066483899</v>
      </c>
    </row>
    <row r="1978" spans="1:7" ht="15" hidden="1" customHeight="1" x14ac:dyDescent="0.3">
      <c r="A1978" t="s">
        <v>172</v>
      </c>
      <c r="B1978" s="2">
        <v>46235</v>
      </c>
      <c r="C1978" s="52">
        <v>9829.9349999999995</v>
      </c>
      <c r="D1978" s="48">
        <f>_xlfn.XLOOKUP(expected_production[[#This Row],[Site Name]],Table1[[Site Name ]],Table1[Commisioned Date],"")</f>
        <v>44159</v>
      </c>
      <c r="E1978" s="47">
        <f>IF(ISNUMBER(expected_production[[#This Row],[Commissioned Date]]),MAX(0,(expected_production[[#This Row],[Date]]-expected_production[[#This Row],[Commissioned Date]])/365.25),"")</f>
        <v>5.6837782340862422</v>
      </c>
      <c r="F1978" s="49">
        <f>IF(expected_production[[#This Row],[Age (yrs)]]="",1,(1-DegradationRate)^expected_production[[#This Row],[Age (yrs)]])</f>
        <v>0.96086020055510835</v>
      </c>
      <c r="G1978" s="52">
        <f>IF(expected_production[[#This Row],[Base Expected (kWh)]]="","",expected_production[[#This Row],[Base Expected (kWh)]]*expected_production[[#This Row],[Degradation Factor]])</f>
        <v>9445.1933155436782</v>
      </c>
    </row>
    <row r="1979" spans="1:7" ht="15" hidden="1" customHeight="1" x14ac:dyDescent="0.3">
      <c r="A1979" t="s">
        <v>172</v>
      </c>
      <c r="B1979" s="2">
        <v>46266</v>
      </c>
      <c r="C1979" s="52">
        <v>10568.94</v>
      </c>
      <c r="D1979" s="48">
        <f>_xlfn.XLOOKUP(expected_production[[#This Row],[Site Name]],Table1[[Site Name ]],Table1[Commisioned Date],"")</f>
        <v>44159</v>
      </c>
      <c r="E1979" s="47">
        <f>IF(ISNUMBER(expected_production[[#This Row],[Commissioned Date]]),MAX(0,(expected_production[[#This Row],[Date]]-expected_production[[#This Row],[Commissioned Date]])/365.25),"")</f>
        <v>5.7686516084873372</v>
      </c>
      <c r="F1979" s="49">
        <f>IF(expected_production[[#This Row],[Age (yrs)]]="",1,(1-DegradationRate)^expected_production[[#This Row],[Age (yrs)]])</f>
        <v>0.96028750377719352</v>
      </c>
      <c r="G1979" s="52">
        <f>IF(expected_production[[#This Row],[Base Expected (kWh)]]="","",expected_production[[#This Row],[Base Expected (kWh)]]*expected_production[[#This Row],[Degradation Factor]])</f>
        <v>10149.221010170932</v>
      </c>
    </row>
    <row r="1980" spans="1:7" ht="15" hidden="1" customHeight="1" x14ac:dyDescent="0.3">
      <c r="A1980" t="s">
        <v>172</v>
      </c>
      <c r="B1980" s="2">
        <v>46296</v>
      </c>
      <c r="C1980" s="52">
        <v>11606.34</v>
      </c>
      <c r="D1980" s="48">
        <f>_xlfn.XLOOKUP(expected_production[[#This Row],[Site Name]],Table1[[Site Name ]],Table1[Commisioned Date],"")</f>
        <v>44159</v>
      </c>
      <c r="E1980" s="47">
        <f>IF(ISNUMBER(expected_production[[#This Row],[Commissioned Date]]),MAX(0,(expected_production[[#This Row],[Date]]-expected_production[[#This Row],[Commissioned Date]])/365.25),"")</f>
        <v>5.8507871321013001</v>
      </c>
      <c r="F1980" s="49">
        <f>IF(expected_production[[#This Row],[Age (yrs)]]="",1,(1-DegradationRate)^expected_production[[#This Row],[Age (yrs)]])</f>
        <v>0.95973360609368108</v>
      </c>
      <c r="G1980" s="52">
        <f>IF(expected_production[[#This Row],[Base Expected (kWh)]]="","",expected_production[[#This Row],[Base Expected (kWh)]]*expected_production[[#This Row],[Degradation Factor]])</f>
        <v>11138.994541749335</v>
      </c>
    </row>
    <row r="1981" spans="1:7" ht="15" hidden="1" customHeight="1" x14ac:dyDescent="0.3">
      <c r="A1981" t="s">
        <v>172</v>
      </c>
      <c r="B1981" s="2">
        <v>46327</v>
      </c>
      <c r="C1981" s="52">
        <v>12483.285</v>
      </c>
      <c r="D1981" s="48">
        <f>_xlfn.XLOOKUP(expected_production[[#This Row],[Site Name]],Table1[[Site Name ]],Table1[Commisioned Date],"")</f>
        <v>44159</v>
      </c>
      <c r="E1981" s="47">
        <f>IF(ISNUMBER(expected_production[[#This Row],[Commissioned Date]]),MAX(0,(expected_production[[#This Row],[Date]]-expected_production[[#This Row],[Commissioned Date]])/365.25),"")</f>
        <v>5.935660506502396</v>
      </c>
      <c r="F1981" s="49">
        <f>IF(expected_production[[#This Row],[Age (yrs)]]="",1,(1-DegradationRate)^expected_production[[#This Row],[Age (yrs)]])</f>
        <v>0.95916158079432035</v>
      </c>
      <c r="G1981" s="52">
        <f>IF(expected_production[[#This Row],[Base Expected (kWh)]]="","",expected_production[[#This Row],[Base Expected (kWh)]]*expected_production[[#This Row],[Degradation Factor]])</f>
        <v>11973.487374106027</v>
      </c>
    </row>
    <row r="1982" spans="1:7" ht="15" hidden="1" customHeight="1" x14ac:dyDescent="0.3">
      <c r="A1982" t="s">
        <v>172</v>
      </c>
      <c r="B1982" s="2">
        <v>46357</v>
      </c>
      <c r="C1982" s="52">
        <v>13393.575000000001</v>
      </c>
      <c r="D1982" s="48">
        <f>_xlfn.XLOOKUP(expected_production[[#This Row],[Site Name]],Table1[[Site Name ]],Table1[Commisioned Date],"")</f>
        <v>44159</v>
      </c>
      <c r="E1982" s="47">
        <f>IF(ISNUMBER(expected_production[[#This Row],[Commissioned Date]]),MAX(0,(expected_production[[#This Row],[Date]]-expected_production[[#This Row],[Commissioned Date]])/365.25),"")</f>
        <v>6.0177960301163589</v>
      </c>
      <c r="F1982" s="49">
        <f>IF(expected_production[[#This Row],[Age (yrs)]]="",1,(1-DegradationRate)^expected_production[[#This Row],[Age (yrs)]])</f>
        <v>0.95860833254770006</v>
      </c>
      <c r="G1982" s="52">
        <f>IF(expected_production[[#This Row],[Base Expected (kWh)]]="","",expected_production[[#This Row],[Base Expected (kWh)]]*expected_production[[#This Row],[Degradation Factor]])</f>
        <v>12839.192597602563</v>
      </c>
    </row>
    <row r="1983" spans="1:7" ht="15" hidden="1" customHeight="1" x14ac:dyDescent="0.3">
      <c r="A1983" t="s">
        <v>177</v>
      </c>
      <c r="B1983" s="2">
        <v>45292</v>
      </c>
      <c r="C1983" s="52">
        <v>4359.6000000000004</v>
      </c>
      <c r="D1983" s="48">
        <f>_xlfn.XLOOKUP(expected_production[[#This Row],[Site Name]],Table1[[Site Name ]],Table1[Commisioned Date],"")</f>
        <v>44770</v>
      </c>
      <c r="E1983" s="47">
        <f>IF(ISNUMBER(expected_production[[#This Row],[Commissioned Date]]),MAX(0,(expected_production[[#This Row],[Date]]-expected_production[[#This Row],[Commissioned Date]])/365.25),"")</f>
        <v>1.429158110882957</v>
      </c>
      <c r="F1983" s="49">
        <f>IF(expected_production[[#This Row],[Age (yrs)]]="",1,(1-DegradationRate)^expected_production[[#This Row],[Age (yrs)]])</f>
        <v>0.99001093999654977</v>
      </c>
      <c r="G1983" s="52">
        <f>IF(expected_production[[#This Row],[Base Expected (kWh)]]="","",expected_production[[#This Row],[Base Expected (kWh)]]*expected_production[[#This Row],[Degradation Factor]])</f>
        <v>4316.0516940089583</v>
      </c>
    </row>
    <row r="1984" spans="1:7" ht="15" hidden="1" customHeight="1" x14ac:dyDescent="0.3">
      <c r="A1984" t="s">
        <v>177</v>
      </c>
      <c r="B1984" s="2">
        <v>45323</v>
      </c>
      <c r="C1984" s="52">
        <v>3825.9</v>
      </c>
      <c r="D1984" s="48">
        <f>_xlfn.XLOOKUP(expected_production[[#This Row],[Site Name]],Table1[[Site Name ]],Table1[Commisioned Date],"")</f>
        <v>44770</v>
      </c>
      <c r="E1984" s="47">
        <f>IF(ISNUMBER(expected_production[[#This Row],[Commissioned Date]]),MAX(0,(expected_production[[#This Row],[Date]]-expected_production[[#This Row],[Commissioned Date]])/365.25),"")</f>
        <v>1.514031485284052</v>
      </c>
      <c r="F1984" s="49">
        <f>IF(expected_production[[#This Row],[Age (yrs)]]="",1,(1-DegradationRate)^expected_production[[#This Row],[Age (yrs)]])</f>
        <v>0.9894208686468271</v>
      </c>
      <c r="G1984" s="52">
        <f>IF(expected_production[[#This Row],[Base Expected (kWh)]]="","",expected_production[[#This Row],[Base Expected (kWh)]]*expected_production[[#This Row],[Degradation Factor]])</f>
        <v>3785.425301355896</v>
      </c>
    </row>
    <row r="1985" spans="1:7" ht="15" hidden="1" customHeight="1" x14ac:dyDescent="0.3">
      <c r="A1985" t="s">
        <v>177</v>
      </c>
      <c r="B1985" s="2">
        <v>45352</v>
      </c>
      <c r="C1985" s="52">
        <v>4077</v>
      </c>
      <c r="D1985" s="48">
        <f>_xlfn.XLOOKUP(expected_production[[#This Row],[Site Name]],Table1[[Site Name ]],Table1[Commisioned Date],"")</f>
        <v>44770</v>
      </c>
      <c r="E1985" s="47">
        <f>IF(ISNUMBER(expected_production[[#This Row],[Commissioned Date]]),MAX(0,(expected_production[[#This Row],[Date]]-expected_production[[#This Row],[Commissioned Date]])/365.25),"")</f>
        <v>1.593429158110883</v>
      </c>
      <c r="F1985" s="49">
        <f>IF(expected_production[[#This Row],[Age (yrs)]]="",1,(1-DegradationRate)^expected_production[[#This Row],[Age (yrs)]])</f>
        <v>0.98886918481456199</v>
      </c>
      <c r="G1985" s="52">
        <f>IF(expected_production[[#This Row],[Base Expected (kWh)]]="","",expected_production[[#This Row],[Base Expected (kWh)]]*expected_production[[#This Row],[Degradation Factor]])</f>
        <v>4031.6196664889694</v>
      </c>
    </row>
    <row r="1986" spans="1:7" ht="15" hidden="1" customHeight="1" x14ac:dyDescent="0.3">
      <c r="A1986" t="s">
        <v>177</v>
      </c>
      <c r="B1986" s="2">
        <v>45383</v>
      </c>
      <c r="C1986" s="52">
        <v>3573.9</v>
      </c>
      <c r="D1986" s="48">
        <f>_xlfn.XLOOKUP(expected_production[[#This Row],[Site Name]],Table1[[Site Name ]],Table1[Commisioned Date],"")</f>
        <v>44770</v>
      </c>
      <c r="E1986" s="47">
        <f>IF(ISNUMBER(expected_production[[#This Row],[Commissioned Date]]),MAX(0,(expected_production[[#This Row],[Date]]-expected_production[[#This Row],[Commissioned Date]])/365.25),"")</f>
        <v>1.678302532511978</v>
      </c>
      <c r="F1986" s="49">
        <f>IF(expected_production[[#This Row],[Age (yrs)]]="",1,(1-DegradationRate)^expected_production[[#This Row],[Age (yrs)]])</f>
        <v>0.98827979397956311</v>
      </c>
      <c r="G1986" s="52">
        <f>IF(expected_production[[#This Row],[Base Expected (kWh)]]="","",expected_production[[#This Row],[Base Expected (kWh)]]*expected_production[[#This Row],[Degradation Factor]])</f>
        <v>3532.0131557035606</v>
      </c>
    </row>
    <row r="1987" spans="1:7" ht="15" hidden="1" customHeight="1" x14ac:dyDescent="0.3">
      <c r="A1987" t="s">
        <v>177</v>
      </c>
      <c r="B1987" s="2">
        <v>45413</v>
      </c>
      <c r="C1987" s="52">
        <v>3623.4</v>
      </c>
      <c r="D1987" s="48">
        <f>_xlfn.XLOOKUP(expected_production[[#This Row],[Site Name]],Table1[[Site Name ]],Table1[Commisioned Date],"")</f>
        <v>44770</v>
      </c>
      <c r="E1987" s="47">
        <f>IF(ISNUMBER(expected_production[[#This Row],[Commissioned Date]]),MAX(0,(expected_production[[#This Row],[Date]]-expected_production[[#This Row],[Commissioned Date]])/365.25),"")</f>
        <v>1.7604380561259412</v>
      </c>
      <c r="F1987" s="49">
        <f>IF(expected_production[[#This Row],[Age (yrs)]]="",1,(1-DegradationRate)^expected_production[[#This Row],[Age (yrs)]])</f>
        <v>0.98770975023079588</v>
      </c>
      <c r="G1987" s="52">
        <f>IF(expected_production[[#This Row],[Base Expected (kWh)]]="","",expected_production[[#This Row],[Base Expected (kWh)]]*expected_production[[#This Row],[Degradation Factor]])</f>
        <v>3578.8675089862659</v>
      </c>
    </row>
    <row r="1988" spans="1:7" ht="15" hidden="1" customHeight="1" x14ac:dyDescent="0.3">
      <c r="A1988" t="s">
        <v>177</v>
      </c>
      <c r="B1988" s="2">
        <v>45444</v>
      </c>
      <c r="C1988" s="52">
        <v>3360.6</v>
      </c>
      <c r="D1988" s="48">
        <f>_xlfn.XLOOKUP(expected_production[[#This Row],[Site Name]],Table1[[Site Name ]],Table1[Commisioned Date],"")</f>
        <v>44770</v>
      </c>
      <c r="E1988" s="47">
        <f>IF(ISNUMBER(expected_production[[#This Row],[Commissioned Date]]),MAX(0,(expected_production[[#This Row],[Date]]-expected_production[[#This Row],[Commissioned Date]])/365.25),"")</f>
        <v>1.8453114305270362</v>
      </c>
      <c r="F1988" s="49">
        <f>IF(expected_production[[#This Row],[Age (yrs)]]="",1,(1-DegradationRate)^expected_production[[#This Row],[Age (yrs)]])</f>
        <v>0.98712105044788745</v>
      </c>
      <c r="G1988" s="52">
        <f>IF(expected_production[[#This Row],[Base Expected (kWh)]]="","",expected_production[[#This Row],[Base Expected (kWh)]]*expected_production[[#This Row],[Degradation Factor]])</f>
        <v>3317.3190021351706</v>
      </c>
    </row>
    <row r="1989" spans="1:7" ht="15" hidden="1" customHeight="1" x14ac:dyDescent="0.3">
      <c r="A1989" t="s">
        <v>177</v>
      </c>
      <c r="B1989" s="2">
        <v>45474</v>
      </c>
      <c r="C1989" s="52">
        <v>3665.7</v>
      </c>
      <c r="D1989" s="48">
        <f>_xlfn.XLOOKUP(expected_production[[#This Row],[Site Name]],Table1[[Site Name ]],Table1[Commisioned Date],"")</f>
        <v>44770</v>
      </c>
      <c r="E1989" s="47">
        <f>IF(ISNUMBER(expected_production[[#This Row],[Commissioned Date]]),MAX(0,(expected_production[[#This Row],[Date]]-expected_production[[#This Row],[Commissioned Date]])/365.25),"")</f>
        <v>1.9274469541409993</v>
      </c>
      <c r="F1989" s="49">
        <f>IF(expected_production[[#This Row],[Age (yrs)]]="",1,(1-DegradationRate)^expected_production[[#This Row],[Age (yrs)]])</f>
        <v>0.98655167506703656</v>
      </c>
      <c r="G1989" s="52">
        <f>IF(expected_production[[#This Row],[Base Expected (kWh)]]="","",expected_production[[#This Row],[Base Expected (kWh)]]*expected_production[[#This Row],[Degradation Factor]])</f>
        <v>3616.4024752932355</v>
      </c>
    </row>
    <row r="1990" spans="1:7" ht="15" hidden="1" customHeight="1" x14ac:dyDescent="0.3">
      <c r="A1990" t="s">
        <v>177</v>
      </c>
      <c r="B1990" s="2">
        <v>45505</v>
      </c>
      <c r="C1990" s="52">
        <v>4104</v>
      </c>
      <c r="D1990" s="48">
        <f>_xlfn.XLOOKUP(expected_production[[#This Row],[Site Name]],Table1[[Site Name ]],Table1[Commisioned Date],"")</f>
        <v>44770</v>
      </c>
      <c r="E1990" s="47">
        <f>IF(ISNUMBER(expected_production[[#This Row],[Commissioned Date]]),MAX(0,(expected_production[[#This Row],[Date]]-expected_production[[#This Row],[Commissioned Date]])/365.25),"")</f>
        <v>2.0123203285420943</v>
      </c>
      <c r="F1990" s="49">
        <f>IF(expected_production[[#This Row],[Age (yrs)]]="",1,(1-DegradationRate)^expected_production[[#This Row],[Age (yrs)]])</f>
        <v>0.98596366552597026</v>
      </c>
      <c r="G1990" s="52">
        <f>IF(expected_production[[#This Row],[Base Expected (kWh)]]="","",expected_production[[#This Row],[Base Expected (kWh)]]*expected_production[[#This Row],[Degradation Factor]])</f>
        <v>4046.3948833185818</v>
      </c>
    </row>
    <row r="1991" spans="1:7" ht="15" hidden="1" customHeight="1" x14ac:dyDescent="0.3">
      <c r="A1991" t="s">
        <v>177</v>
      </c>
      <c r="B1991" s="2">
        <v>45536</v>
      </c>
      <c r="C1991" s="52">
        <v>4274.1000000000004</v>
      </c>
      <c r="D1991" s="48">
        <f>_xlfn.XLOOKUP(expected_production[[#This Row],[Site Name]],Table1[[Site Name ]],Table1[Commisioned Date],"")</f>
        <v>44770</v>
      </c>
      <c r="E1991" s="47">
        <f>IF(ISNUMBER(expected_production[[#This Row],[Commissioned Date]]),MAX(0,(expected_production[[#This Row],[Date]]-expected_production[[#This Row],[Commissioned Date]])/365.25),"")</f>
        <v>2.0971937029431897</v>
      </c>
      <c r="F1991" s="49">
        <f>IF(expected_production[[#This Row],[Age (yrs)]]="",1,(1-DegradationRate)^expected_production[[#This Row],[Age (yrs)]])</f>
        <v>0.98537600645333778</v>
      </c>
      <c r="G1991" s="52">
        <f>IF(expected_production[[#This Row],[Base Expected (kWh)]]="","",expected_production[[#This Row],[Base Expected (kWh)]]*expected_production[[#This Row],[Degradation Factor]])</f>
        <v>4211.5955891822114</v>
      </c>
    </row>
    <row r="1992" spans="1:7" ht="15" hidden="1" customHeight="1" x14ac:dyDescent="0.3">
      <c r="A1992" t="s">
        <v>177</v>
      </c>
      <c r="B1992" s="2">
        <v>45566</v>
      </c>
      <c r="C1992" s="52">
        <v>4289.3999999999996</v>
      </c>
      <c r="D1992" s="48">
        <f>_xlfn.XLOOKUP(expected_production[[#This Row],[Site Name]],Table1[[Site Name ]],Table1[Commisioned Date],"")</f>
        <v>44770</v>
      </c>
      <c r="E1992" s="47">
        <f>IF(ISNUMBER(expected_production[[#This Row],[Commissioned Date]]),MAX(0,(expected_production[[#This Row],[Date]]-expected_production[[#This Row],[Commissioned Date]])/365.25),"")</f>
        <v>2.1793292265571527</v>
      </c>
      <c r="F1992" s="49">
        <f>IF(expected_production[[#This Row],[Age (yrs)]]="",1,(1-DegradationRate)^expected_production[[#This Row],[Age (yrs)]])</f>
        <v>0.98480763762086165</v>
      </c>
      <c r="G1992" s="52">
        <f>IF(expected_production[[#This Row],[Base Expected (kWh)]]="","",expected_production[[#This Row],[Base Expected (kWh)]]*expected_production[[#This Row],[Degradation Factor]])</f>
        <v>4224.2338808109234</v>
      </c>
    </row>
    <row r="1993" spans="1:7" ht="15" hidden="1" customHeight="1" x14ac:dyDescent="0.3">
      <c r="A1993" t="s">
        <v>177</v>
      </c>
      <c r="B1993" s="2">
        <v>45597</v>
      </c>
      <c r="C1993" s="52">
        <v>4249.8</v>
      </c>
      <c r="D1993" s="48">
        <f>_xlfn.XLOOKUP(expected_production[[#This Row],[Site Name]],Table1[[Site Name ]],Table1[Commisioned Date],"")</f>
        <v>44770</v>
      </c>
      <c r="E1993" s="47">
        <f>IF(ISNUMBER(expected_production[[#This Row],[Commissioned Date]]),MAX(0,(expected_production[[#This Row],[Date]]-expected_production[[#This Row],[Commissioned Date]])/365.25),"")</f>
        <v>2.2642026009582477</v>
      </c>
      <c r="F1993" s="49">
        <f>IF(expected_production[[#This Row],[Age (yrs)]]="",1,(1-DegradationRate)^expected_production[[#This Row],[Age (yrs)]])</f>
        <v>0.98422066756985371</v>
      </c>
      <c r="G1993" s="52">
        <f>IF(expected_production[[#This Row],[Base Expected (kWh)]]="","",expected_production[[#This Row],[Base Expected (kWh)]]*expected_production[[#This Row],[Degradation Factor]])</f>
        <v>4182.7409930383646</v>
      </c>
    </row>
    <row r="1994" spans="1:7" ht="15" hidden="1" customHeight="1" x14ac:dyDescent="0.3">
      <c r="A1994" t="s">
        <v>177</v>
      </c>
      <c r="B1994" s="2">
        <v>45627</v>
      </c>
      <c r="C1994" s="52">
        <v>4446</v>
      </c>
      <c r="D1994" s="48">
        <f>_xlfn.XLOOKUP(expected_production[[#This Row],[Site Name]],Table1[[Site Name ]],Table1[Commisioned Date],"")</f>
        <v>44770</v>
      </c>
      <c r="E1994" s="47">
        <f>IF(ISNUMBER(expected_production[[#This Row],[Commissioned Date]]),MAX(0,(expected_production[[#This Row],[Date]]-expected_production[[#This Row],[Commissioned Date]])/365.25),"")</f>
        <v>2.346338124572211</v>
      </c>
      <c r="F1994" s="49">
        <f>IF(expected_production[[#This Row],[Age (yrs)]]="",1,(1-DegradationRate)^expected_production[[#This Row],[Age (yrs)]])</f>
        <v>0.98365296514147915</v>
      </c>
      <c r="G1994" s="52">
        <f>IF(expected_production[[#This Row],[Base Expected (kWh)]]="","",expected_production[[#This Row],[Base Expected (kWh)]]*expected_production[[#This Row],[Degradation Factor]])</f>
        <v>4373.3210830190164</v>
      </c>
    </row>
    <row r="1995" spans="1:7" ht="15" hidden="1" customHeight="1" x14ac:dyDescent="0.3">
      <c r="A1995" t="s">
        <v>177</v>
      </c>
      <c r="B1995" s="2">
        <v>45658</v>
      </c>
      <c r="C1995" s="52">
        <v>4359.6000000000004</v>
      </c>
      <c r="D1995" s="48">
        <f>_xlfn.XLOOKUP(expected_production[[#This Row],[Site Name]],Table1[[Site Name ]],Table1[Commisioned Date],"")</f>
        <v>44770</v>
      </c>
      <c r="E1995" s="47">
        <f>IF(ISNUMBER(expected_production[[#This Row],[Commissioned Date]]),MAX(0,(expected_production[[#This Row],[Date]]-expected_production[[#This Row],[Commissioned Date]])/365.25),"")</f>
        <v>2.431211498973306</v>
      </c>
      <c r="F1995" s="49">
        <f>IF(expected_production[[#This Row],[Age (yrs)]]="",1,(1-DegradationRate)^expected_production[[#This Row],[Age (yrs)]])</f>
        <v>0.98306668330422819</v>
      </c>
      <c r="G1995" s="52">
        <f>IF(expected_production[[#This Row],[Base Expected (kWh)]]="","",expected_production[[#This Row],[Base Expected (kWh)]]*expected_production[[#This Row],[Degradation Factor]])</f>
        <v>4285.7775125331136</v>
      </c>
    </row>
    <row r="1996" spans="1:7" ht="15" hidden="1" customHeight="1" x14ac:dyDescent="0.3">
      <c r="A1996" t="s">
        <v>177</v>
      </c>
      <c r="B1996" s="2">
        <v>45689</v>
      </c>
      <c r="C1996" s="52">
        <v>3825.9</v>
      </c>
      <c r="D1996" s="48">
        <f>_xlfn.XLOOKUP(expected_production[[#This Row],[Site Name]],Table1[[Site Name ]],Table1[Commisioned Date],"")</f>
        <v>44770</v>
      </c>
      <c r="E1996" s="47">
        <f>IF(ISNUMBER(expected_production[[#This Row],[Commissioned Date]]),MAX(0,(expected_production[[#This Row],[Date]]-expected_production[[#This Row],[Commissioned Date]])/365.25),"")</f>
        <v>2.516084873374401</v>
      </c>
      <c r="F1996" s="49">
        <f>IF(expected_production[[#This Row],[Age (yrs)]]="",1,(1-DegradationRate)^expected_production[[#This Row],[Age (yrs)]])</f>
        <v>0.98248075090565623</v>
      </c>
      <c r="G1996" s="52">
        <f>IF(expected_production[[#This Row],[Base Expected (kWh)]]="","",expected_production[[#This Row],[Base Expected (kWh)]]*expected_production[[#This Row],[Degradation Factor]])</f>
        <v>3758.8731048899504</v>
      </c>
    </row>
    <row r="1997" spans="1:7" ht="15" hidden="1" customHeight="1" x14ac:dyDescent="0.3">
      <c r="A1997" t="s">
        <v>177</v>
      </c>
      <c r="B1997" s="2">
        <v>45717</v>
      </c>
      <c r="C1997" s="52">
        <v>4077</v>
      </c>
      <c r="D1997" s="48">
        <f>_xlfn.XLOOKUP(expected_production[[#This Row],[Site Name]],Table1[[Site Name ]],Table1[Commisioned Date],"")</f>
        <v>44770</v>
      </c>
      <c r="E1997" s="47">
        <f>IF(ISNUMBER(expected_production[[#This Row],[Commissioned Date]]),MAX(0,(expected_production[[#This Row],[Date]]-expected_production[[#This Row],[Commissioned Date]])/365.25),"")</f>
        <v>2.5927446954140998</v>
      </c>
      <c r="F1997" s="49">
        <f>IF(expected_production[[#This Row],[Age (yrs)]]="",1,(1-DegradationRate)^expected_production[[#This Row],[Age (yrs)]])</f>
        <v>0.98195182181918472</v>
      </c>
      <c r="G1997" s="52">
        <f>IF(expected_production[[#This Row],[Base Expected (kWh)]]="","",expected_production[[#This Row],[Base Expected (kWh)]]*expected_production[[#This Row],[Degradation Factor]])</f>
        <v>4003.417577556816</v>
      </c>
    </row>
    <row r="1998" spans="1:7" ht="15" hidden="1" customHeight="1" x14ac:dyDescent="0.3">
      <c r="A1998" t="s">
        <v>177</v>
      </c>
      <c r="B1998" s="2">
        <v>45748</v>
      </c>
      <c r="C1998" s="52">
        <v>3573.9</v>
      </c>
      <c r="D1998" s="48">
        <f>_xlfn.XLOOKUP(expected_production[[#This Row],[Site Name]],Table1[[Site Name ]],Table1[Commisioned Date],"")</f>
        <v>44770</v>
      </c>
      <c r="E1998" s="47">
        <f>IF(ISNUMBER(expected_production[[#This Row],[Commissioned Date]]),MAX(0,(expected_production[[#This Row],[Date]]-expected_production[[#This Row],[Commissioned Date]])/365.25),"")</f>
        <v>2.6776180698151952</v>
      </c>
      <c r="F1998" s="49">
        <f>IF(expected_production[[#This Row],[Age (yrs)]]="",1,(1-DegradationRate)^expected_production[[#This Row],[Age (yrs)]])</f>
        <v>0.98136655390601857</v>
      </c>
      <c r="G1998" s="52">
        <f>IF(expected_production[[#This Row],[Base Expected (kWh)]]="","",expected_production[[#This Row],[Base Expected (kWh)]]*expected_production[[#This Row],[Degradation Factor]])</f>
        <v>3507.3059270047197</v>
      </c>
    </row>
    <row r="1999" spans="1:7" ht="15" hidden="1" customHeight="1" x14ac:dyDescent="0.3">
      <c r="A1999" t="s">
        <v>177</v>
      </c>
      <c r="B1999" s="2">
        <v>45778</v>
      </c>
      <c r="C1999" s="52">
        <v>3623.4</v>
      </c>
      <c r="D1999" s="48">
        <f>_xlfn.XLOOKUP(expected_production[[#This Row],[Site Name]],Table1[[Site Name ]],Table1[Commisioned Date],"")</f>
        <v>44770</v>
      </c>
      <c r="E1999" s="47">
        <f>IF(ISNUMBER(expected_production[[#This Row],[Commissioned Date]]),MAX(0,(expected_production[[#This Row],[Date]]-expected_production[[#This Row],[Commissioned Date]])/365.25),"")</f>
        <v>2.7597535934291582</v>
      </c>
      <c r="F1999" s="49">
        <f>IF(expected_production[[#This Row],[Age (yrs)]]="",1,(1-DegradationRate)^expected_production[[#This Row],[Age (yrs)]])</f>
        <v>0.98080049774185196</v>
      </c>
      <c r="G1999" s="52">
        <f>IF(expected_production[[#This Row],[Base Expected (kWh)]]="","",expected_production[[#This Row],[Base Expected (kWh)]]*expected_production[[#This Row],[Degradation Factor]])</f>
        <v>3553.8325235178263</v>
      </c>
    </row>
    <row r="2000" spans="1:7" ht="15" hidden="1" customHeight="1" x14ac:dyDescent="0.3">
      <c r="A2000" t="s">
        <v>177</v>
      </c>
      <c r="B2000" s="2">
        <v>45809</v>
      </c>
      <c r="C2000" s="52">
        <v>3360.6</v>
      </c>
      <c r="D2000" s="48">
        <f>_xlfn.XLOOKUP(expected_production[[#This Row],[Site Name]],Table1[[Site Name ]],Table1[Commisioned Date],"")</f>
        <v>44770</v>
      </c>
      <c r="E2000" s="47">
        <f>IF(ISNUMBER(expected_production[[#This Row],[Commissioned Date]]),MAX(0,(expected_production[[#This Row],[Date]]-expected_production[[#This Row],[Commissioned Date]])/365.25),"")</f>
        <v>2.8446269678302532</v>
      </c>
      <c r="F2000" s="49">
        <f>IF(expected_production[[#This Row],[Age (yrs)]]="",1,(1-DegradationRate)^expected_production[[#This Row],[Age (yrs)]])</f>
        <v>0.9802159160467111</v>
      </c>
      <c r="G2000" s="52">
        <f>IF(expected_production[[#This Row],[Base Expected (kWh)]]="","",expected_production[[#This Row],[Base Expected (kWh)]]*expected_production[[#This Row],[Degradation Factor]])</f>
        <v>3294.1136074665774</v>
      </c>
    </row>
    <row r="2001" spans="1:7" ht="15" hidden="1" customHeight="1" x14ac:dyDescent="0.3">
      <c r="A2001" t="s">
        <v>177</v>
      </c>
      <c r="B2001" s="2">
        <v>45839</v>
      </c>
      <c r="C2001" s="52">
        <v>3665.7</v>
      </c>
      <c r="D2001" s="48">
        <f>_xlfn.XLOOKUP(expected_production[[#This Row],[Site Name]],Table1[[Site Name ]],Table1[Commisioned Date],"")</f>
        <v>44770</v>
      </c>
      <c r="E2001" s="47">
        <f>IF(ISNUMBER(expected_production[[#This Row],[Commissioned Date]]),MAX(0,(expected_production[[#This Row],[Date]]-expected_production[[#This Row],[Commissioned Date]])/365.25),"")</f>
        <v>2.9267624914442161</v>
      </c>
      <c r="F2001" s="49">
        <f>IF(expected_production[[#This Row],[Age (yrs)]]="",1,(1-DegradationRate)^expected_production[[#This Row],[Age (yrs)]])</f>
        <v>0.97965052357507665</v>
      </c>
      <c r="G2001" s="52">
        <f>IF(expected_production[[#This Row],[Base Expected (kWh)]]="","",expected_production[[#This Row],[Base Expected (kWh)]]*expected_production[[#This Row],[Degradation Factor]])</f>
        <v>3591.1049242691583</v>
      </c>
    </row>
    <row r="2002" spans="1:7" ht="15" hidden="1" customHeight="1" x14ac:dyDescent="0.3">
      <c r="A2002" t="s">
        <v>177</v>
      </c>
      <c r="B2002" s="2">
        <v>45870</v>
      </c>
      <c r="C2002" s="52">
        <v>4104</v>
      </c>
      <c r="D2002" s="48">
        <f>_xlfn.XLOOKUP(expected_production[[#This Row],[Site Name]],Table1[[Site Name ]],Table1[Commisioned Date],"")</f>
        <v>44770</v>
      </c>
      <c r="E2002" s="47">
        <f>IF(ISNUMBER(expected_production[[#This Row],[Commissioned Date]]),MAX(0,(expected_production[[#This Row],[Date]]-expected_production[[#This Row],[Commissioned Date]])/365.25),"")</f>
        <v>3.0116358658453115</v>
      </c>
      <c r="F2002" s="49">
        <f>IF(expected_production[[#This Row],[Age (yrs)]]="",1,(1-DegradationRate)^expected_production[[#This Row],[Age (yrs)]])</f>
        <v>0.97906662729338045</v>
      </c>
      <c r="G2002" s="52">
        <f>IF(expected_production[[#This Row],[Base Expected (kWh)]]="","",expected_production[[#This Row],[Base Expected (kWh)]]*expected_production[[#This Row],[Degradation Factor]])</f>
        <v>4018.0894384120334</v>
      </c>
    </row>
    <row r="2003" spans="1:7" ht="15" hidden="1" customHeight="1" x14ac:dyDescent="0.3">
      <c r="A2003" t="s">
        <v>177</v>
      </c>
      <c r="B2003" s="2">
        <v>45901</v>
      </c>
      <c r="C2003" s="52">
        <v>4274.1000000000004</v>
      </c>
      <c r="D2003" s="48">
        <f>_xlfn.XLOOKUP(expected_production[[#This Row],[Site Name]],Table1[[Site Name ]],Table1[Commisioned Date],"")</f>
        <v>44770</v>
      </c>
      <c r="E2003" s="47">
        <f>IF(ISNUMBER(expected_production[[#This Row],[Commissioned Date]]),MAX(0,(expected_production[[#This Row],[Date]]-expected_production[[#This Row],[Commissioned Date]])/365.25),"")</f>
        <v>3.0965092402464065</v>
      </c>
      <c r="F2003" s="49">
        <f>IF(expected_production[[#This Row],[Age (yrs)]]="",1,(1-DegradationRate)^expected_production[[#This Row],[Age (yrs)]])</f>
        <v>0.97848307902851239</v>
      </c>
      <c r="G2003" s="52">
        <f>IF(expected_production[[#This Row],[Base Expected (kWh)]]="","",expected_production[[#This Row],[Base Expected (kWh)]]*expected_production[[#This Row],[Degradation Factor]])</f>
        <v>4182.134528075765</v>
      </c>
    </row>
    <row r="2004" spans="1:7" ht="15" hidden="1" customHeight="1" x14ac:dyDescent="0.3">
      <c r="A2004" t="s">
        <v>177</v>
      </c>
      <c r="B2004" s="2">
        <v>45931</v>
      </c>
      <c r="C2004" s="52">
        <v>4289.3999999999996</v>
      </c>
      <c r="D2004" s="48">
        <f>_xlfn.XLOOKUP(expected_production[[#This Row],[Site Name]],Table1[[Site Name ]],Table1[Commisioned Date],"")</f>
        <v>44770</v>
      </c>
      <c r="E2004" s="47">
        <f>IF(ISNUMBER(expected_production[[#This Row],[Commissioned Date]]),MAX(0,(expected_production[[#This Row],[Date]]-expected_production[[#This Row],[Commissioned Date]])/365.25),"")</f>
        <v>3.1786447638603694</v>
      </c>
      <c r="F2004" s="49">
        <f>IF(expected_production[[#This Row],[Age (yrs)]]="",1,(1-DegradationRate)^expected_production[[#This Row],[Age (yrs)]])</f>
        <v>0.97791868606421972</v>
      </c>
      <c r="G2004" s="52">
        <f>IF(expected_production[[#This Row],[Base Expected (kWh)]]="","",expected_production[[#This Row],[Base Expected (kWh)]]*expected_production[[#This Row],[Degradation Factor]])</f>
        <v>4194.6844120038641</v>
      </c>
    </row>
    <row r="2005" spans="1:7" ht="15" hidden="1" customHeight="1" x14ac:dyDescent="0.3">
      <c r="A2005" t="s">
        <v>177</v>
      </c>
      <c r="B2005" s="2">
        <v>45962</v>
      </c>
      <c r="C2005" s="52">
        <v>4249.8</v>
      </c>
      <c r="D2005" s="48">
        <f>_xlfn.XLOOKUP(expected_production[[#This Row],[Site Name]],Table1[[Site Name ]],Table1[Commisioned Date],"")</f>
        <v>44770</v>
      </c>
      <c r="E2005" s="47">
        <f>IF(ISNUMBER(expected_production[[#This Row],[Commissioned Date]]),MAX(0,(expected_production[[#This Row],[Date]]-expected_production[[#This Row],[Commissioned Date]])/365.25),"")</f>
        <v>3.2635181382614649</v>
      </c>
      <c r="F2005" s="49">
        <f>IF(expected_production[[#This Row],[Age (yrs)]]="",1,(1-DegradationRate)^expected_production[[#This Row],[Age (yrs)]])</f>
        <v>0.97733582200111457</v>
      </c>
      <c r="G2005" s="52">
        <f>IF(expected_production[[#This Row],[Base Expected (kWh)]]="","",expected_production[[#This Row],[Base Expected (kWh)]]*expected_production[[#This Row],[Degradation Factor]])</f>
        <v>4153.4817763403371</v>
      </c>
    </row>
    <row r="2006" spans="1:7" ht="15" hidden="1" customHeight="1" x14ac:dyDescent="0.3">
      <c r="A2006" t="s">
        <v>177</v>
      </c>
      <c r="B2006" s="2">
        <v>45992</v>
      </c>
      <c r="C2006" s="52">
        <v>4446</v>
      </c>
      <c r="D2006" s="48">
        <f>_xlfn.XLOOKUP(expected_production[[#This Row],[Site Name]],Table1[[Site Name ]],Table1[Commisioned Date],"")</f>
        <v>44770</v>
      </c>
      <c r="E2006" s="47">
        <f>IF(ISNUMBER(expected_production[[#This Row],[Commissioned Date]]),MAX(0,(expected_production[[#This Row],[Date]]-expected_production[[#This Row],[Commissioned Date]])/365.25),"")</f>
        <v>3.3456536618754278</v>
      </c>
      <c r="F2006" s="49">
        <f>IF(expected_production[[#This Row],[Age (yrs)]]="",1,(1-DegradationRate)^expected_production[[#This Row],[Age (yrs)]])</f>
        <v>0.9767720907792764</v>
      </c>
      <c r="G2006" s="52">
        <f>IF(expected_production[[#This Row],[Base Expected (kWh)]]="","",expected_production[[#This Row],[Base Expected (kWh)]]*expected_production[[#This Row],[Degradation Factor]])</f>
        <v>4342.7287156046632</v>
      </c>
    </row>
    <row r="2007" spans="1:7" ht="15" hidden="1" customHeight="1" x14ac:dyDescent="0.3">
      <c r="A2007" t="s">
        <v>177</v>
      </c>
      <c r="B2007" s="2">
        <v>46023</v>
      </c>
      <c r="C2007" s="52">
        <v>4359.6000000000004</v>
      </c>
      <c r="D2007" s="48">
        <f>_xlfn.XLOOKUP(expected_production[[#This Row],[Site Name]],Table1[[Site Name ]],Table1[Commisioned Date],"")</f>
        <v>44770</v>
      </c>
      <c r="E2007" s="47">
        <f>IF(ISNUMBER(expected_production[[#This Row],[Commissioned Date]]),MAX(0,(expected_production[[#This Row],[Date]]-expected_production[[#This Row],[Commissioned Date]])/365.25),"")</f>
        <v>3.4305270362765228</v>
      </c>
      <c r="F2007" s="49">
        <f>IF(expected_production[[#This Row],[Age (yrs)]]="",1,(1-DegradationRate)^expected_production[[#This Row],[Age (yrs)]])</f>
        <v>0.97618991011571776</v>
      </c>
      <c r="G2007" s="52">
        <f>IF(expected_production[[#This Row],[Base Expected (kWh)]]="","",expected_production[[#This Row],[Base Expected (kWh)]]*expected_production[[#This Row],[Degradation Factor]])</f>
        <v>4255.7975321404838</v>
      </c>
    </row>
    <row r="2008" spans="1:7" ht="15" hidden="1" customHeight="1" x14ac:dyDescent="0.3">
      <c r="A2008" t="s">
        <v>177</v>
      </c>
      <c r="B2008" s="2">
        <v>46054</v>
      </c>
      <c r="C2008" s="52">
        <v>3825.9</v>
      </c>
      <c r="D2008" s="48">
        <f>_xlfn.XLOOKUP(expected_production[[#This Row],[Site Name]],Table1[[Site Name ]],Table1[Commisioned Date],"")</f>
        <v>44770</v>
      </c>
      <c r="E2008" s="47">
        <f>IF(ISNUMBER(expected_production[[#This Row],[Commissioned Date]]),MAX(0,(expected_production[[#This Row],[Date]]-expected_production[[#This Row],[Commissioned Date]])/365.25),"")</f>
        <v>3.5154004106776182</v>
      </c>
      <c r="F2008" s="49">
        <f>IF(expected_production[[#This Row],[Age (yrs)]]="",1,(1-DegradationRate)^expected_production[[#This Row],[Age (yrs)]])</f>
        <v>0.97560807644643566</v>
      </c>
      <c r="G2008" s="52">
        <f>IF(expected_production[[#This Row],[Base Expected (kWh)]]="","",expected_production[[#This Row],[Base Expected (kWh)]]*expected_production[[#This Row],[Degradation Factor]])</f>
        <v>3732.5789396764185</v>
      </c>
    </row>
    <row r="2009" spans="1:7" ht="15" hidden="1" customHeight="1" x14ac:dyDescent="0.3">
      <c r="A2009" t="s">
        <v>177</v>
      </c>
      <c r="B2009" s="2">
        <v>46082</v>
      </c>
      <c r="C2009" s="52">
        <v>4077</v>
      </c>
      <c r="D2009" s="48">
        <f>_xlfn.XLOOKUP(expected_production[[#This Row],[Site Name]],Table1[[Site Name ]],Table1[Commisioned Date],"")</f>
        <v>44770</v>
      </c>
      <c r="E2009" s="47">
        <f>IF(ISNUMBER(expected_production[[#This Row],[Commissioned Date]]),MAX(0,(expected_production[[#This Row],[Date]]-expected_production[[#This Row],[Commissioned Date]])/365.25),"")</f>
        <v>3.592060232717317</v>
      </c>
      <c r="F2009" s="49">
        <f>IF(expected_production[[#This Row],[Age (yrs)]]="",1,(1-DegradationRate)^expected_production[[#This Row],[Age (yrs)]])</f>
        <v>0.97508284733822836</v>
      </c>
      <c r="G2009" s="52">
        <f>IF(expected_production[[#This Row],[Base Expected (kWh)]]="","",expected_production[[#This Row],[Base Expected (kWh)]]*expected_production[[#This Row],[Degradation Factor]])</f>
        <v>3975.412768597957</v>
      </c>
    </row>
    <row r="2010" spans="1:7" ht="15" hidden="1" customHeight="1" x14ac:dyDescent="0.3">
      <c r="A2010" t="s">
        <v>177</v>
      </c>
      <c r="B2010" s="2">
        <v>46113</v>
      </c>
      <c r="C2010" s="52">
        <v>3573.9</v>
      </c>
      <c r="D2010" s="48">
        <f>_xlfn.XLOOKUP(expected_production[[#This Row],[Site Name]],Table1[[Site Name ]],Table1[Commisioned Date],"")</f>
        <v>44770</v>
      </c>
      <c r="E2010" s="47">
        <f>IF(ISNUMBER(expected_production[[#This Row],[Commissioned Date]]),MAX(0,(expected_production[[#This Row],[Date]]-expected_production[[#This Row],[Commissioned Date]])/365.25),"")</f>
        <v>3.676933607118412</v>
      </c>
      <c r="F2010" s="49">
        <f>IF(expected_production[[#This Row],[Age (yrs)]]="",1,(1-DegradationRate)^expected_production[[#This Row],[Age (yrs)]])</f>
        <v>0.97450167350612671</v>
      </c>
      <c r="G2010" s="52">
        <f>IF(expected_production[[#This Row],[Base Expected (kWh)]]="","",expected_production[[#This Row],[Base Expected (kWh)]]*expected_production[[#This Row],[Degradation Factor]])</f>
        <v>3482.7715309435462</v>
      </c>
    </row>
    <row r="2011" spans="1:7" ht="15" hidden="1" customHeight="1" x14ac:dyDescent="0.3">
      <c r="A2011" t="s">
        <v>177</v>
      </c>
      <c r="B2011" s="2">
        <v>46143</v>
      </c>
      <c r="C2011" s="52">
        <v>3623.4</v>
      </c>
      <c r="D2011" s="48">
        <f>_xlfn.XLOOKUP(expected_production[[#This Row],[Site Name]],Table1[[Site Name ]],Table1[Commisioned Date],"")</f>
        <v>44770</v>
      </c>
      <c r="E2011" s="47">
        <f>IF(ISNUMBER(expected_production[[#This Row],[Commissioned Date]]),MAX(0,(expected_production[[#This Row],[Date]]-expected_production[[#This Row],[Commissioned Date]])/365.25),"")</f>
        <v>3.7590691307323749</v>
      </c>
      <c r="F2011" s="49">
        <f>IF(expected_production[[#This Row],[Age (yrs)]]="",1,(1-DegradationRate)^expected_production[[#This Row],[Age (yrs)]])</f>
        <v>0.97393957703250722</v>
      </c>
      <c r="G2011" s="52">
        <f>IF(expected_production[[#This Row],[Base Expected (kWh)]]="","",expected_production[[#This Row],[Base Expected (kWh)]]*expected_production[[#This Row],[Degradation Factor]])</f>
        <v>3528.9726634195868</v>
      </c>
    </row>
    <row r="2012" spans="1:7" ht="15" hidden="1" customHeight="1" x14ac:dyDescent="0.3">
      <c r="A2012" t="s">
        <v>177</v>
      </c>
      <c r="B2012" s="2">
        <v>46174</v>
      </c>
      <c r="C2012" s="52">
        <v>3360.6</v>
      </c>
      <c r="D2012" s="48">
        <f>_xlfn.XLOOKUP(expected_production[[#This Row],[Site Name]],Table1[[Site Name ]],Table1[Commisioned Date],"")</f>
        <v>44770</v>
      </c>
      <c r="E2012" s="47">
        <f>IF(ISNUMBER(expected_production[[#This Row],[Commissioned Date]]),MAX(0,(expected_production[[#This Row],[Date]]-expected_production[[#This Row],[Commissioned Date]])/365.25),"")</f>
        <v>3.8439425051334704</v>
      </c>
      <c r="F2012" s="49">
        <f>IF(expected_production[[#This Row],[Age (yrs)]]="",1,(1-DegradationRate)^expected_production[[#This Row],[Age (yrs)]])</f>
        <v>0.97335908461818099</v>
      </c>
      <c r="G2012" s="52">
        <f>IF(expected_production[[#This Row],[Base Expected (kWh)]]="","",expected_production[[#This Row],[Base Expected (kWh)]]*expected_production[[#This Row],[Degradation Factor]])</f>
        <v>3271.0705397678589</v>
      </c>
    </row>
    <row r="2013" spans="1:7" ht="15" hidden="1" customHeight="1" x14ac:dyDescent="0.3">
      <c r="A2013" t="s">
        <v>177</v>
      </c>
      <c r="B2013" s="2">
        <v>46204</v>
      </c>
      <c r="C2013" s="52">
        <v>3665.7</v>
      </c>
      <c r="D2013" s="48">
        <f>_xlfn.XLOOKUP(expected_production[[#This Row],[Site Name]],Table1[[Site Name ]],Table1[Commisioned Date],"")</f>
        <v>44770</v>
      </c>
      <c r="E2013" s="47">
        <f>IF(ISNUMBER(expected_production[[#This Row],[Commissioned Date]]),MAX(0,(expected_production[[#This Row],[Date]]-expected_production[[#This Row],[Commissioned Date]])/365.25),"")</f>
        <v>3.9260780287474333</v>
      </c>
      <c r="F2013" s="49">
        <f>IF(expected_production[[#This Row],[Age (yrs)]]="",1,(1-DegradationRate)^expected_production[[#This Row],[Age (yrs)]])</f>
        <v>0.97279764719441453</v>
      </c>
      <c r="G2013" s="52">
        <f>IF(expected_production[[#This Row],[Base Expected (kWh)]]="","",expected_production[[#This Row],[Base Expected (kWh)]]*expected_production[[#This Row],[Degradation Factor]])</f>
        <v>3565.9843353205652</v>
      </c>
    </row>
    <row r="2014" spans="1:7" ht="15" hidden="1" customHeight="1" x14ac:dyDescent="0.3">
      <c r="A2014" t="s">
        <v>177</v>
      </c>
      <c r="B2014" s="2">
        <v>46235</v>
      </c>
      <c r="C2014" s="52">
        <v>4104</v>
      </c>
      <c r="D2014" s="48">
        <f>_xlfn.XLOOKUP(expected_production[[#This Row],[Site Name]],Table1[[Site Name ]],Table1[Commisioned Date],"")</f>
        <v>44770</v>
      </c>
      <c r="E2014" s="47">
        <f>IF(ISNUMBER(expected_production[[#This Row],[Commissioned Date]]),MAX(0,(expected_production[[#This Row],[Date]]-expected_production[[#This Row],[Commissioned Date]])/365.25),"")</f>
        <v>4.0109514031485283</v>
      </c>
      <c r="F2014" s="49">
        <f>IF(expected_production[[#This Row],[Age (yrs)]]="",1,(1-DegradationRate)^expected_production[[#This Row],[Age (yrs)]])</f>
        <v>0.97221783539891149</v>
      </c>
      <c r="G2014" s="52">
        <f>IF(expected_production[[#This Row],[Base Expected (kWh)]]="","",expected_production[[#This Row],[Base Expected (kWh)]]*expected_production[[#This Row],[Degradation Factor]])</f>
        <v>3989.9819964771327</v>
      </c>
    </row>
    <row r="2015" spans="1:7" ht="15" hidden="1" customHeight="1" x14ac:dyDescent="0.3">
      <c r="A2015" t="s">
        <v>177</v>
      </c>
      <c r="B2015" s="2">
        <v>46266</v>
      </c>
      <c r="C2015" s="52">
        <v>4274.1000000000004</v>
      </c>
      <c r="D2015" s="48">
        <f>_xlfn.XLOOKUP(expected_production[[#This Row],[Site Name]],Table1[[Site Name ]],Table1[Commisioned Date],"")</f>
        <v>44770</v>
      </c>
      <c r="E2015" s="47">
        <f>IF(ISNUMBER(expected_production[[#This Row],[Commissioned Date]]),MAX(0,(expected_production[[#This Row],[Date]]-expected_production[[#This Row],[Commissioned Date]])/365.25),"")</f>
        <v>4.0958247775496233</v>
      </c>
      <c r="F2015" s="49">
        <f>IF(expected_production[[#This Row],[Age (yrs)]]="",1,(1-DegradationRate)^expected_production[[#This Row],[Age (yrs)]])</f>
        <v>0.97163836918578028</v>
      </c>
      <c r="G2015" s="52">
        <f>IF(expected_production[[#This Row],[Base Expected (kWh)]]="","",expected_production[[#This Row],[Base Expected (kWh)]]*expected_production[[#This Row],[Degradation Factor]])</f>
        <v>4152.8795537369442</v>
      </c>
    </row>
    <row r="2016" spans="1:7" ht="15" hidden="1" customHeight="1" x14ac:dyDescent="0.3">
      <c r="A2016" t="s">
        <v>177</v>
      </c>
      <c r="B2016" s="2">
        <v>46296</v>
      </c>
      <c r="C2016" s="52">
        <v>4289.3999999999996</v>
      </c>
      <c r="D2016" s="48">
        <f>_xlfn.XLOOKUP(expected_production[[#This Row],[Site Name]],Table1[[Site Name ]],Table1[Commisioned Date],"")</f>
        <v>44770</v>
      </c>
      <c r="E2016" s="47">
        <f>IF(ISNUMBER(expected_production[[#This Row],[Commissioned Date]]),MAX(0,(expected_production[[#This Row],[Date]]-expected_production[[#This Row],[Commissioned Date]])/365.25),"")</f>
        <v>4.1779603011635862</v>
      </c>
      <c r="F2016" s="49">
        <f>IF(expected_production[[#This Row],[Age (yrs)]]="",1,(1-DegradationRate)^expected_production[[#This Row],[Age (yrs)]])</f>
        <v>0.97107792427757633</v>
      </c>
      <c r="G2016" s="52">
        <f>IF(expected_production[[#This Row],[Base Expected (kWh)]]="","",expected_production[[#This Row],[Base Expected (kWh)]]*expected_production[[#This Row],[Degradation Factor]])</f>
        <v>4165.3416483962355</v>
      </c>
    </row>
    <row r="2017" spans="1:7" ht="15" hidden="1" customHeight="1" x14ac:dyDescent="0.3">
      <c r="A2017" t="s">
        <v>177</v>
      </c>
      <c r="B2017" s="2">
        <v>46327</v>
      </c>
      <c r="C2017" s="52">
        <v>4249.8</v>
      </c>
      <c r="D2017" s="48">
        <f>_xlfn.XLOOKUP(expected_production[[#This Row],[Site Name]],Table1[[Site Name ]],Table1[Commisioned Date],"")</f>
        <v>44770</v>
      </c>
      <c r="E2017" s="47">
        <f>IF(ISNUMBER(expected_production[[#This Row],[Commissioned Date]]),MAX(0,(expected_production[[#This Row],[Date]]-expected_production[[#This Row],[Commissioned Date]])/365.25),"")</f>
        <v>4.2628336755646821</v>
      </c>
      <c r="F2017" s="49">
        <f>IF(expected_production[[#This Row],[Age (yrs)]]="",1,(1-DegradationRate)^expected_production[[#This Row],[Age (yrs)]])</f>
        <v>0.97049913748006233</v>
      </c>
      <c r="G2017" s="52">
        <f>IF(expected_production[[#This Row],[Base Expected (kWh)]]="","",expected_production[[#This Row],[Base Expected (kWh)]]*expected_production[[#This Row],[Degradation Factor]])</f>
        <v>4124.4272344627689</v>
      </c>
    </row>
    <row r="2018" spans="1:7" ht="15" hidden="1" customHeight="1" x14ac:dyDescent="0.3">
      <c r="A2018" t="s">
        <v>177</v>
      </c>
      <c r="B2018" s="2">
        <v>46357</v>
      </c>
      <c r="C2018" s="52">
        <v>4446</v>
      </c>
      <c r="D2018" s="48">
        <f>_xlfn.XLOOKUP(expected_production[[#This Row],[Site Name]],Table1[[Site Name ]],Table1[Commisioned Date],"")</f>
        <v>44770</v>
      </c>
      <c r="E2018" s="47">
        <f>IF(ISNUMBER(expected_production[[#This Row],[Commissioned Date]]),MAX(0,(expected_production[[#This Row],[Date]]-expected_production[[#This Row],[Commissioned Date]])/365.25),"")</f>
        <v>4.344969199178645</v>
      </c>
      <c r="F2018" s="49">
        <f>IF(expected_production[[#This Row],[Age (yrs)]]="",1,(1-DegradationRate)^expected_production[[#This Row],[Age (yrs)]])</f>
        <v>0.96993934968527529</v>
      </c>
      <c r="G2018" s="52">
        <f>IF(expected_production[[#This Row],[Base Expected (kWh)]]="","",expected_production[[#This Row],[Base Expected (kWh)]]*expected_production[[#This Row],[Degradation Factor]])</f>
        <v>4312.3503487007338</v>
      </c>
    </row>
    <row r="2019" spans="1:7" ht="15" hidden="1" customHeight="1" x14ac:dyDescent="0.3">
      <c r="A2019" t="s">
        <v>265</v>
      </c>
      <c r="B2019" s="2">
        <v>45292</v>
      </c>
      <c r="C2019" s="52">
        <v>23065.02</v>
      </c>
      <c r="D2019" s="48">
        <f>_xlfn.XLOOKUP(expected_production[[#This Row],[Site Name]],Table1[[Site Name ]],Table1[Commisioned Date],"")</f>
        <v>44770</v>
      </c>
      <c r="E2019" s="47">
        <f>IF(ISNUMBER(expected_production[[#This Row],[Commissioned Date]]),MAX(0,(expected_production[[#This Row],[Date]]-expected_production[[#This Row],[Commissioned Date]])/365.25),"")</f>
        <v>1.429158110882957</v>
      </c>
      <c r="F2019" s="49">
        <f>IF(expected_production[[#This Row],[Age (yrs)]]="",1,(1-DegradationRate)^expected_production[[#This Row],[Age (yrs)]])</f>
        <v>0.99001093999654977</v>
      </c>
      <c r="G2019" s="52">
        <f>IF(expected_production[[#This Row],[Base Expected (kWh)]]="","",expected_production[[#This Row],[Base Expected (kWh)]]*expected_production[[#This Row],[Degradation Factor]])</f>
        <v>22834.622131239219</v>
      </c>
    </row>
    <row r="2020" spans="1:7" ht="15" hidden="1" customHeight="1" x14ac:dyDescent="0.3">
      <c r="A2020" t="s">
        <v>265</v>
      </c>
      <c r="B2020" s="2">
        <v>45323</v>
      </c>
      <c r="C2020" s="52">
        <v>20354.849999999999</v>
      </c>
      <c r="D2020" s="48">
        <f>_xlfn.XLOOKUP(expected_production[[#This Row],[Site Name]],Table1[[Site Name ]],Table1[Commisioned Date],"")</f>
        <v>44770</v>
      </c>
      <c r="E2020" s="47">
        <f>IF(ISNUMBER(expected_production[[#This Row],[Commissioned Date]]),MAX(0,(expected_production[[#This Row],[Date]]-expected_production[[#This Row],[Commissioned Date]])/365.25),"")</f>
        <v>1.514031485284052</v>
      </c>
      <c r="F2020" s="49">
        <f>IF(expected_production[[#This Row],[Age (yrs)]]="",1,(1-DegradationRate)^expected_production[[#This Row],[Age (yrs)]])</f>
        <v>0.9894208686468271</v>
      </c>
      <c r="G2020" s="52">
        <f>IF(expected_production[[#This Row],[Base Expected (kWh)]]="","",expected_production[[#This Row],[Base Expected (kWh)]]*expected_production[[#This Row],[Degradation Factor]])</f>
        <v>20139.513368175867</v>
      </c>
    </row>
    <row r="2021" spans="1:7" ht="15" hidden="1" customHeight="1" x14ac:dyDescent="0.3">
      <c r="A2021" t="s">
        <v>265</v>
      </c>
      <c r="B2021" s="2">
        <v>45352</v>
      </c>
      <c r="C2021" s="52">
        <v>21716.37</v>
      </c>
      <c r="D2021" s="48">
        <f>_xlfn.XLOOKUP(expected_production[[#This Row],[Site Name]],Table1[[Site Name ]],Table1[Commisioned Date],"")</f>
        <v>44770</v>
      </c>
      <c r="E2021" s="47">
        <f>IF(ISNUMBER(expected_production[[#This Row],[Commissioned Date]]),MAX(0,(expected_production[[#This Row],[Date]]-expected_production[[#This Row],[Commissioned Date]])/365.25),"")</f>
        <v>1.593429158110883</v>
      </c>
      <c r="F2021" s="49">
        <f>IF(expected_production[[#This Row],[Age (yrs)]]="",1,(1-DegradationRate)^expected_production[[#This Row],[Age (yrs)]])</f>
        <v>0.98886918481456199</v>
      </c>
      <c r="G2021" s="52">
        <f>IF(expected_production[[#This Row],[Base Expected (kWh)]]="","",expected_production[[#This Row],[Base Expected (kWh)]]*expected_production[[#This Row],[Degradation Factor]])</f>
        <v>21474.649099031409</v>
      </c>
    </row>
    <row r="2022" spans="1:7" ht="15" hidden="1" customHeight="1" x14ac:dyDescent="0.3">
      <c r="A2022" t="s">
        <v>265</v>
      </c>
      <c r="B2022" s="2">
        <v>45383</v>
      </c>
      <c r="C2022" s="52">
        <v>18847.89</v>
      </c>
      <c r="D2022" s="48">
        <f>_xlfn.XLOOKUP(expected_production[[#This Row],[Site Name]],Table1[[Site Name ]],Table1[Commisioned Date],"")</f>
        <v>44770</v>
      </c>
      <c r="E2022" s="47">
        <f>IF(ISNUMBER(expected_production[[#This Row],[Commissioned Date]]),MAX(0,(expected_production[[#This Row],[Date]]-expected_production[[#This Row],[Commissioned Date]])/365.25),"")</f>
        <v>1.678302532511978</v>
      </c>
      <c r="F2022" s="49">
        <f>IF(expected_production[[#This Row],[Age (yrs)]]="",1,(1-DegradationRate)^expected_production[[#This Row],[Age (yrs)]])</f>
        <v>0.98827979397956311</v>
      </c>
      <c r="G2022" s="52">
        <f>IF(expected_production[[#This Row],[Base Expected (kWh)]]="","",expected_production[[#This Row],[Base Expected (kWh)]]*expected_production[[#This Row],[Degradation Factor]])</f>
        <v>18626.988846149467</v>
      </c>
    </row>
    <row r="2023" spans="1:7" ht="15" hidden="1" customHeight="1" x14ac:dyDescent="0.3">
      <c r="A2023" t="s">
        <v>265</v>
      </c>
      <c r="B2023" s="2">
        <v>45413</v>
      </c>
      <c r="C2023" s="52">
        <v>18700.919999999998</v>
      </c>
      <c r="D2023" s="48">
        <f>_xlfn.XLOOKUP(expected_production[[#This Row],[Site Name]],Table1[[Site Name ]],Table1[Commisioned Date],"")</f>
        <v>44770</v>
      </c>
      <c r="E2023" s="47">
        <f>IF(ISNUMBER(expected_production[[#This Row],[Commissioned Date]]),MAX(0,(expected_production[[#This Row],[Date]]-expected_production[[#This Row],[Commissioned Date]])/365.25),"")</f>
        <v>1.7604380561259412</v>
      </c>
      <c r="F2023" s="49">
        <f>IF(expected_production[[#This Row],[Age (yrs)]]="",1,(1-DegradationRate)^expected_production[[#This Row],[Age (yrs)]])</f>
        <v>0.98770975023079588</v>
      </c>
      <c r="G2023" s="52">
        <f>IF(expected_production[[#This Row],[Base Expected (kWh)]]="","",expected_production[[#This Row],[Base Expected (kWh)]]*expected_production[[#This Row],[Degradation Factor]])</f>
        <v>18471.081022286093</v>
      </c>
    </row>
    <row r="2024" spans="1:7" ht="15" hidden="1" customHeight="1" x14ac:dyDescent="0.3">
      <c r="A2024" t="s">
        <v>265</v>
      </c>
      <c r="B2024" s="2">
        <v>45444</v>
      </c>
      <c r="C2024" s="52">
        <v>17164.439999999999</v>
      </c>
      <c r="D2024" s="48">
        <f>_xlfn.XLOOKUP(expected_production[[#This Row],[Site Name]],Table1[[Site Name ]],Table1[Commisioned Date],"")</f>
        <v>44770</v>
      </c>
      <c r="E2024" s="47">
        <f>IF(ISNUMBER(expected_production[[#This Row],[Commissioned Date]]),MAX(0,(expected_production[[#This Row],[Date]]-expected_production[[#This Row],[Commissioned Date]])/365.25),"")</f>
        <v>1.8453114305270362</v>
      </c>
      <c r="F2024" s="49">
        <f>IF(expected_production[[#This Row],[Age (yrs)]]="",1,(1-DegradationRate)^expected_production[[#This Row],[Age (yrs)]])</f>
        <v>0.98712105044788745</v>
      </c>
      <c r="G2024" s="52">
        <f>IF(expected_production[[#This Row],[Base Expected (kWh)]]="","",expected_production[[#This Row],[Base Expected (kWh)]]*expected_production[[#This Row],[Degradation Factor]])</f>
        <v>16943.380043149737</v>
      </c>
    </row>
    <row r="2025" spans="1:7" ht="15" hidden="1" customHeight="1" x14ac:dyDescent="0.3">
      <c r="A2025" t="s">
        <v>265</v>
      </c>
      <c r="B2025" s="2">
        <v>45474</v>
      </c>
      <c r="C2025" s="52">
        <v>18821.97</v>
      </c>
      <c r="D2025" s="48">
        <f>_xlfn.XLOOKUP(expected_production[[#This Row],[Site Name]],Table1[[Site Name ]],Table1[Commisioned Date],"")</f>
        <v>44770</v>
      </c>
      <c r="E2025" s="47">
        <f>IF(ISNUMBER(expected_production[[#This Row],[Commissioned Date]]),MAX(0,(expected_production[[#This Row],[Date]]-expected_production[[#This Row],[Commissioned Date]])/365.25),"")</f>
        <v>1.9274469541409993</v>
      </c>
      <c r="F2025" s="49">
        <f>IF(expected_production[[#This Row],[Age (yrs)]]="",1,(1-DegradationRate)^expected_production[[#This Row],[Age (yrs)]])</f>
        <v>0.98655167506703656</v>
      </c>
      <c r="G2025" s="52">
        <f>IF(expected_production[[#This Row],[Base Expected (kWh)]]="","",expected_production[[#This Row],[Base Expected (kWh)]]*expected_production[[#This Row],[Degradation Factor]])</f>
        <v>18568.846031561512</v>
      </c>
    </row>
    <row r="2026" spans="1:7" ht="15" hidden="1" customHeight="1" x14ac:dyDescent="0.3">
      <c r="A2026" t="s">
        <v>265</v>
      </c>
      <c r="B2026" s="2">
        <v>45505</v>
      </c>
      <c r="C2026" s="52">
        <v>21497.67</v>
      </c>
      <c r="D2026" s="48">
        <f>_xlfn.XLOOKUP(expected_production[[#This Row],[Site Name]],Table1[[Site Name ]],Table1[Commisioned Date],"")</f>
        <v>44770</v>
      </c>
      <c r="E2026" s="47">
        <f>IF(ISNUMBER(expected_production[[#This Row],[Commissioned Date]]),MAX(0,(expected_production[[#This Row],[Date]]-expected_production[[#This Row],[Commissioned Date]])/365.25),"")</f>
        <v>2.0123203285420943</v>
      </c>
      <c r="F2026" s="49">
        <f>IF(expected_production[[#This Row],[Age (yrs)]]="",1,(1-DegradationRate)^expected_production[[#This Row],[Age (yrs)]])</f>
        <v>0.98596366552597026</v>
      </c>
      <c r="G2026" s="52">
        <f>IF(expected_production[[#This Row],[Base Expected (kWh)]]="","",expected_production[[#This Row],[Base Expected (kWh)]]*expected_production[[#This Row],[Degradation Factor]])</f>
        <v>21195.921513467682</v>
      </c>
    </row>
    <row r="2027" spans="1:7" ht="15" hidden="1" customHeight="1" x14ac:dyDescent="0.3">
      <c r="A2027" t="s">
        <v>265</v>
      </c>
      <c r="B2027" s="2">
        <v>45536</v>
      </c>
      <c r="C2027" s="52">
        <v>22688.37</v>
      </c>
      <c r="D2027" s="48">
        <f>_xlfn.XLOOKUP(expected_production[[#This Row],[Site Name]],Table1[[Site Name ]],Table1[Commisioned Date],"")</f>
        <v>44770</v>
      </c>
      <c r="E2027" s="47">
        <f>IF(ISNUMBER(expected_production[[#This Row],[Commissioned Date]]),MAX(0,(expected_production[[#This Row],[Date]]-expected_production[[#This Row],[Commissioned Date]])/365.25),"")</f>
        <v>2.0971937029431897</v>
      </c>
      <c r="F2027" s="49">
        <f>IF(expected_production[[#This Row],[Age (yrs)]]="",1,(1-DegradationRate)^expected_production[[#This Row],[Age (yrs)]])</f>
        <v>0.98537600645333778</v>
      </c>
      <c r="G2027" s="52">
        <f>IF(expected_production[[#This Row],[Base Expected (kWh)]]="","",expected_production[[#This Row],[Base Expected (kWh)]]*expected_production[[#This Row],[Degradation Factor]])</f>
        <v>22356.575423535713</v>
      </c>
    </row>
    <row r="2028" spans="1:7" ht="15" hidden="1" customHeight="1" x14ac:dyDescent="0.3">
      <c r="A2028" t="s">
        <v>265</v>
      </c>
      <c r="B2028" s="2">
        <v>45566</v>
      </c>
      <c r="C2028" s="52">
        <v>22841.55</v>
      </c>
      <c r="D2028" s="48">
        <f>_xlfn.XLOOKUP(expected_production[[#This Row],[Site Name]],Table1[[Site Name ]],Table1[Commisioned Date],"")</f>
        <v>44770</v>
      </c>
      <c r="E2028" s="47">
        <f>IF(ISNUMBER(expected_production[[#This Row],[Commissioned Date]]),MAX(0,(expected_production[[#This Row],[Date]]-expected_production[[#This Row],[Commissioned Date]])/365.25),"")</f>
        <v>2.1793292265571527</v>
      </c>
      <c r="F2028" s="49">
        <f>IF(expected_production[[#This Row],[Age (yrs)]]="",1,(1-DegradationRate)^expected_production[[#This Row],[Age (yrs)]])</f>
        <v>0.98480763762086165</v>
      </c>
      <c r="G2028" s="52">
        <f>IF(expected_production[[#This Row],[Base Expected (kWh)]]="","",expected_production[[#This Row],[Base Expected (kWh)]]*expected_production[[#This Row],[Degradation Factor]])</f>
        <v>22494.532895098793</v>
      </c>
    </row>
    <row r="2029" spans="1:7" ht="15" hidden="1" customHeight="1" x14ac:dyDescent="0.3">
      <c r="A2029" t="s">
        <v>265</v>
      </c>
      <c r="B2029" s="2">
        <v>45597</v>
      </c>
      <c r="C2029" s="52">
        <v>22507.919999999998</v>
      </c>
      <c r="D2029" s="48">
        <f>_xlfn.XLOOKUP(expected_production[[#This Row],[Site Name]],Table1[[Site Name ]],Table1[Commisioned Date],"")</f>
        <v>44770</v>
      </c>
      <c r="E2029" s="47">
        <f>IF(ISNUMBER(expected_production[[#This Row],[Commissioned Date]]),MAX(0,(expected_production[[#This Row],[Date]]-expected_production[[#This Row],[Commissioned Date]])/365.25),"")</f>
        <v>2.2642026009582477</v>
      </c>
      <c r="F2029" s="49">
        <f>IF(expected_production[[#This Row],[Age (yrs)]]="",1,(1-DegradationRate)^expected_production[[#This Row],[Age (yrs)]])</f>
        <v>0.98422066756985371</v>
      </c>
      <c r="G2029" s="52">
        <f>IF(expected_production[[#This Row],[Base Expected (kWh)]]="","",expected_production[[#This Row],[Base Expected (kWh)]]*expected_production[[#This Row],[Degradation Factor]])</f>
        <v>22152.760048008859</v>
      </c>
    </row>
    <row r="2030" spans="1:7" ht="15" hidden="1" customHeight="1" x14ac:dyDescent="0.3">
      <c r="A2030" t="s">
        <v>265</v>
      </c>
      <c r="B2030" s="2">
        <v>45627</v>
      </c>
      <c r="C2030" s="52">
        <v>23494.59</v>
      </c>
      <c r="D2030" s="48">
        <f>_xlfn.XLOOKUP(expected_production[[#This Row],[Site Name]],Table1[[Site Name ]],Table1[Commisioned Date],"")</f>
        <v>44770</v>
      </c>
      <c r="E2030" s="47">
        <f>IF(ISNUMBER(expected_production[[#This Row],[Commissioned Date]]),MAX(0,(expected_production[[#This Row],[Date]]-expected_production[[#This Row],[Commissioned Date]])/365.25),"")</f>
        <v>2.346338124572211</v>
      </c>
      <c r="F2030" s="49">
        <f>IF(expected_production[[#This Row],[Age (yrs)]]="",1,(1-DegradationRate)^expected_production[[#This Row],[Age (yrs)]])</f>
        <v>0.98365296514147915</v>
      </c>
      <c r="G2030" s="52">
        <f>IF(expected_production[[#This Row],[Base Expected (kWh)]]="","",expected_production[[#This Row],[Base Expected (kWh)]]*expected_production[[#This Row],[Degradation Factor]])</f>
        <v>23110.523118283345</v>
      </c>
    </row>
    <row r="2031" spans="1:7" ht="15" hidden="1" customHeight="1" x14ac:dyDescent="0.3">
      <c r="A2031" t="s">
        <v>265</v>
      </c>
      <c r="B2031" s="2">
        <v>45658</v>
      </c>
      <c r="C2031" s="52">
        <v>23065.02</v>
      </c>
      <c r="D2031" s="48">
        <f>_xlfn.XLOOKUP(expected_production[[#This Row],[Site Name]],Table1[[Site Name ]],Table1[Commisioned Date],"")</f>
        <v>44770</v>
      </c>
      <c r="E2031" s="47">
        <f>IF(ISNUMBER(expected_production[[#This Row],[Commissioned Date]]),MAX(0,(expected_production[[#This Row],[Date]]-expected_production[[#This Row],[Commissioned Date]])/365.25),"")</f>
        <v>2.431211498973306</v>
      </c>
      <c r="F2031" s="49">
        <f>IF(expected_production[[#This Row],[Age (yrs)]]="",1,(1-DegradationRate)^expected_production[[#This Row],[Age (yrs)]])</f>
        <v>0.98306668330422819</v>
      </c>
      <c r="G2031" s="52">
        <f>IF(expected_production[[#This Row],[Base Expected (kWh)]]="","",expected_production[[#This Row],[Base Expected (kWh)]]*expected_production[[#This Row],[Degradation Factor]])</f>
        <v>22674.452711745689</v>
      </c>
    </row>
    <row r="2032" spans="1:7" ht="15" hidden="1" customHeight="1" x14ac:dyDescent="0.3">
      <c r="A2032" t="s">
        <v>265</v>
      </c>
      <c r="B2032" s="2">
        <v>45689</v>
      </c>
      <c r="C2032" s="52">
        <v>20354.849999999999</v>
      </c>
      <c r="D2032" s="48">
        <f>_xlfn.XLOOKUP(expected_production[[#This Row],[Site Name]],Table1[[Site Name ]],Table1[Commisioned Date],"")</f>
        <v>44770</v>
      </c>
      <c r="E2032" s="47">
        <f>IF(ISNUMBER(expected_production[[#This Row],[Commissioned Date]]),MAX(0,(expected_production[[#This Row],[Date]]-expected_production[[#This Row],[Commissioned Date]])/365.25),"")</f>
        <v>2.516084873374401</v>
      </c>
      <c r="F2032" s="49">
        <f>IF(expected_production[[#This Row],[Age (yrs)]]="",1,(1-DegradationRate)^expected_production[[#This Row],[Age (yrs)]])</f>
        <v>0.98248075090565623</v>
      </c>
      <c r="G2032" s="52">
        <f>IF(expected_production[[#This Row],[Base Expected (kWh)]]="","",expected_production[[#This Row],[Base Expected (kWh)]]*expected_production[[#This Row],[Degradation Factor]])</f>
        <v>19998.248312571995</v>
      </c>
    </row>
    <row r="2033" spans="1:7" ht="15" hidden="1" customHeight="1" x14ac:dyDescent="0.3">
      <c r="A2033" t="s">
        <v>265</v>
      </c>
      <c r="B2033" s="2">
        <v>45717</v>
      </c>
      <c r="C2033" s="52">
        <v>21716.37</v>
      </c>
      <c r="D2033" s="48">
        <f>_xlfn.XLOOKUP(expected_production[[#This Row],[Site Name]],Table1[[Site Name ]],Table1[Commisioned Date],"")</f>
        <v>44770</v>
      </c>
      <c r="E2033" s="47">
        <f>IF(ISNUMBER(expected_production[[#This Row],[Commissioned Date]]),MAX(0,(expected_production[[#This Row],[Date]]-expected_production[[#This Row],[Commissioned Date]])/365.25),"")</f>
        <v>2.5927446954140998</v>
      </c>
      <c r="F2033" s="49">
        <f>IF(expected_production[[#This Row],[Age (yrs)]]="",1,(1-DegradationRate)^expected_production[[#This Row],[Age (yrs)]])</f>
        <v>0.98195182181918472</v>
      </c>
      <c r="G2033" s="52">
        <f>IF(expected_production[[#This Row],[Base Expected (kWh)]]="","",expected_production[[#This Row],[Base Expected (kWh)]]*expected_production[[#This Row],[Degradation Factor]])</f>
        <v>21324.429084799489</v>
      </c>
    </row>
    <row r="2034" spans="1:7" ht="15" hidden="1" customHeight="1" x14ac:dyDescent="0.3">
      <c r="A2034" t="s">
        <v>265</v>
      </c>
      <c r="B2034" s="2">
        <v>45748</v>
      </c>
      <c r="C2034" s="52">
        <v>18847.89</v>
      </c>
      <c r="D2034" s="48">
        <f>_xlfn.XLOOKUP(expected_production[[#This Row],[Site Name]],Table1[[Site Name ]],Table1[Commisioned Date],"")</f>
        <v>44770</v>
      </c>
      <c r="E2034" s="47">
        <f>IF(ISNUMBER(expected_production[[#This Row],[Commissioned Date]]),MAX(0,(expected_production[[#This Row],[Date]]-expected_production[[#This Row],[Commissioned Date]])/365.25),"")</f>
        <v>2.6776180698151952</v>
      </c>
      <c r="F2034" s="49">
        <f>IF(expected_production[[#This Row],[Age (yrs)]]="",1,(1-DegradationRate)^expected_production[[#This Row],[Age (yrs)]])</f>
        <v>0.98136655390601857</v>
      </c>
      <c r="G2034" s="52">
        <f>IF(expected_production[[#This Row],[Base Expected (kWh)]]="","",expected_production[[#This Row],[Base Expected (kWh)]]*expected_production[[#This Row],[Degradation Factor]])</f>
        <v>18496.688857699708</v>
      </c>
    </row>
    <row r="2035" spans="1:7" ht="15" hidden="1" customHeight="1" x14ac:dyDescent="0.3">
      <c r="A2035" t="s">
        <v>265</v>
      </c>
      <c r="B2035" s="2">
        <v>45778</v>
      </c>
      <c r="C2035" s="52">
        <v>18700.919999999998</v>
      </c>
      <c r="D2035" s="48">
        <f>_xlfn.XLOOKUP(expected_production[[#This Row],[Site Name]],Table1[[Site Name ]],Table1[Commisioned Date],"")</f>
        <v>44770</v>
      </c>
      <c r="E2035" s="47">
        <f>IF(ISNUMBER(expected_production[[#This Row],[Commissioned Date]]),MAX(0,(expected_production[[#This Row],[Date]]-expected_production[[#This Row],[Commissioned Date]])/365.25),"")</f>
        <v>2.7597535934291582</v>
      </c>
      <c r="F2035" s="49">
        <f>IF(expected_production[[#This Row],[Age (yrs)]]="",1,(1-DegradationRate)^expected_production[[#This Row],[Age (yrs)]])</f>
        <v>0.98080049774185196</v>
      </c>
      <c r="G2035" s="52">
        <f>IF(expected_production[[#This Row],[Base Expected (kWh)]]="","",expected_production[[#This Row],[Base Expected (kWh)]]*expected_production[[#This Row],[Degradation Factor]])</f>
        <v>18341.871644230552</v>
      </c>
    </row>
    <row r="2036" spans="1:7" ht="15" hidden="1" customHeight="1" x14ac:dyDescent="0.3">
      <c r="A2036" t="s">
        <v>265</v>
      </c>
      <c r="B2036" s="2">
        <v>45809</v>
      </c>
      <c r="C2036" s="52">
        <v>17164.439999999999</v>
      </c>
      <c r="D2036" s="48">
        <f>_xlfn.XLOOKUP(expected_production[[#This Row],[Site Name]],Table1[[Site Name ]],Table1[Commisioned Date],"")</f>
        <v>44770</v>
      </c>
      <c r="E2036" s="47">
        <f>IF(ISNUMBER(expected_production[[#This Row],[Commissioned Date]]),MAX(0,(expected_production[[#This Row],[Date]]-expected_production[[#This Row],[Commissioned Date]])/365.25),"")</f>
        <v>2.8446269678302532</v>
      </c>
      <c r="F2036" s="49">
        <f>IF(expected_production[[#This Row],[Age (yrs)]]="",1,(1-DegradationRate)^expected_production[[#This Row],[Age (yrs)]])</f>
        <v>0.9802159160467111</v>
      </c>
      <c r="G2036" s="52">
        <f>IF(expected_production[[#This Row],[Base Expected (kWh)]]="","",expected_production[[#This Row],[Base Expected (kWh)]]*expected_production[[#This Row],[Degradation Factor]])</f>
        <v>16824.857278028809</v>
      </c>
    </row>
    <row r="2037" spans="1:7" ht="15" hidden="1" customHeight="1" x14ac:dyDescent="0.3">
      <c r="A2037" t="s">
        <v>265</v>
      </c>
      <c r="B2037" s="2">
        <v>45839</v>
      </c>
      <c r="C2037" s="52">
        <v>18821.97</v>
      </c>
      <c r="D2037" s="48">
        <f>_xlfn.XLOOKUP(expected_production[[#This Row],[Site Name]],Table1[[Site Name ]],Table1[Commisioned Date],"")</f>
        <v>44770</v>
      </c>
      <c r="E2037" s="47">
        <f>IF(ISNUMBER(expected_production[[#This Row],[Commissioned Date]]),MAX(0,(expected_production[[#This Row],[Date]]-expected_production[[#This Row],[Commissioned Date]])/365.25),"")</f>
        <v>2.9267624914442161</v>
      </c>
      <c r="F2037" s="49">
        <f>IF(expected_production[[#This Row],[Age (yrs)]]="",1,(1-DegradationRate)^expected_production[[#This Row],[Age (yrs)]])</f>
        <v>0.97965052357507665</v>
      </c>
      <c r="G2037" s="52">
        <f>IF(expected_production[[#This Row],[Base Expected (kWh)]]="","",expected_production[[#This Row],[Base Expected (kWh)]]*expected_production[[#This Row],[Degradation Factor]])</f>
        <v>18438.952765214388</v>
      </c>
    </row>
    <row r="2038" spans="1:7" ht="15" hidden="1" customHeight="1" x14ac:dyDescent="0.3">
      <c r="A2038" t="s">
        <v>265</v>
      </c>
      <c r="B2038" s="2">
        <v>45870</v>
      </c>
      <c r="C2038" s="52">
        <v>21497.67</v>
      </c>
      <c r="D2038" s="48">
        <f>_xlfn.XLOOKUP(expected_production[[#This Row],[Site Name]],Table1[[Site Name ]],Table1[Commisioned Date],"")</f>
        <v>44770</v>
      </c>
      <c r="E2038" s="47">
        <f>IF(ISNUMBER(expected_production[[#This Row],[Commissioned Date]]),MAX(0,(expected_production[[#This Row],[Date]]-expected_production[[#This Row],[Commissioned Date]])/365.25),"")</f>
        <v>3.0116358658453115</v>
      </c>
      <c r="F2038" s="49">
        <f>IF(expected_production[[#This Row],[Age (yrs)]]="",1,(1-DegradationRate)^expected_production[[#This Row],[Age (yrs)]])</f>
        <v>0.97906662729338045</v>
      </c>
      <c r="G2038" s="52">
        <f>IF(expected_production[[#This Row],[Base Expected (kWh)]]="","",expected_production[[#This Row],[Base Expected (kWh)]]*expected_production[[#This Row],[Degradation Factor]])</f>
        <v>21047.651261566083</v>
      </c>
    </row>
    <row r="2039" spans="1:7" ht="15" hidden="1" customHeight="1" x14ac:dyDescent="0.3">
      <c r="A2039" t="s">
        <v>265</v>
      </c>
      <c r="B2039" s="2">
        <v>45901</v>
      </c>
      <c r="C2039" s="52">
        <v>22688.37</v>
      </c>
      <c r="D2039" s="48">
        <f>_xlfn.XLOOKUP(expected_production[[#This Row],[Site Name]],Table1[[Site Name ]],Table1[Commisioned Date],"")</f>
        <v>44770</v>
      </c>
      <c r="E2039" s="47">
        <f>IF(ISNUMBER(expected_production[[#This Row],[Commissioned Date]]),MAX(0,(expected_production[[#This Row],[Date]]-expected_production[[#This Row],[Commissioned Date]])/365.25),"")</f>
        <v>3.0965092402464065</v>
      </c>
      <c r="F2039" s="49">
        <f>IF(expected_production[[#This Row],[Age (yrs)]]="",1,(1-DegradationRate)^expected_production[[#This Row],[Age (yrs)]])</f>
        <v>0.97848307902851239</v>
      </c>
      <c r="G2039" s="52">
        <f>IF(expected_production[[#This Row],[Base Expected (kWh)]]="","",expected_production[[#This Row],[Base Expected (kWh)]]*expected_production[[#This Row],[Degradation Factor]])</f>
        <v>22200.186135738128</v>
      </c>
    </row>
    <row r="2040" spans="1:7" ht="15" hidden="1" customHeight="1" x14ac:dyDescent="0.3">
      <c r="A2040" t="s">
        <v>265</v>
      </c>
      <c r="B2040" s="2">
        <v>45931</v>
      </c>
      <c r="C2040" s="52">
        <v>22841.55</v>
      </c>
      <c r="D2040" s="48">
        <f>_xlfn.XLOOKUP(expected_production[[#This Row],[Site Name]],Table1[[Site Name ]],Table1[Commisioned Date],"")</f>
        <v>44770</v>
      </c>
      <c r="E2040" s="47">
        <f>IF(ISNUMBER(expected_production[[#This Row],[Commissioned Date]]),MAX(0,(expected_production[[#This Row],[Date]]-expected_production[[#This Row],[Commissioned Date]])/365.25),"")</f>
        <v>3.1786447638603694</v>
      </c>
      <c r="F2040" s="49">
        <f>IF(expected_production[[#This Row],[Age (yrs)]]="",1,(1-DegradationRate)^expected_production[[#This Row],[Age (yrs)]])</f>
        <v>0.97791868606421972</v>
      </c>
      <c r="G2040" s="52">
        <f>IF(expected_production[[#This Row],[Base Expected (kWh)]]="","",expected_production[[#This Row],[Base Expected (kWh)]]*expected_production[[#This Row],[Degradation Factor]])</f>
        <v>22337.178563670179</v>
      </c>
    </row>
    <row r="2041" spans="1:7" ht="15" hidden="1" customHeight="1" x14ac:dyDescent="0.3">
      <c r="A2041" t="s">
        <v>265</v>
      </c>
      <c r="B2041" s="2">
        <v>45962</v>
      </c>
      <c r="C2041" s="52">
        <v>22507.919999999998</v>
      </c>
      <c r="D2041" s="48">
        <f>_xlfn.XLOOKUP(expected_production[[#This Row],[Site Name]],Table1[[Site Name ]],Table1[Commisioned Date],"")</f>
        <v>44770</v>
      </c>
      <c r="E2041" s="47">
        <f>IF(ISNUMBER(expected_production[[#This Row],[Commissioned Date]]),MAX(0,(expected_production[[#This Row],[Date]]-expected_production[[#This Row],[Commissioned Date]])/365.25),"")</f>
        <v>3.2635181382614649</v>
      </c>
      <c r="F2041" s="49">
        <f>IF(expected_production[[#This Row],[Age (yrs)]]="",1,(1-DegradationRate)^expected_production[[#This Row],[Age (yrs)]])</f>
        <v>0.97733582200111457</v>
      </c>
      <c r="G2041" s="52">
        <f>IF(expected_production[[#This Row],[Base Expected (kWh)]]="","",expected_production[[#This Row],[Base Expected (kWh)]]*expected_production[[#This Row],[Degradation Factor]])</f>
        <v>21997.796494735325</v>
      </c>
    </row>
    <row r="2042" spans="1:7" ht="15" hidden="1" customHeight="1" x14ac:dyDescent="0.3">
      <c r="A2042" t="s">
        <v>265</v>
      </c>
      <c r="B2042" s="2">
        <v>45992</v>
      </c>
      <c r="C2042" s="52">
        <v>23494.59</v>
      </c>
      <c r="D2042" s="48">
        <f>_xlfn.XLOOKUP(expected_production[[#This Row],[Site Name]],Table1[[Site Name ]],Table1[Commisioned Date],"")</f>
        <v>44770</v>
      </c>
      <c r="E2042" s="47">
        <f>IF(ISNUMBER(expected_production[[#This Row],[Commissioned Date]]),MAX(0,(expected_production[[#This Row],[Date]]-expected_production[[#This Row],[Commissioned Date]])/365.25),"")</f>
        <v>3.3456536618754278</v>
      </c>
      <c r="F2042" s="49">
        <f>IF(expected_production[[#This Row],[Age (yrs)]]="",1,(1-DegradationRate)^expected_production[[#This Row],[Age (yrs)]])</f>
        <v>0.9767720907792764</v>
      </c>
      <c r="G2042" s="52">
        <f>IF(expected_production[[#This Row],[Base Expected (kWh)]]="","",expected_production[[#This Row],[Base Expected (kWh)]]*expected_production[[#This Row],[Degradation Factor]])</f>
        <v>22948.85979630188</v>
      </c>
    </row>
    <row r="2043" spans="1:7" ht="15" hidden="1" customHeight="1" x14ac:dyDescent="0.3">
      <c r="A2043" t="s">
        <v>265</v>
      </c>
      <c r="B2043" s="2">
        <v>46023</v>
      </c>
      <c r="C2043" s="52">
        <v>23065.02</v>
      </c>
      <c r="D2043" s="48">
        <f>_xlfn.XLOOKUP(expected_production[[#This Row],[Site Name]],Table1[[Site Name ]],Table1[Commisioned Date],"")</f>
        <v>44770</v>
      </c>
      <c r="E2043" s="47">
        <f>IF(ISNUMBER(expected_production[[#This Row],[Commissioned Date]]),MAX(0,(expected_production[[#This Row],[Date]]-expected_production[[#This Row],[Commissioned Date]])/365.25),"")</f>
        <v>3.4305270362765228</v>
      </c>
      <c r="F2043" s="49">
        <f>IF(expected_production[[#This Row],[Age (yrs)]]="",1,(1-DegradationRate)^expected_production[[#This Row],[Age (yrs)]])</f>
        <v>0.97618991011571776</v>
      </c>
      <c r="G2043" s="52">
        <f>IF(expected_production[[#This Row],[Base Expected (kWh)]]="","",expected_production[[#This Row],[Base Expected (kWh)]]*expected_production[[#This Row],[Degradation Factor]])</f>
        <v>22515.839800617232</v>
      </c>
    </row>
    <row r="2044" spans="1:7" ht="15" hidden="1" customHeight="1" x14ac:dyDescent="0.3">
      <c r="A2044" t="s">
        <v>265</v>
      </c>
      <c r="B2044" s="2">
        <v>46054</v>
      </c>
      <c r="C2044" s="52">
        <v>20354.849999999999</v>
      </c>
      <c r="D2044" s="48">
        <f>_xlfn.XLOOKUP(expected_production[[#This Row],[Site Name]],Table1[[Site Name ]],Table1[Commisioned Date],"")</f>
        <v>44770</v>
      </c>
      <c r="E2044" s="47">
        <f>IF(ISNUMBER(expected_production[[#This Row],[Commissioned Date]]),MAX(0,(expected_production[[#This Row],[Date]]-expected_production[[#This Row],[Commissioned Date]])/365.25),"")</f>
        <v>3.5154004106776182</v>
      </c>
      <c r="F2044" s="49">
        <f>IF(expected_production[[#This Row],[Age (yrs)]]="",1,(1-DegradationRate)^expected_production[[#This Row],[Age (yrs)]])</f>
        <v>0.97560807644643566</v>
      </c>
      <c r="G2044" s="52">
        <f>IF(expected_production[[#This Row],[Base Expected (kWh)]]="","",expected_production[[#This Row],[Base Expected (kWh)]]*expected_production[[#This Row],[Degradation Factor]])</f>
        <v>19858.356054855729</v>
      </c>
    </row>
    <row r="2045" spans="1:7" ht="15" hidden="1" customHeight="1" x14ac:dyDescent="0.3">
      <c r="A2045" t="s">
        <v>265</v>
      </c>
      <c r="B2045" s="2">
        <v>46082</v>
      </c>
      <c r="C2045" s="52">
        <v>21716.37</v>
      </c>
      <c r="D2045" s="48">
        <f>_xlfn.XLOOKUP(expected_production[[#This Row],[Site Name]],Table1[[Site Name ]],Table1[Commisioned Date],"")</f>
        <v>44770</v>
      </c>
      <c r="E2045" s="47">
        <f>IF(ISNUMBER(expected_production[[#This Row],[Commissioned Date]]),MAX(0,(expected_production[[#This Row],[Date]]-expected_production[[#This Row],[Commissioned Date]])/365.25),"")</f>
        <v>3.592060232717317</v>
      </c>
      <c r="F2045" s="49">
        <f>IF(expected_production[[#This Row],[Age (yrs)]]="",1,(1-DegradationRate)^expected_production[[#This Row],[Age (yrs)]])</f>
        <v>0.97508284733822836</v>
      </c>
      <c r="G2045" s="52">
        <f>IF(expected_production[[#This Row],[Base Expected (kWh)]]="","",expected_production[[#This Row],[Base Expected (kWh)]]*expected_production[[#This Row],[Degradation Factor]])</f>
        <v>21175.259893450482</v>
      </c>
    </row>
    <row r="2046" spans="1:7" ht="15" hidden="1" customHeight="1" x14ac:dyDescent="0.3">
      <c r="A2046" t="s">
        <v>265</v>
      </c>
      <c r="B2046" s="2">
        <v>46113</v>
      </c>
      <c r="C2046" s="52">
        <v>18847.89</v>
      </c>
      <c r="D2046" s="48">
        <f>_xlfn.XLOOKUP(expected_production[[#This Row],[Site Name]],Table1[[Site Name ]],Table1[Commisioned Date],"")</f>
        <v>44770</v>
      </c>
      <c r="E2046" s="47">
        <f>IF(ISNUMBER(expected_production[[#This Row],[Commissioned Date]]),MAX(0,(expected_production[[#This Row],[Date]]-expected_production[[#This Row],[Commissioned Date]])/365.25),"")</f>
        <v>3.676933607118412</v>
      </c>
      <c r="F2046" s="49">
        <f>IF(expected_production[[#This Row],[Age (yrs)]]="",1,(1-DegradationRate)^expected_production[[#This Row],[Age (yrs)]])</f>
        <v>0.97450167350612671</v>
      </c>
      <c r="G2046" s="52">
        <f>IF(expected_production[[#This Row],[Base Expected (kWh)]]="","",expected_production[[#This Row],[Base Expected (kWh)]]*expected_production[[#This Row],[Degradation Factor]])</f>
        <v>18367.30034705939</v>
      </c>
    </row>
    <row r="2047" spans="1:7" ht="15" hidden="1" customHeight="1" x14ac:dyDescent="0.3">
      <c r="A2047" t="s">
        <v>265</v>
      </c>
      <c r="B2047" s="2">
        <v>46143</v>
      </c>
      <c r="C2047" s="52">
        <v>18700.919999999998</v>
      </c>
      <c r="D2047" s="48">
        <f>_xlfn.XLOOKUP(expected_production[[#This Row],[Site Name]],Table1[[Site Name ]],Table1[Commisioned Date],"")</f>
        <v>44770</v>
      </c>
      <c r="E2047" s="47">
        <f>IF(ISNUMBER(expected_production[[#This Row],[Commissioned Date]]),MAX(0,(expected_production[[#This Row],[Date]]-expected_production[[#This Row],[Commissioned Date]])/365.25),"")</f>
        <v>3.7590691307323749</v>
      </c>
      <c r="F2047" s="49">
        <f>IF(expected_production[[#This Row],[Age (yrs)]]="",1,(1-DegradationRate)^expected_production[[#This Row],[Age (yrs)]])</f>
        <v>0.97393957703250722</v>
      </c>
      <c r="G2047" s="52">
        <f>IF(expected_production[[#This Row],[Base Expected (kWh)]]="","",expected_production[[#This Row],[Base Expected (kWh)]]*expected_production[[#This Row],[Degradation Factor]])</f>
        <v>18213.566114918754</v>
      </c>
    </row>
    <row r="2048" spans="1:7" ht="15" hidden="1" customHeight="1" x14ac:dyDescent="0.3">
      <c r="A2048" t="s">
        <v>265</v>
      </c>
      <c r="B2048" s="2">
        <v>46174</v>
      </c>
      <c r="C2048" s="52">
        <v>17164.439999999999</v>
      </c>
      <c r="D2048" s="48">
        <f>_xlfn.XLOOKUP(expected_production[[#This Row],[Site Name]],Table1[[Site Name ]],Table1[Commisioned Date],"")</f>
        <v>44770</v>
      </c>
      <c r="E2048" s="47">
        <f>IF(ISNUMBER(expected_production[[#This Row],[Commissioned Date]]),MAX(0,(expected_production[[#This Row],[Date]]-expected_production[[#This Row],[Commissioned Date]])/365.25),"")</f>
        <v>3.8439425051334704</v>
      </c>
      <c r="F2048" s="49">
        <f>IF(expected_production[[#This Row],[Age (yrs)]]="",1,(1-DegradationRate)^expected_production[[#This Row],[Age (yrs)]])</f>
        <v>0.97335908461818099</v>
      </c>
      <c r="G2048" s="52">
        <f>IF(expected_production[[#This Row],[Base Expected (kWh)]]="","",expected_production[[#This Row],[Base Expected (kWh)]]*expected_production[[#This Row],[Degradation Factor]])</f>
        <v>16707.163606383689</v>
      </c>
    </row>
    <row r="2049" spans="1:7" ht="15" hidden="1" customHeight="1" x14ac:dyDescent="0.3">
      <c r="A2049" t="s">
        <v>265</v>
      </c>
      <c r="B2049" s="2">
        <v>46204</v>
      </c>
      <c r="C2049" s="52">
        <v>18821.97</v>
      </c>
      <c r="D2049" s="48">
        <f>_xlfn.XLOOKUP(expected_production[[#This Row],[Site Name]],Table1[[Site Name ]],Table1[Commisioned Date],"")</f>
        <v>44770</v>
      </c>
      <c r="E2049" s="47">
        <f>IF(ISNUMBER(expected_production[[#This Row],[Commissioned Date]]),MAX(0,(expected_production[[#This Row],[Date]]-expected_production[[#This Row],[Commissioned Date]])/365.25),"")</f>
        <v>3.9260780287474333</v>
      </c>
      <c r="F2049" s="49">
        <f>IF(expected_production[[#This Row],[Age (yrs)]]="",1,(1-DegradationRate)^expected_production[[#This Row],[Age (yrs)]])</f>
        <v>0.97279764719441453</v>
      </c>
      <c r="G2049" s="52">
        <f>IF(expected_production[[#This Row],[Base Expected (kWh)]]="","",expected_production[[#This Row],[Base Expected (kWh)]]*expected_production[[#This Row],[Degradation Factor]])</f>
        <v>18309.968131563855</v>
      </c>
    </row>
    <row r="2050" spans="1:7" ht="15" hidden="1" customHeight="1" x14ac:dyDescent="0.3">
      <c r="A2050" t="s">
        <v>265</v>
      </c>
      <c r="B2050" s="2">
        <v>46235</v>
      </c>
      <c r="C2050" s="52">
        <v>21497.67</v>
      </c>
      <c r="D2050" s="48">
        <f>_xlfn.XLOOKUP(expected_production[[#This Row],[Site Name]],Table1[[Site Name ]],Table1[Commisioned Date],"")</f>
        <v>44770</v>
      </c>
      <c r="E2050" s="47">
        <f>IF(ISNUMBER(expected_production[[#This Row],[Commissioned Date]]),MAX(0,(expected_production[[#This Row],[Date]]-expected_production[[#This Row],[Commissioned Date]])/365.25),"")</f>
        <v>4.0109514031485283</v>
      </c>
      <c r="F2050" s="49">
        <f>IF(expected_production[[#This Row],[Age (yrs)]]="",1,(1-DegradationRate)^expected_production[[#This Row],[Age (yrs)]])</f>
        <v>0.97221783539891149</v>
      </c>
      <c r="G2050" s="52">
        <f>IF(expected_production[[#This Row],[Base Expected (kWh)]]="","",expected_production[[#This Row],[Base Expected (kWh)]]*expected_production[[#This Row],[Degradation Factor]])</f>
        <v>20900.418193520116</v>
      </c>
    </row>
    <row r="2051" spans="1:7" ht="15" hidden="1" customHeight="1" x14ac:dyDescent="0.3">
      <c r="A2051" t="s">
        <v>265</v>
      </c>
      <c r="B2051" s="2">
        <v>46266</v>
      </c>
      <c r="C2051" s="52">
        <v>22688.37</v>
      </c>
      <c r="D2051" s="48">
        <f>_xlfn.XLOOKUP(expected_production[[#This Row],[Site Name]],Table1[[Site Name ]],Table1[Commisioned Date],"")</f>
        <v>44770</v>
      </c>
      <c r="E2051" s="47">
        <f>IF(ISNUMBER(expected_production[[#This Row],[Commissioned Date]]),MAX(0,(expected_production[[#This Row],[Date]]-expected_production[[#This Row],[Commissioned Date]])/365.25),"")</f>
        <v>4.0958247775496233</v>
      </c>
      <c r="F2051" s="49">
        <f>IF(expected_production[[#This Row],[Age (yrs)]]="",1,(1-DegradationRate)^expected_production[[#This Row],[Age (yrs)]])</f>
        <v>0.97163836918578028</v>
      </c>
      <c r="G2051" s="52">
        <f>IF(expected_production[[#This Row],[Base Expected (kWh)]]="","",expected_production[[#This Row],[Base Expected (kWh)]]*expected_production[[#This Row],[Degradation Factor]])</f>
        <v>22044.890826283579</v>
      </c>
    </row>
    <row r="2052" spans="1:7" ht="15" hidden="1" customHeight="1" x14ac:dyDescent="0.3">
      <c r="A2052" t="s">
        <v>265</v>
      </c>
      <c r="B2052" s="2">
        <v>46296</v>
      </c>
      <c r="C2052" s="52">
        <v>22841.55</v>
      </c>
      <c r="D2052" s="48">
        <f>_xlfn.XLOOKUP(expected_production[[#This Row],[Site Name]],Table1[[Site Name ]],Table1[Commisioned Date],"")</f>
        <v>44770</v>
      </c>
      <c r="E2052" s="47">
        <f>IF(ISNUMBER(expected_production[[#This Row],[Commissioned Date]]),MAX(0,(expected_production[[#This Row],[Date]]-expected_production[[#This Row],[Commissioned Date]])/365.25),"")</f>
        <v>4.1779603011635862</v>
      </c>
      <c r="F2052" s="49">
        <f>IF(expected_production[[#This Row],[Age (yrs)]]="",1,(1-DegradationRate)^expected_production[[#This Row],[Age (yrs)]])</f>
        <v>0.97107792427757633</v>
      </c>
      <c r="G2052" s="52">
        <f>IF(expected_production[[#This Row],[Base Expected (kWh)]]="","",expected_production[[#This Row],[Base Expected (kWh)]]*expected_production[[#This Row],[Degradation Factor]])</f>
        <v>22180.924961282471</v>
      </c>
    </row>
    <row r="2053" spans="1:7" ht="15" hidden="1" customHeight="1" x14ac:dyDescent="0.3">
      <c r="A2053" t="s">
        <v>265</v>
      </c>
      <c r="B2053" s="2">
        <v>46327</v>
      </c>
      <c r="C2053" s="52">
        <v>22507.919999999998</v>
      </c>
      <c r="D2053" s="48">
        <f>_xlfn.XLOOKUP(expected_production[[#This Row],[Site Name]],Table1[[Site Name ]],Table1[Commisioned Date],"")</f>
        <v>44770</v>
      </c>
      <c r="E2053" s="47">
        <f>IF(ISNUMBER(expected_production[[#This Row],[Commissioned Date]]),MAX(0,(expected_production[[#This Row],[Date]]-expected_production[[#This Row],[Commissioned Date]])/365.25),"")</f>
        <v>4.2628336755646821</v>
      </c>
      <c r="F2053" s="49">
        <f>IF(expected_production[[#This Row],[Age (yrs)]]="",1,(1-DegradationRate)^expected_production[[#This Row],[Age (yrs)]])</f>
        <v>0.97049913748006233</v>
      </c>
      <c r="G2053" s="52">
        <f>IF(expected_production[[#This Row],[Base Expected (kWh)]]="","",expected_production[[#This Row],[Base Expected (kWh)]]*expected_production[[#This Row],[Degradation Factor]])</f>
        <v>21843.916946470243</v>
      </c>
    </row>
    <row r="2054" spans="1:7" ht="15" hidden="1" customHeight="1" x14ac:dyDescent="0.3">
      <c r="A2054" t="s">
        <v>265</v>
      </c>
      <c r="B2054" s="2">
        <v>46357</v>
      </c>
      <c r="C2054" s="52">
        <v>23494.59</v>
      </c>
      <c r="D2054" s="48">
        <f>_xlfn.XLOOKUP(expected_production[[#This Row],[Site Name]],Table1[[Site Name ]],Table1[Commisioned Date],"")</f>
        <v>44770</v>
      </c>
      <c r="E2054" s="47">
        <f>IF(ISNUMBER(expected_production[[#This Row],[Commissioned Date]]),MAX(0,(expected_production[[#This Row],[Date]]-expected_production[[#This Row],[Commissioned Date]])/365.25),"")</f>
        <v>4.344969199178645</v>
      </c>
      <c r="F2054" s="49">
        <f>IF(expected_production[[#This Row],[Age (yrs)]]="",1,(1-DegradationRate)^expected_production[[#This Row],[Age (yrs)]])</f>
        <v>0.96993934968527529</v>
      </c>
      <c r="G2054" s="52">
        <f>IF(expected_production[[#This Row],[Base Expected (kWh)]]="","",expected_production[[#This Row],[Base Expected (kWh)]]*expected_production[[#This Row],[Degradation Factor]])</f>
        <v>22788.327345722173</v>
      </c>
    </row>
    <row r="2055" spans="1:7" ht="15" hidden="1" customHeight="1" x14ac:dyDescent="0.3">
      <c r="A2055" t="s">
        <v>180</v>
      </c>
      <c r="B2055" s="2">
        <v>45292</v>
      </c>
      <c r="C2055" s="52">
        <v>23724</v>
      </c>
      <c r="D2055" s="48">
        <f>_xlfn.XLOOKUP(expected_production[[#This Row],[Site Name]],Table1[[Site Name ]],Table1[Commisioned Date],"")</f>
        <v>45666</v>
      </c>
      <c r="E2055" s="47">
        <f>IF(ISNUMBER(expected_production[[#This Row],[Commissioned Date]]),MAX(0,(expected_production[[#This Row],[Date]]-expected_production[[#This Row],[Commissioned Date]])/365.25),"")</f>
        <v>0</v>
      </c>
      <c r="F2055" s="49">
        <f>IF(expected_production[[#This Row],[Age (yrs)]]="",1,(1-DegradationRate)^expected_production[[#This Row],[Age (yrs)]])</f>
        <v>1</v>
      </c>
      <c r="G2055" s="52">
        <f>IF(expected_production[[#This Row],[Base Expected (kWh)]]="","",expected_production[[#This Row],[Base Expected (kWh)]]*expected_production[[#This Row],[Degradation Factor]])</f>
        <v>23724</v>
      </c>
    </row>
    <row r="2056" spans="1:7" ht="15" hidden="1" customHeight="1" x14ac:dyDescent="0.3">
      <c r="A2056" t="s">
        <v>180</v>
      </c>
      <c r="B2056" s="2">
        <v>45323</v>
      </c>
      <c r="C2056" s="52">
        <v>20448</v>
      </c>
      <c r="D2056" s="48">
        <f>_xlfn.XLOOKUP(expected_production[[#This Row],[Site Name]],Table1[[Site Name ]],Table1[Commisioned Date],"")</f>
        <v>45666</v>
      </c>
      <c r="E2056" s="47">
        <f>IF(ISNUMBER(expected_production[[#This Row],[Commissioned Date]]),MAX(0,(expected_production[[#This Row],[Date]]-expected_production[[#This Row],[Commissioned Date]])/365.25),"")</f>
        <v>0</v>
      </c>
      <c r="F2056" s="49">
        <f>IF(expected_production[[#This Row],[Age (yrs)]]="",1,(1-DegradationRate)^expected_production[[#This Row],[Age (yrs)]])</f>
        <v>1</v>
      </c>
      <c r="G2056" s="52">
        <f>IF(expected_production[[#This Row],[Base Expected (kWh)]]="","",expected_production[[#This Row],[Base Expected (kWh)]]*expected_production[[#This Row],[Degradation Factor]])</f>
        <v>20448</v>
      </c>
    </row>
    <row r="2057" spans="1:7" ht="15" hidden="1" customHeight="1" x14ac:dyDescent="0.3">
      <c r="A2057" t="s">
        <v>180</v>
      </c>
      <c r="B2057" s="2">
        <v>45352</v>
      </c>
      <c r="C2057" s="52">
        <v>19986.3</v>
      </c>
      <c r="D2057" s="48">
        <f>_xlfn.XLOOKUP(expected_production[[#This Row],[Site Name]],Table1[[Site Name ]],Table1[Commisioned Date],"")</f>
        <v>45666</v>
      </c>
      <c r="E2057" s="47">
        <f>IF(ISNUMBER(expected_production[[#This Row],[Commissioned Date]]),MAX(0,(expected_production[[#This Row],[Date]]-expected_production[[#This Row],[Commissioned Date]])/365.25),"")</f>
        <v>0</v>
      </c>
      <c r="F2057" s="49">
        <f>IF(expected_production[[#This Row],[Age (yrs)]]="",1,(1-DegradationRate)^expected_production[[#This Row],[Age (yrs)]])</f>
        <v>1</v>
      </c>
      <c r="G2057" s="52">
        <f>IF(expected_production[[#This Row],[Base Expected (kWh)]]="","",expected_production[[#This Row],[Base Expected (kWh)]]*expected_production[[#This Row],[Degradation Factor]])</f>
        <v>19986.3</v>
      </c>
    </row>
    <row r="2058" spans="1:7" ht="15" hidden="1" customHeight="1" x14ac:dyDescent="0.3">
      <c r="A2058" t="s">
        <v>180</v>
      </c>
      <c r="B2058" s="2">
        <v>45383</v>
      </c>
      <c r="C2058" s="52">
        <v>17181.900000000001</v>
      </c>
      <c r="D2058" s="48">
        <f>_xlfn.XLOOKUP(expected_production[[#This Row],[Site Name]],Table1[[Site Name ]],Table1[Commisioned Date],"")</f>
        <v>45666</v>
      </c>
      <c r="E2058" s="47">
        <f>IF(ISNUMBER(expected_production[[#This Row],[Commissioned Date]]),MAX(0,(expected_production[[#This Row],[Date]]-expected_production[[#This Row],[Commissioned Date]])/365.25),"")</f>
        <v>0</v>
      </c>
      <c r="F2058" s="49">
        <f>IF(expected_production[[#This Row],[Age (yrs)]]="",1,(1-DegradationRate)^expected_production[[#This Row],[Age (yrs)]])</f>
        <v>1</v>
      </c>
      <c r="G2058" s="52">
        <f>IF(expected_production[[#This Row],[Base Expected (kWh)]]="","",expected_production[[#This Row],[Base Expected (kWh)]]*expected_production[[#This Row],[Degradation Factor]])</f>
        <v>17181.900000000001</v>
      </c>
    </row>
    <row r="2059" spans="1:7" ht="15" hidden="1" customHeight="1" x14ac:dyDescent="0.3">
      <c r="A2059" t="s">
        <v>180</v>
      </c>
      <c r="B2059" s="2">
        <v>45413</v>
      </c>
      <c r="C2059" s="52">
        <v>15369.3</v>
      </c>
      <c r="D2059" s="48">
        <f>_xlfn.XLOOKUP(expected_production[[#This Row],[Site Name]],Table1[[Site Name ]],Table1[Commisioned Date],"")</f>
        <v>45666</v>
      </c>
      <c r="E2059" s="47">
        <f>IF(ISNUMBER(expected_production[[#This Row],[Commissioned Date]]),MAX(0,(expected_production[[#This Row],[Date]]-expected_production[[#This Row],[Commissioned Date]])/365.25),"")</f>
        <v>0</v>
      </c>
      <c r="F2059" s="49">
        <f>IF(expected_production[[#This Row],[Age (yrs)]]="",1,(1-DegradationRate)^expected_production[[#This Row],[Age (yrs)]])</f>
        <v>1</v>
      </c>
      <c r="G2059" s="52">
        <f>IF(expected_production[[#This Row],[Base Expected (kWh)]]="","",expected_production[[#This Row],[Base Expected (kWh)]]*expected_production[[#This Row],[Degradation Factor]])</f>
        <v>15369.3</v>
      </c>
    </row>
    <row r="2060" spans="1:7" ht="15" hidden="1" customHeight="1" x14ac:dyDescent="0.3">
      <c r="A2060" t="s">
        <v>180</v>
      </c>
      <c r="B2060" s="2">
        <v>45444</v>
      </c>
      <c r="C2060" s="52">
        <v>13381.2</v>
      </c>
      <c r="D2060" s="48">
        <f>_xlfn.XLOOKUP(expected_production[[#This Row],[Site Name]],Table1[[Site Name ]],Table1[Commisioned Date],"")</f>
        <v>45666</v>
      </c>
      <c r="E2060" s="47">
        <f>IF(ISNUMBER(expected_production[[#This Row],[Commissioned Date]]),MAX(0,(expected_production[[#This Row],[Date]]-expected_production[[#This Row],[Commissioned Date]])/365.25),"")</f>
        <v>0</v>
      </c>
      <c r="F2060" s="49">
        <f>IF(expected_production[[#This Row],[Age (yrs)]]="",1,(1-DegradationRate)^expected_production[[#This Row],[Age (yrs)]])</f>
        <v>1</v>
      </c>
      <c r="G2060" s="52">
        <f>IF(expected_production[[#This Row],[Base Expected (kWh)]]="","",expected_production[[#This Row],[Base Expected (kWh)]]*expected_production[[#This Row],[Degradation Factor]])</f>
        <v>13381.2</v>
      </c>
    </row>
    <row r="2061" spans="1:7" ht="15" hidden="1" customHeight="1" x14ac:dyDescent="0.3">
      <c r="A2061" t="s">
        <v>180</v>
      </c>
      <c r="B2061" s="2">
        <v>45474</v>
      </c>
      <c r="C2061" s="52">
        <v>15023.7</v>
      </c>
      <c r="D2061" s="48">
        <f>_xlfn.XLOOKUP(expected_production[[#This Row],[Site Name]],Table1[[Site Name ]],Table1[Commisioned Date],"")</f>
        <v>45666</v>
      </c>
      <c r="E2061" s="47">
        <f>IF(ISNUMBER(expected_production[[#This Row],[Commissioned Date]]),MAX(0,(expected_production[[#This Row],[Date]]-expected_production[[#This Row],[Commissioned Date]])/365.25),"")</f>
        <v>0</v>
      </c>
      <c r="F2061" s="49">
        <f>IF(expected_production[[#This Row],[Age (yrs)]]="",1,(1-DegradationRate)^expected_production[[#This Row],[Age (yrs)]])</f>
        <v>1</v>
      </c>
      <c r="G2061" s="52">
        <f>IF(expected_production[[#This Row],[Base Expected (kWh)]]="","",expected_production[[#This Row],[Base Expected (kWh)]]*expected_production[[#This Row],[Degradation Factor]])</f>
        <v>15023.7</v>
      </c>
    </row>
    <row r="2062" spans="1:7" ht="15" hidden="1" customHeight="1" x14ac:dyDescent="0.3">
      <c r="A2062" t="s">
        <v>180</v>
      </c>
      <c r="B2062" s="2">
        <v>45505</v>
      </c>
      <c r="C2062" s="52">
        <v>18071.099999999999</v>
      </c>
      <c r="D2062" s="48">
        <f>_xlfn.XLOOKUP(expected_production[[#This Row],[Site Name]],Table1[[Site Name ]],Table1[Commisioned Date],"")</f>
        <v>45666</v>
      </c>
      <c r="E2062" s="47">
        <f>IF(ISNUMBER(expected_production[[#This Row],[Commissioned Date]]),MAX(0,(expected_production[[#This Row],[Date]]-expected_production[[#This Row],[Commissioned Date]])/365.25),"")</f>
        <v>0</v>
      </c>
      <c r="F2062" s="49">
        <f>IF(expected_production[[#This Row],[Age (yrs)]]="",1,(1-DegradationRate)^expected_production[[#This Row],[Age (yrs)]])</f>
        <v>1</v>
      </c>
      <c r="G2062" s="52">
        <f>IF(expected_production[[#This Row],[Base Expected (kWh)]]="","",expected_production[[#This Row],[Base Expected (kWh)]]*expected_production[[#This Row],[Degradation Factor]])</f>
        <v>18071.099999999999</v>
      </c>
    </row>
    <row r="2063" spans="1:7" ht="15" hidden="1" customHeight="1" x14ac:dyDescent="0.3">
      <c r="A2063" t="s">
        <v>180</v>
      </c>
      <c r="B2063" s="2">
        <v>45536</v>
      </c>
      <c r="C2063" s="52">
        <v>20545.2</v>
      </c>
      <c r="D2063" s="48">
        <f>_xlfn.XLOOKUP(expected_production[[#This Row],[Site Name]],Table1[[Site Name ]],Table1[Commisioned Date],"")</f>
        <v>45666</v>
      </c>
      <c r="E2063" s="47">
        <f>IF(ISNUMBER(expected_production[[#This Row],[Commissioned Date]]),MAX(0,(expected_production[[#This Row],[Date]]-expected_production[[#This Row],[Commissioned Date]])/365.25),"")</f>
        <v>0</v>
      </c>
      <c r="F2063" s="49">
        <f>IF(expected_production[[#This Row],[Age (yrs)]]="",1,(1-DegradationRate)^expected_production[[#This Row],[Age (yrs)]])</f>
        <v>1</v>
      </c>
      <c r="G2063" s="52">
        <f>IF(expected_production[[#This Row],[Base Expected (kWh)]]="","",expected_production[[#This Row],[Base Expected (kWh)]]*expected_production[[#This Row],[Degradation Factor]])</f>
        <v>20545.2</v>
      </c>
    </row>
    <row r="2064" spans="1:7" ht="15" hidden="1" customHeight="1" x14ac:dyDescent="0.3">
      <c r="A2064" t="s">
        <v>180</v>
      </c>
      <c r="B2064" s="2">
        <v>45566</v>
      </c>
      <c r="C2064" s="52">
        <v>23411.7</v>
      </c>
      <c r="D2064" s="48">
        <f>_xlfn.XLOOKUP(expected_production[[#This Row],[Site Name]],Table1[[Site Name ]],Table1[Commisioned Date],"")</f>
        <v>45666</v>
      </c>
      <c r="E2064" s="47">
        <f>IF(ISNUMBER(expected_production[[#This Row],[Commissioned Date]]),MAX(0,(expected_production[[#This Row],[Date]]-expected_production[[#This Row],[Commissioned Date]])/365.25),"")</f>
        <v>0</v>
      </c>
      <c r="F2064" s="49">
        <f>IF(expected_production[[#This Row],[Age (yrs)]]="",1,(1-DegradationRate)^expected_production[[#This Row],[Age (yrs)]])</f>
        <v>1</v>
      </c>
      <c r="G2064" s="52">
        <f>IF(expected_production[[#This Row],[Base Expected (kWh)]]="","",expected_production[[#This Row],[Base Expected (kWh)]]*expected_production[[#This Row],[Degradation Factor]])</f>
        <v>23411.7</v>
      </c>
    </row>
    <row r="2065" spans="1:7" ht="15" hidden="1" customHeight="1" x14ac:dyDescent="0.3">
      <c r="A2065" t="s">
        <v>180</v>
      </c>
      <c r="B2065" s="2">
        <v>45597</v>
      </c>
      <c r="C2065" s="52">
        <v>23583.599999999999</v>
      </c>
      <c r="D2065" s="48">
        <f>_xlfn.XLOOKUP(expected_production[[#This Row],[Site Name]],Table1[[Site Name ]],Table1[Commisioned Date],"")</f>
        <v>45666</v>
      </c>
      <c r="E2065" s="47">
        <f>IF(ISNUMBER(expected_production[[#This Row],[Commissioned Date]]),MAX(0,(expected_production[[#This Row],[Date]]-expected_production[[#This Row],[Commissioned Date]])/365.25),"")</f>
        <v>0</v>
      </c>
      <c r="F2065" s="49">
        <f>IF(expected_production[[#This Row],[Age (yrs)]]="",1,(1-DegradationRate)^expected_production[[#This Row],[Age (yrs)]])</f>
        <v>1</v>
      </c>
      <c r="G2065" s="52">
        <f>IF(expected_production[[#This Row],[Base Expected (kWh)]]="","",expected_production[[#This Row],[Base Expected (kWh)]]*expected_production[[#This Row],[Degradation Factor]])</f>
        <v>23583.599999999999</v>
      </c>
    </row>
    <row r="2066" spans="1:7" ht="15" hidden="1" customHeight="1" x14ac:dyDescent="0.3">
      <c r="A2066" t="s">
        <v>180</v>
      </c>
      <c r="B2066" s="2">
        <v>45627</v>
      </c>
      <c r="C2066" s="52">
        <v>24027.3</v>
      </c>
      <c r="D2066" s="48">
        <f>_xlfn.XLOOKUP(expected_production[[#This Row],[Site Name]],Table1[[Site Name ]],Table1[Commisioned Date],"")</f>
        <v>45666</v>
      </c>
      <c r="E2066" s="47">
        <f>IF(ISNUMBER(expected_production[[#This Row],[Commissioned Date]]),MAX(0,(expected_production[[#This Row],[Date]]-expected_production[[#This Row],[Commissioned Date]])/365.25),"")</f>
        <v>0</v>
      </c>
      <c r="F2066" s="49">
        <f>IF(expected_production[[#This Row],[Age (yrs)]]="",1,(1-DegradationRate)^expected_production[[#This Row],[Age (yrs)]])</f>
        <v>1</v>
      </c>
      <c r="G2066" s="52">
        <f>IF(expected_production[[#This Row],[Base Expected (kWh)]]="","",expected_production[[#This Row],[Base Expected (kWh)]]*expected_production[[#This Row],[Degradation Factor]])</f>
        <v>24027.3</v>
      </c>
    </row>
    <row r="2067" spans="1:7" ht="15" hidden="1" customHeight="1" x14ac:dyDescent="0.3">
      <c r="A2067" t="s">
        <v>180</v>
      </c>
      <c r="B2067" s="2">
        <v>45658</v>
      </c>
      <c r="C2067" s="52">
        <v>23724</v>
      </c>
      <c r="D2067" s="48">
        <f>_xlfn.XLOOKUP(expected_production[[#This Row],[Site Name]],Table1[[Site Name ]],Table1[Commisioned Date],"")</f>
        <v>45666</v>
      </c>
      <c r="E2067" s="47">
        <f>IF(ISNUMBER(expected_production[[#This Row],[Commissioned Date]]),MAX(0,(expected_production[[#This Row],[Date]]-expected_production[[#This Row],[Commissioned Date]])/365.25),"")</f>
        <v>0</v>
      </c>
      <c r="F2067" s="49">
        <f>IF(expected_production[[#This Row],[Age (yrs)]]="",1,(1-DegradationRate)^expected_production[[#This Row],[Age (yrs)]])</f>
        <v>1</v>
      </c>
      <c r="G2067" s="52">
        <f>IF(expected_production[[#This Row],[Base Expected (kWh)]]="","",expected_production[[#This Row],[Base Expected (kWh)]]*expected_production[[#This Row],[Degradation Factor]])</f>
        <v>23724</v>
      </c>
    </row>
    <row r="2068" spans="1:7" ht="15" hidden="1" customHeight="1" x14ac:dyDescent="0.3">
      <c r="A2068" t="s">
        <v>180</v>
      </c>
      <c r="B2068" s="2">
        <v>45689</v>
      </c>
      <c r="C2068" s="52">
        <v>20448</v>
      </c>
      <c r="D2068" s="48">
        <f>_xlfn.XLOOKUP(expected_production[[#This Row],[Site Name]],Table1[[Site Name ]],Table1[Commisioned Date],"")</f>
        <v>45666</v>
      </c>
      <c r="E2068" s="47">
        <f>IF(ISNUMBER(expected_production[[#This Row],[Commissioned Date]]),MAX(0,(expected_production[[#This Row],[Date]]-expected_production[[#This Row],[Commissioned Date]])/365.25),"")</f>
        <v>6.2970568104038324E-2</v>
      </c>
      <c r="F2068" s="49">
        <f>IF(expected_production[[#This Row],[Age (yrs)]]="",1,(1-DegradationRate)^expected_production[[#This Row],[Age (yrs)]])</f>
        <v>0.99955775382638756</v>
      </c>
      <c r="G2068" s="52">
        <f>IF(expected_production[[#This Row],[Base Expected (kWh)]]="","",expected_production[[#This Row],[Base Expected (kWh)]]*expected_production[[#This Row],[Degradation Factor]])</f>
        <v>20438.956950241973</v>
      </c>
    </row>
    <row r="2069" spans="1:7" ht="15" hidden="1" customHeight="1" x14ac:dyDescent="0.3">
      <c r="A2069" t="s">
        <v>180</v>
      </c>
      <c r="B2069" s="2">
        <v>45717</v>
      </c>
      <c r="C2069" s="52">
        <v>19986.3</v>
      </c>
      <c r="D2069" s="48">
        <f>_xlfn.XLOOKUP(expected_production[[#This Row],[Site Name]],Table1[[Site Name ]],Table1[Commisioned Date],"")</f>
        <v>45666</v>
      </c>
      <c r="E2069" s="47">
        <f>IF(ISNUMBER(expected_production[[#This Row],[Commissioned Date]]),MAX(0,(expected_production[[#This Row],[Date]]-expected_production[[#This Row],[Commissioned Date]])/365.25),"")</f>
        <v>0.13963039014373715</v>
      </c>
      <c r="F2069" s="49">
        <f>IF(expected_production[[#This Row],[Age (yrs)]]="",1,(1-DegradationRate)^expected_production[[#This Row],[Age (yrs)]])</f>
        <v>0.99901963115159775</v>
      </c>
      <c r="G2069" s="52">
        <f>IF(expected_production[[#This Row],[Base Expected (kWh)]]="","",expected_production[[#This Row],[Base Expected (kWh)]]*expected_production[[#This Row],[Degradation Factor]])</f>
        <v>19966.706054085178</v>
      </c>
    </row>
    <row r="2070" spans="1:7" ht="15" hidden="1" customHeight="1" x14ac:dyDescent="0.3">
      <c r="A2070" t="s">
        <v>180</v>
      </c>
      <c r="B2070" s="2">
        <v>45748</v>
      </c>
      <c r="C2070" s="52">
        <v>17181.900000000001</v>
      </c>
      <c r="D2070" s="48">
        <f>_xlfn.XLOOKUP(expected_production[[#This Row],[Site Name]],Table1[[Site Name ]],Table1[Commisioned Date],"")</f>
        <v>45666</v>
      </c>
      <c r="E2070" s="47">
        <f>IF(ISNUMBER(expected_production[[#This Row],[Commissioned Date]]),MAX(0,(expected_production[[#This Row],[Date]]-expected_production[[#This Row],[Commissioned Date]])/365.25),"")</f>
        <v>0.22450376454483231</v>
      </c>
      <c r="F2070" s="49">
        <f>IF(expected_production[[#This Row],[Age (yrs)]]="",1,(1-DegradationRate)^expected_production[[#This Row],[Age (yrs)]])</f>
        <v>0.9984241903960086</v>
      </c>
      <c r="G2070" s="52">
        <f>IF(expected_production[[#This Row],[Base Expected (kWh)]]="","",expected_production[[#This Row],[Base Expected (kWh)]]*expected_production[[#This Row],[Degradation Factor]])</f>
        <v>17154.824596965183</v>
      </c>
    </row>
    <row r="2071" spans="1:7" ht="15" hidden="1" customHeight="1" x14ac:dyDescent="0.3">
      <c r="A2071" t="s">
        <v>180</v>
      </c>
      <c r="B2071" s="2">
        <v>45778</v>
      </c>
      <c r="C2071" s="52">
        <v>15369.3</v>
      </c>
      <c r="D2071" s="48">
        <f>_xlfn.XLOOKUP(expected_production[[#This Row],[Site Name]],Table1[[Site Name ]],Table1[Commisioned Date],"")</f>
        <v>45666</v>
      </c>
      <c r="E2071" s="47">
        <f>IF(ISNUMBER(expected_production[[#This Row],[Commissioned Date]]),MAX(0,(expected_production[[#This Row],[Date]]-expected_production[[#This Row],[Commissioned Date]])/365.25),"")</f>
        <v>0.30663928815879532</v>
      </c>
      <c r="F2071" s="49">
        <f>IF(expected_production[[#This Row],[Age (yrs)]]="",1,(1-DegradationRate)^expected_production[[#This Row],[Age (yrs)]])</f>
        <v>0.99784829531870323</v>
      </c>
      <c r="G2071" s="52">
        <f>IF(expected_production[[#This Row],[Base Expected (kWh)]]="","",expected_production[[#This Row],[Base Expected (kWh)]]*expected_production[[#This Row],[Degradation Factor]])</f>
        <v>15336.229805241745</v>
      </c>
    </row>
    <row r="2072" spans="1:7" ht="15" hidden="1" customHeight="1" x14ac:dyDescent="0.3">
      <c r="A2072" t="s">
        <v>180</v>
      </c>
      <c r="B2072" s="2">
        <v>45809</v>
      </c>
      <c r="C2072" s="52">
        <v>13381.2</v>
      </c>
      <c r="D2072" s="48">
        <f>_xlfn.XLOOKUP(expected_production[[#This Row],[Site Name]],Table1[[Site Name ]],Table1[Commisioned Date],"")</f>
        <v>45666</v>
      </c>
      <c r="E2072" s="47">
        <f>IF(ISNUMBER(expected_production[[#This Row],[Commissioned Date]]),MAX(0,(expected_production[[#This Row],[Date]]-expected_production[[#This Row],[Commissioned Date]])/365.25),"")</f>
        <v>0.39151266255989048</v>
      </c>
      <c r="F2072" s="49">
        <f>IF(expected_production[[#This Row],[Age (yrs)]]="",1,(1-DegradationRate)^expected_production[[#This Row],[Age (yrs)]])</f>
        <v>0.99725355270864757</v>
      </c>
      <c r="G2072" s="52">
        <f>IF(expected_production[[#This Row],[Base Expected (kWh)]]="","",expected_production[[#This Row],[Base Expected (kWh)]]*expected_production[[#This Row],[Degradation Factor]])</f>
        <v>13344.449239504956</v>
      </c>
    </row>
    <row r="2073" spans="1:7" ht="15" hidden="1" customHeight="1" x14ac:dyDescent="0.3">
      <c r="A2073" t="s">
        <v>180</v>
      </c>
      <c r="B2073" s="2">
        <v>45839</v>
      </c>
      <c r="C2073" s="52">
        <v>15023.7</v>
      </c>
      <c r="D2073" s="48">
        <f>_xlfn.XLOOKUP(expected_production[[#This Row],[Site Name]],Table1[[Site Name ]],Table1[Commisioned Date],"")</f>
        <v>45666</v>
      </c>
      <c r="E2073" s="47">
        <f>IF(ISNUMBER(expected_production[[#This Row],[Commissioned Date]]),MAX(0,(expected_production[[#This Row],[Date]]-expected_production[[#This Row],[Commissioned Date]])/365.25),"")</f>
        <v>0.47364818617385351</v>
      </c>
      <c r="F2073" s="49">
        <f>IF(expected_production[[#This Row],[Age (yrs)]]="",1,(1-DegradationRate)^expected_production[[#This Row],[Age (yrs)]])</f>
        <v>0.99667833285985519</v>
      </c>
      <c r="G2073" s="52">
        <f>IF(expected_production[[#This Row],[Base Expected (kWh)]]="","",expected_production[[#This Row],[Base Expected (kWh)]]*expected_production[[#This Row],[Degradation Factor]])</f>
        <v>14973.796269386607</v>
      </c>
    </row>
    <row r="2074" spans="1:7" ht="15" hidden="1" customHeight="1" x14ac:dyDescent="0.3">
      <c r="A2074" t="s">
        <v>180</v>
      </c>
      <c r="B2074" s="2">
        <v>45870</v>
      </c>
      <c r="C2074" s="52">
        <v>18071.099999999999</v>
      </c>
      <c r="D2074" s="48">
        <f>_xlfn.XLOOKUP(expected_production[[#This Row],[Site Name]],Table1[[Site Name ]],Table1[Commisioned Date],"")</f>
        <v>45666</v>
      </c>
      <c r="E2074" s="47">
        <f>IF(ISNUMBER(expected_production[[#This Row],[Commissioned Date]]),MAX(0,(expected_production[[#This Row],[Date]]-expected_production[[#This Row],[Commissioned Date]])/365.25),"")</f>
        <v>0.55852156057494862</v>
      </c>
      <c r="F2074" s="49">
        <f>IF(expected_production[[#This Row],[Age (yrs)]]="",1,(1-DegradationRate)^expected_production[[#This Row],[Age (yrs)]])</f>
        <v>0.9960842875767677</v>
      </c>
      <c r="G2074" s="52">
        <f>IF(expected_production[[#This Row],[Base Expected (kWh)]]="","",expected_production[[#This Row],[Base Expected (kWh)]]*expected_production[[#This Row],[Degradation Factor]])</f>
        <v>18000.338769228525</v>
      </c>
    </row>
    <row r="2075" spans="1:7" ht="15" hidden="1" customHeight="1" x14ac:dyDescent="0.3">
      <c r="A2075" t="s">
        <v>180</v>
      </c>
      <c r="B2075" s="2">
        <v>45901</v>
      </c>
      <c r="C2075" s="52">
        <v>20545.2</v>
      </c>
      <c r="D2075" s="48">
        <f>_xlfn.XLOOKUP(expected_production[[#This Row],[Site Name]],Table1[[Site Name ]],Table1[Commisioned Date],"")</f>
        <v>45666</v>
      </c>
      <c r="E2075" s="47">
        <f>IF(ISNUMBER(expected_production[[#This Row],[Commissioned Date]]),MAX(0,(expected_production[[#This Row],[Date]]-expected_production[[#This Row],[Commissioned Date]])/365.25),"")</f>
        <v>0.64339493497604383</v>
      </c>
      <c r="F2075" s="49">
        <f>IF(expected_production[[#This Row],[Age (yrs)]]="",1,(1-DegradationRate)^expected_production[[#This Row],[Age (yrs)]])</f>
        <v>0.9954905963595676</v>
      </c>
      <c r="G2075" s="52">
        <f>IF(expected_production[[#This Row],[Base Expected (kWh)]]="","",expected_production[[#This Row],[Base Expected (kWh)]]*expected_production[[#This Row],[Degradation Factor]])</f>
        <v>20452.553400326589</v>
      </c>
    </row>
    <row r="2076" spans="1:7" ht="15" hidden="1" customHeight="1" x14ac:dyDescent="0.3">
      <c r="A2076" t="s">
        <v>180</v>
      </c>
      <c r="B2076" s="2">
        <v>45931</v>
      </c>
      <c r="C2076" s="52">
        <v>23411.7</v>
      </c>
      <c r="D2076" s="48">
        <f>_xlfn.XLOOKUP(expected_production[[#This Row],[Site Name]],Table1[[Site Name ]],Table1[Commisioned Date],"")</f>
        <v>45666</v>
      </c>
      <c r="E2076" s="47">
        <f>IF(ISNUMBER(expected_production[[#This Row],[Commissioned Date]]),MAX(0,(expected_production[[#This Row],[Date]]-expected_production[[#This Row],[Commissioned Date]])/365.25),"")</f>
        <v>0.72553045859000687</v>
      </c>
      <c r="F2076" s="49">
        <f>IF(expected_production[[#This Row],[Age (yrs)]]="",1,(1-DegradationRate)^expected_production[[#This Row],[Age (yrs)]])</f>
        <v>0.99491639339106797</v>
      </c>
      <c r="G2076" s="52">
        <f>IF(expected_production[[#This Row],[Base Expected (kWh)]]="","",expected_production[[#This Row],[Base Expected (kWh)]]*expected_production[[#This Row],[Degradation Factor]])</f>
        <v>23292.684127153665</v>
      </c>
    </row>
    <row r="2077" spans="1:7" ht="15" hidden="1" customHeight="1" x14ac:dyDescent="0.3">
      <c r="A2077" t="s">
        <v>180</v>
      </c>
      <c r="B2077" s="2">
        <v>45962</v>
      </c>
      <c r="C2077" s="52">
        <v>23583.599999999999</v>
      </c>
      <c r="D2077" s="48">
        <f>_xlfn.XLOOKUP(expected_production[[#This Row],[Site Name]],Table1[[Site Name ]],Table1[Commisioned Date],"")</f>
        <v>45666</v>
      </c>
      <c r="E2077" s="47">
        <f>IF(ISNUMBER(expected_production[[#This Row],[Commissioned Date]]),MAX(0,(expected_production[[#This Row],[Date]]-expected_production[[#This Row],[Commissioned Date]])/365.25),"")</f>
        <v>0.81040383299110197</v>
      </c>
      <c r="F2077" s="49">
        <f>IF(expected_production[[#This Row],[Age (yrs)]]="",1,(1-DegradationRate)^expected_production[[#This Row],[Age (yrs)]])</f>
        <v>0.99432339826809335</v>
      </c>
      <c r="G2077" s="52">
        <f>IF(expected_production[[#This Row],[Base Expected (kWh)]]="","",expected_production[[#This Row],[Base Expected (kWh)]]*expected_production[[#This Row],[Degradation Factor]])</f>
        <v>23449.725295395405</v>
      </c>
    </row>
    <row r="2078" spans="1:7" ht="15" hidden="1" customHeight="1" x14ac:dyDescent="0.3">
      <c r="A2078" t="s">
        <v>180</v>
      </c>
      <c r="B2078" s="2">
        <v>45992</v>
      </c>
      <c r="C2078" s="52">
        <v>24027.3</v>
      </c>
      <c r="D2078" s="48">
        <f>_xlfn.XLOOKUP(expected_production[[#This Row],[Site Name]],Table1[[Site Name ]],Table1[Commisioned Date],"")</f>
        <v>45666</v>
      </c>
      <c r="E2078" s="47">
        <f>IF(ISNUMBER(expected_production[[#This Row],[Commissioned Date]]),MAX(0,(expected_production[[#This Row],[Date]]-expected_production[[#This Row],[Commissioned Date]])/365.25),"")</f>
        <v>0.892539356605065</v>
      </c>
      <c r="F2078" s="49">
        <f>IF(expected_production[[#This Row],[Age (yrs)]]="",1,(1-DegradationRate)^expected_production[[#This Row],[Age (yrs)]])</f>
        <v>0.99374986854413405</v>
      </c>
      <c r="G2078" s="52">
        <f>IF(expected_production[[#This Row],[Base Expected (kWh)]]="","",expected_production[[#This Row],[Base Expected (kWh)]]*expected_production[[#This Row],[Degradation Factor]])</f>
        <v>23877.126216470471</v>
      </c>
    </row>
    <row r="2079" spans="1:7" ht="15" hidden="1" customHeight="1" x14ac:dyDescent="0.3">
      <c r="A2079" t="s">
        <v>180</v>
      </c>
      <c r="B2079" s="2">
        <v>46023</v>
      </c>
      <c r="C2079" s="52">
        <v>23724</v>
      </c>
      <c r="D2079" s="48">
        <f>_xlfn.XLOOKUP(expected_production[[#This Row],[Site Name]],Table1[[Site Name ]],Table1[Commisioned Date],"")</f>
        <v>45666</v>
      </c>
      <c r="E2079" s="47">
        <f>IF(ISNUMBER(expected_production[[#This Row],[Commissioned Date]]),MAX(0,(expected_production[[#This Row],[Date]]-expected_production[[#This Row],[Commissioned Date]])/365.25),"")</f>
        <v>0.97741273100616022</v>
      </c>
      <c r="F2079" s="49">
        <f>IF(expected_production[[#This Row],[Age (yrs)]]="",1,(1-DegradationRate)^expected_production[[#This Row],[Age (yrs)]])</f>
        <v>0.99315756869922456</v>
      </c>
      <c r="G2079" s="52">
        <f>IF(expected_production[[#This Row],[Base Expected (kWh)]]="","",expected_production[[#This Row],[Base Expected (kWh)]]*expected_production[[#This Row],[Degradation Factor]])</f>
        <v>23561.670159820402</v>
      </c>
    </row>
    <row r="2080" spans="1:7" ht="15" hidden="1" customHeight="1" x14ac:dyDescent="0.3">
      <c r="A2080" t="s">
        <v>180</v>
      </c>
      <c r="B2080" s="2">
        <v>46054</v>
      </c>
      <c r="C2080" s="52">
        <v>20448</v>
      </c>
      <c r="D2080" s="48">
        <f>_xlfn.XLOOKUP(expected_production[[#This Row],[Site Name]],Table1[[Site Name ]],Table1[Commisioned Date],"")</f>
        <v>45666</v>
      </c>
      <c r="E2080" s="47">
        <f>IF(ISNUMBER(expected_production[[#This Row],[Commissioned Date]]),MAX(0,(expected_production[[#This Row],[Date]]-expected_production[[#This Row],[Commissioned Date]])/365.25),"")</f>
        <v>1.0622861054072552</v>
      </c>
      <c r="F2080" s="49">
        <f>IF(expected_production[[#This Row],[Age (yrs)]]="",1,(1-DegradationRate)^expected_production[[#This Row],[Age (yrs)]])</f>
        <v>0.99256562187987762</v>
      </c>
      <c r="G2080" s="52">
        <f>IF(expected_production[[#This Row],[Base Expected (kWh)]]="","",expected_production[[#This Row],[Base Expected (kWh)]]*expected_production[[#This Row],[Degradation Factor]])</f>
        <v>20295.981836199739</v>
      </c>
    </row>
    <row r="2081" spans="1:7" ht="15" hidden="1" customHeight="1" x14ac:dyDescent="0.3">
      <c r="A2081" t="s">
        <v>180</v>
      </c>
      <c r="B2081" s="2">
        <v>46082</v>
      </c>
      <c r="C2081" s="52">
        <v>19986.3</v>
      </c>
      <c r="D2081" s="48">
        <f>_xlfn.XLOOKUP(expected_production[[#This Row],[Site Name]],Table1[[Site Name ]],Table1[Commisioned Date],"")</f>
        <v>45666</v>
      </c>
      <c r="E2081" s="47">
        <f>IF(ISNUMBER(expected_production[[#This Row],[Commissioned Date]]),MAX(0,(expected_production[[#This Row],[Date]]-expected_production[[#This Row],[Commissioned Date]])/365.25),"")</f>
        <v>1.1389459274469542</v>
      </c>
      <c r="F2081" s="49">
        <f>IF(expected_production[[#This Row],[Age (yrs)]]="",1,(1-DegradationRate)^expected_production[[#This Row],[Age (yrs)]])</f>
        <v>0.99203126349457593</v>
      </c>
      <c r="G2081" s="52">
        <f>IF(expected_production[[#This Row],[Base Expected (kWh)]]="","",expected_production[[#This Row],[Base Expected (kWh)]]*expected_production[[#This Row],[Degradation Factor]])</f>
        <v>19827.034441581643</v>
      </c>
    </row>
    <row r="2082" spans="1:7" ht="15" hidden="1" customHeight="1" x14ac:dyDescent="0.3">
      <c r="A2082" t="s">
        <v>180</v>
      </c>
      <c r="B2082" s="2">
        <v>46113</v>
      </c>
      <c r="C2082" s="52">
        <v>17181.900000000001</v>
      </c>
      <c r="D2082" s="48">
        <f>_xlfn.XLOOKUP(expected_production[[#This Row],[Site Name]],Table1[[Site Name ]],Table1[Commisioned Date],"")</f>
        <v>45666</v>
      </c>
      <c r="E2082" s="47">
        <f>IF(ISNUMBER(expected_production[[#This Row],[Commissioned Date]]),MAX(0,(expected_production[[#This Row],[Date]]-expected_production[[#This Row],[Commissioned Date]])/365.25),"")</f>
        <v>1.2238193018480492</v>
      </c>
      <c r="F2082" s="49">
        <f>IF(expected_production[[#This Row],[Age (yrs)]]="",1,(1-DegradationRate)^expected_production[[#This Row],[Age (yrs)]])</f>
        <v>0.99143998798137878</v>
      </c>
      <c r="G2082" s="52">
        <f>IF(expected_production[[#This Row],[Base Expected (kWh)]]="","",expected_production[[#This Row],[Base Expected (kWh)]]*expected_production[[#This Row],[Degradation Factor]])</f>
        <v>17034.822729497253</v>
      </c>
    </row>
    <row r="2083" spans="1:7" ht="15" hidden="1" customHeight="1" x14ac:dyDescent="0.3">
      <c r="A2083" t="s">
        <v>180</v>
      </c>
      <c r="B2083" s="2">
        <v>46143</v>
      </c>
      <c r="C2083" s="52">
        <v>15369.3</v>
      </c>
      <c r="D2083" s="48">
        <f>_xlfn.XLOOKUP(expected_production[[#This Row],[Site Name]],Table1[[Site Name ]],Table1[Commisioned Date],"")</f>
        <v>45666</v>
      </c>
      <c r="E2083" s="47">
        <f>IF(ISNUMBER(expected_production[[#This Row],[Commissioned Date]]),MAX(0,(expected_production[[#This Row],[Date]]-expected_production[[#This Row],[Commissioned Date]])/365.25),"")</f>
        <v>1.3059548254620124</v>
      </c>
      <c r="F2083" s="49">
        <f>IF(expected_production[[#This Row],[Age (yrs)]]="",1,(1-DegradationRate)^expected_production[[#This Row],[Age (yrs)]])</f>
        <v>0.990868121420037</v>
      </c>
      <c r="G2083" s="52">
        <f>IF(expected_production[[#This Row],[Base Expected (kWh)]]="","",expected_production[[#This Row],[Base Expected (kWh)]]*expected_production[[#This Row],[Degradation Factor]])</f>
        <v>15228.949418540973</v>
      </c>
    </row>
    <row r="2084" spans="1:7" ht="15" hidden="1" customHeight="1" x14ac:dyDescent="0.3">
      <c r="A2084" t="s">
        <v>180</v>
      </c>
      <c r="B2084" s="2">
        <v>46174</v>
      </c>
      <c r="C2084" s="52">
        <v>13381.2</v>
      </c>
      <c r="D2084" s="48">
        <f>_xlfn.XLOOKUP(expected_production[[#This Row],[Site Name]],Table1[[Site Name ]],Table1[Commisioned Date],"")</f>
        <v>45666</v>
      </c>
      <c r="E2084" s="47">
        <f>IF(ISNUMBER(expected_production[[#This Row],[Commissioned Date]]),MAX(0,(expected_production[[#This Row],[Date]]-expected_production[[#This Row],[Commissioned Date]])/365.25),"")</f>
        <v>1.3908281998631074</v>
      </c>
      <c r="F2084" s="49">
        <f>IF(expected_production[[#This Row],[Age (yrs)]]="",1,(1-DegradationRate)^expected_production[[#This Row],[Age (yrs)]])</f>
        <v>0.99027753916868777</v>
      </c>
      <c r="G2084" s="52">
        <f>IF(expected_production[[#This Row],[Base Expected (kWh)]]="","",expected_production[[#This Row],[Base Expected (kWh)]]*expected_production[[#This Row],[Degradation Factor]])</f>
        <v>13251.101807124045</v>
      </c>
    </row>
    <row r="2085" spans="1:7" ht="15" hidden="1" customHeight="1" x14ac:dyDescent="0.3">
      <c r="A2085" t="s">
        <v>180</v>
      </c>
      <c r="B2085" s="2">
        <v>46204</v>
      </c>
      <c r="C2085" s="52">
        <v>15023.7</v>
      </c>
      <c r="D2085" s="48">
        <f>_xlfn.XLOOKUP(expected_production[[#This Row],[Site Name]],Table1[[Site Name ]],Table1[Commisioned Date],"")</f>
        <v>45666</v>
      </c>
      <c r="E2085" s="47">
        <f>IF(ISNUMBER(expected_production[[#This Row],[Commissioned Date]]),MAX(0,(expected_production[[#This Row],[Date]]-expected_production[[#This Row],[Commissioned Date]])/365.25),"")</f>
        <v>1.4729637234770705</v>
      </c>
      <c r="F2085" s="49">
        <f>IF(expected_production[[#This Row],[Age (yrs)]]="",1,(1-DegradationRate)^expected_production[[#This Row],[Age (yrs)]])</f>
        <v>0.9897063431124834</v>
      </c>
      <c r="G2085" s="52">
        <f>IF(expected_production[[#This Row],[Base Expected (kWh)]]="","",expected_production[[#This Row],[Base Expected (kWh)]]*expected_production[[#This Row],[Degradation Factor]])</f>
        <v>14869.051187019018</v>
      </c>
    </row>
    <row r="2086" spans="1:7" ht="15" hidden="1" customHeight="1" x14ac:dyDescent="0.3">
      <c r="A2086" t="s">
        <v>180</v>
      </c>
      <c r="B2086" s="2">
        <v>46235</v>
      </c>
      <c r="C2086" s="52">
        <v>18071.099999999999</v>
      </c>
      <c r="D2086" s="48">
        <f>_xlfn.XLOOKUP(expected_production[[#This Row],[Site Name]],Table1[[Site Name ]],Table1[Commisioned Date],"")</f>
        <v>45666</v>
      </c>
      <c r="E2086" s="47">
        <f>IF(ISNUMBER(expected_production[[#This Row],[Commissioned Date]]),MAX(0,(expected_production[[#This Row],[Date]]-expected_production[[#This Row],[Commissioned Date]])/365.25),"")</f>
        <v>1.5578370978781657</v>
      </c>
      <c r="F2086" s="49">
        <f>IF(expected_production[[#This Row],[Age (yrs)]]="",1,(1-DegradationRate)^expected_production[[#This Row],[Age (yrs)]])</f>
        <v>0.98911645331014286</v>
      </c>
      <c r="G2086" s="52">
        <f>IF(expected_production[[#This Row],[Base Expected (kWh)]]="","",expected_production[[#This Row],[Base Expected (kWh)]]*expected_production[[#This Row],[Degradation Factor]])</f>
        <v>17874.422339412922</v>
      </c>
    </row>
    <row r="2087" spans="1:7" ht="15" hidden="1" customHeight="1" x14ac:dyDescent="0.3">
      <c r="A2087" t="s">
        <v>180</v>
      </c>
      <c r="B2087" s="2">
        <v>46266</v>
      </c>
      <c r="C2087" s="52">
        <v>20545.2</v>
      </c>
      <c r="D2087" s="48">
        <f>_xlfn.XLOOKUP(expected_production[[#This Row],[Site Name]],Table1[[Site Name ]],Table1[Commisioned Date],"")</f>
        <v>45666</v>
      </c>
      <c r="E2087" s="47">
        <f>IF(ISNUMBER(expected_production[[#This Row],[Commissioned Date]]),MAX(0,(expected_production[[#This Row],[Date]]-expected_production[[#This Row],[Commissioned Date]])/365.25),"")</f>
        <v>1.6427104722792607</v>
      </c>
      <c r="F2087" s="49">
        <f>IF(expected_production[[#This Row],[Age (yrs)]]="",1,(1-DegradationRate)^expected_production[[#This Row],[Age (yrs)]])</f>
        <v>0.98852691509691903</v>
      </c>
      <c r="G2087" s="52">
        <f>IF(expected_production[[#This Row],[Base Expected (kWh)]]="","",expected_production[[#This Row],[Base Expected (kWh)]]*expected_production[[#This Row],[Degradation Factor]])</f>
        <v>20309.483176049223</v>
      </c>
    </row>
    <row r="2088" spans="1:7" ht="15" hidden="1" customHeight="1" x14ac:dyDescent="0.3">
      <c r="A2088" t="s">
        <v>180</v>
      </c>
      <c r="B2088" s="2">
        <v>46296</v>
      </c>
      <c r="C2088" s="52">
        <v>23411.7</v>
      </c>
      <c r="D2088" s="48">
        <f>_xlfn.XLOOKUP(expected_production[[#This Row],[Site Name]],Table1[[Site Name ]],Table1[Commisioned Date],"")</f>
        <v>45666</v>
      </c>
      <c r="E2088" s="47">
        <f>IF(ISNUMBER(expected_production[[#This Row],[Commissioned Date]]),MAX(0,(expected_production[[#This Row],[Date]]-expected_production[[#This Row],[Commissioned Date]])/365.25),"")</f>
        <v>1.7248459958932238</v>
      </c>
      <c r="F2088" s="49">
        <f>IF(expected_production[[#This Row],[Age (yrs)]]="",1,(1-DegradationRate)^expected_production[[#This Row],[Age (yrs)]])</f>
        <v>0.98795672880770025</v>
      </c>
      <c r="G2088" s="52">
        <f>IF(expected_production[[#This Row],[Base Expected (kWh)]]="","",expected_production[[#This Row],[Base Expected (kWh)]]*expected_production[[#This Row],[Degradation Factor]])</f>
        <v>23129.746547827235</v>
      </c>
    </row>
    <row r="2089" spans="1:7" ht="15" hidden="1" customHeight="1" x14ac:dyDescent="0.3">
      <c r="A2089" t="s">
        <v>180</v>
      </c>
      <c r="B2089" s="2">
        <v>46327</v>
      </c>
      <c r="C2089" s="52">
        <v>23583.599999999999</v>
      </c>
      <c r="D2089" s="48">
        <f>_xlfn.XLOOKUP(expected_production[[#This Row],[Site Name]],Table1[[Site Name ]],Table1[Commisioned Date],"")</f>
        <v>45666</v>
      </c>
      <c r="E2089" s="47">
        <f>IF(ISNUMBER(expected_production[[#This Row],[Commissioned Date]]),MAX(0,(expected_production[[#This Row],[Date]]-expected_production[[#This Row],[Commissioned Date]])/365.25),"")</f>
        <v>1.8097193702943191</v>
      </c>
      <c r="F2089" s="49">
        <f>IF(expected_production[[#This Row],[Age (yrs)]]="",1,(1-DegradationRate)^expected_production[[#This Row],[Age (yrs)]])</f>
        <v>0.98736788181936574</v>
      </c>
      <c r="G2089" s="52">
        <f>IF(expected_production[[#This Row],[Base Expected (kWh)]]="","",expected_production[[#This Row],[Base Expected (kWh)]]*expected_production[[#This Row],[Degradation Factor]])</f>
        <v>23285.689177675191</v>
      </c>
    </row>
    <row r="2090" spans="1:7" ht="15" hidden="1" customHeight="1" x14ac:dyDescent="0.3">
      <c r="A2090" t="s">
        <v>180</v>
      </c>
      <c r="B2090" s="2">
        <v>46357</v>
      </c>
      <c r="C2090" s="52">
        <v>24027.3</v>
      </c>
      <c r="D2090" s="48">
        <f>_xlfn.XLOOKUP(expected_production[[#This Row],[Site Name]],Table1[[Site Name ]],Table1[Commisioned Date],"")</f>
        <v>45666</v>
      </c>
      <c r="E2090" s="47">
        <f>IF(ISNUMBER(expected_production[[#This Row],[Commissioned Date]]),MAX(0,(expected_production[[#This Row],[Date]]-expected_production[[#This Row],[Commissioned Date]])/365.25),"")</f>
        <v>1.891854893908282</v>
      </c>
      <c r="F2090" s="49">
        <f>IF(expected_production[[#This Row],[Age (yrs)]]="",1,(1-DegradationRate)^expected_production[[#This Row],[Age (yrs)]])</f>
        <v>0.98679836406518984</v>
      </c>
      <c r="G2090" s="52">
        <f>IF(expected_production[[#This Row],[Base Expected (kWh)]]="","",expected_production[[#This Row],[Base Expected (kWh)]]*expected_production[[#This Row],[Degradation Factor]])</f>
        <v>23710.100332903534</v>
      </c>
    </row>
    <row r="2091" spans="1:7" ht="15" hidden="1" customHeight="1" x14ac:dyDescent="0.3">
      <c r="A2091" t="s">
        <v>241</v>
      </c>
      <c r="B2091" s="2">
        <v>45292</v>
      </c>
      <c r="C2091" s="52">
        <v>28380.6</v>
      </c>
      <c r="D2091" s="48">
        <f>_xlfn.XLOOKUP(expected_production[[#This Row],[Site Name]],Table1[[Site Name ]],Table1[Commisioned Date],"")</f>
        <v>46068</v>
      </c>
      <c r="E2091" s="47">
        <f>IF(ISNUMBER(expected_production[[#This Row],[Commissioned Date]]),MAX(0,(expected_production[[#This Row],[Date]]-expected_production[[#This Row],[Commissioned Date]])/365.25),"")</f>
        <v>0</v>
      </c>
      <c r="F2091" s="49">
        <f>IF(expected_production[[#This Row],[Age (yrs)]]="",1,(1-DegradationRate)^expected_production[[#This Row],[Age (yrs)]])</f>
        <v>1</v>
      </c>
      <c r="G2091" s="52">
        <f>IF(expected_production[[#This Row],[Base Expected (kWh)]]="","",expected_production[[#This Row],[Base Expected (kWh)]]*expected_production[[#This Row],[Degradation Factor]])</f>
        <v>28380.6</v>
      </c>
    </row>
    <row r="2092" spans="1:7" ht="15" hidden="1" customHeight="1" x14ac:dyDescent="0.3">
      <c r="A2092" t="s">
        <v>241</v>
      </c>
      <c r="B2092" s="2">
        <v>45323</v>
      </c>
      <c r="C2092" s="52">
        <v>24379.200000000001</v>
      </c>
      <c r="D2092" s="48">
        <f>_xlfn.XLOOKUP(expected_production[[#This Row],[Site Name]],Table1[[Site Name ]],Table1[Commisioned Date],"")</f>
        <v>46068</v>
      </c>
      <c r="E2092" s="47">
        <f>IF(ISNUMBER(expected_production[[#This Row],[Commissioned Date]]),MAX(0,(expected_production[[#This Row],[Date]]-expected_production[[#This Row],[Commissioned Date]])/365.25),"")</f>
        <v>0</v>
      </c>
      <c r="F2092" s="49">
        <f>IF(expected_production[[#This Row],[Age (yrs)]]="",1,(1-DegradationRate)^expected_production[[#This Row],[Age (yrs)]])</f>
        <v>1</v>
      </c>
      <c r="G2092" s="52">
        <f>IF(expected_production[[#This Row],[Base Expected (kWh)]]="","",expected_production[[#This Row],[Base Expected (kWh)]]*expected_production[[#This Row],[Degradation Factor]])</f>
        <v>24379.200000000001</v>
      </c>
    </row>
    <row r="2093" spans="1:7" ht="15" hidden="1" customHeight="1" x14ac:dyDescent="0.3">
      <c r="A2093" t="s">
        <v>241</v>
      </c>
      <c r="B2093" s="2">
        <v>45352</v>
      </c>
      <c r="C2093" s="52">
        <v>23351.4</v>
      </c>
      <c r="D2093" s="48">
        <f>_xlfn.XLOOKUP(expected_production[[#This Row],[Site Name]],Table1[[Site Name ]],Table1[Commisioned Date],"")</f>
        <v>46068</v>
      </c>
      <c r="E2093" s="47">
        <f>IF(ISNUMBER(expected_production[[#This Row],[Commissioned Date]]),MAX(0,(expected_production[[#This Row],[Date]]-expected_production[[#This Row],[Commissioned Date]])/365.25),"")</f>
        <v>0</v>
      </c>
      <c r="F2093" s="49">
        <f>IF(expected_production[[#This Row],[Age (yrs)]]="",1,(1-DegradationRate)^expected_production[[#This Row],[Age (yrs)]])</f>
        <v>1</v>
      </c>
      <c r="G2093" s="52">
        <f>IF(expected_production[[#This Row],[Base Expected (kWh)]]="","",expected_production[[#This Row],[Base Expected (kWh)]]*expected_production[[#This Row],[Degradation Factor]])</f>
        <v>23351.4</v>
      </c>
    </row>
    <row r="2094" spans="1:7" ht="15" hidden="1" customHeight="1" x14ac:dyDescent="0.3">
      <c r="A2094" t="s">
        <v>241</v>
      </c>
      <c r="B2094" s="2">
        <v>45383</v>
      </c>
      <c r="C2094" s="52">
        <v>19887.3</v>
      </c>
      <c r="D2094" s="48">
        <f>_xlfn.XLOOKUP(expected_production[[#This Row],[Site Name]],Table1[[Site Name ]],Table1[Commisioned Date],"")</f>
        <v>46068</v>
      </c>
      <c r="E2094" s="47">
        <f>IF(ISNUMBER(expected_production[[#This Row],[Commissioned Date]]),MAX(0,(expected_production[[#This Row],[Date]]-expected_production[[#This Row],[Commissioned Date]])/365.25),"")</f>
        <v>0</v>
      </c>
      <c r="F2094" s="49">
        <f>IF(expected_production[[#This Row],[Age (yrs)]]="",1,(1-DegradationRate)^expected_production[[#This Row],[Age (yrs)]])</f>
        <v>1</v>
      </c>
      <c r="G2094" s="52">
        <f>IF(expected_production[[#This Row],[Base Expected (kWh)]]="","",expected_production[[#This Row],[Base Expected (kWh)]]*expected_production[[#This Row],[Degradation Factor]])</f>
        <v>19887.3</v>
      </c>
    </row>
    <row r="2095" spans="1:7" ht="15" hidden="1" customHeight="1" x14ac:dyDescent="0.3">
      <c r="A2095" t="s">
        <v>241</v>
      </c>
      <c r="B2095" s="2">
        <v>45413</v>
      </c>
      <c r="C2095" s="52">
        <v>17745.3</v>
      </c>
      <c r="D2095" s="48">
        <f>_xlfn.XLOOKUP(expected_production[[#This Row],[Site Name]],Table1[[Site Name ]],Table1[Commisioned Date],"")</f>
        <v>46068</v>
      </c>
      <c r="E2095" s="47">
        <f>IF(ISNUMBER(expected_production[[#This Row],[Commissioned Date]]),MAX(0,(expected_production[[#This Row],[Date]]-expected_production[[#This Row],[Commissioned Date]])/365.25),"")</f>
        <v>0</v>
      </c>
      <c r="F2095" s="49">
        <f>IF(expected_production[[#This Row],[Age (yrs)]]="",1,(1-DegradationRate)^expected_production[[#This Row],[Age (yrs)]])</f>
        <v>1</v>
      </c>
      <c r="G2095" s="52">
        <f>IF(expected_production[[#This Row],[Base Expected (kWh)]]="","",expected_production[[#This Row],[Base Expected (kWh)]]*expected_production[[#This Row],[Degradation Factor]])</f>
        <v>17745.3</v>
      </c>
    </row>
    <row r="2096" spans="1:7" ht="15" hidden="1" customHeight="1" x14ac:dyDescent="0.3">
      <c r="A2096" t="s">
        <v>241</v>
      </c>
      <c r="B2096" s="2">
        <v>45444</v>
      </c>
      <c r="C2096" s="52">
        <v>15502.5</v>
      </c>
      <c r="D2096" s="48">
        <f>_xlfn.XLOOKUP(expected_production[[#This Row],[Site Name]],Table1[[Site Name ]],Table1[Commisioned Date],"")</f>
        <v>46068</v>
      </c>
      <c r="E2096" s="47">
        <f>IF(ISNUMBER(expected_production[[#This Row],[Commissioned Date]]),MAX(0,(expected_production[[#This Row],[Date]]-expected_production[[#This Row],[Commissioned Date]])/365.25),"")</f>
        <v>0</v>
      </c>
      <c r="F2096" s="49">
        <f>IF(expected_production[[#This Row],[Age (yrs)]]="",1,(1-DegradationRate)^expected_production[[#This Row],[Age (yrs)]])</f>
        <v>1</v>
      </c>
      <c r="G2096" s="52">
        <f>IF(expected_production[[#This Row],[Base Expected (kWh)]]="","",expected_production[[#This Row],[Base Expected (kWh)]]*expected_production[[#This Row],[Degradation Factor]])</f>
        <v>15502.5</v>
      </c>
    </row>
    <row r="2097" spans="1:7" ht="15" hidden="1" customHeight="1" x14ac:dyDescent="0.3">
      <c r="A2097" t="s">
        <v>241</v>
      </c>
      <c r="B2097" s="2">
        <v>45474</v>
      </c>
      <c r="C2097" s="52">
        <v>17358.3</v>
      </c>
      <c r="D2097" s="48">
        <f>_xlfn.XLOOKUP(expected_production[[#This Row],[Site Name]],Table1[[Site Name ]],Table1[Commisioned Date],"")</f>
        <v>46068</v>
      </c>
      <c r="E2097" s="47">
        <f>IF(ISNUMBER(expected_production[[#This Row],[Commissioned Date]]),MAX(0,(expected_production[[#This Row],[Date]]-expected_production[[#This Row],[Commissioned Date]])/365.25),"")</f>
        <v>0</v>
      </c>
      <c r="F2097" s="49">
        <f>IF(expected_production[[#This Row],[Age (yrs)]]="",1,(1-DegradationRate)^expected_production[[#This Row],[Age (yrs)]])</f>
        <v>1</v>
      </c>
      <c r="G2097" s="52">
        <f>IF(expected_production[[#This Row],[Base Expected (kWh)]]="","",expected_production[[#This Row],[Base Expected (kWh)]]*expected_production[[#This Row],[Degradation Factor]])</f>
        <v>17358.3</v>
      </c>
    </row>
    <row r="2098" spans="1:7" ht="15" hidden="1" customHeight="1" x14ac:dyDescent="0.3">
      <c r="A2098" t="s">
        <v>241</v>
      </c>
      <c r="B2098" s="2">
        <v>45505</v>
      </c>
      <c r="C2098" s="52">
        <v>20842.2</v>
      </c>
      <c r="D2098" s="48">
        <f>_xlfn.XLOOKUP(expected_production[[#This Row],[Site Name]],Table1[[Site Name ]],Table1[Commisioned Date],"")</f>
        <v>46068</v>
      </c>
      <c r="E2098" s="47">
        <f>IF(ISNUMBER(expected_production[[#This Row],[Commissioned Date]]),MAX(0,(expected_production[[#This Row],[Date]]-expected_production[[#This Row],[Commissioned Date]])/365.25),"")</f>
        <v>0</v>
      </c>
      <c r="F2098" s="49">
        <f>IF(expected_production[[#This Row],[Age (yrs)]]="",1,(1-DegradationRate)^expected_production[[#This Row],[Age (yrs)]])</f>
        <v>1</v>
      </c>
      <c r="G2098" s="52">
        <f>IF(expected_production[[#This Row],[Base Expected (kWh)]]="","",expected_production[[#This Row],[Base Expected (kWh)]]*expected_production[[#This Row],[Degradation Factor]])</f>
        <v>20842.2</v>
      </c>
    </row>
    <row r="2099" spans="1:7" ht="15" hidden="1" customHeight="1" x14ac:dyDescent="0.3">
      <c r="A2099" t="s">
        <v>241</v>
      </c>
      <c r="B2099" s="2">
        <v>45536</v>
      </c>
      <c r="C2099" s="52">
        <v>23841</v>
      </c>
      <c r="D2099" s="48">
        <f>_xlfn.XLOOKUP(expected_production[[#This Row],[Site Name]],Table1[[Site Name ]],Table1[Commisioned Date],"")</f>
        <v>46068</v>
      </c>
      <c r="E2099" s="47">
        <f>IF(ISNUMBER(expected_production[[#This Row],[Commissioned Date]]),MAX(0,(expected_production[[#This Row],[Date]]-expected_production[[#This Row],[Commissioned Date]])/365.25),"")</f>
        <v>0</v>
      </c>
      <c r="F2099" s="49">
        <f>IF(expected_production[[#This Row],[Age (yrs)]]="",1,(1-DegradationRate)^expected_production[[#This Row],[Age (yrs)]])</f>
        <v>1</v>
      </c>
      <c r="G2099" s="52">
        <f>IF(expected_production[[#This Row],[Base Expected (kWh)]]="","",expected_production[[#This Row],[Base Expected (kWh)]]*expected_production[[#This Row],[Degradation Factor]])</f>
        <v>23841</v>
      </c>
    </row>
    <row r="2100" spans="1:7" ht="15" hidden="1" customHeight="1" x14ac:dyDescent="0.3">
      <c r="A2100" t="s">
        <v>241</v>
      </c>
      <c r="B2100" s="2">
        <v>45566</v>
      </c>
      <c r="C2100" s="52">
        <v>27285.3</v>
      </c>
      <c r="D2100" s="48">
        <f>_xlfn.XLOOKUP(expected_production[[#This Row],[Site Name]],Table1[[Site Name ]],Table1[Commisioned Date],"")</f>
        <v>46068</v>
      </c>
      <c r="E2100" s="47">
        <f>IF(ISNUMBER(expected_production[[#This Row],[Commissioned Date]]),MAX(0,(expected_production[[#This Row],[Date]]-expected_production[[#This Row],[Commissioned Date]])/365.25),"")</f>
        <v>0</v>
      </c>
      <c r="F2100" s="49">
        <f>IF(expected_production[[#This Row],[Age (yrs)]]="",1,(1-DegradationRate)^expected_production[[#This Row],[Age (yrs)]])</f>
        <v>1</v>
      </c>
      <c r="G2100" s="52">
        <f>IF(expected_production[[#This Row],[Base Expected (kWh)]]="","",expected_production[[#This Row],[Base Expected (kWh)]]*expected_production[[#This Row],[Degradation Factor]])</f>
        <v>27285.3</v>
      </c>
    </row>
    <row r="2101" spans="1:7" ht="15" hidden="1" customHeight="1" x14ac:dyDescent="0.3">
      <c r="A2101" t="s">
        <v>241</v>
      </c>
      <c r="B2101" s="2">
        <v>45597</v>
      </c>
      <c r="C2101" s="52">
        <v>27841.5</v>
      </c>
      <c r="D2101" s="48">
        <f>_xlfn.XLOOKUP(expected_production[[#This Row],[Site Name]],Table1[[Site Name ]],Table1[Commisioned Date],"")</f>
        <v>46068</v>
      </c>
      <c r="E2101" s="47">
        <f>IF(ISNUMBER(expected_production[[#This Row],[Commissioned Date]]),MAX(0,(expected_production[[#This Row],[Date]]-expected_production[[#This Row],[Commissioned Date]])/365.25),"")</f>
        <v>0</v>
      </c>
      <c r="F2101" s="49">
        <f>IF(expected_production[[#This Row],[Age (yrs)]]="",1,(1-DegradationRate)^expected_production[[#This Row],[Age (yrs)]])</f>
        <v>1</v>
      </c>
      <c r="G2101" s="52">
        <f>IF(expected_production[[#This Row],[Base Expected (kWh)]]="","",expected_production[[#This Row],[Base Expected (kWh)]]*expected_production[[#This Row],[Degradation Factor]])</f>
        <v>27841.5</v>
      </c>
    </row>
    <row r="2102" spans="1:7" ht="15" hidden="1" customHeight="1" x14ac:dyDescent="0.3">
      <c r="A2102" t="s">
        <v>241</v>
      </c>
      <c r="B2102" s="2">
        <v>45627</v>
      </c>
      <c r="C2102" s="52">
        <v>28779.3</v>
      </c>
      <c r="D2102" s="48">
        <f>_xlfn.XLOOKUP(expected_production[[#This Row],[Site Name]],Table1[[Site Name ]],Table1[Commisioned Date],"")</f>
        <v>46068</v>
      </c>
      <c r="E2102" s="47">
        <f>IF(ISNUMBER(expected_production[[#This Row],[Commissioned Date]]),MAX(0,(expected_production[[#This Row],[Date]]-expected_production[[#This Row],[Commissioned Date]])/365.25),"")</f>
        <v>0</v>
      </c>
      <c r="F2102" s="49">
        <f>IF(expected_production[[#This Row],[Age (yrs)]]="",1,(1-DegradationRate)^expected_production[[#This Row],[Age (yrs)]])</f>
        <v>1</v>
      </c>
      <c r="G2102" s="52">
        <f>IF(expected_production[[#This Row],[Base Expected (kWh)]]="","",expected_production[[#This Row],[Base Expected (kWh)]]*expected_production[[#This Row],[Degradation Factor]])</f>
        <v>28779.3</v>
      </c>
    </row>
    <row r="2103" spans="1:7" ht="15" hidden="1" customHeight="1" x14ac:dyDescent="0.3">
      <c r="A2103" t="s">
        <v>241</v>
      </c>
      <c r="B2103" s="2">
        <v>45658</v>
      </c>
      <c r="C2103" s="52">
        <v>28380.6</v>
      </c>
      <c r="D2103" s="48">
        <f>_xlfn.XLOOKUP(expected_production[[#This Row],[Site Name]],Table1[[Site Name ]],Table1[Commisioned Date],"")</f>
        <v>46068</v>
      </c>
      <c r="E2103" s="47">
        <f>IF(ISNUMBER(expected_production[[#This Row],[Commissioned Date]]),MAX(0,(expected_production[[#This Row],[Date]]-expected_production[[#This Row],[Commissioned Date]])/365.25),"")</f>
        <v>0</v>
      </c>
      <c r="F2103" s="49">
        <f>IF(expected_production[[#This Row],[Age (yrs)]]="",1,(1-DegradationRate)^expected_production[[#This Row],[Age (yrs)]])</f>
        <v>1</v>
      </c>
      <c r="G2103" s="52">
        <f>IF(expected_production[[#This Row],[Base Expected (kWh)]]="","",expected_production[[#This Row],[Base Expected (kWh)]]*expected_production[[#This Row],[Degradation Factor]])</f>
        <v>28380.6</v>
      </c>
    </row>
    <row r="2104" spans="1:7" ht="15" hidden="1" customHeight="1" x14ac:dyDescent="0.3">
      <c r="A2104" t="s">
        <v>241</v>
      </c>
      <c r="B2104" s="2">
        <v>45689</v>
      </c>
      <c r="C2104" s="52">
        <v>24379.200000000001</v>
      </c>
      <c r="D2104" s="48">
        <f>_xlfn.XLOOKUP(expected_production[[#This Row],[Site Name]],Table1[[Site Name ]],Table1[Commisioned Date],"")</f>
        <v>46068</v>
      </c>
      <c r="E2104" s="47">
        <f>IF(ISNUMBER(expected_production[[#This Row],[Commissioned Date]]),MAX(0,(expected_production[[#This Row],[Date]]-expected_production[[#This Row],[Commissioned Date]])/365.25),"")</f>
        <v>0</v>
      </c>
      <c r="F2104" s="49">
        <f>IF(expected_production[[#This Row],[Age (yrs)]]="",1,(1-DegradationRate)^expected_production[[#This Row],[Age (yrs)]])</f>
        <v>1</v>
      </c>
      <c r="G2104" s="52">
        <f>IF(expected_production[[#This Row],[Base Expected (kWh)]]="","",expected_production[[#This Row],[Base Expected (kWh)]]*expected_production[[#This Row],[Degradation Factor]])</f>
        <v>24379.200000000001</v>
      </c>
    </row>
    <row r="2105" spans="1:7" ht="15" hidden="1" customHeight="1" x14ac:dyDescent="0.3">
      <c r="A2105" t="s">
        <v>241</v>
      </c>
      <c r="B2105" s="2">
        <v>45717</v>
      </c>
      <c r="C2105" s="52">
        <v>23351.4</v>
      </c>
      <c r="D2105" s="48">
        <f>_xlfn.XLOOKUP(expected_production[[#This Row],[Site Name]],Table1[[Site Name ]],Table1[Commisioned Date],"")</f>
        <v>46068</v>
      </c>
      <c r="E2105" s="47">
        <f>IF(ISNUMBER(expected_production[[#This Row],[Commissioned Date]]),MAX(0,(expected_production[[#This Row],[Date]]-expected_production[[#This Row],[Commissioned Date]])/365.25),"")</f>
        <v>0</v>
      </c>
      <c r="F2105" s="49">
        <f>IF(expected_production[[#This Row],[Age (yrs)]]="",1,(1-DegradationRate)^expected_production[[#This Row],[Age (yrs)]])</f>
        <v>1</v>
      </c>
      <c r="G2105" s="52">
        <f>IF(expected_production[[#This Row],[Base Expected (kWh)]]="","",expected_production[[#This Row],[Base Expected (kWh)]]*expected_production[[#This Row],[Degradation Factor]])</f>
        <v>23351.4</v>
      </c>
    </row>
    <row r="2106" spans="1:7" ht="15" hidden="1" customHeight="1" x14ac:dyDescent="0.3">
      <c r="A2106" t="s">
        <v>241</v>
      </c>
      <c r="B2106" s="2">
        <v>45748</v>
      </c>
      <c r="C2106" s="52">
        <v>19887.3</v>
      </c>
      <c r="D2106" s="48">
        <f>_xlfn.XLOOKUP(expected_production[[#This Row],[Site Name]],Table1[[Site Name ]],Table1[Commisioned Date],"")</f>
        <v>46068</v>
      </c>
      <c r="E2106" s="47">
        <f>IF(ISNUMBER(expected_production[[#This Row],[Commissioned Date]]),MAX(0,(expected_production[[#This Row],[Date]]-expected_production[[#This Row],[Commissioned Date]])/365.25),"")</f>
        <v>0</v>
      </c>
      <c r="F2106" s="49">
        <f>IF(expected_production[[#This Row],[Age (yrs)]]="",1,(1-DegradationRate)^expected_production[[#This Row],[Age (yrs)]])</f>
        <v>1</v>
      </c>
      <c r="G2106" s="52">
        <f>IF(expected_production[[#This Row],[Base Expected (kWh)]]="","",expected_production[[#This Row],[Base Expected (kWh)]]*expected_production[[#This Row],[Degradation Factor]])</f>
        <v>19887.3</v>
      </c>
    </row>
    <row r="2107" spans="1:7" ht="15" hidden="1" customHeight="1" x14ac:dyDescent="0.3">
      <c r="A2107" t="s">
        <v>241</v>
      </c>
      <c r="B2107" s="2">
        <v>45778</v>
      </c>
      <c r="C2107" s="52">
        <v>17745.3</v>
      </c>
      <c r="D2107" s="48">
        <f>_xlfn.XLOOKUP(expected_production[[#This Row],[Site Name]],Table1[[Site Name ]],Table1[Commisioned Date],"")</f>
        <v>46068</v>
      </c>
      <c r="E2107" s="47">
        <f>IF(ISNUMBER(expected_production[[#This Row],[Commissioned Date]]),MAX(0,(expected_production[[#This Row],[Date]]-expected_production[[#This Row],[Commissioned Date]])/365.25),"")</f>
        <v>0</v>
      </c>
      <c r="F2107" s="49">
        <f>IF(expected_production[[#This Row],[Age (yrs)]]="",1,(1-DegradationRate)^expected_production[[#This Row],[Age (yrs)]])</f>
        <v>1</v>
      </c>
      <c r="G2107" s="52">
        <f>IF(expected_production[[#This Row],[Base Expected (kWh)]]="","",expected_production[[#This Row],[Base Expected (kWh)]]*expected_production[[#This Row],[Degradation Factor]])</f>
        <v>17745.3</v>
      </c>
    </row>
    <row r="2108" spans="1:7" ht="15" hidden="1" customHeight="1" x14ac:dyDescent="0.3">
      <c r="A2108" t="s">
        <v>241</v>
      </c>
      <c r="B2108" s="2">
        <v>45809</v>
      </c>
      <c r="C2108" s="52">
        <v>15502.5</v>
      </c>
      <c r="D2108" s="48">
        <f>_xlfn.XLOOKUP(expected_production[[#This Row],[Site Name]],Table1[[Site Name ]],Table1[Commisioned Date],"")</f>
        <v>46068</v>
      </c>
      <c r="E2108" s="47">
        <f>IF(ISNUMBER(expected_production[[#This Row],[Commissioned Date]]),MAX(0,(expected_production[[#This Row],[Date]]-expected_production[[#This Row],[Commissioned Date]])/365.25),"")</f>
        <v>0</v>
      </c>
      <c r="F2108" s="49">
        <f>IF(expected_production[[#This Row],[Age (yrs)]]="",1,(1-DegradationRate)^expected_production[[#This Row],[Age (yrs)]])</f>
        <v>1</v>
      </c>
      <c r="G2108" s="52">
        <f>IF(expected_production[[#This Row],[Base Expected (kWh)]]="","",expected_production[[#This Row],[Base Expected (kWh)]]*expected_production[[#This Row],[Degradation Factor]])</f>
        <v>15502.5</v>
      </c>
    </row>
    <row r="2109" spans="1:7" ht="15" hidden="1" customHeight="1" x14ac:dyDescent="0.3">
      <c r="A2109" t="s">
        <v>241</v>
      </c>
      <c r="B2109" s="2">
        <v>45839</v>
      </c>
      <c r="C2109" s="52">
        <v>17358.3</v>
      </c>
      <c r="D2109" s="48">
        <f>_xlfn.XLOOKUP(expected_production[[#This Row],[Site Name]],Table1[[Site Name ]],Table1[Commisioned Date],"")</f>
        <v>46068</v>
      </c>
      <c r="E2109" s="47">
        <f>IF(ISNUMBER(expected_production[[#This Row],[Commissioned Date]]),MAX(0,(expected_production[[#This Row],[Date]]-expected_production[[#This Row],[Commissioned Date]])/365.25),"")</f>
        <v>0</v>
      </c>
      <c r="F2109" s="49">
        <f>IF(expected_production[[#This Row],[Age (yrs)]]="",1,(1-DegradationRate)^expected_production[[#This Row],[Age (yrs)]])</f>
        <v>1</v>
      </c>
      <c r="G2109" s="52">
        <f>IF(expected_production[[#This Row],[Base Expected (kWh)]]="","",expected_production[[#This Row],[Base Expected (kWh)]]*expected_production[[#This Row],[Degradation Factor]])</f>
        <v>17358.3</v>
      </c>
    </row>
    <row r="2110" spans="1:7" ht="15" hidden="1" customHeight="1" x14ac:dyDescent="0.3">
      <c r="A2110" t="s">
        <v>241</v>
      </c>
      <c r="B2110" s="2">
        <v>45870</v>
      </c>
      <c r="C2110" s="52">
        <v>20842.2</v>
      </c>
      <c r="D2110" s="48">
        <f>_xlfn.XLOOKUP(expected_production[[#This Row],[Site Name]],Table1[[Site Name ]],Table1[Commisioned Date],"")</f>
        <v>46068</v>
      </c>
      <c r="E2110" s="47">
        <f>IF(ISNUMBER(expected_production[[#This Row],[Commissioned Date]]),MAX(0,(expected_production[[#This Row],[Date]]-expected_production[[#This Row],[Commissioned Date]])/365.25),"")</f>
        <v>0</v>
      </c>
      <c r="F2110" s="49">
        <f>IF(expected_production[[#This Row],[Age (yrs)]]="",1,(1-DegradationRate)^expected_production[[#This Row],[Age (yrs)]])</f>
        <v>1</v>
      </c>
      <c r="G2110" s="52">
        <f>IF(expected_production[[#This Row],[Base Expected (kWh)]]="","",expected_production[[#This Row],[Base Expected (kWh)]]*expected_production[[#This Row],[Degradation Factor]])</f>
        <v>20842.2</v>
      </c>
    </row>
    <row r="2111" spans="1:7" ht="15" hidden="1" customHeight="1" x14ac:dyDescent="0.3">
      <c r="A2111" t="s">
        <v>241</v>
      </c>
      <c r="B2111" s="2">
        <v>45901</v>
      </c>
      <c r="C2111" s="52">
        <v>23841</v>
      </c>
      <c r="D2111" s="48">
        <f>_xlfn.XLOOKUP(expected_production[[#This Row],[Site Name]],Table1[[Site Name ]],Table1[Commisioned Date],"")</f>
        <v>46068</v>
      </c>
      <c r="E2111" s="47">
        <f>IF(ISNUMBER(expected_production[[#This Row],[Commissioned Date]]),MAX(0,(expected_production[[#This Row],[Date]]-expected_production[[#This Row],[Commissioned Date]])/365.25),"")</f>
        <v>0</v>
      </c>
      <c r="F2111" s="49">
        <f>IF(expected_production[[#This Row],[Age (yrs)]]="",1,(1-DegradationRate)^expected_production[[#This Row],[Age (yrs)]])</f>
        <v>1</v>
      </c>
      <c r="G2111" s="52">
        <f>IF(expected_production[[#This Row],[Base Expected (kWh)]]="","",expected_production[[#This Row],[Base Expected (kWh)]]*expected_production[[#This Row],[Degradation Factor]])</f>
        <v>23841</v>
      </c>
    </row>
    <row r="2112" spans="1:7" ht="15" hidden="1" customHeight="1" x14ac:dyDescent="0.3">
      <c r="A2112" t="s">
        <v>241</v>
      </c>
      <c r="B2112" s="2">
        <v>45931</v>
      </c>
      <c r="C2112" s="52">
        <v>27285.3</v>
      </c>
      <c r="D2112" s="48">
        <f>_xlfn.XLOOKUP(expected_production[[#This Row],[Site Name]],Table1[[Site Name ]],Table1[Commisioned Date],"")</f>
        <v>46068</v>
      </c>
      <c r="E2112" s="47">
        <f>IF(ISNUMBER(expected_production[[#This Row],[Commissioned Date]]),MAX(0,(expected_production[[#This Row],[Date]]-expected_production[[#This Row],[Commissioned Date]])/365.25),"")</f>
        <v>0</v>
      </c>
      <c r="F2112" s="49">
        <f>IF(expected_production[[#This Row],[Age (yrs)]]="",1,(1-DegradationRate)^expected_production[[#This Row],[Age (yrs)]])</f>
        <v>1</v>
      </c>
      <c r="G2112" s="52">
        <f>IF(expected_production[[#This Row],[Base Expected (kWh)]]="","",expected_production[[#This Row],[Base Expected (kWh)]]*expected_production[[#This Row],[Degradation Factor]])</f>
        <v>27285.3</v>
      </c>
    </row>
    <row r="2113" spans="1:7" ht="15" hidden="1" customHeight="1" x14ac:dyDescent="0.3">
      <c r="A2113" t="s">
        <v>241</v>
      </c>
      <c r="B2113" s="2">
        <v>45962</v>
      </c>
      <c r="C2113" s="52">
        <v>27841.5</v>
      </c>
      <c r="D2113" s="48">
        <f>_xlfn.XLOOKUP(expected_production[[#This Row],[Site Name]],Table1[[Site Name ]],Table1[Commisioned Date],"")</f>
        <v>46068</v>
      </c>
      <c r="E2113" s="47">
        <f>IF(ISNUMBER(expected_production[[#This Row],[Commissioned Date]]),MAX(0,(expected_production[[#This Row],[Date]]-expected_production[[#This Row],[Commissioned Date]])/365.25),"")</f>
        <v>0</v>
      </c>
      <c r="F2113" s="49">
        <f>IF(expected_production[[#This Row],[Age (yrs)]]="",1,(1-DegradationRate)^expected_production[[#This Row],[Age (yrs)]])</f>
        <v>1</v>
      </c>
      <c r="G2113" s="52">
        <f>IF(expected_production[[#This Row],[Base Expected (kWh)]]="","",expected_production[[#This Row],[Base Expected (kWh)]]*expected_production[[#This Row],[Degradation Factor]])</f>
        <v>27841.5</v>
      </c>
    </row>
    <row r="2114" spans="1:7" ht="15" hidden="1" customHeight="1" x14ac:dyDescent="0.3">
      <c r="A2114" t="s">
        <v>241</v>
      </c>
      <c r="B2114" s="2">
        <v>45992</v>
      </c>
      <c r="C2114" s="52">
        <v>28779.3</v>
      </c>
      <c r="D2114" s="48">
        <f>_xlfn.XLOOKUP(expected_production[[#This Row],[Site Name]],Table1[[Site Name ]],Table1[Commisioned Date],"")</f>
        <v>46068</v>
      </c>
      <c r="E2114" s="47">
        <f>IF(ISNUMBER(expected_production[[#This Row],[Commissioned Date]]),MAX(0,(expected_production[[#This Row],[Date]]-expected_production[[#This Row],[Commissioned Date]])/365.25),"")</f>
        <v>0</v>
      </c>
      <c r="F2114" s="49">
        <f>IF(expected_production[[#This Row],[Age (yrs)]]="",1,(1-DegradationRate)^expected_production[[#This Row],[Age (yrs)]])</f>
        <v>1</v>
      </c>
      <c r="G2114" s="52">
        <f>IF(expected_production[[#This Row],[Base Expected (kWh)]]="","",expected_production[[#This Row],[Base Expected (kWh)]]*expected_production[[#This Row],[Degradation Factor]])</f>
        <v>28779.3</v>
      </c>
    </row>
    <row r="2115" spans="1:7" ht="15" hidden="1" customHeight="1" x14ac:dyDescent="0.3">
      <c r="A2115" t="s">
        <v>241</v>
      </c>
      <c r="B2115" s="2">
        <v>46023</v>
      </c>
      <c r="C2115" s="52">
        <v>28380.6</v>
      </c>
      <c r="D2115" s="48">
        <f>_xlfn.XLOOKUP(expected_production[[#This Row],[Site Name]],Table1[[Site Name ]],Table1[Commisioned Date],"")</f>
        <v>46068</v>
      </c>
      <c r="E2115" s="47">
        <f>IF(ISNUMBER(expected_production[[#This Row],[Commissioned Date]]),MAX(0,(expected_production[[#This Row],[Date]]-expected_production[[#This Row],[Commissioned Date]])/365.25),"")</f>
        <v>0</v>
      </c>
      <c r="F2115" s="49">
        <f>IF(expected_production[[#This Row],[Age (yrs)]]="",1,(1-DegradationRate)^expected_production[[#This Row],[Age (yrs)]])</f>
        <v>1</v>
      </c>
      <c r="G2115" s="52">
        <f>IF(expected_production[[#This Row],[Base Expected (kWh)]]="","",expected_production[[#This Row],[Base Expected (kWh)]]*expected_production[[#This Row],[Degradation Factor]])</f>
        <v>28380.6</v>
      </c>
    </row>
    <row r="2116" spans="1:7" ht="15" hidden="1" customHeight="1" x14ac:dyDescent="0.3">
      <c r="A2116" t="s">
        <v>241</v>
      </c>
      <c r="B2116" s="2">
        <v>46054</v>
      </c>
      <c r="C2116" s="52">
        <v>24379.200000000001</v>
      </c>
      <c r="D2116" s="48">
        <f>_xlfn.XLOOKUP(expected_production[[#This Row],[Site Name]],Table1[[Site Name ]],Table1[Commisioned Date],"")</f>
        <v>46068</v>
      </c>
      <c r="E2116" s="47">
        <f>IF(ISNUMBER(expected_production[[#This Row],[Commissioned Date]]),MAX(0,(expected_production[[#This Row],[Date]]-expected_production[[#This Row],[Commissioned Date]])/365.25),"")</f>
        <v>0</v>
      </c>
      <c r="F2116" s="49">
        <f>IF(expected_production[[#This Row],[Age (yrs)]]="",1,(1-DegradationRate)^expected_production[[#This Row],[Age (yrs)]])</f>
        <v>1</v>
      </c>
      <c r="G2116" s="52">
        <f>IF(expected_production[[#This Row],[Base Expected (kWh)]]="","",expected_production[[#This Row],[Base Expected (kWh)]]*expected_production[[#This Row],[Degradation Factor]])</f>
        <v>24379.200000000001</v>
      </c>
    </row>
    <row r="2117" spans="1:7" ht="15" hidden="1" customHeight="1" x14ac:dyDescent="0.3">
      <c r="A2117" t="s">
        <v>241</v>
      </c>
      <c r="B2117" s="2">
        <v>46082</v>
      </c>
      <c r="C2117" s="52">
        <v>23351.4</v>
      </c>
      <c r="D2117" s="48">
        <f>_xlfn.XLOOKUP(expected_production[[#This Row],[Site Name]],Table1[[Site Name ]],Table1[Commisioned Date],"")</f>
        <v>46068</v>
      </c>
      <c r="E2117" s="47">
        <f>IF(ISNUMBER(expected_production[[#This Row],[Commissioned Date]]),MAX(0,(expected_production[[#This Row],[Date]]-expected_production[[#This Row],[Commissioned Date]])/365.25),"")</f>
        <v>3.8329911019849415E-2</v>
      </c>
      <c r="F2117" s="49">
        <f>IF(expected_production[[#This Row],[Age (yrs)]]="",1,(1-DegradationRate)^expected_production[[#This Row],[Age (yrs)]])</f>
        <v>0.99973078337981713</v>
      </c>
      <c r="G2117" s="52">
        <f>IF(expected_production[[#This Row],[Base Expected (kWh)]]="","",expected_production[[#This Row],[Base Expected (kWh)]]*expected_production[[#This Row],[Degradation Factor]])</f>
        <v>23345.113415015465</v>
      </c>
    </row>
    <row r="2118" spans="1:7" ht="15" hidden="1" customHeight="1" x14ac:dyDescent="0.3">
      <c r="A2118" t="s">
        <v>241</v>
      </c>
      <c r="B2118" s="2">
        <v>46113</v>
      </c>
      <c r="C2118" s="52">
        <v>19887.3</v>
      </c>
      <c r="D2118" s="48">
        <f>_xlfn.XLOOKUP(expected_production[[#This Row],[Site Name]],Table1[[Site Name ]],Table1[Commisioned Date],"")</f>
        <v>46068</v>
      </c>
      <c r="E2118" s="47">
        <f>IF(ISNUMBER(expected_production[[#This Row],[Commissioned Date]]),MAX(0,(expected_production[[#This Row],[Date]]-expected_production[[#This Row],[Commissioned Date]])/365.25),"")</f>
        <v>0.12320328542094455</v>
      </c>
      <c r="F2118" s="49">
        <f>IF(expected_production[[#This Row],[Age (yrs)]]="",1,(1-DegradationRate)^expected_production[[#This Row],[Age (yrs)]])</f>
        <v>0.9991349187596642</v>
      </c>
      <c r="G2118" s="52">
        <f>IF(expected_production[[#This Row],[Base Expected (kWh)]]="","",expected_production[[#This Row],[Base Expected (kWh)]]*expected_production[[#This Row],[Degradation Factor]])</f>
        <v>19870.095869849069</v>
      </c>
    </row>
    <row r="2119" spans="1:7" ht="15" hidden="1" customHeight="1" x14ac:dyDescent="0.3">
      <c r="A2119" t="s">
        <v>241</v>
      </c>
      <c r="B2119" s="2">
        <v>46143</v>
      </c>
      <c r="C2119" s="52">
        <v>17745.3</v>
      </c>
      <c r="D2119" s="48">
        <f>_xlfn.XLOOKUP(expected_production[[#This Row],[Site Name]],Table1[[Site Name ]],Table1[Commisioned Date],"")</f>
        <v>46068</v>
      </c>
      <c r="E2119" s="47">
        <f>IF(ISNUMBER(expected_production[[#This Row],[Commissioned Date]]),MAX(0,(expected_production[[#This Row],[Date]]-expected_production[[#This Row],[Commissioned Date]])/365.25),"")</f>
        <v>0.20533880903490759</v>
      </c>
      <c r="F2119" s="49">
        <f>IF(expected_production[[#This Row],[Age (yrs)]]="",1,(1-DegradationRate)^expected_production[[#This Row],[Age (yrs)]])</f>
        <v>0.99855861373138821</v>
      </c>
      <c r="G2119" s="52">
        <f>IF(expected_production[[#This Row],[Base Expected (kWh)]]="","",expected_production[[#This Row],[Base Expected (kWh)]]*expected_production[[#This Row],[Degradation Factor]])</f>
        <v>17719.722168247601</v>
      </c>
    </row>
    <row r="2120" spans="1:7" ht="15" hidden="1" customHeight="1" x14ac:dyDescent="0.3">
      <c r="A2120" t="s">
        <v>241</v>
      </c>
      <c r="B2120" s="2">
        <v>46174</v>
      </c>
      <c r="C2120" s="52">
        <v>15502.5</v>
      </c>
      <c r="D2120" s="48">
        <f>_xlfn.XLOOKUP(expected_production[[#This Row],[Site Name]],Table1[[Site Name ]],Table1[Commisioned Date],"")</f>
        <v>46068</v>
      </c>
      <c r="E2120" s="47">
        <f>IF(ISNUMBER(expected_production[[#This Row],[Commissioned Date]]),MAX(0,(expected_production[[#This Row],[Date]]-expected_production[[#This Row],[Commissioned Date]])/365.25),"")</f>
        <v>0.29021218343600275</v>
      </c>
      <c r="F2120" s="49">
        <f>IF(expected_production[[#This Row],[Age (yrs)]]="",1,(1-DegradationRate)^expected_production[[#This Row],[Age (yrs)]])</f>
        <v>0.9979634477537439</v>
      </c>
      <c r="G2120" s="52">
        <f>IF(expected_production[[#This Row],[Base Expected (kWh)]]="","",expected_production[[#This Row],[Base Expected (kWh)]]*expected_production[[#This Row],[Degradation Factor]])</f>
        <v>15470.928348802416</v>
      </c>
    </row>
    <row r="2121" spans="1:7" ht="15" hidden="1" customHeight="1" x14ac:dyDescent="0.3">
      <c r="A2121" t="s">
        <v>241</v>
      </c>
      <c r="B2121" s="2">
        <v>46204</v>
      </c>
      <c r="C2121" s="52">
        <v>17358.3</v>
      </c>
      <c r="D2121" s="48">
        <f>_xlfn.XLOOKUP(expected_production[[#This Row],[Site Name]],Table1[[Site Name ]],Table1[Commisioned Date],"")</f>
        <v>46068</v>
      </c>
      <c r="E2121" s="47">
        <f>IF(ISNUMBER(expected_production[[#This Row],[Commissioned Date]]),MAX(0,(expected_production[[#This Row],[Date]]-expected_production[[#This Row],[Commissioned Date]])/365.25),"")</f>
        <v>0.37234770704996578</v>
      </c>
      <c r="F2121" s="49">
        <f>IF(expected_production[[#This Row],[Age (yrs)]]="",1,(1-DegradationRate)^expected_production[[#This Row],[Age (yrs)]])</f>
        <v>0.99738781843464241</v>
      </c>
      <c r="G2121" s="52">
        <f>IF(expected_production[[#This Row],[Base Expected (kWh)]]="","",expected_production[[#This Row],[Base Expected (kWh)]]*expected_production[[#This Row],[Degradation Factor]])</f>
        <v>17312.956968734052</v>
      </c>
    </row>
    <row r="2122" spans="1:7" ht="15" hidden="1" customHeight="1" x14ac:dyDescent="0.3">
      <c r="A2122" t="s">
        <v>241</v>
      </c>
      <c r="B2122" s="2">
        <v>46235</v>
      </c>
      <c r="C2122" s="52">
        <v>20842.2</v>
      </c>
      <c r="D2122" s="48">
        <f>_xlfn.XLOOKUP(expected_production[[#This Row],[Site Name]],Table1[[Site Name ]],Table1[Commisioned Date],"")</f>
        <v>46068</v>
      </c>
      <c r="E2122" s="47">
        <f>IF(ISNUMBER(expected_production[[#This Row],[Commissioned Date]]),MAX(0,(expected_production[[#This Row],[Date]]-expected_production[[#This Row],[Commissioned Date]])/365.25),"")</f>
        <v>0.45722108145106094</v>
      </c>
      <c r="F2122" s="49">
        <f>IF(expected_production[[#This Row],[Age (yrs)]]="",1,(1-DegradationRate)^expected_production[[#This Row],[Age (yrs)]])</f>
        <v>0.99679335028035843</v>
      </c>
      <c r="G2122" s="52">
        <f>IF(expected_production[[#This Row],[Base Expected (kWh)]]="","",expected_production[[#This Row],[Base Expected (kWh)]]*expected_production[[#This Row],[Degradation Factor]])</f>
        <v>20775.366365213285</v>
      </c>
    </row>
    <row r="2123" spans="1:7" ht="15" hidden="1" customHeight="1" x14ac:dyDescent="0.3">
      <c r="A2123" t="s">
        <v>241</v>
      </c>
      <c r="B2123" s="2">
        <v>46266</v>
      </c>
      <c r="C2123" s="52">
        <v>23841</v>
      </c>
      <c r="D2123" s="48">
        <f>_xlfn.XLOOKUP(expected_production[[#This Row],[Site Name]],Table1[[Site Name ]],Table1[Commisioned Date],"")</f>
        <v>46068</v>
      </c>
      <c r="E2123" s="47">
        <f>IF(ISNUMBER(expected_production[[#This Row],[Commissioned Date]]),MAX(0,(expected_production[[#This Row],[Date]]-expected_production[[#This Row],[Commissioned Date]])/365.25),"")</f>
        <v>0.5420944558521561</v>
      </c>
      <c r="F2123" s="49">
        <f>IF(expected_production[[#This Row],[Age (yrs)]]="",1,(1-DegradationRate)^expected_production[[#This Row],[Age (yrs)]])</f>
        <v>0.99619923644400366</v>
      </c>
      <c r="G2123" s="52">
        <f>IF(expected_production[[#This Row],[Base Expected (kWh)]]="","",expected_production[[#This Row],[Base Expected (kWh)]]*expected_production[[#This Row],[Degradation Factor]])</f>
        <v>23750.38599606149</v>
      </c>
    </row>
    <row r="2124" spans="1:7" ht="15" hidden="1" customHeight="1" x14ac:dyDescent="0.3">
      <c r="A2124" t="s">
        <v>241</v>
      </c>
      <c r="B2124" s="2">
        <v>46296</v>
      </c>
      <c r="C2124" s="52">
        <v>27285.3</v>
      </c>
      <c r="D2124" s="48">
        <f>_xlfn.XLOOKUP(expected_production[[#This Row],[Site Name]],Table1[[Site Name ]],Table1[Commisioned Date],"")</f>
        <v>46068</v>
      </c>
      <c r="E2124" s="47">
        <f>IF(ISNUMBER(expected_production[[#This Row],[Commissioned Date]]),MAX(0,(expected_production[[#This Row],[Date]]-expected_production[[#This Row],[Commissioned Date]])/365.25),"")</f>
        <v>0.62422997946611913</v>
      </c>
      <c r="F2124" s="49">
        <f>IF(expected_production[[#This Row],[Age (yrs)]]="",1,(1-DegradationRate)^expected_production[[#This Row],[Age (yrs)]])</f>
        <v>0.99562462472906121</v>
      </c>
      <c r="G2124" s="52">
        <f>IF(expected_production[[#This Row],[Base Expected (kWh)]]="","",expected_production[[#This Row],[Base Expected (kWh)]]*expected_production[[#This Row],[Degradation Factor]])</f>
        <v>27165.916573119852</v>
      </c>
    </row>
    <row r="2125" spans="1:7" ht="15" hidden="1" customHeight="1" x14ac:dyDescent="0.3">
      <c r="A2125" t="s">
        <v>241</v>
      </c>
      <c r="B2125" s="2">
        <v>46327</v>
      </c>
      <c r="C2125" s="52">
        <v>27841.5</v>
      </c>
      <c r="D2125" s="48">
        <f>_xlfn.XLOOKUP(expected_production[[#This Row],[Site Name]],Table1[[Site Name ]],Table1[Commisioned Date],"")</f>
        <v>46068</v>
      </c>
      <c r="E2125" s="47">
        <f>IF(ISNUMBER(expected_production[[#This Row],[Commissioned Date]]),MAX(0,(expected_production[[#This Row],[Date]]-expected_production[[#This Row],[Commissioned Date]])/365.25),"")</f>
        <v>0.70910335386721424</v>
      </c>
      <c r="F2125" s="49">
        <f>IF(expected_production[[#This Row],[Age (yrs)]]="",1,(1-DegradationRate)^expected_production[[#This Row],[Age (yrs)]])</f>
        <v>0.99503120748244667</v>
      </c>
      <c r="G2125" s="52">
        <f>IF(expected_production[[#This Row],[Base Expected (kWh)]]="","",expected_production[[#This Row],[Base Expected (kWh)]]*expected_production[[#This Row],[Degradation Factor]])</f>
        <v>27703.161363122537</v>
      </c>
    </row>
    <row r="2126" spans="1:7" ht="15" hidden="1" customHeight="1" x14ac:dyDescent="0.3">
      <c r="A2126" t="s">
        <v>241</v>
      </c>
      <c r="B2126" s="2">
        <v>46357</v>
      </c>
      <c r="C2126" s="52">
        <v>28779.3</v>
      </c>
      <c r="D2126" s="48">
        <f>_xlfn.XLOOKUP(expected_production[[#This Row],[Site Name]],Table1[[Site Name ]],Table1[Commisioned Date],"")</f>
        <v>46068</v>
      </c>
      <c r="E2126" s="47">
        <f>IF(ISNUMBER(expected_production[[#This Row],[Commissioned Date]]),MAX(0,(expected_production[[#This Row],[Date]]-expected_production[[#This Row],[Commissioned Date]])/365.25),"")</f>
        <v>0.79123887748117727</v>
      </c>
      <c r="F2126" s="49">
        <f>IF(expected_production[[#This Row],[Age (yrs)]]="",1,(1-DegradationRate)^expected_production[[#This Row],[Age (yrs)]])</f>
        <v>0.99445726949129376</v>
      </c>
      <c r="G2126" s="52">
        <f>IF(expected_production[[#This Row],[Base Expected (kWh)]]="","",expected_production[[#This Row],[Base Expected (kWh)]]*expected_production[[#This Row],[Degradation Factor]])</f>
        <v>28619.784095870789</v>
      </c>
    </row>
    <row r="2127" spans="1:7" ht="15" hidden="1" customHeight="1" x14ac:dyDescent="0.3">
      <c r="A2127" t="s">
        <v>182</v>
      </c>
      <c r="B2127" s="2">
        <v>45292</v>
      </c>
      <c r="C2127" s="52">
        <v>20564.650000000001</v>
      </c>
      <c r="D2127" s="48">
        <f>_xlfn.XLOOKUP(expected_production[[#This Row],[Site Name]],Table1[[Site Name ]],Table1[Commisioned Date],"")</f>
        <v>45590</v>
      </c>
      <c r="E2127" s="47">
        <f>IF(ISNUMBER(expected_production[[#This Row],[Commissioned Date]]),MAX(0,(expected_production[[#This Row],[Date]]-expected_production[[#This Row],[Commissioned Date]])/365.25),"")</f>
        <v>0</v>
      </c>
      <c r="F2127" s="49">
        <f>IF(expected_production[[#This Row],[Age (yrs)]]="",1,(1-DegradationRate)^expected_production[[#This Row],[Age (yrs)]])</f>
        <v>1</v>
      </c>
      <c r="G2127" s="52">
        <f>IF(expected_production[[#This Row],[Base Expected (kWh)]]="","",expected_production[[#This Row],[Base Expected (kWh)]]*expected_production[[#This Row],[Degradation Factor]])</f>
        <v>20564.650000000001</v>
      </c>
    </row>
    <row r="2128" spans="1:7" ht="15" hidden="1" customHeight="1" x14ac:dyDescent="0.3">
      <c r="A2128" t="s">
        <v>182</v>
      </c>
      <c r="B2128" s="2">
        <v>45323</v>
      </c>
      <c r="C2128" s="52">
        <v>17491.400000000001</v>
      </c>
      <c r="D2128" s="48">
        <f>_xlfn.XLOOKUP(expected_production[[#This Row],[Site Name]],Table1[[Site Name ]],Table1[Commisioned Date],"")</f>
        <v>45590</v>
      </c>
      <c r="E2128" s="47">
        <f>IF(ISNUMBER(expected_production[[#This Row],[Commissioned Date]]),MAX(0,(expected_production[[#This Row],[Date]]-expected_production[[#This Row],[Commissioned Date]])/365.25),"")</f>
        <v>0</v>
      </c>
      <c r="F2128" s="49">
        <f>IF(expected_production[[#This Row],[Age (yrs)]]="",1,(1-DegradationRate)^expected_production[[#This Row],[Age (yrs)]])</f>
        <v>1</v>
      </c>
      <c r="G2128" s="52">
        <f>IF(expected_production[[#This Row],[Base Expected (kWh)]]="","",expected_production[[#This Row],[Base Expected (kWh)]]*expected_production[[#This Row],[Degradation Factor]])</f>
        <v>17491.400000000001</v>
      </c>
    </row>
    <row r="2129" spans="1:7" ht="15" hidden="1" customHeight="1" x14ac:dyDescent="0.3">
      <c r="A2129" t="s">
        <v>182</v>
      </c>
      <c r="B2129" s="2">
        <v>45352</v>
      </c>
      <c r="C2129" s="52">
        <v>18246.650000000001</v>
      </c>
      <c r="D2129" s="48">
        <f>_xlfn.XLOOKUP(expected_production[[#This Row],[Site Name]],Table1[[Site Name ]],Table1[Commisioned Date],"")</f>
        <v>45590</v>
      </c>
      <c r="E2129" s="47">
        <f>IF(ISNUMBER(expected_production[[#This Row],[Commissioned Date]]),MAX(0,(expected_production[[#This Row],[Date]]-expected_production[[#This Row],[Commissioned Date]])/365.25),"")</f>
        <v>0</v>
      </c>
      <c r="F2129" s="49">
        <f>IF(expected_production[[#This Row],[Age (yrs)]]="",1,(1-DegradationRate)^expected_production[[#This Row],[Age (yrs)]])</f>
        <v>1</v>
      </c>
      <c r="G2129" s="52">
        <f>IF(expected_production[[#This Row],[Base Expected (kWh)]]="","",expected_production[[#This Row],[Base Expected (kWh)]]*expected_production[[#This Row],[Degradation Factor]])</f>
        <v>18246.650000000001</v>
      </c>
    </row>
    <row r="2130" spans="1:7" ht="15" hidden="1" customHeight="1" x14ac:dyDescent="0.3">
      <c r="A2130" t="s">
        <v>182</v>
      </c>
      <c r="B2130" s="2">
        <v>45383</v>
      </c>
      <c r="C2130" s="52">
        <v>15297.85</v>
      </c>
      <c r="D2130" s="48">
        <f>_xlfn.XLOOKUP(expected_production[[#This Row],[Site Name]],Table1[[Site Name ]],Table1[Commisioned Date],"")</f>
        <v>45590</v>
      </c>
      <c r="E2130" s="47">
        <f>IF(ISNUMBER(expected_production[[#This Row],[Commissioned Date]]),MAX(0,(expected_production[[#This Row],[Date]]-expected_production[[#This Row],[Commissioned Date]])/365.25),"")</f>
        <v>0</v>
      </c>
      <c r="F2130" s="49">
        <f>IF(expected_production[[#This Row],[Age (yrs)]]="",1,(1-DegradationRate)^expected_production[[#This Row],[Age (yrs)]])</f>
        <v>1</v>
      </c>
      <c r="G2130" s="52">
        <f>IF(expected_production[[#This Row],[Base Expected (kWh)]]="","",expected_production[[#This Row],[Base Expected (kWh)]]*expected_production[[#This Row],[Degradation Factor]])</f>
        <v>15297.85</v>
      </c>
    </row>
    <row r="2131" spans="1:7" ht="15" hidden="1" customHeight="1" x14ac:dyDescent="0.3">
      <c r="A2131" t="s">
        <v>182</v>
      </c>
      <c r="B2131" s="2">
        <v>45413</v>
      </c>
      <c r="C2131" s="52">
        <v>14953</v>
      </c>
      <c r="D2131" s="48">
        <f>_xlfn.XLOOKUP(expected_production[[#This Row],[Site Name]],Table1[[Site Name ]],Table1[Commisioned Date],"")</f>
        <v>45590</v>
      </c>
      <c r="E2131" s="47">
        <f>IF(ISNUMBER(expected_production[[#This Row],[Commissioned Date]]),MAX(0,(expected_production[[#This Row],[Date]]-expected_production[[#This Row],[Commissioned Date]])/365.25),"")</f>
        <v>0</v>
      </c>
      <c r="F2131" s="49">
        <f>IF(expected_production[[#This Row],[Age (yrs)]]="",1,(1-DegradationRate)^expected_production[[#This Row],[Age (yrs)]])</f>
        <v>1</v>
      </c>
      <c r="G2131" s="52">
        <f>IF(expected_production[[#This Row],[Base Expected (kWh)]]="","",expected_production[[#This Row],[Base Expected (kWh)]]*expected_production[[#This Row],[Degradation Factor]])</f>
        <v>14953</v>
      </c>
    </row>
    <row r="2132" spans="1:7" ht="15" hidden="1" customHeight="1" x14ac:dyDescent="0.3">
      <c r="A2132" t="s">
        <v>182</v>
      </c>
      <c r="B2132" s="2">
        <v>45444</v>
      </c>
      <c r="C2132" s="52">
        <v>13275.3</v>
      </c>
      <c r="D2132" s="48">
        <f>_xlfn.XLOOKUP(expected_production[[#This Row],[Site Name]],Table1[[Site Name ]],Table1[Commisioned Date],"")</f>
        <v>45590</v>
      </c>
      <c r="E2132" s="47">
        <f>IF(ISNUMBER(expected_production[[#This Row],[Commissioned Date]]),MAX(0,(expected_production[[#This Row],[Date]]-expected_production[[#This Row],[Commissioned Date]])/365.25),"")</f>
        <v>0</v>
      </c>
      <c r="F2132" s="49">
        <f>IF(expected_production[[#This Row],[Age (yrs)]]="",1,(1-DegradationRate)^expected_production[[#This Row],[Age (yrs)]])</f>
        <v>1</v>
      </c>
      <c r="G2132" s="52">
        <f>IF(expected_production[[#This Row],[Base Expected (kWh)]]="","",expected_production[[#This Row],[Base Expected (kWh)]]*expected_production[[#This Row],[Degradation Factor]])</f>
        <v>13275.3</v>
      </c>
    </row>
    <row r="2133" spans="1:7" ht="15" hidden="1" customHeight="1" x14ac:dyDescent="0.3">
      <c r="A2133" t="s">
        <v>182</v>
      </c>
      <c r="B2133" s="2">
        <v>45474</v>
      </c>
      <c r="C2133" s="52">
        <v>14678.45</v>
      </c>
      <c r="D2133" s="48">
        <f>_xlfn.XLOOKUP(expected_production[[#This Row],[Site Name]],Table1[[Site Name ]],Table1[Commisioned Date],"")</f>
        <v>45590</v>
      </c>
      <c r="E2133" s="47">
        <f>IF(ISNUMBER(expected_production[[#This Row],[Commissioned Date]]),MAX(0,(expected_production[[#This Row],[Date]]-expected_production[[#This Row],[Commissioned Date]])/365.25),"")</f>
        <v>0</v>
      </c>
      <c r="F2133" s="49">
        <f>IF(expected_production[[#This Row],[Age (yrs)]]="",1,(1-DegradationRate)^expected_production[[#This Row],[Age (yrs)]])</f>
        <v>1</v>
      </c>
      <c r="G2133" s="52">
        <f>IF(expected_production[[#This Row],[Base Expected (kWh)]]="","",expected_production[[#This Row],[Base Expected (kWh)]]*expected_production[[#This Row],[Degradation Factor]])</f>
        <v>14678.45</v>
      </c>
    </row>
    <row r="2134" spans="1:7" ht="15" hidden="1" customHeight="1" x14ac:dyDescent="0.3">
      <c r="A2134" t="s">
        <v>182</v>
      </c>
      <c r="B2134" s="2">
        <v>45505</v>
      </c>
      <c r="C2134" s="52">
        <v>17062.95</v>
      </c>
      <c r="D2134" s="48">
        <f>_xlfn.XLOOKUP(expected_production[[#This Row],[Site Name]],Table1[[Site Name ]],Table1[Commisioned Date],"")</f>
        <v>45590</v>
      </c>
      <c r="E2134" s="47">
        <f>IF(ISNUMBER(expected_production[[#This Row],[Commissioned Date]]),MAX(0,(expected_production[[#This Row],[Date]]-expected_production[[#This Row],[Commissioned Date]])/365.25),"")</f>
        <v>0</v>
      </c>
      <c r="F2134" s="49">
        <f>IF(expected_production[[#This Row],[Age (yrs)]]="",1,(1-DegradationRate)^expected_production[[#This Row],[Age (yrs)]])</f>
        <v>1</v>
      </c>
      <c r="G2134" s="52">
        <f>IF(expected_production[[#This Row],[Base Expected (kWh)]]="","",expected_production[[#This Row],[Base Expected (kWh)]]*expected_production[[#This Row],[Degradation Factor]])</f>
        <v>17062.95</v>
      </c>
    </row>
    <row r="2135" spans="1:7" ht="15" hidden="1" customHeight="1" x14ac:dyDescent="0.3">
      <c r="A2135" t="s">
        <v>182</v>
      </c>
      <c r="B2135" s="2">
        <v>45536</v>
      </c>
      <c r="C2135" s="52">
        <v>18937.3</v>
      </c>
      <c r="D2135" s="48">
        <f>_xlfn.XLOOKUP(expected_production[[#This Row],[Site Name]],Table1[[Site Name ]],Table1[Commisioned Date],"")</f>
        <v>45590</v>
      </c>
      <c r="E2135" s="47">
        <f>IF(ISNUMBER(expected_production[[#This Row],[Commissioned Date]]),MAX(0,(expected_production[[#This Row],[Date]]-expected_production[[#This Row],[Commissioned Date]])/365.25),"")</f>
        <v>0</v>
      </c>
      <c r="F2135" s="49">
        <f>IF(expected_production[[#This Row],[Age (yrs)]]="",1,(1-DegradationRate)^expected_production[[#This Row],[Age (yrs)]])</f>
        <v>1</v>
      </c>
      <c r="G2135" s="52">
        <f>IF(expected_production[[#This Row],[Base Expected (kWh)]]="","",expected_production[[#This Row],[Base Expected (kWh)]]*expected_production[[#This Row],[Degradation Factor]])</f>
        <v>18937.3</v>
      </c>
    </row>
    <row r="2136" spans="1:7" ht="15" hidden="1" customHeight="1" x14ac:dyDescent="0.3">
      <c r="A2136" t="s">
        <v>182</v>
      </c>
      <c r="B2136" s="2">
        <v>45566</v>
      </c>
      <c r="C2136" s="52">
        <v>20481.05</v>
      </c>
      <c r="D2136" s="48">
        <f>_xlfn.XLOOKUP(expected_production[[#This Row],[Site Name]],Table1[[Site Name ]],Table1[Commisioned Date],"")</f>
        <v>45590</v>
      </c>
      <c r="E2136" s="47">
        <f>IF(ISNUMBER(expected_production[[#This Row],[Commissioned Date]]),MAX(0,(expected_production[[#This Row],[Date]]-expected_production[[#This Row],[Commissioned Date]])/365.25),"")</f>
        <v>0</v>
      </c>
      <c r="F2136" s="49">
        <f>IF(expected_production[[#This Row],[Age (yrs)]]="",1,(1-DegradationRate)^expected_production[[#This Row],[Age (yrs)]])</f>
        <v>1</v>
      </c>
      <c r="G2136" s="52">
        <f>IF(expected_production[[#This Row],[Base Expected (kWh)]]="","",expected_production[[#This Row],[Base Expected (kWh)]]*expected_production[[#This Row],[Degradation Factor]])</f>
        <v>20481.05</v>
      </c>
    </row>
    <row r="2137" spans="1:7" ht="15" hidden="1" customHeight="1" x14ac:dyDescent="0.3">
      <c r="A2137" t="s">
        <v>182</v>
      </c>
      <c r="B2137" s="2">
        <v>45597</v>
      </c>
      <c r="C2137" s="52">
        <v>20366.099999999999</v>
      </c>
      <c r="D2137" s="48">
        <f>_xlfn.XLOOKUP(expected_production[[#This Row],[Site Name]],Table1[[Site Name ]],Table1[Commisioned Date],"")</f>
        <v>45590</v>
      </c>
      <c r="E2137" s="47">
        <f>IF(ISNUMBER(expected_production[[#This Row],[Commissioned Date]]),MAX(0,(expected_production[[#This Row],[Date]]-expected_production[[#This Row],[Commissioned Date]])/365.25),"")</f>
        <v>1.9164955509924708E-2</v>
      </c>
      <c r="F2137" s="49">
        <f>IF(expected_production[[#This Row],[Age (yrs)]]="",1,(1-DegradationRate)^expected_production[[#This Row],[Age (yrs)]])</f>
        <v>0.99986538262899027</v>
      </c>
      <c r="G2137" s="52">
        <f>IF(expected_production[[#This Row],[Base Expected (kWh)]]="","",expected_production[[#This Row],[Base Expected (kWh)]]*expected_production[[#This Row],[Degradation Factor]])</f>
        <v>20363.358369160276</v>
      </c>
    </row>
    <row r="2138" spans="1:7" ht="15" hidden="1" customHeight="1" x14ac:dyDescent="0.3">
      <c r="A2138" t="s">
        <v>182</v>
      </c>
      <c r="B2138" s="2">
        <v>45627</v>
      </c>
      <c r="C2138" s="52">
        <v>21890.85</v>
      </c>
      <c r="D2138" s="48">
        <f>_xlfn.XLOOKUP(expected_production[[#This Row],[Site Name]],Table1[[Site Name ]],Table1[Commisioned Date],"")</f>
        <v>45590</v>
      </c>
      <c r="E2138" s="47">
        <f>IF(ISNUMBER(expected_production[[#This Row],[Commissioned Date]]),MAX(0,(expected_production[[#This Row],[Date]]-expected_production[[#This Row],[Commissioned Date]])/365.25),"")</f>
        <v>0.10130047912388775</v>
      </c>
      <c r="F2138" s="49">
        <f>IF(expected_production[[#This Row],[Age (yrs)]]="",1,(1-DegradationRate)^expected_production[[#This Row],[Age (yrs)]])</f>
        <v>0.99928865626622487</v>
      </c>
      <c r="G2138" s="52">
        <f>IF(expected_production[[#This Row],[Base Expected (kWh)]]="","",expected_production[[#This Row],[Base Expected (kWh)]]*expected_production[[#This Row],[Degradation Factor]])</f>
        <v>21875.278081025488</v>
      </c>
    </row>
    <row r="2139" spans="1:7" ht="15" hidden="1" customHeight="1" x14ac:dyDescent="0.3">
      <c r="A2139" t="s">
        <v>182</v>
      </c>
      <c r="B2139" s="2">
        <v>45658</v>
      </c>
      <c r="C2139" s="52">
        <v>20564.650000000001</v>
      </c>
      <c r="D2139" s="48">
        <f>_xlfn.XLOOKUP(expected_production[[#This Row],[Site Name]],Table1[[Site Name ]],Table1[Commisioned Date],"")</f>
        <v>45590</v>
      </c>
      <c r="E2139" s="47">
        <f>IF(ISNUMBER(expected_production[[#This Row],[Commissioned Date]]),MAX(0,(expected_production[[#This Row],[Date]]-expected_production[[#This Row],[Commissioned Date]])/365.25),"")</f>
        <v>0.18617385352498289</v>
      </c>
      <c r="F2139" s="49">
        <f>IF(expected_production[[#This Row],[Age (yrs)]]="",1,(1-DegradationRate)^expected_production[[#This Row],[Age (yrs)]])</f>
        <v>0.99869305516492024</v>
      </c>
      <c r="G2139" s="52">
        <f>IF(expected_production[[#This Row],[Base Expected (kWh)]]="","",expected_production[[#This Row],[Base Expected (kWh)]]*expected_production[[#This Row],[Degradation Factor]])</f>
        <v>20537.773136897278</v>
      </c>
    </row>
    <row r="2140" spans="1:7" ht="15" hidden="1" customHeight="1" x14ac:dyDescent="0.3">
      <c r="A2140" t="s">
        <v>182</v>
      </c>
      <c r="B2140" s="2">
        <v>45689</v>
      </c>
      <c r="C2140" s="52">
        <v>17491.400000000001</v>
      </c>
      <c r="D2140" s="48">
        <f>_xlfn.XLOOKUP(expected_production[[#This Row],[Site Name]],Table1[[Site Name ]],Table1[Commisioned Date],"")</f>
        <v>45590</v>
      </c>
      <c r="E2140" s="47">
        <f>IF(ISNUMBER(expected_production[[#This Row],[Commissioned Date]]),MAX(0,(expected_production[[#This Row],[Date]]-expected_production[[#This Row],[Commissioned Date]])/365.25),"")</f>
        <v>0.27104722792607805</v>
      </c>
      <c r="F2140" s="49">
        <f>IF(expected_production[[#This Row],[Age (yrs)]]="",1,(1-DegradationRate)^expected_production[[#This Row],[Age (yrs)]])</f>
        <v>0.99809780905680967</v>
      </c>
      <c r="G2140" s="52">
        <f>IF(expected_production[[#This Row],[Base Expected (kWh)]]="","",expected_production[[#This Row],[Base Expected (kWh)]]*expected_production[[#This Row],[Degradation Factor]])</f>
        <v>17458.128017336283</v>
      </c>
    </row>
    <row r="2141" spans="1:7" ht="15" hidden="1" customHeight="1" x14ac:dyDescent="0.3">
      <c r="A2141" t="s">
        <v>182</v>
      </c>
      <c r="B2141" s="2">
        <v>45717</v>
      </c>
      <c r="C2141" s="52">
        <v>18246.650000000001</v>
      </c>
      <c r="D2141" s="48">
        <f>_xlfn.XLOOKUP(expected_production[[#This Row],[Site Name]],Table1[[Site Name ]],Table1[Commisioned Date],"")</f>
        <v>45590</v>
      </c>
      <c r="E2141" s="47">
        <f>IF(ISNUMBER(expected_production[[#This Row],[Commissioned Date]]),MAX(0,(expected_production[[#This Row],[Date]]-expected_production[[#This Row],[Commissioned Date]])/365.25),"")</f>
        <v>0.34770704996577684</v>
      </c>
      <c r="F2141" s="49">
        <f>IF(expected_production[[#This Row],[Age (yrs)]]="",1,(1-DegradationRate)^expected_production[[#This Row],[Age (yrs)]])</f>
        <v>0.99756047235899958</v>
      </c>
      <c r="G2141" s="52">
        <f>IF(expected_production[[#This Row],[Base Expected (kWh)]]="","",expected_production[[#This Row],[Base Expected (kWh)]]*expected_production[[#This Row],[Degradation Factor]])</f>
        <v>18202.136792969341</v>
      </c>
    </row>
    <row r="2142" spans="1:7" ht="15" hidden="1" customHeight="1" x14ac:dyDescent="0.3">
      <c r="A2142" t="s">
        <v>182</v>
      </c>
      <c r="B2142" s="2">
        <v>45748</v>
      </c>
      <c r="C2142" s="52">
        <v>15297.85</v>
      </c>
      <c r="D2142" s="48">
        <f>_xlfn.XLOOKUP(expected_production[[#This Row],[Site Name]],Table1[[Site Name ]],Table1[Commisioned Date],"")</f>
        <v>45590</v>
      </c>
      <c r="E2142" s="47">
        <f>IF(ISNUMBER(expected_production[[#This Row],[Commissioned Date]]),MAX(0,(expected_production[[#This Row],[Date]]-expected_production[[#This Row],[Commissioned Date]])/365.25),"")</f>
        <v>0.432580424366872</v>
      </c>
      <c r="F2142" s="49">
        <f>IF(expected_production[[#This Row],[Age (yrs)]]="",1,(1-DegradationRate)^expected_production[[#This Row],[Age (yrs)]])</f>
        <v>0.9969659012986466</v>
      </c>
      <c r="G2142" s="52">
        <f>IF(expected_production[[#This Row],[Base Expected (kWh)]]="","",expected_production[[#This Row],[Base Expected (kWh)]]*expected_production[[#This Row],[Degradation Factor]])</f>
        <v>15251.4348131815</v>
      </c>
    </row>
    <row r="2143" spans="1:7" ht="15" hidden="1" customHeight="1" x14ac:dyDescent="0.3">
      <c r="A2143" t="s">
        <v>182</v>
      </c>
      <c r="B2143" s="2">
        <v>45778</v>
      </c>
      <c r="C2143" s="52">
        <v>14953</v>
      </c>
      <c r="D2143" s="48">
        <f>_xlfn.XLOOKUP(expected_production[[#This Row],[Site Name]],Table1[[Site Name ]],Table1[Commisioned Date],"")</f>
        <v>45590</v>
      </c>
      <c r="E2143" s="47">
        <f>IF(ISNUMBER(expected_production[[#This Row],[Commissioned Date]]),MAX(0,(expected_production[[#This Row],[Date]]-expected_production[[#This Row],[Commissioned Date]])/365.25),"")</f>
        <v>0.51471594798083509</v>
      </c>
      <c r="F2143" s="49">
        <f>IF(expected_production[[#This Row],[Age (yrs)]]="",1,(1-DegradationRate)^expected_production[[#This Row],[Age (yrs)]])</f>
        <v>0.99639084736834116</v>
      </c>
      <c r="G2143" s="52">
        <f>IF(expected_production[[#This Row],[Base Expected (kWh)]]="","",expected_production[[#This Row],[Base Expected (kWh)]]*expected_production[[#This Row],[Degradation Factor]])</f>
        <v>14899.032340698805</v>
      </c>
    </row>
    <row r="2144" spans="1:7" ht="15" hidden="1" customHeight="1" x14ac:dyDescent="0.3">
      <c r="A2144" t="s">
        <v>182</v>
      </c>
      <c r="B2144" s="2">
        <v>45809</v>
      </c>
      <c r="C2144" s="52">
        <v>13275.3</v>
      </c>
      <c r="D2144" s="48">
        <f>_xlfn.XLOOKUP(expected_production[[#This Row],[Site Name]],Table1[[Site Name ]],Table1[Commisioned Date],"")</f>
        <v>45590</v>
      </c>
      <c r="E2144" s="47">
        <f>IF(ISNUMBER(expected_production[[#This Row],[Commissioned Date]]),MAX(0,(expected_production[[#This Row],[Date]]-expected_production[[#This Row],[Commissioned Date]])/365.25),"")</f>
        <v>0.59958932238193019</v>
      </c>
      <c r="F2144" s="49">
        <f>IF(expected_production[[#This Row],[Age (yrs)]]="",1,(1-DegradationRate)^expected_production[[#This Row],[Age (yrs)]])</f>
        <v>0.99579697343381679</v>
      </c>
      <c r="G2144" s="52">
        <f>IF(expected_production[[#This Row],[Base Expected (kWh)]]="","",expected_production[[#This Row],[Base Expected (kWh)]]*expected_production[[#This Row],[Degradation Factor]])</f>
        <v>13219.503561425947</v>
      </c>
    </row>
    <row r="2145" spans="1:7" ht="15" hidden="1" customHeight="1" x14ac:dyDescent="0.3">
      <c r="A2145" t="s">
        <v>182</v>
      </c>
      <c r="B2145" s="2">
        <v>45839</v>
      </c>
      <c r="C2145" s="52">
        <v>14678.45</v>
      </c>
      <c r="D2145" s="48">
        <f>_xlfn.XLOOKUP(expected_production[[#This Row],[Site Name]],Table1[[Site Name ]],Table1[Commisioned Date],"")</f>
        <v>45590</v>
      </c>
      <c r="E2145" s="47">
        <f>IF(ISNUMBER(expected_production[[#This Row],[Commissioned Date]]),MAX(0,(expected_production[[#This Row],[Date]]-expected_production[[#This Row],[Commissioned Date]])/365.25),"")</f>
        <v>0.68172484599589322</v>
      </c>
      <c r="F2145" s="49">
        <f>IF(expected_production[[#This Row],[Age (yrs)]]="",1,(1-DegradationRate)^expected_production[[#This Row],[Age (yrs)]])</f>
        <v>0.99522259374579192</v>
      </c>
      <c r="G2145" s="52">
        <f>IF(expected_production[[#This Row],[Base Expected (kWh)]]="","",expected_production[[#This Row],[Base Expected (kWh)]]*expected_production[[#This Row],[Degradation Factor]])</f>
        <v>14608.325081167921</v>
      </c>
    </row>
    <row r="2146" spans="1:7" ht="15" hidden="1" customHeight="1" x14ac:dyDescent="0.3">
      <c r="A2146" t="s">
        <v>182</v>
      </c>
      <c r="B2146" s="2">
        <v>45870</v>
      </c>
      <c r="C2146" s="52">
        <v>17062.95</v>
      </c>
      <c r="D2146" s="48">
        <f>_xlfn.XLOOKUP(expected_production[[#This Row],[Site Name]],Table1[[Site Name ]],Table1[Commisioned Date],"")</f>
        <v>45590</v>
      </c>
      <c r="E2146" s="47">
        <f>IF(ISNUMBER(expected_production[[#This Row],[Commissioned Date]]),MAX(0,(expected_production[[#This Row],[Date]]-expected_production[[#This Row],[Commissioned Date]])/365.25),"")</f>
        <v>0.76659822039698833</v>
      </c>
      <c r="F2146" s="49">
        <f>IF(expected_production[[#This Row],[Age (yrs)]]="",1,(1-DegradationRate)^expected_production[[#This Row],[Age (yrs)]])</f>
        <v>0.99462941611972633</v>
      </c>
      <c r="G2146" s="52">
        <f>IF(expected_production[[#This Row],[Base Expected (kWh)]]="","",expected_production[[#This Row],[Base Expected (kWh)]]*expected_production[[#This Row],[Degradation Factor]])</f>
        <v>16971.311995780085</v>
      </c>
    </row>
    <row r="2147" spans="1:7" ht="15" hidden="1" customHeight="1" x14ac:dyDescent="0.3">
      <c r="A2147" t="s">
        <v>182</v>
      </c>
      <c r="B2147" s="2">
        <v>45901</v>
      </c>
      <c r="C2147" s="52">
        <v>18937.3</v>
      </c>
      <c r="D2147" s="48">
        <f>_xlfn.XLOOKUP(expected_production[[#This Row],[Site Name]],Table1[[Site Name ]],Table1[Commisioned Date],"")</f>
        <v>45590</v>
      </c>
      <c r="E2147" s="47">
        <f>IF(ISNUMBER(expected_production[[#This Row],[Commissioned Date]]),MAX(0,(expected_production[[#This Row],[Date]]-expected_production[[#This Row],[Commissioned Date]])/365.25),"")</f>
        <v>0.85147159479808354</v>
      </c>
      <c r="F2147" s="49">
        <f>IF(expected_production[[#This Row],[Age (yrs)]]="",1,(1-DegradationRate)^expected_production[[#This Row],[Age (yrs)]])</f>
        <v>0.9940365920424028</v>
      </c>
      <c r="G2147" s="52">
        <f>IF(expected_production[[#This Row],[Base Expected (kWh)]]="","",expected_production[[#This Row],[Base Expected (kWh)]]*expected_production[[#This Row],[Degradation Factor]])</f>
        <v>18824.369154484593</v>
      </c>
    </row>
    <row r="2148" spans="1:7" ht="15" hidden="1" customHeight="1" x14ac:dyDescent="0.3">
      <c r="A2148" t="s">
        <v>182</v>
      </c>
      <c r="B2148" s="2">
        <v>45931</v>
      </c>
      <c r="C2148" s="52">
        <v>20481.05</v>
      </c>
      <c r="D2148" s="48">
        <f>_xlfn.XLOOKUP(expected_production[[#This Row],[Site Name]],Table1[[Site Name ]],Table1[Commisioned Date],"")</f>
        <v>45590</v>
      </c>
      <c r="E2148" s="47">
        <f>IF(ISNUMBER(expected_production[[#This Row],[Commissioned Date]]),MAX(0,(expected_production[[#This Row],[Date]]-expected_production[[#This Row],[Commissioned Date]])/365.25),"")</f>
        <v>0.93360711841204658</v>
      </c>
      <c r="F2148" s="49">
        <f>IF(expected_production[[#This Row],[Age (yrs)]]="",1,(1-DegradationRate)^expected_production[[#This Row],[Age (yrs)]])</f>
        <v>0.99346322774942475</v>
      </c>
      <c r="G2148" s="52">
        <f>IF(expected_production[[#This Row],[Base Expected (kWh)]]="","",expected_production[[#This Row],[Base Expected (kWh)]]*expected_production[[#This Row],[Degradation Factor]])</f>
        <v>20347.170040697354</v>
      </c>
    </row>
    <row r="2149" spans="1:7" ht="15" hidden="1" customHeight="1" x14ac:dyDescent="0.3">
      <c r="A2149" t="s">
        <v>182</v>
      </c>
      <c r="B2149" s="2">
        <v>45962</v>
      </c>
      <c r="C2149" s="52">
        <v>20366.099999999999</v>
      </c>
      <c r="D2149" s="48">
        <f>_xlfn.XLOOKUP(expected_production[[#This Row],[Site Name]],Table1[[Site Name ]],Table1[Commisioned Date],"")</f>
        <v>45590</v>
      </c>
      <c r="E2149" s="47">
        <f>IF(ISNUMBER(expected_production[[#This Row],[Commissioned Date]]),MAX(0,(expected_production[[#This Row],[Date]]-expected_production[[#This Row],[Commissioned Date]])/365.25),"")</f>
        <v>1.0184804928131417</v>
      </c>
      <c r="F2149" s="49">
        <f>IF(expected_production[[#This Row],[Age (yrs)]]="",1,(1-DegradationRate)^expected_production[[#This Row],[Age (yrs)]])</f>
        <v>0.99287109874961788</v>
      </c>
      <c r="G2149" s="52">
        <f>IF(expected_production[[#This Row],[Base Expected (kWh)]]="","",expected_production[[#This Row],[Base Expected (kWh)]]*expected_production[[#This Row],[Degradation Factor]])</f>
        <v>20220.912084244592</v>
      </c>
    </row>
    <row r="2150" spans="1:7" ht="15" hidden="1" customHeight="1" x14ac:dyDescent="0.3">
      <c r="A2150" t="s">
        <v>182</v>
      </c>
      <c r="B2150" s="2">
        <v>45992</v>
      </c>
      <c r="C2150" s="52">
        <v>21890.85</v>
      </c>
      <c r="D2150" s="48">
        <f>_xlfn.XLOOKUP(expected_production[[#This Row],[Site Name]],Table1[[Site Name ]],Table1[Commisioned Date],"")</f>
        <v>45590</v>
      </c>
      <c r="E2150" s="47">
        <f>IF(ISNUMBER(expected_production[[#This Row],[Commissioned Date]]),MAX(0,(expected_production[[#This Row],[Date]]-expected_production[[#This Row],[Commissioned Date]])/365.25),"")</f>
        <v>1.1006160164271048</v>
      </c>
      <c r="F2150" s="49">
        <f>IF(expected_production[[#This Row],[Age (yrs)]]="",1,(1-DegradationRate)^expected_production[[#This Row],[Age (yrs)]])</f>
        <v>0.99229840671784542</v>
      </c>
      <c r="G2150" s="52">
        <f>IF(expected_production[[#This Row],[Base Expected (kWh)]]="","",expected_production[[#This Row],[Base Expected (kWh)]]*expected_production[[#This Row],[Degradation Factor]])</f>
        <v>21722.255576699346</v>
      </c>
    </row>
    <row r="2151" spans="1:7" ht="15" hidden="1" customHeight="1" x14ac:dyDescent="0.3">
      <c r="A2151" t="s">
        <v>182</v>
      </c>
      <c r="B2151" s="2">
        <v>46023</v>
      </c>
      <c r="C2151" s="52">
        <v>20564.650000000001</v>
      </c>
      <c r="D2151" s="48">
        <f>_xlfn.XLOOKUP(expected_production[[#This Row],[Site Name]],Table1[[Site Name ]],Table1[Commisioned Date],"")</f>
        <v>45590</v>
      </c>
      <c r="E2151" s="47">
        <f>IF(ISNUMBER(expected_production[[#This Row],[Commissioned Date]]),MAX(0,(expected_production[[#This Row],[Date]]-expected_production[[#This Row],[Commissioned Date]])/365.25),"")</f>
        <v>1.1854893908281998</v>
      </c>
      <c r="F2151" s="49">
        <f>IF(expected_production[[#This Row],[Age (yrs)]]="",1,(1-DegradationRate)^expected_production[[#This Row],[Age (yrs)]])</f>
        <v>0.99170697198058722</v>
      </c>
      <c r="G2151" s="52">
        <f>IF(expected_production[[#This Row],[Base Expected (kWh)]]="","",expected_production[[#This Row],[Base Expected (kWh)]]*expected_production[[#This Row],[Degradation Factor]])</f>
        <v>20394.106781340583</v>
      </c>
    </row>
    <row r="2152" spans="1:7" ht="15" hidden="1" customHeight="1" x14ac:dyDescent="0.3">
      <c r="A2152" t="s">
        <v>182</v>
      </c>
      <c r="B2152" s="2">
        <v>46054</v>
      </c>
      <c r="C2152" s="52">
        <v>17491.400000000001</v>
      </c>
      <c r="D2152" s="48">
        <f>_xlfn.XLOOKUP(expected_production[[#This Row],[Site Name]],Table1[[Site Name ]],Table1[Commisioned Date],"")</f>
        <v>45590</v>
      </c>
      <c r="E2152" s="47">
        <f>IF(ISNUMBER(expected_production[[#This Row],[Commissioned Date]]),MAX(0,(expected_production[[#This Row],[Date]]-expected_production[[#This Row],[Commissioned Date]])/365.25),"")</f>
        <v>1.270362765229295</v>
      </c>
      <c r="F2152" s="49">
        <f>IF(expected_production[[#This Row],[Age (yrs)]]="",1,(1-DegradationRate)^expected_production[[#This Row],[Age (yrs)]])</f>
        <v>0.99111588975326548</v>
      </c>
      <c r="G2152" s="52">
        <f>IF(expected_production[[#This Row],[Base Expected (kWh)]]="","",expected_production[[#This Row],[Base Expected (kWh)]]*expected_production[[#This Row],[Degradation Factor]])</f>
        <v>17336.004474030269</v>
      </c>
    </row>
    <row r="2153" spans="1:7" ht="15" hidden="1" customHeight="1" x14ac:dyDescent="0.3">
      <c r="A2153" t="s">
        <v>182</v>
      </c>
      <c r="B2153" s="2">
        <v>46082</v>
      </c>
      <c r="C2153" s="52">
        <v>18246.650000000001</v>
      </c>
      <c r="D2153" s="48">
        <f>_xlfn.XLOOKUP(expected_production[[#This Row],[Site Name]],Table1[[Site Name ]],Table1[Commisioned Date],"")</f>
        <v>45590</v>
      </c>
      <c r="E2153" s="47">
        <f>IF(ISNUMBER(expected_production[[#This Row],[Commissioned Date]]),MAX(0,(expected_production[[#This Row],[Date]]-expected_production[[#This Row],[Commissioned Date]])/365.25),"")</f>
        <v>1.3470225872689938</v>
      </c>
      <c r="F2153" s="49">
        <f>IF(expected_production[[#This Row],[Age (yrs)]]="",1,(1-DegradationRate)^expected_production[[#This Row],[Age (yrs)]])</f>
        <v>0.9905823118468573</v>
      </c>
      <c r="G2153" s="52">
        <f>IF(expected_production[[#This Row],[Base Expected (kWh)]]="","",expected_production[[#This Row],[Base Expected (kWh)]]*expected_production[[#This Row],[Degradation Factor]])</f>
        <v>18074.808740460459</v>
      </c>
    </row>
    <row r="2154" spans="1:7" ht="15" hidden="1" customHeight="1" x14ac:dyDescent="0.3">
      <c r="A2154" t="s">
        <v>182</v>
      </c>
      <c r="B2154" s="2">
        <v>46113</v>
      </c>
      <c r="C2154" s="52">
        <v>15297.85</v>
      </c>
      <c r="D2154" s="48">
        <f>_xlfn.XLOOKUP(expected_production[[#This Row],[Site Name]],Table1[[Site Name ]],Table1[Commisioned Date],"")</f>
        <v>45590</v>
      </c>
      <c r="E2154" s="47">
        <f>IF(ISNUMBER(expected_production[[#This Row],[Commissioned Date]]),MAX(0,(expected_production[[#This Row],[Date]]-expected_production[[#This Row],[Commissioned Date]])/365.25),"")</f>
        <v>1.431895961670089</v>
      </c>
      <c r="F2154" s="49">
        <f>IF(expected_production[[#This Row],[Age (yrs)]]="",1,(1-DegradationRate)^expected_production[[#This Row],[Age (yrs)]])</f>
        <v>0.98999189994518189</v>
      </c>
      <c r="G2154" s="52">
        <f>IF(expected_production[[#This Row],[Base Expected (kWh)]]="","",expected_production[[#This Row],[Base Expected (kWh)]]*expected_production[[#This Row],[Degradation Factor]])</f>
        <v>15144.747586576401</v>
      </c>
    </row>
    <row r="2155" spans="1:7" ht="15" hidden="1" customHeight="1" x14ac:dyDescent="0.3">
      <c r="A2155" t="s">
        <v>182</v>
      </c>
      <c r="B2155" s="2">
        <v>46143</v>
      </c>
      <c r="C2155" s="52">
        <v>14953</v>
      </c>
      <c r="D2155" s="48">
        <f>_xlfn.XLOOKUP(expected_production[[#This Row],[Site Name]],Table1[[Site Name ]],Table1[Commisioned Date],"")</f>
        <v>45590</v>
      </c>
      <c r="E2155" s="47">
        <f>IF(ISNUMBER(expected_production[[#This Row],[Commissioned Date]]),MAX(0,(expected_production[[#This Row],[Date]]-expected_production[[#This Row],[Commissioned Date]])/365.25),"")</f>
        <v>1.514031485284052</v>
      </c>
      <c r="F2155" s="49">
        <f>IF(expected_production[[#This Row],[Age (yrs)]]="",1,(1-DegradationRate)^expected_production[[#This Row],[Age (yrs)]])</f>
        <v>0.9894208686468271</v>
      </c>
      <c r="G2155" s="52">
        <f>IF(expected_production[[#This Row],[Base Expected (kWh)]]="","",expected_production[[#This Row],[Base Expected (kWh)]]*expected_production[[#This Row],[Degradation Factor]])</f>
        <v>14794.810248876005</v>
      </c>
    </row>
    <row r="2156" spans="1:7" ht="15" hidden="1" customHeight="1" x14ac:dyDescent="0.3">
      <c r="A2156" t="s">
        <v>182</v>
      </c>
      <c r="B2156" s="2">
        <v>46174</v>
      </c>
      <c r="C2156" s="52">
        <v>13275.3</v>
      </c>
      <c r="D2156" s="48">
        <f>_xlfn.XLOOKUP(expected_production[[#This Row],[Site Name]],Table1[[Site Name ]],Table1[Commisioned Date],"")</f>
        <v>45590</v>
      </c>
      <c r="E2156" s="47">
        <f>IF(ISNUMBER(expected_production[[#This Row],[Commissioned Date]]),MAX(0,(expected_production[[#This Row],[Date]]-expected_production[[#This Row],[Commissioned Date]])/365.25),"")</f>
        <v>1.5989048596851472</v>
      </c>
      <c r="F2156" s="49">
        <f>IF(expected_production[[#This Row],[Age (yrs)]]="",1,(1-DegradationRate)^expected_production[[#This Row],[Age (yrs)]])</f>
        <v>0.98883114899442792</v>
      </c>
      <c r="G2156" s="52">
        <f>IF(expected_production[[#This Row],[Base Expected (kWh)]]="","",expected_production[[#This Row],[Base Expected (kWh)]]*expected_production[[#This Row],[Degradation Factor]])</f>
        <v>13127.030152245728</v>
      </c>
    </row>
    <row r="2157" spans="1:7" ht="15" hidden="1" customHeight="1" x14ac:dyDescent="0.3">
      <c r="A2157" t="s">
        <v>182</v>
      </c>
      <c r="B2157" s="2">
        <v>46204</v>
      </c>
      <c r="C2157" s="52">
        <v>14678.45</v>
      </c>
      <c r="D2157" s="48">
        <f>_xlfn.XLOOKUP(expected_production[[#This Row],[Site Name]],Table1[[Site Name ]],Table1[Commisioned Date],"")</f>
        <v>45590</v>
      </c>
      <c r="E2157" s="47">
        <f>IF(ISNUMBER(expected_production[[#This Row],[Commissioned Date]]),MAX(0,(expected_production[[#This Row],[Date]]-expected_production[[#This Row],[Commissioned Date]])/365.25),"")</f>
        <v>1.6810403832991101</v>
      </c>
      <c r="F2157" s="49">
        <f>IF(expected_production[[#This Row],[Age (yrs)]]="",1,(1-DegradationRate)^expected_production[[#This Row],[Age (yrs)]])</f>
        <v>0.98826078722187682</v>
      </c>
      <c r="G2157" s="52">
        <f>IF(expected_production[[#This Row],[Base Expected (kWh)]]="","",expected_production[[#This Row],[Base Expected (kWh)]]*expected_production[[#This Row],[Degradation Factor]])</f>
        <v>14506.136552196958</v>
      </c>
    </row>
    <row r="2158" spans="1:7" ht="15" hidden="1" customHeight="1" x14ac:dyDescent="0.3">
      <c r="A2158" t="s">
        <v>182</v>
      </c>
      <c r="B2158" s="2">
        <v>46235</v>
      </c>
      <c r="C2158" s="52">
        <v>17062.95</v>
      </c>
      <c r="D2158" s="48">
        <f>_xlfn.XLOOKUP(expected_production[[#This Row],[Site Name]],Table1[[Site Name ]],Table1[Commisioned Date],"")</f>
        <v>45590</v>
      </c>
      <c r="E2158" s="47">
        <f>IF(ISNUMBER(expected_production[[#This Row],[Commissioned Date]]),MAX(0,(expected_production[[#This Row],[Date]]-expected_production[[#This Row],[Commissioned Date]])/365.25),"")</f>
        <v>1.7659137577002053</v>
      </c>
      <c r="F2158" s="49">
        <f>IF(expected_production[[#This Row],[Age (yrs)]]="",1,(1-DegradationRate)^expected_production[[#This Row],[Age (yrs)]])</f>
        <v>0.98767175900710169</v>
      </c>
      <c r="G2158" s="52">
        <f>IF(expected_production[[#This Row],[Base Expected (kWh)]]="","",expected_production[[#This Row],[Base Expected (kWh)]]*expected_production[[#This Row],[Degradation Factor]])</f>
        <v>16852.593840350226</v>
      </c>
    </row>
    <row r="2159" spans="1:7" ht="15" hidden="1" customHeight="1" x14ac:dyDescent="0.3">
      <c r="A2159" t="s">
        <v>182</v>
      </c>
      <c r="B2159" s="2">
        <v>46266</v>
      </c>
      <c r="C2159" s="52">
        <v>18937.3</v>
      </c>
      <c r="D2159" s="48">
        <f>_xlfn.XLOOKUP(expected_production[[#This Row],[Site Name]],Table1[[Site Name ]],Table1[Commisioned Date],"")</f>
        <v>45590</v>
      </c>
      <c r="E2159" s="47">
        <f>IF(ISNUMBER(expected_production[[#This Row],[Commissioned Date]]),MAX(0,(expected_production[[#This Row],[Date]]-expected_production[[#This Row],[Commissioned Date]])/365.25),"")</f>
        <v>1.8507871321013005</v>
      </c>
      <c r="F2159" s="49">
        <f>IF(expected_production[[#This Row],[Age (yrs)]]="",1,(1-DegradationRate)^expected_production[[#This Row],[Age (yrs)]])</f>
        <v>0.98708308186791538</v>
      </c>
      <c r="G2159" s="52">
        <f>IF(expected_production[[#This Row],[Base Expected (kWh)]]="","",expected_production[[#This Row],[Base Expected (kWh)]]*expected_production[[#This Row],[Degradation Factor]])</f>
        <v>18692.688446257274</v>
      </c>
    </row>
    <row r="2160" spans="1:7" ht="15" hidden="1" customHeight="1" x14ac:dyDescent="0.3">
      <c r="A2160" t="s">
        <v>182</v>
      </c>
      <c r="B2160" s="2">
        <v>46296</v>
      </c>
      <c r="C2160" s="52">
        <v>20481.05</v>
      </c>
      <c r="D2160" s="48">
        <f>_xlfn.XLOOKUP(expected_production[[#This Row],[Site Name]],Table1[[Site Name ]],Table1[Commisioned Date],"")</f>
        <v>45590</v>
      </c>
      <c r="E2160" s="47">
        <f>IF(ISNUMBER(expected_production[[#This Row],[Commissioned Date]]),MAX(0,(expected_production[[#This Row],[Date]]-expected_production[[#This Row],[Commissioned Date]])/365.25),"")</f>
        <v>1.9329226557152634</v>
      </c>
      <c r="F2160" s="49">
        <f>IF(expected_production[[#This Row],[Age (yrs)]]="",1,(1-DegradationRate)^expected_production[[#This Row],[Age (yrs)]])</f>
        <v>0.98651372838749374</v>
      </c>
      <c r="G2160" s="52">
        <f>IF(expected_production[[#This Row],[Base Expected (kWh)]]="","",expected_production[[#This Row],[Base Expected (kWh)]]*expected_production[[#This Row],[Degradation Factor]])</f>
        <v>20204.836996790676</v>
      </c>
    </row>
    <row r="2161" spans="1:7" ht="15" hidden="1" customHeight="1" x14ac:dyDescent="0.3">
      <c r="A2161" t="s">
        <v>182</v>
      </c>
      <c r="B2161" s="2">
        <v>46327</v>
      </c>
      <c r="C2161" s="52">
        <v>20366.099999999999</v>
      </c>
      <c r="D2161" s="48">
        <f>_xlfn.XLOOKUP(expected_production[[#This Row],[Site Name]],Table1[[Site Name ]],Table1[Commisioned Date],"")</f>
        <v>45590</v>
      </c>
      <c r="E2161" s="47">
        <f>IF(ISNUMBER(expected_production[[#This Row],[Commissioned Date]]),MAX(0,(expected_production[[#This Row],[Date]]-expected_production[[#This Row],[Commissioned Date]])/365.25),"")</f>
        <v>2.0177960301163584</v>
      </c>
      <c r="F2161" s="49">
        <f>IF(expected_production[[#This Row],[Age (yrs)]]="",1,(1-DegradationRate)^expected_production[[#This Row],[Age (yrs)]])</f>
        <v>0.98592574146360024</v>
      </c>
      <c r="G2161" s="52">
        <f>IF(expected_production[[#This Row],[Base Expected (kWh)]]="","",expected_production[[#This Row],[Base Expected (kWh)]]*expected_production[[#This Row],[Degradation Factor]])</f>
        <v>20079.462243221828</v>
      </c>
    </row>
    <row r="2162" spans="1:7" ht="15" hidden="1" customHeight="1" x14ac:dyDescent="0.3">
      <c r="A2162" t="s">
        <v>182</v>
      </c>
      <c r="B2162" s="2">
        <v>46357</v>
      </c>
      <c r="C2162" s="52">
        <v>21890.85</v>
      </c>
      <c r="D2162" s="48">
        <f>_xlfn.XLOOKUP(expected_production[[#This Row],[Site Name]],Table1[[Site Name ]],Table1[Commisioned Date],"")</f>
        <v>45590</v>
      </c>
      <c r="E2162" s="47">
        <f>IF(ISNUMBER(expected_production[[#This Row],[Commissioned Date]]),MAX(0,(expected_production[[#This Row],[Date]]-expected_production[[#This Row],[Commissioned Date]])/365.25),"")</f>
        <v>2.0999315537303218</v>
      </c>
      <c r="F2162" s="49">
        <f>IF(expected_production[[#This Row],[Age (yrs)]]="",1,(1-DegradationRate)^expected_production[[#This Row],[Age (yrs)]])</f>
        <v>0.98535705554176534</v>
      </c>
      <c r="G2162" s="52">
        <f>IF(expected_production[[#This Row],[Base Expected (kWh)]]="","",expected_production[[#This Row],[Base Expected (kWh)]]*expected_production[[#This Row],[Degradation Factor]])</f>
        <v>21570.303499306454</v>
      </c>
    </row>
    <row r="2163" spans="1:7" ht="15" hidden="1" customHeight="1" x14ac:dyDescent="0.3">
      <c r="A2163" t="s">
        <v>184</v>
      </c>
      <c r="B2163" s="2">
        <v>45292</v>
      </c>
      <c r="C2163" s="52">
        <v>37513.599999999999</v>
      </c>
      <c r="D2163" s="48">
        <f>_xlfn.XLOOKUP(expected_production[[#This Row],[Site Name]],Table1[[Site Name ]],Table1[Commisioned Date],"")</f>
        <v>45558</v>
      </c>
      <c r="E2163" s="47">
        <f>IF(ISNUMBER(expected_production[[#This Row],[Commissioned Date]]),MAX(0,(expected_production[[#This Row],[Date]]-expected_production[[#This Row],[Commissioned Date]])/365.25),"")</f>
        <v>0</v>
      </c>
      <c r="F2163" s="49">
        <f>IF(expected_production[[#This Row],[Age (yrs)]]="",1,(1-DegradationRate)^expected_production[[#This Row],[Age (yrs)]])</f>
        <v>1</v>
      </c>
      <c r="G2163" s="52">
        <f>IF(expected_production[[#This Row],[Base Expected (kWh)]]="","",expected_production[[#This Row],[Base Expected (kWh)]]*expected_production[[#This Row],[Degradation Factor]])</f>
        <v>37513.599999999999</v>
      </c>
    </row>
    <row r="2164" spans="1:7" ht="15" hidden="1" customHeight="1" x14ac:dyDescent="0.3">
      <c r="A2164" t="s">
        <v>184</v>
      </c>
      <c r="B2164" s="2">
        <v>45323</v>
      </c>
      <c r="C2164" s="52">
        <v>31212.25</v>
      </c>
      <c r="D2164" s="48">
        <f>_xlfn.XLOOKUP(expected_production[[#This Row],[Site Name]],Table1[[Site Name ]],Table1[Commisioned Date],"")</f>
        <v>45558</v>
      </c>
      <c r="E2164" s="47">
        <f>IF(ISNUMBER(expected_production[[#This Row],[Commissioned Date]]),MAX(0,(expected_production[[#This Row],[Date]]-expected_production[[#This Row],[Commissioned Date]])/365.25),"")</f>
        <v>0</v>
      </c>
      <c r="F2164" s="49">
        <f>IF(expected_production[[#This Row],[Age (yrs)]]="",1,(1-DegradationRate)^expected_production[[#This Row],[Age (yrs)]])</f>
        <v>1</v>
      </c>
      <c r="G2164" s="52">
        <f>IF(expected_production[[#This Row],[Base Expected (kWh)]]="","",expected_production[[#This Row],[Base Expected (kWh)]]*expected_production[[#This Row],[Degradation Factor]])</f>
        <v>31212.25</v>
      </c>
    </row>
    <row r="2165" spans="1:7" ht="15" hidden="1" customHeight="1" x14ac:dyDescent="0.3">
      <c r="A2165" t="s">
        <v>184</v>
      </c>
      <c r="B2165" s="2">
        <v>45352</v>
      </c>
      <c r="C2165" s="52">
        <v>29700.134999999998</v>
      </c>
      <c r="D2165" s="48">
        <f>_xlfn.XLOOKUP(expected_production[[#This Row],[Site Name]],Table1[[Site Name ]],Table1[Commisioned Date],"")</f>
        <v>45558</v>
      </c>
      <c r="E2165" s="47">
        <f>IF(ISNUMBER(expected_production[[#This Row],[Commissioned Date]]),MAX(0,(expected_production[[#This Row],[Date]]-expected_production[[#This Row],[Commissioned Date]])/365.25),"")</f>
        <v>0</v>
      </c>
      <c r="F2165" s="49">
        <f>IF(expected_production[[#This Row],[Age (yrs)]]="",1,(1-DegradationRate)^expected_production[[#This Row],[Age (yrs)]])</f>
        <v>1</v>
      </c>
      <c r="G2165" s="52">
        <f>IF(expected_production[[#This Row],[Base Expected (kWh)]]="","",expected_production[[#This Row],[Base Expected (kWh)]]*expected_production[[#This Row],[Degradation Factor]])</f>
        <v>29700.134999999998</v>
      </c>
    </row>
    <row r="2166" spans="1:7" ht="15" hidden="1" customHeight="1" x14ac:dyDescent="0.3">
      <c r="A2166" t="s">
        <v>184</v>
      </c>
      <c r="B2166" s="2">
        <v>45383</v>
      </c>
      <c r="C2166" s="52">
        <v>24898.55</v>
      </c>
      <c r="D2166" s="48">
        <f>_xlfn.XLOOKUP(expected_production[[#This Row],[Site Name]],Table1[[Site Name ]],Table1[Commisioned Date],"")</f>
        <v>45558</v>
      </c>
      <c r="E2166" s="47">
        <f>IF(ISNUMBER(expected_production[[#This Row],[Commissioned Date]]),MAX(0,(expected_production[[#This Row],[Date]]-expected_production[[#This Row],[Commissioned Date]])/365.25),"")</f>
        <v>0</v>
      </c>
      <c r="F2166" s="49">
        <f>IF(expected_production[[#This Row],[Age (yrs)]]="",1,(1-DegradationRate)^expected_production[[#This Row],[Age (yrs)]])</f>
        <v>1</v>
      </c>
      <c r="G2166" s="52">
        <f>IF(expected_production[[#This Row],[Base Expected (kWh)]]="","",expected_production[[#This Row],[Base Expected (kWh)]]*expected_production[[#This Row],[Degradation Factor]])</f>
        <v>24898.55</v>
      </c>
    </row>
    <row r="2167" spans="1:7" ht="15" hidden="1" customHeight="1" x14ac:dyDescent="0.3">
      <c r="A2167" t="s">
        <v>184</v>
      </c>
      <c r="B2167" s="2">
        <v>45413</v>
      </c>
      <c r="C2167" s="52">
        <v>21981.1</v>
      </c>
      <c r="D2167" s="48">
        <f>_xlfn.XLOOKUP(expected_production[[#This Row],[Site Name]],Table1[[Site Name ]],Table1[Commisioned Date],"")</f>
        <v>45558</v>
      </c>
      <c r="E2167" s="47">
        <f>IF(ISNUMBER(expected_production[[#This Row],[Commissioned Date]]),MAX(0,(expected_production[[#This Row],[Date]]-expected_production[[#This Row],[Commissioned Date]])/365.25),"")</f>
        <v>0</v>
      </c>
      <c r="F2167" s="49">
        <f>IF(expected_production[[#This Row],[Age (yrs)]]="",1,(1-DegradationRate)^expected_production[[#This Row],[Age (yrs)]])</f>
        <v>1</v>
      </c>
      <c r="G2167" s="52">
        <f>IF(expected_production[[#This Row],[Base Expected (kWh)]]="","",expected_production[[#This Row],[Base Expected (kWh)]]*expected_production[[#This Row],[Degradation Factor]])</f>
        <v>21981.1</v>
      </c>
    </row>
    <row r="2168" spans="1:7" ht="15" hidden="1" customHeight="1" x14ac:dyDescent="0.3">
      <c r="A2168" t="s">
        <v>184</v>
      </c>
      <c r="B2168" s="2">
        <v>45444</v>
      </c>
      <c r="C2168" s="52">
        <v>18982.900000000001</v>
      </c>
      <c r="D2168" s="48">
        <f>_xlfn.XLOOKUP(expected_production[[#This Row],[Site Name]],Table1[[Site Name ]],Table1[Commisioned Date],"")</f>
        <v>45558</v>
      </c>
      <c r="E2168" s="47">
        <f>IF(ISNUMBER(expected_production[[#This Row],[Commissioned Date]]),MAX(0,(expected_production[[#This Row],[Date]]-expected_production[[#This Row],[Commissioned Date]])/365.25),"")</f>
        <v>0</v>
      </c>
      <c r="F2168" s="49">
        <f>IF(expected_production[[#This Row],[Age (yrs)]]="",1,(1-DegradationRate)^expected_production[[#This Row],[Age (yrs)]])</f>
        <v>1</v>
      </c>
      <c r="G2168" s="52">
        <f>IF(expected_production[[#This Row],[Base Expected (kWh)]]="","",expected_production[[#This Row],[Base Expected (kWh)]]*expected_production[[#This Row],[Degradation Factor]])</f>
        <v>18982.900000000001</v>
      </c>
    </row>
    <row r="2169" spans="1:7" ht="15" hidden="1" customHeight="1" x14ac:dyDescent="0.3">
      <c r="A2169" t="s">
        <v>184</v>
      </c>
      <c r="B2169" s="2">
        <v>45474</v>
      </c>
      <c r="C2169" s="52">
        <v>21551.7</v>
      </c>
      <c r="D2169" s="48">
        <f>_xlfn.XLOOKUP(expected_production[[#This Row],[Site Name]],Table1[[Site Name ]],Table1[Commisioned Date],"")</f>
        <v>45558</v>
      </c>
      <c r="E2169" s="47">
        <f>IF(ISNUMBER(expected_production[[#This Row],[Commissioned Date]]),MAX(0,(expected_production[[#This Row],[Date]]-expected_production[[#This Row],[Commissioned Date]])/365.25),"")</f>
        <v>0</v>
      </c>
      <c r="F2169" s="49">
        <f>IF(expected_production[[#This Row],[Age (yrs)]]="",1,(1-DegradationRate)^expected_production[[#This Row],[Age (yrs)]])</f>
        <v>1</v>
      </c>
      <c r="G2169" s="52">
        <f>IF(expected_production[[#This Row],[Base Expected (kWh)]]="","",expected_production[[#This Row],[Base Expected (kWh)]]*expected_production[[#This Row],[Degradation Factor]])</f>
        <v>21551.7</v>
      </c>
    </row>
    <row r="2170" spans="1:7" ht="15" hidden="1" customHeight="1" x14ac:dyDescent="0.3">
      <c r="A2170" t="s">
        <v>184</v>
      </c>
      <c r="B2170" s="2">
        <v>45505</v>
      </c>
      <c r="C2170" s="52">
        <v>26041.4</v>
      </c>
      <c r="D2170" s="48">
        <f>_xlfn.XLOOKUP(expected_production[[#This Row],[Site Name]],Table1[[Site Name ]],Table1[Commisioned Date],"")</f>
        <v>45558</v>
      </c>
      <c r="E2170" s="47">
        <f>IF(ISNUMBER(expected_production[[#This Row],[Commissioned Date]]),MAX(0,(expected_production[[#This Row],[Date]]-expected_production[[#This Row],[Commissioned Date]])/365.25),"")</f>
        <v>0</v>
      </c>
      <c r="F2170" s="49">
        <f>IF(expected_production[[#This Row],[Age (yrs)]]="",1,(1-DegradationRate)^expected_production[[#This Row],[Age (yrs)]])</f>
        <v>1</v>
      </c>
      <c r="G2170" s="52">
        <f>IF(expected_production[[#This Row],[Base Expected (kWh)]]="","",expected_production[[#This Row],[Base Expected (kWh)]]*expected_production[[#This Row],[Degradation Factor]])</f>
        <v>26041.4</v>
      </c>
    </row>
    <row r="2171" spans="1:7" ht="15" hidden="1" customHeight="1" x14ac:dyDescent="0.3">
      <c r="A2171" t="s">
        <v>184</v>
      </c>
      <c r="B2171" s="2">
        <v>45536</v>
      </c>
      <c r="C2171" s="52">
        <v>29888.9</v>
      </c>
      <c r="D2171" s="48">
        <f>_xlfn.XLOOKUP(expected_production[[#This Row],[Site Name]],Table1[[Site Name ]],Table1[Commisioned Date],"")</f>
        <v>45558</v>
      </c>
      <c r="E2171" s="47">
        <f>IF(ISNUMBER(expected_production[[#This Row],[Commissioned Date]]),MAX(0,(expected_production[[#This Row],[Date]]-expected_production[[#This Row],[Commissioned Date]])/365.25),"")</f>
        <v>0</v>
      </c>
      <c r="F2171" s="49">
        <f>IF(expected_production[[#This Row],[Age (yrs)]]="",1,(1-DegradationRate)^expected_production[[#This Row],[Age (yrs)]])</f>
        <v>1</v>
      </c>
      <c r="G2171" s="52">
        <f>IF(expected_production[[#This Row],[Base Expected (kWh)]]="","",expected_production[[#This Row],[Base Expected (kWh)]]*expected_production[[#This Row],[Degradation Factor]])</f>
        <v>29888.9</v>
      </c>
    </row>
    <row r="2172" spans="1:7" ht="15" hidden="1" customHeight="1" x14ac:dyDescent="0.3">
      <c r="A2172" t="s">
        <v>184</v>
      </c>
      <c r="B2172" s="2">
        <v>45566</v>
      </c>
      <c r="C2172" s="52">
        <v>34705.4</v>
      </c>
      <c r="D2172" s="48">
        <f>_xlfn.XLOOKUP(expected_production[[#This Row],[Site Name]],Table1[[Site Name ]],Table1[Commisioned Date],"")</f>
        <v>45558</v>
      </c>
      <c r="E2172" s="47">
        <f>IF(ISNUMBER(expected_production[[#This Row],[Commissioned Date]]),MAX(0,(expected_production[[#This Row],[Date]]-expected_production[[#This Row],[Commissioned Date]])/365.25),"")</f>
        <v>2.190280629705681E-2</v>
      </c>
      <c r="F2172" s="49">
        <f>IF(expected_production[[#This Row],[Age (yrs)]]="",1,(1-DegradationRate)^expected_production[[#This Row],[Age (yrs)]])</f>
        <v>0.99984615305537938</v>
      </c>
      <c r="G2172" s="52">
        <f>IF(expected_production[[#This Row],[Base Expected (kWh)]]="","",expected_production[[#This Row],[Base Expected (kWh)]]*expected_production[[#This Row],[Degradation Factor]])</f>
        <v>34700.060680248163</v>
      </c>
    </row>
    <row r="2173" spans="1:7" ht="15" hidden="1" customHeight="1" x14ac:dyDescent="0.3">
      <c r="A2173" t="s">
        <v>184</v>
      </c>
      <c r="B2173" s="2">
        <v>45597</v>
      </c>
      <c r="C2173" s="52">
        <v>36881.85</v>
      </c>
      <c r="D2173" s="48">
        <f>_xlfn.XLOOKUP(expected_production[[#This Row],[Site Name]],Table1[[Site Name ]],Table1[Commisioned Date],"")</f>
        <v>45558</v>
      </c>
      <c r="E2173" s="47">
        <f>IF(ISNUMBER(expected_production[[#This Row],[Commissioned Date]]),MAX(0,(expected_production[[#This Row],[Date]]-expected_production[[#This Row],[Commissioned Date]])/365.25),"")</f>
        <v>0.10677618069815195</v>
      </c>
      <c r="F2173" s="49">
        <f>IF(expected_production[[#This Row],[Age (yrs)]]="",1,(1-DegradationRate)^expected_production[[#This Row],[Age (yrs)]])</f>
        <v>0.99925021967200645</v>
      </c>
      <c r="G2173" s="52">
        <f>IF(expected_production[[#This Row],[Base Expected (kWh)]]="","",expected_production[[#This Row],[Base Expected (kWh)]]*expected_production[[#This Row],[Degradation Factor]])</f>
        <v>36854.196714409991</v>
      </c>
    </row>
    <row r="2174" spans="1:7" ht="15" hidden="1" customHeight="1" x14ac:dyDescent="0.3">
      <c r="A2174" t="s">
        <v>184</v>
      </c>
      <c r="B2174" s="2">
        <v>45627</v>
      </c>
      <c r="C2174" s="52">
        <v>40110.9</v>
      </c>
      <c r="D2174" s="48">
        <f>_xlfn.XLOOKUP(expected_production[[#This Row],[Site Name]],Table1[[Site Name ]],Table1[Commisioned Date],"")</f>
        <v>45558</v>
      </c>
      <c r="E2174" s="47">
        <f>IF(ISNUMBER(expected_production[[#This Row],[Commissioned Date]]),MAX(0,(expected_production[[#This Row],[Date]]-expected_production[[#This Row],[Commissioned Date]])/365.25),"")</f>
        <v>0.18891170431211499</v>
      </c>
      <c r="F2174" s="49">
        <f>IF(expected_production[[#This Row],[Age (yrs)]]="",1,(1-DegradationRate)^expected_production[[#This Row],[Age (yrs)]])</f>
        <v>0.99867384813770177</v>
      </c>
      <c r="G2174" s="52">
        <f>IF(expected_production[[#This Row],[Base Expected (kWh)]]="","",expected_production[[#This Row],[Base Expected (kWh)]]*expected_production[[#This Row],[Degradation Factor]])</f>
        <v>40057.706855266544</v>
      </c>
    </row>
    <row r="2175" spans="1:7" ht="15" hidden="1" customHeight="1" x14ac:dyDescent="0.3">
      <c r="A2175" t="s">
        <v>184</v>
      </c>
      <c r="B2175" s="2">
        <v>45658</v>
      </c>
      <c r="C2175" s="52">
        <v>37513.599999999999</v>
      </c>
      <c r="D2175" s="48">
        <f>_xlfn.XLOOKUP(expected_production[[#This Row],[Site Name]],Table1[[Site Name ]],Table1[Commisioned Date],"")</f>
        <v>45558</v>
      </c>
      <c r="E2175" s="47">
        <f>IF(ISNUMBER(expected_production[[#This Row],[Commissioned Date]]),MAX(0,(expected_production[[#This Row],[Date]]-expected_production[[#This Row],[Commissioned Date]])/365.25),"")</f>
        <v>0.27378507871321012</v>
      </c>
      <c r="F2175" s="49">
        <f>IF(expected_production[[#This Row],[Age (yrs)]]="",1,(1-DegradationRate)^expected_production[[#This Row],[Age (yrs)]])</f>
        <v>0.99807861347746107</v>
      </c>
      <c r="G2175" s="52">
        <f>IF(expected_production[[#This Row],[Base Expected (kWh)]]="","",expected_production[[#This Row],[Base Expected (kWh)]]*expected_production[[#This Row],[Degradation Factor]])</f>
        <v>37441.521874548082</v>
      </c>
    </row>
    <row r="2176" spans="1:7" ht="15" hidden="1" customHeight="1" x14ac:dyDescent="0.3">
      <c r="A2176" t="s">
        <v>184</v>
      </c>
      <c r="B2176" s="2">
        <v>45689</v>
      </c>
      <c r="C2176" s="52">
        <v>31212.25</v>
      </c>
      <c r="D2176" s="48">
        <f>_xlfn.XLOOKUP(expected_production[[#This Row],[Site Name]],Table1[[Site Name ]],Table1[Commisioned Date],"")</f>
        <v>45558</v>
      </c>
      <c r="E2176" s="47">
        <f>IF(ISNUMBER(expected_production[[#This Row],[Commissioned Date]]),MAX(0,(expected_production[[#This Row],[Date]]-expected_production[[#This Row],[Commissioned Date]])/365.25),"")</f>
        <v>0.35865845311430528</v>
      </c>
      <c r="F2176" s="49">
        <f>IF(expected_production[[#This Row],[Age (yrs)]]="",1,(1-DegradationRate)^expected_production[[#This Row],[Age (yrs)]])</f>
        <v>0.99748373359200648</v>
      </c>
      <c r="G2176" s="52">
        <f>IF(expected_production[[#This Row],[Base Expected (kWh)]]="","",expected_production[[#This Row],[Base Expected (kWh)]]*expected_production[[#This Row],[Degradation Factor]])</f>
        <v>31133.711663807106</v>
      </c>
    </row>
    <row r="2177" spans="1:7" ht="15" hidden="1" customHeight="1" x14ac:dyDescent="0.3">
      <c r="A2177" t="s">
        <v>184</v>
      </c>
      <c r="B2177" s="2">
        <v>45717</v>
      </c>
      <c r="C2177" s="52">
        <v>29700.134999999998</v>
      </c>
      <c r="D2177" s="48">
        <f>_xlfn.XLOOKUP(expected_production[[#This Row],[Site Name]],Table1[[Site Name ]],Table1[Commisioned Date],"")</f>
        <v>45558</v>
      </c>
      <c r="E2177" s="47">
        <f>IF(ISNUMBER(expected_production[[#This Row],[Commissioned Date]]),MAX(0,(expected_production[[#This Row],[Date]]-expected_production[[#This Row],[Commissioned Date]])/365.25),"")</f>
        <v>0.43531827515400412</v>
      </c>
      <c r="F2177" s="49">
        <f>IF(expected_production[[#This Row],[Age (yrs)]]="",1,(1-DegradationRate)^expected_production[[#This Row],[Age (yrs)]])</f>
        <v>0.99694672748833202</v>
      </c>
      <c r="G2177" s="52">
        <f>IF(expected_production[[#This Row],[Base Expected (kWh)]]="","",expected_production[[#This Row],[Base Expected (kWh)]]*expected_production[[#This Row],[Degradation Factor]])</f>
        <v>29609.452394211672</v>
      </c>
    </row>
    <row r="2178" spans="1:7" ht="15" hidden="1" customHeight="1" x14ac:dyDescent="0.3">
      <c r="A2178" t="s">
        <v>184</v>
      </c>
      <c r="B2178" s="2">
        <v>45748</v>
      </c>
      <c r="C2178" s="52">
        <v>24898.55</v>
      </c>
      <c r="D2178" s="48">
        <f>_xlfn.XLOOKUP(expected_production[[#This Row],[Site Name]],Table1[[Site Name ]],Table1[Commisioned Date],"")</f>
        <v>45558</v>
      </c>
      <c r="E2178" s="47">
        <f>IF(ISNUMBER(expected_production[[#This Row],[Commissioned Date]]),MAX(0,(expected_production[[#This Row],[Date]]-expected_production[[#This Row],[Commissioned Date]])/365.25),"")</f>
        <v>0.52019164955509922</v>
      </c>
      <c r="F2178" s="49">
        <f>IF(expected_production[[#This Row],[Age (yrs)]]="",1,(1-DegradationRate)^expected_production[[#This Row],[Age (yrs)]])</f>
        <v>0.99635252223531467</v>
      </c>
      <c r="G2178" s="52">
        <f>IF(expected_production[[#This Row],[Base Expected (kWh)]]="","",expected_production[[#This Row],[Base Expected (kWh)]]*expected_production[[#This Row],[Degradation Factor]])</f>
        <v>24807.733092502094</v>
      </c>
    </row>
    <row r="2179" spans="1:7" ht="15" hidden="1" customHeight="1" x14ac:dyDescent="0.3">
      <c r="A2179" t="s">
        <v>184</v>
      </c>
      <c r="B2179" s="2">
        <v>45778</v>
      </c>
      <c r="C2179" s="52">
        <v>21981.1</v>
      </c>
      <c r="D2179" s="48">
        <f>_xlfn.XLOOKUP(expected_production[[#This Row],[Site Name]],Table1[[Site Name ]],Table1[Commisioned Date],"")</f>
        <v>45558</v>
      </c>
      <c r="E2179" s="47">
        <f>IF(ISNUMBER(expected_production[[#This Row],[Commissioned Date]]),MAX(0,(expected_production[[#This Row],[Date]]-expected_production[[#This Row],[Commissioned Date]])/365.25),"")</f>
        <v>0.60232717316906226</v>
      </c>
      <c r="F2179" s="49">
        <f>IF(expected_production[[#This Row],[Age (yrs)]]="",1,(1-DegradationRate)^expected_production[[#This Row],[Age (yrs)]])</f>
        <v>0.99577782210451304</v>
      </c>
      <c r="G2179" s="52">
        <f>IF(expected_production[[#This Row],[Base Expected (kWh)]]="","",expected_production[[#This Row],[Base Expected (kWh)]]*expected_production[[#This Row],[Degradation Factor]])</f>
        <v>21888.291885461509</v>
      </c>
    </row>
    <row r="2180" spans="1:7" ht="15" hidden="1" customHeight="1" x14ac:dyDescent="0.3">
      <c r="A2180" t="s">
        <v>184</v>
      </c>
      <c r="B2180" s="2">
        <v>45809</v>
      </c>
      <c r="C2180" s="52">
        <v>18982.900000000001</v>
      </c>
      <c r="D2180" s="48">
        <f>_xlfn.XLOOKUP(expected_production[[#This Row],[Site Name]],Table1[[Site Name ]],Table1[Commisioned Date],"")</f>
        <v>45558</v>
      </c>
      <c r="E2180" s="47">
        <f>IF(ISNUMBER(expected_production[[#This Row],[Commissioned Date]]),MAX(0,(expected_production[[#This Row],[Date]]-expected_production[[#This Row],[Commissioned Date]])/365.25),"")</f>
        <v>0.68720054757015747</v>
      </c>
      <c r="F2180" s="49">
        <f>IF(expected_production[[#This Row],[Age (yrs)]]="",1,(1-DegradationRate)^expected_production[[#This Row],[Age (yrs)]])</f>
        <v>0.99518431354842052</v>
      </c>
      <c r="G2180" s="52">
        <f>IF(expected_production[[#This Row],[Base Expected (kWh)]]="","",expected_production[[#This Row],[Base Expected (kWh)]]*expected_production[[#This Row],[Degradation Factor]])</f>
        <v>18891.484305658312</v>
      </c>
    </row>
    <row r="2181" spans="1:7" ht="15" hidden="1" customHeight="1" x14ac:dyDescent="0.3">
      <c r="A2181" t="s">
        <v>184</v>
      </c>
      <c r="B2181" s="2">
        <v>45839</v>
      </c>
      <c r="C2181" s="52">
        <v>21551.7</v>
      </c>
      <c r="D2181" s="48">
        <f>_xlfn.XLOOKUP(expected_production[[#This Row],[Site Name]],Table1[[Site Name ]],Table1[Commisioned Date],"")</f>
        <v>45558</v>
      </c>
      <c r="E2181" s="47">
        <f>IF(ISNUMBER(expected_production[[#This Row],[Commissioned Date]]),MAX(0,(expected_production[[#This Row],[Date]]-expected_production[[#This Row],[Commissioned Date]])/365.25),"")</f>
        <v>0.76933607118412051</v>
      </c>
      <c r="F2181" s="49">
        <f>IF(expected_production[[#This Row],[Age (yrs)]]="",1,(1-DegradationRate)^expected_production[[#This Row],[Age (yrs)]])</f>
        <v>0.99461028724507472</v>
      </c>
      <c r="G2181" s="52">
        <f>IF(expected_production[[#This Row],[Base Expected (kWh)]]="","",expected_production[[#This Row],[Base Expected (kWh)]]*expected_production[[#This Row],[Degradation Factor]])</f>
        <v>21435.542527619677</v>
      </c>
    </row>
    <row r="2182" spans="1:7" ht="15" hidden="1" customHeight="1" x14ac:dyDescent="0.3">
      <c r="A2182" t="s">
        <v>184</v>
      </c>
      <c r="B2182" s="2">
        <v>45870</v>
      </c>
      <c r="C2182" s="52">
        <v>26041.4</v>
      </c>
      <c r="D2182" s="48">
        <f>_xlfn.XLOOKUP(expected_production[[#This Row],[Site Name]],Table1[[Site Name ]],Table1[Commisioned Date],"")</f>
        <v>45558</v>
      </c>
      <c r="E2182" s="47">
        <f>IF(ISNUMBER(expected_production[[#This Row],[Commissioned Date]]),MAX(0,(expected_production[[#This Row],[Date]]-expected_production[[#This Row],[Commissioned Date]])/365.25),"")</f>
        <v>0.85420944558521561</v>
      </c>
      <c r="F2182" s="49">
        <f>IF(expected_production[[#This Row],[Age (yrs)]]="",1,(1-DegradationRate)^expected_production[[#This Row],[Age (yrs)]])</f>
        <v>0.99401747456904022</v>
      </c>
      <c r="G2182" s="52">
        <f>IF(expected_production[[#This Row],[Base Expected (kWh)]]="","",expected_production[[#This Row],[Base Expected (kWh)]]*expected_production[[#This Row],[Degradation Factor]])</f>
        <v>25885.606662242204</v>
      </c>
    </row>
    <row r="2183" spans="1:7" ht="15" hidden="1" customHeight="1" x14ac:dyDescent="0.3">
      <c r="A2183" t="s">
        <v>184</v>
      </c>
      <c r="B2183" s="2">
        <v>45901</v>
      </c>
      <c r="C2183" s="52">
        <v>29888.9</v>
      </c>
      <c r="D2183" s="48">
        <f>_xlfn.XLOOKUP(expected_production[[#This Row],[Site Name]],Table1[[Site Name ]],Table1[Commisioned Date],"")</f>
        <v>45558</v>
      </c>
      <c r="E2183" s="47">
        <f>IF(ISNUMBER(expected_production[[#This Row],[Commissioned Date]]),MAX(0,(expected_production[[#This Row],[Date]]-expected_production[[#This Row],[Commissioned Date]])/365.25),"")</f>
        <v>0.93908281998631071</v>
      </c>
      <c r="F2183" s="49">
        <f>IF(expected_production[[#This Row],[Age (yrs)]]="",1,(1-DegradationRate)^expected_production[[#This Row],[Age (yrs)]])</f>
        <v>0.99342501522422844</v>
      </c>
      <c r="G2183" s="52">
        <f>IF(expected_production[[#This Row],[Base Expected (kWh)]]="","",expected_production[[#This Row],[Base Expected (kWh)]]*expected_production[[#This Row],[Degradation Factor]])</f>
        <v>29692.380937535443</v>
      </c>
    </row>
    <row r="2184" spans="1:7" ht="15" hidden="1" customHeight="1" x14ac:dyDescent="0.3">
      <c r="A2184" t="s">
        <v>184</v>
      </c>
      <c r="B2184" s="2">
        <v>45931</v>
      </c>
      <c r="C2184" s="52">
        <v>34705.4</v>
      </c>
      <c r="D2184" s="48">
        <f>_xlfn.XLOOKUP(expected_production[[#This Row],[Site Name]],Table1[[Site Name ]],Table1[Commisioned Date],"")</f>
        <v>45558</v>
      </c>
      <c r="E2184" s="47">
        <f>IF(ISNUMBER(expected_production[[#This Row],[Commissioned Date]]),MAX(0,(expected_production[[#This Row],[Date]]-expected_production[[#This Row],[Commissioned Date]])/365.25),"")</f>
        <v>1.0212183436002737</v>
      </c>
      <c r="F2184" s="49">
        <f>IF(expected_production[[#This Row],[Age (yrs)]]="",1,(1-DegradationRate)^expected_production[[#This Row],[Age (yrs)]])</f>
        <v>0.99285200369121185</v>
      </c>
      <c r="G2184" s="52">
        <f>IF(expected_production[[#This Row],[Base Expected (kWh)]]="","",expected_production[[#This Row],[Base Expected (kWh)]]*expected_production[[#This Row],[Degradation Factor]])</f>
        <v>34457.325928904982</v>
      </c>
    </row>
    <row r="2185" spans="1:7" ht="15" hidden="1" customHeight="1" x14ac:dyDescent="0.3">
      <c r="A2185" t="s">
        <v>184</v>
      </c>
      <c r="B2185" s="2">
        <v>45962</v>
      </c>
      <c r="C2185" s="52">
        <v>36881.85</v>
      </c>
      <c r="D2185" s="48">
        <f>_xlfn.XLOOKUP(expected_production[[#This Row],[Site Name]],Table1[[Site Name ]],Table1[Commisioned Date],"")</f>
        <v>45558</v>
      </c>
      <c r="E2185" s="47">
        <f>IF(ISNUMBER(expected_production[[#This Row],[Commissioned Date]]),MAX(0,(expected_production[[#This Row],[Date]]-expected_production[[#This Row],[Commissioned Date]])/365.25),"")</f>
        <v>1.106091718001369</v>
      </c>
      <c r="F2185" s="49">
        <f>IF(expected_production[[#This Row],[Age (yrs)]]="",1,(1-DegradationRate)^expected_production[[#This Row],[Age (yrs)]])</f>
        <v>0.99226023899627325</v>
      </c>
      <c r="G2185" s="52">
        <f>IF(expected_production[[#This Row],[Base Expected (kWh)]]="","",expected_production[[#This Row],[Base Expected (kWh)]]*expected_production[[#This Row],[Degradation Factor]])</f>
        <v>36596.393295624701</v>
      </c>
    </row>
    <row r="2186" spans="1:7" ht="15" hidden="1" customHeight="1" x14ac:dyDescent="0.3">
      <c r="A2186" t="s">
        <v>184</v>
      </c>
      <c r="B2186" s="2">
        <v>45992</v>
      </c>
      <c r="C2186" s="52">
        <v>40110.9</v>
      </c>
      <c r="D2186" s="48">
        <f>_xlfn.XLOOKUP(expected_production[[#This Row],[Site Name]],Table1[[Site Name ]],Table1[Commisioned Date],"")</f>
        <v>45558</v>
      </c>
      <c r="E2186" s="47">
        <f>IF(ISNUMBER(expected_production[[#This Row],[Commissioned Date]]),MAX(0,(expected_production[[#This Row],[Date]]-expected_production[[#This Row],[Commissioned Date]])/365.25),"")</f>
        <v>1.1882272416153319</v>
      </c>
      <c r="F2186" s="49">
        <f>IF(expected_production[[#This Row],[Age (yrs)]]="",1,(1-DegradationRate)^expected_production[[#This Row],[Age (yrs)]])</f>
        <v>0.99168789931085644</v>
      </c>
      <c r="G2186" s="52">
        <f>IF(expected_production[[#This Row],[Base Expected (kWh)]]="","",expected_production[[#This Row],[Base Expected (kWh)]]*expected_production[[#This Row],[Degradation Factor]])</f>
        <v>39777.494160467832</v>
      </c>
    </row>
    <row r="2187" spans="1:7" ht="15" hidden="1" customHeight="1" x14ac:dyDescent="0.3">
      <c r="A2187" t="s">
        <v>184</v>
      </c>
      <c r="B2187" s="2">
        <v>46023</v>
      </c>
      <c r="C2187" s="52">
        <v>37513.599999999999</v>
      </c>
      <c r="D2187" s="48">
        <f>_xlfn.XLOOKUP(expected_production[[#This Row],[Site Name]],Table1[[Site Name ]],Table1[Commisioned Date],"")</f>
        <v>45558</v>
      </c>
      <c r="E2187" s="47">
        <f>IF(ISNUMBER(expected_production[[#This Row],[Commissioned Date]]),MAX(0,(expected_production[[#This Row],[Date]]-expected_production[[#This Row],[Commissioned Date]])/365.25),"")</f>
        <v>1.2731006160164271</v>
      </c>
      <c r="F2187" s="49">
        <f>IF(expected_production[[#This Row],[Age (yrs)]]="",1,(1-DegradationRate)^expected_production[[#This Row],[Age (yrs)]])</f>
        <v>0.99109682845132419</v>
      </c>
      <c r="G2187" s="52">
        <f>IF(expected_production[[#This Row],[Base Expected (kWh)]]="","",expected_production[[#This Row],[Base Expected (kWh)]]*expected_production[[#This Row],[Degradation Factor]])</f>
        <v>37179.60998379159</v>
      </c>
    </row>
    <row r="2188" spans="1:7" ht="15" hidden="1" customHeight="1" x14ac:dyDescent="0.3">
      <c r="A2188" t="s">
        <v>184</v>
      </c>
      <c r="B2188" s="2">
        <v>46054</v>
      </c>
      <c r="C2188" s="52">
        <v>31212.25</v>
      </c>
      <c r="D2188" s="48">
        <f>_xlfn.XLOOKUP(expected_production[[#This Row],[Site Name]],Table1[[Site Name ]],Table1[Commisioned Date],"")</f>
        <v>45558</v>
      </c>
      <c r="E2188" s="47">
        <f>IF(ISNUMBER(expected_production[[#This Row],[Commissioned Date]]),MAX(0,(expected_production[[#This Row],[Date]]-expected_production[[#This Row],[Commissioned Date]])/365.25),"")</f>
        <v>1.3579739904175223</v>
      </c>
      <c r="F2188" s="49">
        <f>IF(expected_production[[#This Row],[Age (yrs)]]="",1,(1-DegradationRate)^expected_production[[#This Row],[Age (yrs)]])</f>
        <v>0.99050610988484844</v>
      </c>
      <c r="G2188" s="52">
        <f>IF(expected_production[[#This Row],[Base Expected (kWh)]]="","",expected_production[[#This Row],[Base Expected (kWh)]]*expected_production[[#This Row],[Degradation Factor]])</f>
        <v>30915.924328253361</v>
      </c>
    </row>
    <row r="2189" spans="1:7" ht="15" hidden="1" customHeight="1" x14ac:dyDescent="0.3">
      <c r="A2189" t="s">
        <v>184</v>
      </c>
      <c r="B2189" s="2">
        <v>46082</v>
      </c>
      <c r="C2189" s="52">
        <v>29700.134999999998</v>
      </c>
      <c r="D2189" s="48">
        <f>_xlfn.XLOOKUP(expected_production[[#This Row],[Site Name]],Table1[[Site Name ]],Table1[Commisioned Date],"")</f>
        <v>45558</v>
      </c>
      <c r="E2189" s="47">
        <f>IF(ISNUMBER(expected_production[[#This Row],[Commissioned Date]]),MAX(0,(expected_production[[#This Row],[Date]]-expected_production[[#This Row],[Commissioned Date]])/365.25),"")</f>
        <v>1.4346338124572211</v>
      </c>
      <c r="F2189" s="49">
        <f>IF(expected_production[[#This Row],[Age (yrs)]]="",1,(1-DegradationRate)^expected_production[[#This Row],[Age (yrs)]])</f>
        <v>0.98997286025999531</v>
      </c>
      <c r="G2189" s="52">
        <f>IF(expected_production[[#This Row],[Base Expected (kWh)]]="","",expected_production[[#This Row],[Base Expected (kWh)]]*expected_production[[#This Row],[Degradation Factor]])</f>
        <v>29402.327596057996</v>
      </c>
    </row>
    <row r="2190" spans="1:7" ht="15" hidden="1" customHeight="1" x14ac:dyDescent="0.3">
      <c r="A2190" t="s">
        <v>184</v>
      </c>
      <c r="B2190" s="2">
        <v>46113</v>
      </c>
      <c r="C2190" s="52">
        <v>24898.55</v>
      </c>
      <c r="D2190" s="48">
        <f>_xlfn.XLOOKUP(expected_production[[#This Row],[Site Name]],Table1[[Site Name ]],Table1[Commisioned Date],"")</f>
        <v>45558</v>
      </c>
      <c r="E2190" s="47">
        <f>IF(ISNUMBER(expected_production[[#This Row],[Commissioned Date]]),MAX(0,(expected_production[[#This Row],[Date]]-expected_production[[#This Row],[Commissioned Date]])/365.25),"")</f>
        <v>1.5195071868583163</v>
      </c>
      <c r="F2190" s="49">
        <f>IF(expected_production[[#This Row],[Age (yrs)]]="",1,(1-DegradationRate)^expected_production[[#This Row],[Age (yrs)]])</f>
        <v>0.98938281160675068</v>
      </c>
      <c r="G2190" s="52">
        <f>IF(expected_production[[#This Row],[Base Expected (kWh)]]="","",expected_production[[#This Row],[Base Expected (kWh)]]*expected_production[[#This Row],[Degradation Factor]])</f>
        <v>24634.197403931263</v>
      </c>
    </row>
    <row r="2191" spans="1:7" ht="15" hidden="1" customHeight="1" x14ac:dyDescent="0.3">
      <c r="A2191" t="s">
        <v>184</v>
      </c>
      <c r="B2191" s="2">
        <v>46143</v>
      </c>
      <c r="C2191" s="52">
        <v>21981.1</v>
      </c>
      <c r="D2191" s="48">
        <f>_xlfn.XLOOKUP(expected_production[[#This Row],[Site Name]],Table1[[Site Name ]],Table1[Commisioned Date],"")</f>
        <v>45558</v>
      </c>
      <c r="E2191" s="47">
        <f>IF(ISNUMBER(expected_production[[#This Row],[Commissioned Date]]),MAX(0,(expected_production[[#This Row],[Date]]-expected_production[[#This Row],[Commissioned Date]])/365.25),"")</f>
        <v>1.6016427104722792</v>
      </c>
      <c r="F2191" s="49">
        <f>IF(expected_production[[#This Row],[Age (yrs)]]="",1,(1-DegradationRate)^expected_production[[#This Row],[Age (yrs)]])</f>
        <v>0.98881213163299231</v>
      </c>
      <c r="G2191" s="52">
        <f>IF(expected_production[[#This Row],[Base Expected (kWh)]]="","",expected_production[[#This Row],[Base Expected (kWh)]]*expected_production[[#This Row],[Degradation Factor]])</f>
        <v>21735.178346637967</v>
      </c>
    </row>
    <row r="2192" spans="1:7" ht="15" hidden="1" customHeight="1" x14ac:dyDescent="0.3">
      <c r="A2192" t="s">
        <v>184</v>
      </c>
      <c r="B2192" s="2">
        <v>46174</v>
      </c>
      <c r="C2192" s="52">
        <v>18982.900000000001</v>
      </c>
      <c r="D2192" s="48">
        <f>_xlfn.XLOOKUP(expected_production[[#This Row],[Site Name]],Table1[[Site Name ]],Table1[Commisioned Date],"")</f>
        <v>45558</v>
      </c>
      <c r="E2192" s="47">
        <f>IF(ISNUMBER(expected_production[[#This Row],[Commissioned Date]]),MAX(0,(expected_production[[#This Row],[Date]]-expected_production[[#This Row],[Commissioned Date]])/365.25),"")</f>
        <v>1.6865160848733745</v>
      </c>
      <c r="F2192" s="49">
        <f>IF(expected_production[[#This Row],[Age (yrs)]]="",1,(1-DegradationRate)^expected_production[[#This Row],[Age (yrs)]])</f>
        <v>0.98822277480312049</v>
      </c>
      <c r="G2192" s="52">
        <f>IF(expected_production[[#This Row],[Base Expected (kWh)]]="","",expected_production[[#This Row],[Base Expected (kWh)]]*expected_production[[#This Row],[Degradation Factor]])</f>
        <v>18759.334111810156</v>
      </c>
    </row>
    <row r="2193" spans="1:7" ht="15" hidden="1" customHeight="1" x14ac:dyDescent="0.3">
      <c r="A2193" t="s">
        <v>184</v>
      </c>
      <c r="B2193" s="2">
        <v>46204</v>
      </c>
      <c r="C2193" s="52">
        <v>21551.7</v>
      </c>
      <c r="D2193" s="48">
        <f>_xlfn.XLOOKUP(expected_production[[#This Row],[Site Name]],Table1[[Site Name ]],Table1[Commisioned Date],"")</f>
        <v>45558</v>
      </c>
      <c r="E2193" s="47">
        <f>IF(ISNUMBER(expected_production[[#This Row],[Commissioned Date]]),MAX(0,(expected_production[[#This Row],[Date]]-expected_production[[#This Row],[Commissioned Date]])/365.25),"")</f>
        <v>1.7686516084873374</v>
      </c>
      <c r="F2193" s="49">
        <f>IF(expected_production[[#This Row],[Age (yrs)]]="",1,(1-DegradationRate)^expected_production[[#This Row],[Age (yrs)]])</f>
        <v>0.98765276394324297</v>
      </c>
      <c r="G2193" s="52">
        <f>IF(expected_production[[#This Row],[Base Expected (kWh)]]="","",expected_production[[#This Row],[Base Expected (kWh)]]*expected_production[[#This Row],[Degradation Factor]])</f>
        <v>21285.596072675591</v>
      </c>
    </row>
    <row r="2194" spans="1:7" ht="15" hidden="1" customHeight="1" x14ac:dyDescent="0.3">
      <c r="A2194" t="s">
        <v>184</v>
      </c>
      <c r="B2194" s="2">
        <v>46235</v>
      </c>
      <c r="C2194" s="52">
        <v>26041.4</v>
      </c>
      <c r="D2194" s="48">
        <f>_xlfn.XLOOKUP(expected_production[[#This Row],[Site Name]],Table1[[Site Name ]],Table1[Commisioned Date],"")</f>
        <v>45558</v>
      </c>
      <c r="E2194" s="47">
        <f>IF(ISNUMBER(expected_production[[#This Row],[Commissioned Date]]),MAX(0,(expected_production[[#This Row],[Date]]-expected_production[[#This Row],[Commissioned Date]])/365.25),"")</f>
        <v>1.8535249828884326</v>
      </c>
      <c r="F2194" s="49">
        <f>IF(expected_production[[#This Row],[Age (yrs)]]="",1,(1-DegradationRate)^expected_production[[#This Row],[Age (yrs)]])</f>
        <v>0.98706409812559115</v>
      </c>
      <c r="G2194" s="52">
        <f>IF(expected_production[[#This Row],[Base Expected (kWh)]]="","",expected_production[[#This Row],[Base Expected (kWh)]]*expected_production[[#This Row],[Degradation Factor]])</f>
        <v>25704.531004927772</v>
      </c>
    </row>
    <row r="2195" spans="1:7" ht="15" hidden="1" customHeight="1" x14ac:dyDescent="0.3">
      <c r="A2195" t="s">
        <v>184</v>
      </c>
      <c r="B2195" s="2">
        <v>46266</v>
      </c>
      <c r="C2195" s="52">
        <v>29888.9</v>
      </c>
      <c r="D2195" s="48">
        <f>_xlfn.XLOOKUP(expected_production[[#This Row],[Site Name]],Table1[[Site Name ]],Table1[Commisioned Date],"")</f>
        <v>45558</v>
      </c>
      <c r="E2195" s="47">
        <f>IF(ISNUMBER(expected_production[[#This Row],[Commissioned Date]]),MAX(0,(expected_production[[#This Row],[Date]]-expected_production[[#This Row],[Commissioned Date]])/365.25),"")</f>
        <v>1.9383983572895278</v>
      </c>
      <c r="F2195" s="49">
        <f>IF(expected_production[[#This Row],[Age (yrs)]]="",1,(1-DegradationRate)^expected_production[[#This Row],[Age (yrs)]])</f>
        <v>0.98647578316753037</v>
      </c>
      <c r="G2195" s="52">
        <f>IF(expected_production[[#This Row],[Base Expected (kWh)]]="","",expected_production[[#This Row],[Base Expected (kWh)]]*expected_production[[#This Row],[Degradation Factor]])</f>
        <v>29484.676035516</v>
      </c>
    </row>
    <row r="2196" spans="1:7" ht="15" hidden="1" customHeight="1" x14ac:dyDescent="0.3">
      <c r="A2196" t="s">
        <v>184</v>
      </c>
      <c r="B2196" s="2">
        <v>46296</v>
      </c>
      <c r="C2196" s="52">
        <v>34705.4</v>
      </c>
      <c r="D2196" s="48">
        <f>_xlfn.XLOOKUP(expected_production[[#This Row],[Site Name]],Table1[[Site Name ]],Table1[Commisioned Date],"")</f>
        <v>45558</v>
      </c>
      <c r="E2196" s="47">
        <f>IF(ISNUMBER(expected_production[[#This Row],[Commissioned Date]]),MAX(0,(expected_production[[#This Row],[Date]]-expected_production[[#This Row],[Commissioned Date]])/365.25),"")</f>
        <v>2.020533880903491</v>
      </c>
      <c r="F2196" s="49">
        <f>IF(expected_production[[#This Row],[Age (yrs)]]="",1,(1-DegradationRate)^expected_production[[#This Row],[Age (yrs)]])</f>
        <v>0.98590677997943466</v>
      </c>
      <c r="G2196" s="52">
        <f>IF(expected_production[[#This Row],[Base Expected (kWh)]]="","",expected_production[[#This Row],[Base Expected (kWh)]]*expected_production[[#This Row],[Degradation Factor]])</f>
        <v>34216.289161898276</v>
      </c>
    </row>
    <row r="2197" spans="1:7" ht="15" hidden="1" customHeight="1" x14ac:dyDescent="0.3">
      <c r="A2197" t="s">
        <v>184</v>
      </c>
      <c r="B2197" s="2">
        <v>46327</v>
      </c>
      <c r="C2197" s="52">
        <v>36881.85</v>
      </c>
      <c r="D2197" s="48">
        <f>_xlfn.XLOOKUP(expected_production[[#This Row],[Site Name]],Table1[[Site Name ]],Table1[Commisioned Date],"")</f>
        <v>45558</v>
      </c>
      <c r="E2197" s="47">
        <f>IF(ISNUMBER(expected_production[[#This Row],[Commissioned Date]]),MAX(0,(expected_production[[#This Row],[Date]]-expected_production[[#This Row],[Commissioned Date]])/365.25),"")</f>
        <v>2.1054072553045859</v>
      </c>
      <c r="F2197" s="49">
        <f>IF(expected_production[[#This Row],[Age (yrs)]]="",1,(1-DegradationRate)^expected_production[[#This Row],[Age (yrs)]])</f>
        <v>0.9853191548120146</v>
      </c>
      <c r="G2197" s="52">
        <f>IF(expected_production[[#This Row],[Base Expected (kWh)]]="","",expected_production[[#This Row],[Base Expected (kWh)]]*expected_production[[#This Row],[Degradation Factor]])</f>
        <v>36340.393269903499</v>
      </c>
    </row>
    <row r="2198" spans="1:7" ht="15" hidden="1" customHeight="1" x14ac:dyDescent="0.3">
      <c r="A2198" t="s">
        <v>184</v>
      </c>
      <c r="B2198" s="2">
        <v>46357</v>
      </c>
      <c r="C2198" s="52">
        <v>40110.9</v>
      </c>
      <c r="D2198" s="48">
        <f>_xlfn.XLOOKUP(expected_production[[#This Row],[Site Name]],Table1[[Site Name ]],Table1[Commisioned Date],"")</f>
        <v>45558</v>
      </c>
      <c r="E2198" s="47">
        <f>IF(ISNUMBER(expected_production[[#This Row],[Commissioned Date]]),MAX(0,(expected_production[[#This Row],[Date]]-expected_production[[#This Row],[Commissioned Date]])/365.25),"")</f>
        <v>2.1875427789185489</v>
      </c>
      <c r="F2198" s="49">
        <f>IF(expected_production[[#This Row],[Age (yrs)]]="",1,(1-DegradationRate)^expected_production[[#This Row],[Age (yrs)]])</f>
        <v>0.98475081877179316</v>
      </c>
      <c r="G2198" s="52">
        <f>IF(expected_production[[#This Row],[Base Expected (kWh)]]="","",expected_production[[#This Row],[Base Expected (kWh)]]*expected_production[[#This Row],[Degradation Factor]])</f>
        <v>39499.24161667352</v>
      </c>
    </row>
    <row r="2199" spans="1:7" ht="15" hidden="1" customHeight="1" x14ac:dyDescent="0.3">
      <c r="A2199" t="s">
        <v>186</v>
      </c>
      <c r="B2199" s="2">
        <v>45292</v>
      </c>
      <c r="C2199" s="52">
        <v>34074.9</v>
      </c>
      <c r="D2199" s="48">
        <f>_xlfn.XLOOKUP(expected_production[[#This Row],[Site Name]],Table1[[Site Name ]],Table1[Commisioned Date],"")</f>
        <v>45531</v>
      </c>
      <c r="E2199" s="47">
        <f>IF(ISNUMBER(expected_production[[#This Row],[Commissioned Date]]),MAX(0,(expected_production[[#This Row],[Date]]-expected_production[[#This Row],[Commissioned Date]])/365.25),"")</f>
        <v>0</v>
      </c>
      <c r="F2199" s="49">
        <f>IF(expected_production[[#This Row],[Age (yrs)]]="",1,(1-DegradationRate)^expected_production[[#This Row],[Age (yrs)]])</f>
        <v>1</v>
      </c>
      <c r="G2199" s="52">
        <f>IF(expected_production[[#This Row],[Base Expected (kWh)]]="","",expected_production[[#This Row],[Base Expected (kWh)]]*expected_production[[#This Row],[Degradation Factor]])</f>
        <v>34074.9</v>
      </c>
    </row>
    <row r="2200" spans="1:7" ht="15" hidden="1" customHeight="1" x14ac:dyDescent="0.3">
      <c r="A2200" t="s">
        <v>186</v>
      </c>
      <c r="B2200" s="2">
        <v>45323</v>
      </c>
      <c r="C2200" s="52">
        <v>28396.799999999999</v>
      </c>
      <c r="D2200" s="48">
        <f>_xlfn.XLOOKUP(expected_production[[#This Row],[Site Name]],Table1[[Site Name ]],Table1[Commisioned Date],"")</f>
        <v>45531</v>
      </c>
      <c r="E2200" s="47">
        <f>IF(ISNUMBER(expected_production[[#This Row],[Commissioned Date]]),MAX(0,(expected_production[[#This Row],[Date]]-expected_production[[#This Row],[Commissioned Date]])/365.25),"")</f>
        <v>0</v>
      </c>
      <c r="F2200" s="49">
        <f>IF(expected_production[[#This Row],[Age (yrs)]]="",1,(1-DegradationRate)^expected_production[[#This Row],[Age (yrs)]])</f>
        <v>1</v>
      </c>
      <c r="G2200" s="52">
        <f>IF(expected_production[[#This Row],[Base Expected (kWh)]]="","",expected_production[[#This Row],[Base Expected (kWh)]]*expected_production[[#This Row],[Degradation Factor]])</f>
        <v>28396.799999999999</v>
      </c>
    </row>
    <row r="2201" spans="1:7" ht="15" hidden="1" customHeight="1" x14ac:dyDescent="0.3">
      <c r="A2201" t="s">
        <v>186</v>
      </c>
      <c r="B2201" s="2">
        <v>45352</v>
      </c>
      <c r="C2201" s="52">
        <v>28665.9</v>
      </c>
      <c r="D2201" s="48">
        <f>_xlfn.XLOOKUP(expected_production[[#This Row],[Site Name]],Table1[[Site Name ]],Table1[Commisioned Date],"")</f>
        <v>45531</v>
      </c>
      <c r="E2201" s="47">
        <f>IF(ISNUMBER(expected_production[[#This Row],[Commissioned Date]]),MAX(0,(expected_production[[#This Row],[Date]]-expected_production[[#This Row],[Commissioned Date]])/365.25),"")</f>
        <v>0</v>
      </c>
      <c r="F2201" s="49">
        <f>IF(expected_production[[#This Row],[Age (yrs)]]="",1,(1-DegradationRate)^expected_production[[#This Row],[Age (yrs)]])</f>
        <v>1</v>
      </c>
      <c r="G2201" s="52">
        <f>IF(expected_production[[#This Row],[Base Expected (kWh)]]="","",expected_production[[#This Row],[Base Expected (kWh)]]*expected_production[[#This Row],[Degradation Factor]])</f>
        <v>28665.9</v>
      </c>
    </row>
    <row r="2202" spans="1:7" ht="15" hidden="1" customHeight="1" x14ac:dyDescent="0.3">
      <c r="A2202" t="s">
        <v>186</v>
      </c>
      <c r="B2202" s="2">
        <v>45383</v>
      </c>
      <c r="C2202" s="52">
        <v>24411.599999999999</v>
      </c>
      <c r="D2202" s="48">
        <f>_xlfn.XLOOKUP(expected_production[[#This Row],[Site Name]],Table1[[Site Name ]],Table1[Commisioned Date],"")</f>
        <v>45531</v>
      </c>
      <c r="E2202" s="47">
        <f>IF(ISNUMBER(expected_production[[#This Row],[Commissioned Date]]),MAX(0,(expected_production[[#This Row],[Date]]-expected_production[[#This Row],[Commissioned Date]])/365.25),"")</f>
        <v>0</v>
      </c>
      <c r="F2202" s="49">
        <f>IF(expected_production[[#This Row],[Age (yrs)]]="",1,(1-DegradationRate)^expected_production[[#This Row],[Age (yrs)]])</f>
        <v>1</v>
      </c>
      <c r="G2202" s="52">
        <f>IF(expected_production[[#This Row],[Base Expected (kWh)]]="","",expected_production[[#This Row],[Base Expected (kWh)]]*expected_production[[#This Row],[Degradation Factor]])</f>
        <v>24411.599999999999</v>
      </c>
    </row>
    <row r="2203" spans="1:7" ht="15" hidden="1" customHeight="1" x14ac:dyDescent="0.3">
      <c r="A2203" t="s">
        <v>186</v>
      </c>
      <c r="B2203" s="2">
        <v>45413</v>
      </c>
      <c r="C2203" s="52">
        <v>22266.9</v>
      </c>
      <c r="D2203" s="48">
        <f>_xlfn.XLOOKUP(expected_production[[#This Row],[Site Name]],Table1[[Site Name ]],Table1[Commisioned Date],"")</f>
        <v>45531</v>
      </c>
      <c r="E2203" s="47">
        <f>IF(ISNUMBER(expected_production[[#This Row],[Commissioned Date]]),MAX(0,(expected_production[[#This Row],[Date]]-expected_production[[#This Row],[Commissioned Date]])/365.25),"")</f>
        <v>0</v>
      </c>
      <c r="F2203" s="49">
        <f>IF(expected_production[[#This Row],[Age (yrs)]]="",1,(1-DegradationRate)^expected_production[[#This Row],[Age (yrs)]])</f>
        <v>1</v>
      </c>
      <c r="G2203" s="52">
        <f>IF(expected_production[[#This Row],[Base Expected (kWh)]]="","",expected_production[[#This Row],[Base Expected (kWh)]]*expected_production[[#This Row],[Degradation Factor]])</f>
        <v>22266.9</v>
      </c>
    </row>
    <row r="2204" spans="1:7" ht="15" hidden="1" customHeight="1" x14ac:dyDescent="0.3">
      <c r="A2204" t="s">
        <v>186</v>
      </c>
      <c r="B2204" s="2">
        <v>45444</v>
      </c>
      <c r="C2204" s="52">
        <v>19791.900000000001</v>
      </c>
      <c r="D2204" s="48">
        <f>_xlfn.XLOOKUP(expected_production[[#This Row],[Site Name]],Table1[[Site Name ]],Table1[Commisioned Date],"")</f>
        <v>45531</v>
      </c>
      <c r="E2204" s="47">
        <f>IF(ISNUMBER(expected_production[[#This Row],[Commissioned Date]]),MAX(0,(expected_production[[#This Row],[Date]]-expected_production[[#This Row],[Commissioned Date]])/365.25),"")</f>
        <v>0</v>
      </c>
      <c r="F2204" s="49">
        <f>IF(expected_production[[#This Row],[Age (yrs)]]="",1,(1-DegradationRate)^expected_production[[#This Row],[Age (yrs)]])</f>
        <v>1</v>
      </c>
      <c r="G2204" s="52">
        <f>IF(expected_production[[#This Row],[Base Expected (kWh)]]="","",expected_production[[#This Row],[Base Expected (kWh)]]*expected_production[[#This Row],[Degradation Factor]])</f>
        <v>19791.900000000001</v>
      </c>
    </row>
    <row r="2205" spans="1:7" ht="15" hidden="1" customHeight="1" x14ac:dyDescent="0.3">
      <c r="A2205" t="s">
        <v>186</v>
      </c>
      <c r="B2205" s="2">
        <v>45474</v>
      </c>
      <c r="C2205" s="52">
        <v>21774.6</v>
      </c>
      <c r="D2205" s="48">
        <f>_xlfn.XLOOKUP(expected_production[[#This Row],[Site Name]],Table1[[Site Name ]],Table1[Commisioned Date],"")</f>
        <v>45531</v>
      </c>
      <c r="E2205" s="47">
        <f>IF(ISNUMBER(expected_production[[#This Row],[Commissioned Date]]),MAX(0,(expected_production[[#This Row],[Date]]-expected_production[[#This Row],[Commissioned Date]])/365.25),"")</f>
        <v>0</v>
      </c>
      <c r="F2205" s="49">
        <f>IF(expected_production[[#This Row],[Age (yrs)]]="",1,(1-DegradationRate)^expected_production[[#This Row],[Age (yrs)]])</f>
        <v>1</v>
      </c>
      <c r="G2205" s="52">
        <f>IF(expected_production[[#This Row],[Base Expected (kWh)]]="","",expected_production[[#This Row],[Base Expected (kWh)]]*expected_production[[#This Row],[Degradation Factor]])</f>
        <v>21774.6</v>
      </c>
    </row>
    <row r="2206" spans="1:7" ht="15" hidden="1" customHeight="1" x14ac:dyDescent="0.3">
      <c r="A2206" t="s">
        <v>186</v>
      </c>
      <c r="B2206" s="2">
        <v>45505</v>
      </c>
      <c r="C2206" s="52">
        <v>25973.1</v>
      </c>
      <c r="D2206" s="48">
        <f>_xlfn.XLOOKUP(expected_production[[#This Row],[Site Name]],Table1[[Site Name ]],Table1[Commisioned Date],"")</f>
        <v>45531</v>
      </c>
      <c r="E2206" s="47">
        <f>IF(ISNUMBER(expected_production[[#This Row],[Commissioned Date]]),MAX(0,(expected_production[[#This Row],[Date]]-expected_production[[#This Row],[Commissioned Date]])/365.25),"")</f>
        <v>0</v>
      </c>
      <c r="F2206" s="49">
        <f>IF(expected_production[[#This Row],[Age (yrs)]]="",1,(1-DegradationRate)^expected_production[[#This Row],[Age (yrs)]])</f>
        <v>1</v>
      </c>
      <c r="G2206" s="52">
        <f>IF(expected_production[[#This Row],[Base Expected (kWh)]]="","",expected_production[[#This Row],[Base Expected (kWh)]]*expected_production[[#This Row],[Degradation Factor]])</f>
        <v>25973.1</v>
      </c>
    </row>
    <row r="2207" spans="1:7" ht="15" hidden="1" customHeight="1" x14ac:dyDescent="0.3">
      <c r="A2207" t="s">
        <v>186</v>
      </c>
      <c r="B2207" s="2">
        <v>45536</v>
      </c>
      <c r="C2207" s="52">
        <v>28984.5</v>
      </c>
      <c r="D2207" s="48">
        <f>_xlfn.XLOOKUP(expected_production[[#This Row],[Site Name]],Table1[[Site Name ]],Table1[Commisioned Date],"")</f>
        <v>45531</v>
      </c>
      <c r="E2207" s="47">
        <f>IF(ISNUMBER(expected_production[[#This Row],[Commissioned Date]]),MAX(0,(expected_production[[#This Row],[Date]]-expected_production[[#This Row],[Commissioned Date]])/365.25),"")</f>
        <v>1.3689253935660506E-2</v>
      </c>
      <c r="F2207" s="49">
        <f>IF(expected_production[[#This Row],[Age (yrs)]]="",1,(1-DegradationRate)^expected_production[[#This Row],[Age (yrs)]])</f>
        <v>0.99990384288571932</v>
      </c>
      <c r="G2207" s="52">
        <f>IF(expected_production[[#This Row],[Base Expected (kWh)]]="","",expected_production[[#This Row],[Base Expected (kWh)]]*expected_production[[#This Row],[Degradation Factor]])</f>
        <v>28981.712934121133</v>
      </c>
    </row>
    <row r="2208" spans="1:7" ht="15" hidden="1" customHeight="1" x14ac:dyDescent="0.3">
      <c r="A2208" t="s">
        <v>186</v>
      </c>
      <c r="B2208" s="2">
        <v>45566</v>
      </c>
      <c r="C2208" s="52">
        <v>33058.800000000003</v>
      </c>
      <c r="D2208" s="48">
        <f>_xlfn.XLOOKUP(expected_production[[#This Row],[Site Name]],Table1[[Site Name ]],Table1[Commisioned Date],"")</f>
        <v>45531</v>
      </c>
      <c r="E2208" s="47">
        <f>IF(ISNUMBER(expected_production[[#This Row],[Commissioned Date]]),MAX(0,(expected_production[[#This Row],[Date]]-expected_production[[#This Row],[Commissioned Date]])/365.25),"")</f>
        <v>9.5824777549623541E-2</v>
      </c>
      <c r="F2208" s="49">
        <f>IF(expected_production[[#This Row],[Age (yrs)]]="",1,(1-DegradationRate)^expected_production[[#This Row],[Age (yrs)]])</f>
        <v>0.99932709433892364</v>
      </c>
      <c r="G2208" s="52">
        <f>IF(expected_production[[#This Row],[Base Expected (kWh)]]="","",expected_production[[#This Row],[Base Expected (kWh)]]*expected_production[[#This Row],[Degradation Factor]])</f>
        <v>33036.554546331608</v>
      </c>
    </row>
    <row r="2209" spans="1:7" ht="15" hidden="1" customHeight="1" x14ac:dyDescent="0.3">
      <c r="A2209" t="s">
        <v>186</v>
      </c>
      <c r="B2209" s="2">
        <v>45597</v>
      </c>
      <c r="C2209" s="52">
        <v>34366.5</v>
      </c>
      <c r="D2209" s="48">
        <f>_xlfn.XLOOKUP(expected_production[[#This Row],[Site Name]],Table1[[Site Name ]],Table1[Commisioned Date],"")</f>
        <v>45531</v>
      </c>
      <c r="E2209" s="47">
        <f>IF(ISNUMBER(expected_production[[#This Row],[Commissioned Date]]),MAX(0,(expected_production[[#This Row],[Date]]-expected_production[[#This Row],[Commissioned Date]])/365.25),"")</f>
        <v>0.1806981519507187</v>
      </c>
      <c r="F2209" s="49">
        <f>IF(expected_production[[#This Row],[Age (yrs)]]="",1,(1-DegradationRate)^expected_production[[#This Row],[Age (yrs)]])</f>
        <v>0.9987314703275636</v>
      </c>
      <c r="G2209" s="52">
        <f>IF(expected_production[[#This Row],[Base Expected (kWh)]]="","",expected_production[[#This Row],[Base Expected (kWh)]]*expected_production[[#This Row],[Degradation Factor]])</f>
        <v>34322.905075012211</v>
      </c>
    </row>
    <row r="2210" spans="1:7" ht="15" hidden="1" customHeight="1" x14ac:dyDescent="0.3">
      <c r="A2210" t="s">
        <v>186</v>
      </c>
      <c r="B2210" s="2">
        <v>45627</v>
      </c>
      <c r="C2210" s="52">
        <v>36320.400000000001</v>
      </c>
      <c r="D2210" s="48">
        <f>_xlfn.XLOOKUP(expected_production[[#This Row],[Site Name]],Table1[[Site Name ]],Table1[Commisioned Date],"")</f>
        <v>45531</v>
      </c>
      <c r="E2210" s="47">
        <f>IF(ISNUMBER(expected_production[[#This Row],[Commissioned Date]]),MAX(0,(expected_production[[#This Row],[Date]]-expected_production[[#This Row],[Commissioned Date]])/365.25),"")</f>
        <v>0.26283367556468173</v>
      </c>
      <c r="F2210" s="49">
        <f>IF(expected_production[[#This Row],[Age (yrs)]]="",1,(1-DegradationRate)^expected_production[[#This Row],[Age (yrs)]])</f>
        <v>0.99815539800996134</v>
      </c>
      <c r="G2210" s="52">
        <f>IF(expected_production[[#This Row],[Base Expected (kWh)]]="","",expected_production[[#This Row],[Base Expected (kWh)]]*expected_production[[#This Row],[Degradation Factor]])</f>
        <v>36253.403317880999</v>
      </c>
    </row>
    <row r="2211" spans="1:7" ht="15" hidden="1" customHeight="1" x14ac:dyDescent="0.3">
      <c r="A2211" t="s">
        <v>186</v>
      </c>
      <c r="B2211" s="2">
        <v>45658</v>
      </c>
      <c r="C2211" s="52">
        <v>34074.9</v>
      </c>
      <c r="D2211" s="48">
        <f>_xlfn.XLOOKUP(expected_production[[#This Row],[Site Name]],Table1[[Site Name ]],Table1[Commisioned Date],"")</f>
        <v>45531</v>
      </c>
      <c r="E2211" s="47">
        <f>IF(ISNUMBER(expected_production[[#This Row],[Commissioned Date]]),MAX(0,(expected_production[[#This Row],[Date]]-expected_production[[#This Row],[Commissioned Date]])/365.25),"")</f>
        <v>0.34770704996577684</v>
      </c>
      <c r="F2211" s="49">
        <f>IF(expected_production[[#This Row],[Age (yrs)]]="",1,(1-DegradationRate)^expected_production[[#This Row],[Age (yrs)]])</f>
        <v>0.99756047235899958</v>
      </c>
      <c r="G2211" s="52">
        <f>IF(expected_production[[#This Row],[Base Expected (kWh)]]="","",expected_production[[#This Row],[Base Expected (kWh)]]*expected_production[[#This Row],[Degradation Factor]])</f>
        <v>33991.773339585678</v>
      </c>
    </row>
    <row r="2212" spans="1:7" ht="15" hidden="1" customHeight="1" x14ac:dyDescent="0.3">
      <c r="A2212" t="s">
        <v>186</v>
      </c>
      <c r="B2212" s="2">
        <v>45689</v>
      </c>
      <c r="C2212" s="52">
        <v>28396.799999999999</v>
      </c>
      <c r="D2212" s="48">
        <f>_xlfn.XLOOKUP(expected_production[[#This Row],[Site Name]],Table1[[Site Name ]],Table1[Commisioned Date],"")</f>
        <v>45531</v>
      </c>
      <c r="E2212" s="47">
        <f>IF(ISNUMBER(expected_production[[#This Row],[Commissioned Date]]),MAX(0,(expected_production[[#This Row],[Date]]-expected_production[[#This Row],[Commissioned Date]])/365.25),"")</f>
        <v>0.432580424366872</v>
      </c>
      <c r="F2212" s="49">
        <f>IF(expected_production[[#This Row],[Age (yrs)]]="",1,(1-DegradationRate)^expected_production[[#This Row],[Age (yrs)]])</f>
        <v>0.9969659012986466</v>
      </c>
      <c r="G2212" s="52">
        <f>IF(expected_production[[#This Row],[Base Expected (kWh)]]="","",expected_production[[#This Row],[Base Expected (kWh)]]*expected_production[[#This Row],[Degradation Factor]])</f>
        <v>28310.641305997407</v>
      </c>
    </row>
    <row r="2213" spans="1:7" ht="15" hidden="1" customHeight="1" x14ac:dyDescent="0.3">
      <c r="A2213" t="s">
        <v>186</v>
      </c>
      <c r="B2213" s="2">
        <v>45717</v>
      </c>
      <c r="C2213" s="52">
        <v>28665.9</v>
      </c>
      <c r="D2213" s="48">
        <f>_xlfn.XLOOKUP(expected_production[[#This Row],[Site Name]],Table1[[Site Name ]],Table1[Commisioned Date],"")</f>
        <v>45531</v>
      </c>
      <c r="E2213" s="47">
        <f>IF(ISNUMBER(expected_production[[#This Row],[Commissioned Date]]),MAX(0,(expected_production[[#This Row],[Date]]-expected_production[[#This Row],[Commissioned Date]])/365.25),"")</f>
        <v>0.50924024640657084</v>
      </c>
      <c r="F2213" s="49">
        <f>IF(expected_production[[#This Row],[Age (yrs)]]="",1,(1-DegradationRate)^expected_production[[#This Row],[Age (yrs)]])</f>
        <v>0.99642917397556052</v>
      </c>
      <c r="G2213" s="52">
        <f>IF(expected_production[[#This Row],[Base Expected (kWh)]]="","",expected_production[[#This Row],[Base Expected (kWh)]]*expected_production[[#This Row],[Degradation Factor]])</f>
        <v>28563.539058266022</v>
      </c>
    </row>
    <row r="2214" spans="1:7" ht="15" hidden="1" customHeight="1" x14ac:dyDescent="0.3">
      <c r="A2214" t="s">
        <v>186</v>
      </c>
      <c r="B2214" s="2">
        <v>45748</v>
      </c>
      <c r="C2214" s="52">
        <v>24411.599999999999</v>
      </c>
      <c r="D2214" s="48">
        <f>_xlfn.XLOOKUP(expected_production[[#This Row],[Site Name]],Table1[[Site Name ]],Table1[Commisioned Date],"")</f>
        <v>45531</v>
      </c>
      <c r="E2214" s="47">
        <f>IF(ISNUMBER(expected_production[[#This Row],[Commissioned Date]]),MAX(0,(expected_production[[#This Row],[Date]]-expected_production[[#This Row],[Commissioned Date]])/365.25),"")</f>
        <v>0.59411362080766594</v>
      </c>
      <c r="F2214" s="49">
        <f>IF(expected_production[[#This Row],[Age (yrs)]]="",1,(1-DegradationRate)^expected_production[[#This Row],[Age (yrs)]])</f>
        <v>0.99583527719741705</v>
      </c>
      <c r="G2214" s="52">
        <f>IF(expected_production[[#This Row],[Base Expected (kWh)]]="","",expected_production[[#This Row],[Base Expected (kWh)]]*expected_production[[#This Row],[Degradation Factor]])</f>
        <v>24309.932452832465</v>
      </c>
    </row>
    <row r="2215" spans="1:7" ht="15" hidden="1" customHeight="1" x14ac:dyDescent="0.3">
      <c r="A2215" t="s">
        <v>186</v>
      </c>
      <c r="B2215" s="2">
        <v>45778</v>
      </c>
      <c r="C2215" s="52">
        <v>22266.9</v>
      </c>
      <c r="D2215" s="48">
        <f>_xlfn.XLOOKUP(expected_production[[#This Row],[Site Name]],Table1[[Site Name ]],Table1[Commisioned Date],"")</f>
        <v>45531</v>
      </c>
      <c r="E2215" s="47">
        <f>IF(ISNUMBER(expected_production[[#This Row],[Commissioned Date]]),MAX(0,(expected_production[[#This Row],[Date]]-expected_production[[#This Row],[Commissioned Date]])/365.25),"")</f>
        <v>0.67624914442162898</v>
      </c>
      <c r="F2215" s="49">
        <f>IF(expected_production[[#This Row],[Age (yrs)]]="",1,(1-DegradationRate)^expected_production[[#This Row],[Age (yrs)]])</f>
        <v>0.99526087541562769</v>
      </c>
      <c r="G2215" s="52">
        <f>IF(expected_production[[#This Row],[Base Expected (kWh)]]="","",expected_production[[#This Row],[Base Expected (kWh)]]*expected_production[[#This Row],[Degradation Factor]])</f>
        <v>22161.374386792242</v>
      </c>
    </row>
    <row r="2216" spans="1:7" ht="15" hidden="1" customHeight="1" x14ac:dyDescent="0.3">
      <c r="A2216" t="s">
        <v>186</v>
      </c>
      <c r="B2216" s="2">
        <v>45809</v>
      </c>
      <c r="C2216" s="52">
        <v>19791.900000000001</v>
      </c>
      <c r="D2216" s="48">
        <f>_xlfn.XLOOKUP(expected_production[[#This Row],[Site Name]],Table1[[Site Name ]],Table1[Commisioned Date],"")</f>
        <v>45531</v>
      </c>
      <c r="E2216" s="47">
        <f>IF(ISNUMBER(expected_production[[#This Row],[Commissioned Date]]),MAX(0,(expected_production[[#This Row],[Date]]-expected_production[[#This Row],[Commissioned Date]])/365.25),"")</f>
        <v>0.76112251882272419</v>
      </c>
      <c r="F2216" s="49">
        <f>IF(expected_production[[#This Row],[Age (yrs)]]="",1,(1-DegradationRate)^expected_production[[#This Row],[Age (yrs)]])</f>
        <v>0.99466767497272679</v>
      </c>
      <c r="G2216" s="52">
        <f>IF(expected_production[[#This Row],[Base Expected (kWh)]]="","",expected_production[[#This Row],[Base Expected (kWh)]]*expected_production[[#This Row],[Degradation Factor]])</f>
        <v>19686.363156292711</v>
      </c>
    </row>
    <row r="2217" spans="1:7" ht="15" hidden="1" customHeight="1" x14ac:dyDescent="0.3">
      <c r="A2217" t="s">
        <v>186</v>
      </c>
      <c r="B2217" s="2">
        <v>45839</v>
      </c>
      <c r="C2217" s="52">
        <v>21774.6</v>
      </c>
      <c r="D2217" s="48">
        <f>_xlfn.XLOOKUP(expected_production[[#This Row],[Site Name]],Table1[[Site Name ]],Table1[Commisioned Date],"")</f>
        <v>45531</v>
      </c>
      <c r="E2217" s="47">
        <f>IF(ISNUMBER(expected_production[[#This Row],[Commissioned Date]]),MAX(0,(expected_production[[#This Row],[Date]]-expected_production[[#This Row],[Commissioned Date]])/365.25),"")</f>
        <v>0.84325804243668723</v>
      </c>
      <c r="F2217" s="49">
        <f>IF(expected_production[[#This Row],[Age (yrs)]]="",1,(1-DegradationRate)^expected_production[[#This Row],[Age (yrs)]])</f>
        <v>0.99409394666858353</v>
      </c>
      <c r="G2217" s="52">
        <f>IF(expected_production[[#This Row],[Base Expected (kWh)]]="","",expected_production[[#This Row],[Base Expected (kWh)]]*expected_production[[#This Row],[Degradation Factor]])</f>
        <v>21645.998051129736</v>
      </c>
    </row>
    <row r="2218" spans="1:7" ht="15" hidden="1" customHeight="1" x14ac:dyDescent="0.3">
      <c r="A2218" t="s">
        <v>186</v>
      </c>
      <c r="B2218" s="2">
        <v>45870</v>
      </c>
      <c r="C2218" s="52">
        <v>25973.1</v>
      </c>
      <c r="D2218" s="48">
        <f>_xlfn.XLOOKUP(expected_production[[#This Row],[Site Name]],Table1[[Site Name ]],Table1[Commisioned Date],"")</f>
        <v>45531</v>
      </c>
      <c r="E2218" s="47">
        <f>IF(ISNUMBER(expected_production[[#This Row],[Commissioned Date]]),MAX(0,(expected_production[[#This Row],[Date]]-expected_production[[#This Row],[Commissioned Date]])/365.25),"")</f>
        <v>0.92813141683778233</v>
      </c>
      <c r="F2218" s="49">
        <f>IF(expected_production[[#This Row],[Age (yrs)]]="",1,(1-DegradationRate)^expected_production[[#This Row],[Age (yrs)]])</f>
        <v>0.99350144174448241</v>
      </c>
      <c r="G2218" s="52">
        <f>IF(expected_production[[#This Row],[Base Expected (kWh)]]="","",expected_production[[#This Row],[Base Expected (kWh)]]*expected_production[[#This Row],[Degradation Factor]])</f>
        <v>25804.312296573615</v>
      </c>
    </row>
    <row r="2219" spans="1:7" ht="15" hidden="1" customHeight="1" x14ac:dyDescent="0.3">
      <c r="A2219" t="s">
        <v>186</v>
      </c>
      <c r="B2219" s="2">
        <v>45901</v>
      </c>
      <c r="C2219" s="52">
        <v>28984.5</v>
      </c>
      <c r="D2219" s="48">
        <f>_xlfn.XLOOKUP(expected_production[[#This Row],[Site Name]],Table1[[Site Name ]],Table1[Commisioned Date],"")</f>
        <v>45531</v>
      </c>
      <c r="E2219" s="47">
        <f>IF(ISNUMBER(expected_production[[#This Row],[Commissioned Date]]),MAX(0,(expected_production[[#This Row],[Date]]-expected_production[[#This Row],[Commissioned Date]])/365.25),"")</f>
        <v>1.0130047912388775</v>
      </c>
      <c r="F2219" s="49">
        <f>IF(expected_production[[#This Row],[Age (yrs)]]="",1,(1-DegradationRate)^expected_production[[#This Row],[Age (yrs)]])</f>
        <v>0.99290928996817618</v>
      </c>
      <c r="G2219" s="52">
        <f>IF(expected_production[[#This Row],[Base Expected (kWh)]]="","",expected_production[[#This Row],[Base Expected (kWh)]]*expected_production[[#This Row],[Degradation Factor]])</f>
        <v>28778.979315082601</v>
      </c>
    </row>
    <row r="2220" spans="1:7" ht="15" hidden="1" customHeight="1" x14ac:dyDescent="0.3">
      <c r="A2220" t="s">
        <v>186</v>
      </c>
      <c r="B2220" s="2">
        <v>45931</v>
      </c>
      <c r="C2220" s="52">
        <v>33058.800000000003</v>
      </c>
      <c r="D2220" s="48">
        <f>_xlfn.XLOOKUP(expected_production[[#This Row],[Site Name]],Table1[[Site Name ]],Table1[Commisioned Date],"")</f>
        <v>45531</v>
      </c>
      <c r="E2220" s="47">
        <f>IF(ISNUMBER(expected_production[[#This Row],[Commissioned Date]]),MAX(0,(expected_production[[#This Row],[Date]]-expected_production[[#This Row],[Commissioned Date]])/365.25),"")</f>
        <v>1.0951403148528405</v>
      </c>
      <c r="F2220" s="49">
        <f>IF(expected_production[[#This Row],[Age (yrs)]]="",1,(1-DegradationRate)^expected_production[[#This Row],[Age (yrs)]])</f>
        <v>0.99233657590755564</v>
      </c>
      <c r="G2220" s="52">
        <f>IF(expected_production[[#This Row],[Base Expected (kWh)]]="","",expected_production[[#This Row],[Base Expected (kWh)]]*expected_production[[#This Row],[Degradation Factor]])</f>
        <v>32805.456395612702</v>
      </c>
    </row>
    <row r="2221" spans="1:7" ht="15" hidden="1" customHeight="1" x14ac:dyDescent="0.3">
      <c r="A2221" t="s">
        <v>186</v>
      </c>
      <c r="B2221" s="2">
        <v>45962</v>
      </c>
      <c r="C2221" s="52">
        <v>34366.5</v>
      </c>
      <c r="D2221" s="48">
        <f>_xlfn.XLOOKUP(expected_production[[#This Row],[Site Name]],Table1[[Site Name ]],Table1[Commisioned Date],"")</f>
        <v>45531</v>
      </c>
      <c r="E2221" s="47">
        <f>IF(ISNUMBER(expected_production[[#This Row],[Commissioned Date]]),MAX(0,(expected_production[[#This Row],[Date]]-expected_production[[#This Row],[Commissioned Date]])/365.25),"")</f>
        <v>1.1800136892539357</v>
      </c>
      <c r="F2221" s="49">
        <f>IF(expected_production[[#This Row],[Age (yrs)]]="",1,(1-DegradationRate)^expected_production[[#This Row],[Age (yrs)]])</f>
        <v>0.99174511842050306</v>
      </c>
      <c r="G2221" s="52">
        <f>IF(expected_production[[#This Row],[Base Expected (kWh)]]="","",expected_production[[#This Row],[Base Expected (kWh)]]*expected_production[[#This Row],[Degradation Factor]])</f>
        <v>34082.80861219822</v>
      </c>
    </row>
    <row r="2222" spans="1:7" ht="15" hidden="1" customHeight="1" x14ac:dyDescent="0.3">
      <c r="A2222" t="s">
        <v>186</v>
      </c>
      <c r="B2222" s="2">
        <v>45992</v>
      </c>
      <c r="C2222" s="52">
        <v>36320.400000000001</v>
      </c>
      <c r="D2222" s="48">
        <f>_xlfn.XLOOKUP(expected_production[[#This Row],[Site Name]],Table1[[Site Name ]],Table1[Commisioned Date],"")</f>
        <v>45531</v>
      </c>
      <c r="E2222" s="47">
        <f>IF(ISNUMBER(expected_production[[#This Row],[Commissioned Date]]),MAX(0,(expected_production[[#This Row],[Date]]-expected_production[[#This Row],[Commissioned Date]])/365.25),"")</f>
        <v>1.2621492128678986</v>
      </c>
      <c r="F2222" s="49">
        <f>IF(expected_production[[#This Row],[Age (yrs)]]="",1,(1-DegradationRate)^expected_production[[#This Row],[Age (yrs)]])</f>
        <v>0.99117307585870029</v>
      </c>
      <c r="G2222" s="52">
        <f>IF(expected_production[[#This Row],[Base Expected (kWh)]]="","",expected_production[[#This Row],[Base Expected (kWh)]]*expected_production[[#This Row],[Degradation Factor]])</f>
        <v>35999.802584418343</v>
      </c>
    </row>
    <row r="2223" spans="1:7" ht="15" hidden="1" customHeight="1" x14ac:dyDescent="0.3">
      <c r="A2223" t="s">
        <v>186</v>
      </c>
      <c r="B2223" s="2">
        <v>46023</v>
      </c>
      <c r="C2223" s="52">
        <v>34074.9</v>
      </c>
      <c r="D2223" s="48">
        <f>_xlfn.XLOOKUP(expected_production[[#This Row],[Site Name]],Table1[[Site Name ]],Table1[Commisioned Date],"")</f>
        <v>45531</v>
      </c>
      <c r="E2223" s="47">
        <f>IF(ISNUMBER(expected_production[[#This Row],[Commissioned Date]]),MAX(0,(expected_production[[#This Row],[Date]]-expected_production[[#This Row],[Commissioned Date]])/365.25),"")</f>
        <v>1.3470225872689938</v>
      </c>
      <c r="F2223" s="49">
        <f>IF(expected_production[[#This Row],[Age (yrs)]]="",1,(1-DegradationRate)^expected_production[[#This Row],[Age (yrs)]])</f>
        <v>0.9905823118468573</v>
      </c>
      <c r="G2223" s="52">
        <f>IF(expected_production[[#This Row],[Base Expected (kWh)]]="","",expected_production[[#This Row],[Base Expected (kWh)]]*expected_production[[#This Row],[Degradation Factor]])</f>
        <v>33753.993217950476</v>
      </c>
    </row>
    <row r="2224" spans="1:7" ht="15" hidden="1" customHeight="1" x14ac:dyDescent="0.3">
      <c r="A2224" t="s">
        <v>186</v>
      </c>
      <c r="B2224" s="2">
        <v>46054</v>
      </c>
      <c r="C2224" s="52">
        <v>28396.799999999999</v>
      </c>
      <c r="D2224" s="48">
        <f>_xlfn.XLOOKUP(expected_production[[#This Row],[Site Name]],Table1[[Site Name ]],Table1[Commisioned Date],"")</f>
        <v>45531</v>
      </c>
      <c r="E2224" s="47">
        <f>IF(ISNUMBER(expected_production[[#This Row],[Commissioned Date]]),MAX(0,(expected_production[[#This Row],[Date]]-expected_production[[#This Row],[Commissioned Date]])/365.25),"")</f>
        <v>1.431895961670089</v>
      </c>
      <c r="F2224" s="49">
        <f>IF(expected_production[[#This Row],[Age (yrs)]]="",1,(1-DegradationRate)^expected_production[[#This Row],[Age (yrs)]])</f>
        <v>0.98999189994518189</v>
      </c>
      <c r="G2224" s="52">
        <f>IF(expected_production[[#This Row],[Base Expected (kWh)]]="","",expected_production[[#This Row],[Base Expected (kWh)]]*expected_production[[#This Row],[Degradation Factor]])</f>
        <v>28112.60198436334</v>
      </c>
    </row>
    <row r="2225" spans="1:7" ht="15" hidden="1" customHeight="1" x14ac:dyDescent="0.3">
      <c r="A2225" t="s">
        <v>186</v>
      </c>
      <c r="B2225" s="2">
        <v>46082</v>
      </c>
      <c r="C2225" s="52">
        <v>28665.9</v>
      </c>
      <c r="D2225" s="48">
        <f>_xlfn.XLOOKUP(expected_production[[#This Row],[Site Name]],Table1[[Site Name ]],Table1[Commisioned Date],"")</f>
        <v>45531</v>
      </c>
      <c r="E2225" s="47">
        <f>IF(ISNUMBER(expected_production[[#This Row],[Commissioned Date]]),MAX(0,(expected_production[[#This Row],[Date]]-expected_production[[#This Row],[Commissioned Date]])/365.25),"")</f>
        <v>1.5085557837097878</v>
      </c>
      <c r="F2225" s="49">
        <f>IF(expected_production[[#This Row],[Age (yrs)]]="",1,(1-DegradationRate)^expected_production[[#This Row],[Age (yrs)]])</f>
        <v>0.9894589271507841</v>
      </c>
      <c r="G2225" s="52">
        <f>IF(expected_production[[#This Row],[Base Expected (kWh)]]="","",expected_production[[#This Row],[Base Expected (kWh)]]*expected_production[[#This Row],[Degradation Factor]])</f>
        <v>28363.730659811663</v>
      </c>
    </row>
    <row r="2226" spans="1:7" ht="15" hidden="1" customHeight="1" x14ac:dyDescent="0.3">
      <c r="A2226" t="s">
        <v>186</v>
      </c>
      <c r="B2226" s="2">
        <v>46113</v>
      </c>
      <c r="C2226" s="52">
        <v>24411.599999999999</v>
      </c>
      <c r="D2226" s="48">
        <f>_xlfn.XLOOKUP(expected_production[[#This Row],[Site Name]],Table1[[Site Name ]],Table1[Commisioned Date],"")</f>
        <v>45531</v>
      </c>
      <c r="E2226" s="47">
        <f>IF(ISNUMBER(expected_production[[#This Row],[Commissioned Date]]),MAX(0,(expected_production[[#This Row],[Date]]-expected_production[[#This Row],[Commissioned Date]])/365.25),"")</f>
        <v>1.593429158110883</v>
      </c>
      <c r="F2226" s="49">
        <f>IF(expected_production[[#This Row],[Age (yrs)]]="",1,(1-DegradationRate)^expected_production[[#This Row],[Age (yrs)]])</f>
        <v>0.98886918481456199</v>
      </c>
      <c r="G2226" s="52">
        <f>IF(expected_production[[#This Row],[Base Expected (kWh)]]="","",expected_production[[#This Row],[Base Expected (kWh)]]*expected_production[[#This Row],[Degradation Factor]])</f>
        <v>24139.878992019159</v>
      </c>
    </row>
    <row r="2227" spans="1:7" ht="15" hidden="1" customHeight="1" x14ac:dyDescent="0.3">
      <c r="A2227" t="s">
        <v>186</v>
      </c>
      <c r="B2227" s="2">
        <v>46143</v>
      </c>
      <c r="C2227" s="52">
        <v>22266.9</v>
      </c>
      <c r="D2227" s="48">
        <f>_xlfn.XLOOKUP(expected_production[[#This Row],[Site Name]],Table1[[Site Name ]],Table1[Commisioned Date],"")</f>
        <v>45531</v>
      </c>
      <c r="E2227" s="47">
        <f>IF(ISNUMBER(expected_production[[#This Row],[Commissioned Date]]),MAX(0,(expected_production[[#This Row],[Date]]-expected_production[[#This Row],[Commissioned Date]])/365.25),"")</f>
        <v>1.675564681724846</v>
      </c>
      <c r="F2227" s="49">
        <f>IF(expected_production[[#This Row],[Age (yrs)]]="",1,(1-DegradationRate)^expected_production[[#This Row],[Age (yrs)]])</f>
        <v>0.98829880110279733</v>
      </c>
      <c r="G2227" s="52">
        <f>IF(expected_production[[#This Row],[Base Expected (kWh)]]="","",expected_production[[#This Row],[Base Expected (kWh)]]*expected_production[[#This Row],[Degradation Factor]])</f>
        <v>22006.350574275879</v>
      </c>
    </row>
    <row r="2228" spans="1:7" ht="15" hidden="1" customHeight="1" x14ac:dyDescent="0.3">
      <c r="A2228" t="s">
        <v>186</v>
      </c>
      <c r="B2228" s="2">
        <v>46174</v>
      </c>
      <c r="C2228" s="52">
        <v>19791.900000000001</v>
      </c>
      <c r="D2228" s="48">
        <f>_xlfn.XLOOKUP(expected_production[[#This Row],[Site Name]],Table1[[Site Name ]],Table1[Commisioned Date],"")</f>
        <v>45531</v>
      </c>
      <c r="E2228" s="47">
        <f>IF(ISNUMBER(expected_production[[#This Row],[Commissioned Date]]),MAX(0,(expected_production[[#This Row],[Date]]-expected_production[[#This Row],[Commissioned Date]])/365.25),"")</f>
        <v>1.7604380561259412</v>
      </c>
      <c r="F2228" s="49">
        <f>IF(expected_production[[#This Row],[Age (yrs)]]="",1,(1-DegradationRate)^expected_production[[#This Row],[Age (yrs)]])</f>
        <v>0.98770975023079588</v>
      </c>
      <c r="G2228" s="52">
        <f>IF(expected_production[[#This Row],[Base Expected (kWh)]]="","",expected_production[[#This Row],[Base Expected (kWh)]]*expected_production[[#This Row],[Degradation Factor]])</f>
        <v>19548.652605592892</v>
      </c>
    </row>
    <row r="2229" spans="1:7" ht="15" hidden="1" customHeight="1" x14ac:dyDescent="0.3">
      <c r="A2229" t="s">
        <v>186</v>
      </c>
      <c r="B2229" s="2">
        <v>46204</v>
      </c>
      <c r="C2229" s="52">
        <v>21774.6</v>
      </c>
      <c r="D2229" s="48">
        <f>_xlfn.XLOOKUP(expected_production[[#This Row],[Site Name]],Table1[[Site Name ]],Table1[Commisioned Date],"")</f>
        <v>45531</v>
      </c>
      <c r="E2229" s="47">
        <f>IF(ISNUMBER(expected_production[[#This Row],[Commissioned Date]]),MAX(0,(expected_production[[#This Row],[Date]]-expected_production[[#This Row],[Commissioned Date]])/365.25),"")</f>
        <v>1.8425735797399041</v>
      </c>
      <c r="F2229" s="49">
        <f>IF(expected_production[[#This Row],[Age (yrs)]]="",1,(1-DegradationRate)^expected_production[[#This Row],[Age (yrs)]])</f>
        <v>0.98714003528554917</v>
      </c>
      <c r="G2229" s="52">
        <f>IF(expected_production[[#This Row],[Base Expected (kWh)]]="","",expected_production[[#This Row],[Base Expected (kWh)]]*expected_production[[#This Row],[Degradation Factor]])</f>
        <v>21494.579412328716</v>
      </c>
    </row>
    <row r="2230" spans="1:7" ht="15" hidden="1" customHeight="1" x14ac:dyDescent="0.3">
      <c r="A2230" t="s">
        <v>186</v>
      </c>
      <c r="B2230" s="2">
        <v>46235</v>
      </c>
      <c r="C2230" s="52">
        <v>25973.1</v>
      </c>
      <c r="D2230" s="48">
        <f>_xlfn.XLOOKUP(expected_production[[#This Row],[Site Name]],Table1[[Site Name ]],Table1[Commisioned Date],"")</f>
        <v>45531</v>
      </c>
      <c r="E2230" s="47">
        <f>IF(ISNUMBER(expected_production[[#This Row],[Commissioned Date]]),MAX(0,(expected_production[[#This Row],[Date]]-expected_production[[#This Row],[Commissioned Date]])/365.25),"")</f>
        <v>1.9274469541409993</v>
      </c>
      <c r="F2230" s="49">
        <f>IF(expected_production[[#This Row],[Age (yrs)]]="",1,(1-DegradationRate)^expected_production[[#This Row],[Age (yrs)]])</f>
        <v>0.98655167506703656</v>
      </c>
      <c r="G2230" s="52">
        <f>IF(expected_production[[#This Row],[Base Expected (kWh)]]="","",expected_production[[#This Row],[Base Expected (kWh)]]*expected_production[[#This Row],[Degradation Factor]])</f>
        <v>25623.805311683645</v>
      </c>
    </row>
    <row r="2231" spans="1:7" ht="15" hidden="1" customHeight="1" x14ac:dyDescent="0.3">
      <c r="A2231" t="s">
        <v>186</v>
      </c>
      <c r="B2231" s="2">
        <v>46266</v>
      </c>
      <c r="C2231" s="52">
        <v>28984.5</v>
      </c>
      <c r="D2231" s="48">
        <f>_xlfn.XLOOKUP(expected_production[[#This Row],[Site Name]],Table1[[Site Name ]],Table1[Commisioned Date],"")</f>
        <v>45531</v>
      </c>
      <c r="E2231" s="47">
        <f>IF(ISNUMBER(expected_production[[#This Row],[Commissioned Date]]),MAX(0,(expected_production[[#This Row],[Date]]-expected_production[[#This Row],[Commissioned Date]])/365.25),"")</f>
        <v>2.0123203285420943</v>
      </c>
      <c r="F2231" s="49">
        <f>IF(expected_production[[#This Row],[Age (yrs)]]="",1,(1-DegradationRate)^expected_production[[#This Row],[Age (yrs)]])</f>
        <v>0.98596366552597026</v>
      </c>
      <c r="G2231" s="52">
        <f>IF(expected_production[[#This Row],[Base Expected (kWh)]]="","",expected_production[[#This Row],[Base Expected (kWh)]]*expected_production[[#This Row],[Degradation Factor]])</f>
        <v>28577.663863437483</v>
      </c>
    </row>
    <row r="2232" spans="1:7" ht="15" hidden="1" customHeight="1" x14ac:dyDescent="0.3">
      <c r="A2232" t="s">
        <v>186</v>
      </c>
      <c r="B2232" s="2">
        <v>46296</v>
      </c>
      <c r="C2232" s="52">
        <v>33058.800000000003</v>
      </c>
      <c r="D2232" s="48">
        <f>_xlfn.XLOOKUP(expected_production[[#This Row],[Site Name]],Table1[[Site Name ]],Table1[Commisioned Date],"")</f>
        <v>45531</v>
      </c>
      <c r="E2232" s="47">
        <f>IF(ISNUMBER(expected_production[[#This Row],[Commissioned Date]]),MAX(0,(expected_production[[#This Row],[Date]]-expected_production[[#This Row],[Commissioned Date]])/365.25),"")</f>
        <v>2.0944558521560577</v>
      </c>
      <c r="F2232" s="49">
        <f>IF(expected_production[[#This Row],[Age (yrs)]]="",1,(1-DegradationRate)^expected_production[[#This Row],[Age (yrs)]])</f>
        <v>0.98539495772938412</v>
      </c>
      <c r="G2232" s="52">
        <f>IF(expected_production[[#This Row],[Base Expected (kWh)]]="","",expected_production[[#This Row],[Base Expected (kWh)]]*expected_production[[#This Row],[Degradation Factor]])</f>
        <v>32575.974828584167</v>
      </c>
    </row>
    <row r="2233" spans="1:7" ht="15" hidden="1" customHeight="1" x14ac:dyDescent="0.3">
      <c r="A2233" t="s">
        <v>186</v>
      </c>
      <c r="B2233" s="2">
        <v>46327</v>
      </c>
      <c r="C2233" s="52">
        <v>34366.5</v>
      </c>
      <c r="D2233" s="48">
        <f>_xlfn.XLOOKUP(expected_production[[#This Row],[Site Name]],Table1[[Site Name ]],Table1[Commisioned Date],"")</f>
        <v>45531</v>
      </c>
      <c r="E2233" s="47">
        <f>IF(ISNUMBER(expected_production[[#This Row],[Commissioned Date]]),MAX(0,(expected_production[[#This Row],[Date]]-expected_production[[#This Row],[Commissioned Date]])/365.25),"")</f>
        <v>2.1793292265571527</v>
      </c>
      <c r="F2233" s="49">
        <f>IF(expected_production[[#This Row],[Age (yrs)]]="",1,(1-DegradationRate)^expected_production[[#This Row],[Age (yrs)]])</f>
        <v>0.98480763762086165</v>
      </c>
      <c r="G2233" s="52">
        <f>IF(expected_production[[#This Row],[Base Expected (kWh)]]="","",expected_production[[#This Row],[Base Expected (kWh)]]*expected_production[[#This Row],[Degradation Factor]])</f>
        <v>33844.391678297339</v>
      </c>
    </row>
    <row r="2234" spans="1:7" ht="15" hidden="1" customHeight="1" x14ac:dyDescent="0.3">
      <c r="A2234" t="s">
        <v>186</v>
      </c>
      <c r="B2234" s="2">
        <v>46357</v>
      </c>
      <c r="C2234" s="52">
        <v>36320.400000000001</v>
      </c>
      <c r="D2234" s="48">
        <f>_xlfn.XLOOKUP(expected_production[[#This Row],[Site Name]],Table1[[Site Name ]],Table1[Commisioned Date],"")</f>
        <v>45531</v>
      </c>
      <c r="E2234" s="47">
        <f>IF(ISNUMBER(expected_production[[#This Row],[Commissioned Date]]),MAX(0,(expected_production[[#This Row],[Date]]-expected_production[[#This Row],[Commissioned Date]])/365.25),"")</f>
        <v>2.2614647501711156</v>
      </c>
      <c r="F2234" s="49">
        <f>IF(expected_production[[#This Row],[Age (yrs)]]="",1,(1-DegradationRate)^expected_production[[#This Row],[Age (yrs)]])</f>
        <v>0.98423959662580751</v>
      </c>
      <c r="G2234" s="52">
        <f>IF(expected_production[[#This Row],[Base Expected (kWh)]]="","",expected_production[[#This Row],[Base Expected (kWh)]]*expected_production[[#This Row],[Degradation Factor]])</f>
        <v>35747.975845287983</v>
      </c>
    </row>
    <row r="2235" spans="1:7" ht="15" hidden="1" customHeight="1" x14ac:dyDescent="0.3">
      <c r="A2235" t="s">
        <v>188</v>
      </c>
      <c r="B2235" s="2">
        <v>45292</v>
      </c>
      <c r="C2235" s="52">
        <v>20588.400000000001</v>
      </c>
      <c r="D2235" s="48">
        <f>_xlfn.XLOOKUP(expected_production[[#This Row],[Site Name]],Table1[[Site Name ]],Table1[Commisioned Date],"")</f>
        <v>45540</v>
      </c>
      <c r="E2235" s="47">
        <f>IF(ISNUMBER(expected_production[[#This Row],[Commissioned Date]]),MAX(0,(expected_production[[#This Row],[Date]]-expected_production[[#This Row],[Commissioned Date]])/365.25),"")</f>
        <v>0</v>
      </c>
      <c r="F2235" s="49">
        <f>IF(expected_production[[#This Row],[Age (yrs)]]="",1,(1-DegradationRate)^expected_production[[#This Row],[Age (yrs)]])</f>
        <v>1</v>
      </c>
      <c r="G2235" s="52">
        <f>IF(expected_production[[#This Row],[Base Expected (kWh)]]="","",expected_production[[#This Row],[Base Expected (kWh)]]*expected_production[[#This Row],[Degradation Factor]])</f>
        <v>20588.400000000001</v>
      </c>
    </row>
    <row r="2236" spans="1:7" ht="15" hidden="1" customHeight="1" x14ac:dyDescent="0.3">
      <c r="A2236" t="s">
        <v>188</v>
      </c>
      <c r="B2236" s="2">
        <v>45323</v>
      </c>
      <c r="C2236" s="52">
        <v>17538.3</v>
      </c>
      <c r="D2236" s="48">
        <f>_xlfn.XLOOKUP(expected_production[[#This Row],[Site Name]],Table1[[Site Name ]],Table1[Commisioned Date],"")</f>
        <v>45540</v>
      </c>
      <c r="E2236" s="47">
        <f>IF(ISNUMBER(expected_production[[#This Row],[Commissioned Date]]),MAX(0,(expected_production[[#This Row],[Date]]-expected_production[[#This Row],[Commissioned Date]])/365.25),"")</f>
        <v>0</v>
      </c>
      <c r="F2236" s="49">
        <f>IF(expected_production[[#This Row],[Age (yrs)]]="",1,(1-DegradationRate)^expected_production[[#This Row],[Age (yrs)]])</f>
        <v>1</v>
      </c>
      <c r="G2236" s="52">
        <f>IF(expected_production[[#This Row],[Base Expected (kWh)]]="","",expected_production[[#This Row],[Base Expected (kWh)]]*expected_production[[#This Row],[Degradation Factor]])</f>
        <v>17538.3</v>
      </c>
    </row>
    <row r="2237" spans="1:7" ht="15" hidden="1" customHeight="1" x14ac:dyDescent="0.3">
      <c r="A2237" t="s">
        <v>188</v>
      </c>
      <c r="B2237" s="2">
        <v>45352</v>
      </c>
      <c r="C2237" s="52">
        <v>17897.400000000001</v>
      </c>
      <c r="D2237" s="48">
        <f>_xlfn.XLOOKUP(expected_production[[#This Row],[Site Name]],Table1[[Site Name ]],Table1[Commisioned Date],"")</f>
        <v>45540</v>
      </c>
      <c r="E2237" s="47">
        <f>IF(ISNUMBER(expected_production[[#This Row],[Commissioned Date]]),MAX(0,(expected_production[[#This Row],[Date]]-expected_production[[#This Row],[Commissioned Date]])/365.25),"")</f>
        <v>0</v>
      </c>
      <c r="F2237" s="49">
        <f>IF(expected_production[[#This Row],[Age (yrs)]]="",1,(1-DegradationRate)^expected_production[[#This Row],[Age (yrs)]])</f>
        <v>1</v>
      </c>
      <c r="G2237" s="52">
        <f>IF(expected_production[[#This Row],[Base Expected (kWh)]]="","",expected_production[[#This Row],[Base Expected (kWh)]]*expected_production[[#This Row],[Degradation Factor]])</f>
        <v>17897.400000000001</v>
      </c>
    </row>
    <row r="2238" spans="1:7" ht="15" hidden="1" customHeight="1" x14ac:dyDescent="0.3">
      <c r="A2238" t="s">
        <v>188</v>
      </c>
      <c r="B2238" s="2">
        <v>45383</v>
      </c>
      <c r="C2238" s="52">
        <v>14674.5</v>
      </c>
      <c r="D2238" s="48">
        <f>_xlfn.XLOOKUP(expected_production[[#This Row],[Site Name]],Table1[[Site Name ]],Table1[Commisioned Date],"")</f>
        <v>45540</v>
      </c>
      <c r="E2238" s="47">
        <f>IF(ISNUMBER(expected_production[[#This Row],[Commissioned Date]]),MAX(0,(expected_production[[#This Row],[Date]]-expected_production[[#This Row],[Commissioned Date]])/365.25),"")</f>
        <v>0</v>
      </c>
      <c r="F2238" s="49">
        <f>IF(expected_production[[#This Row],[Age (yrs)]]="",1,(1-DegradationRate)^expected_production[[#This Row],[Age (yrs)]])</f>
        <v>1</v>
      </c>
      <c r="G2238" s="52">
        <f>IF(expected_production[[#This Row],[Base Expected (kWh)]]="","",expected_production[[#This Row],[Base Expected (kWh)]]*expected_production[[#This Row],[Degradation Factor]])</f>
        <v>14674.5</v>
      </c>
    </row>
    <row r="2239" spans="1:7" ht="15" hidden="1" customHeight="1" x14ac:dyDescent="0.3">
      <c r="A2239" t="s">
        <v>188</v>
      </c>
      <c r="B2239" s="2">
        <v>45413</v>
      </c>
      <c r="C2239" s="52">
        <v>13272.3</v>
      </c>
      <c r="D2239" s="48">
        <f>_xlfn.XLOOKUP(expected_production[[#This Row],[Site Name]],Table1[[Site Name ]],Table1[Commisioned Date],"")</f>
        <v>45540</v>
      </c>
      <c r="E2239" s="47">
        <f>IF(ISNUMBER(expected_production[[#This Row],[Commissioned Date]]),MAX(0,(expected_production[[#This Row],[Date]]-expected_production[[#This Row],[Commissioned Date]])/365.25),"")</f>
        <v>0</v>
      </c>
      <c r="F2239" s="49">
        <f>IF(expected_production[[#This Row],[Age (yrs)]]="",1,(1-DegradationRate)^expected_production[[#This Row],[Age (yrs)]])</f>
        <v>1</v>
      </c>
      <c r="G2239" s="52">
        <f>IF(expected_production[[#This Row],[Base Expected (kWh)]]="","",expected_production[[#This Row],[Base Expected (kWh)]]*expected_production[[#This Row],[Degradation Factor]])</f>
        <v>13272.3</v>
      </c>
    </row>
    <row r="2240" spans="1:7" ht="15" hidden="1" customHeight="1" x14ac:dyDescent="0.3">
      <c r="A2240" t="s">
        <v>188</v>
      </c>
      <c r="B2240" s="2">
        <v>45444</v>
      </c>
      <c r="C2240" s="52">
        <v>11571.3</v>
      </c>
      <c r="D2240" s="48">
        <f>_xlfn.XLOOKUP(expected_production[[#This Row],[Site Name]],Table1[[Site Name ]],Table1[Commisioned Date],"")</f>
        <v>45540</v>
      </c>
      <c r="E2240" s="47">
        <f>IF(ISNUMBER(expected_production[[#This Row],[Commissioned Date]]),MAX(0,(expected_production[[#This Row],[Date]]-expected_production[[#This Row],[Commissioned Date]])/365.25),"")</f>
        <v>0</v>
      </c>
      <c r="F2240" s="49">
        <f>IF(expected_production[[#This Row],[Age (yrs)]]="",1,(1-DegradationRate)^expected_production[[#This Row],[Age (yrs)]])</f>
        <v>1</v>
      </c>
      <c r="G2240" s="52">
        <f>IF(expected_production[[#This Row],[Base Expected (kWh)]]="","",expected_production[[#This Row],[Base Expected (kWh)]]*expected_production[[#This Row],[Degradation Factor]])</f>
        <v>11571.3</v>
      </c>
    </row>
    <row r="2241" spans="1:7" ht="15" hidden="1" customHeight="1" x14ac:dyDescent="0.3">
      <c r="A2241" t="s">
        <v>188</v>
      </c>
      <c r="B2241" s="2">
        <v>45474</v>
      </c>
      <c r="C2241" s="52">
        <v>12990.6</v>
      </c>
      <c r="D2241" s="48">
        <f>_xlfn.XLOOKUP(expected_production[[#This Row],[Site Name]],Table1[[Site Name ]],Table1[Commisioned Date],"")</f>
        <v>45540</v>
      </c>
      <c r="E2241" s="47">
        <f>IF(ISNUMBER(expected_production[[#This Row],[Commissioned Date]]),MAX(0,(expected_production[[#This Row],[Date]]-expected_production[[#This Row],[Commissioned Date]])/365.25),"")</f>
        <v>0</v>
      </c>
      <c r="F2241" s="49">
        <f>IF(expected_production[[#This Row],[Age (yrs)]]="",1,(1-DegradationRate)^expected_production[[#This Row],[Age (yrs)]])</f>
        <v>1</v>
      </c>
      <c r="G2241" s="52">
        <f>IF(expected_production[[#This Row],[Base Expected (kWh)]]="","",expected_production[[#This Row],[Base Expected (kWh)]]*expected_production[[#This Row],[Degradation Factor]])</f>
        <v>12990.6</v>
      </c>
    </row>
    <row r="2242" spans="1:7" ht="15" hidden="1" customHeight="1" x14ac:dyDescent="0.3">
      <c r="A2242" t="s">
        <v>188</v>
      </c>
      <c r="B2242" s="2">
        <v>45505</v>
      </c>
      <c r="C2242" s="52">
        <v>15871.5</v>
      </c>
      <c r="D2242" s="48">
        <f>_xlfn.XLOOKUP(expected_production[[#This Row],[Site Name]],Table1[[Site Name ]],Table1[Commisioned Date],"")</f>
        <v>45540</v>
      </c>
      <c r="E2242" s="47">
        <f>IF(ISNUMBER(expected_production[[#This Row],[Commissioned Date]]),MAX(0,(expected_production[[#This Row],[Date]]-expected_production[[#This Row],[Commissioned Date]])/365.25),"")</f>
        <v>0</v>
      </c>
      <c r="F2242" s="49">
        <f>IF(expected_production[[#This Row],[Age (yrs)]]="",1,(1-DegradationRate)^expected_production[[#This Row],[Age (yrs)]])</f>
        <v>1</v>
      </c>
      <c r="G2242" s="52">
        <f>IF(expected_production[[#This Row],[Base Expected (kWh)]]="","",expected_production[[#This Row],[Base Expected (kWh)]]*expected_production[[#This Row],[Degradation Factor]])</f>
        <v>15871.5</v>
      </c>
    </row>
    <row r="2243" spans="1:7" ht="15" hidden="1" customHeight="1" x14ac:dyDescent="0.3">
      <c r="A2243" t="s">
        <v>188</v>
      </c>
      <c r="B2243" s="2">
        <v>45536</v>
      </c>
      <c r="C2243" s="52">
        <v>18317.7</v>
      </c>
      <c r="D2243" s="48">
        <f>_xlfn.XLOOKUP(expected_production[[#This Row],[Site Name]],Table1[[Site Name ]],Table1[Commisioned Date],"")</f>
        <v>45540</v>
      </c>
      <c r="E2243" s="47">
        <f>IF(ISNUMBER(expected_production[[#This Row],[Commissioned Date]]),MAX(0,(expected_production[[#This Row],[Date]]-expected_production[[#This Row],[Commissioned Date]])/365.25),"")</f>
        <v>0</v>
      </c>
      <c r="F2243" s="49">
        <f>IF(expected_production[[#This Row],[Age (yrs)]]="",1,(1-DegradationRate)^expected_production[[#This Row],[Age (yrs)]])</f>
        <v>1</v>
      </c>
      <c r="G2243" s="52">
        <f>IF(expected_production[[#This Row],[Base Expected (kWh)]]="","",expected_production[[#This Row],[Base Expected (kWh)]]*expected_production[[#This Row],[Degradation Factor]])</f>
        <v>18317.7</v>
      </c>
    </row>
    <row r="2244" spans="1:7" ht="15" hidden="1" customHeight="1" x14ac:dyDescent="0.3">
      <c r="A2244" t="s">
        <v>188</v>
      </c>
      <c r="B2244" s="2">
        <v>45566</v>
      </c>
      <c r="C2244" s="52">
        <v>20121.3</v>
      </c>
      <c r="D2244" s="48">
        <f>_xlfn.XLOOKUP(expected_production[[#This Row],[Site Name]],Table1[[Site Name ]],Table1[Commisioned Date],"")</f>
        <v>45540</v>
      </c>
      <c r="E2244" s="47">
        <f>IF(ISNUMBER(expected_production[[#This Row],[Commissioned Date]]),MAX(0,(expected_production[[#This Row],[Date]]-expected_production[[#This Row],[Commissioned Date]])/365.25),"")</f>
        <v>7.1184120465434639E-2</v>
      </c>
      <c r="F2244" s="49">
        <f>IF(expected_production[[#This Row],[Age (yrs)]]="",1,(1-DegradationRate)^expected_production[[#This Row],[Age (yrs)]])</f>
        <v>0.99950008396378676</v>
      </c>
      <c r="G2244" s="52">
        <f>IF(expected_production[[#This Row],[Base Expected (kWh)]]="","",expected_production[[#This Row],[Base Expected (kWh)]]*expected_production[[#This Row],[Degradation Factor]])</f>
        <v>20111.241039460543</v>
      </c>
    </row>
    <row r="2245" spans="1:7" ht="15" hidden="1" customHeight="1" x14ac:dyDescent="0.3">
      <c r="A2245" t="s">
        <v>188</v>
      </c>
      <c r="B2245" s="2">
        <v>45597</v>
      </c>
      <c r="C2245" s="52">
        <v>20573.099999999999</v>
      </c>
      <c r="D2245" s="48">
        <f>_xlfn.XLOOKUP(expected_production[[#This Row],[Site Name]],Table1[[Site Name ]],Table1[Commisioned Date],"")</f>
        <v>45540</v>
      </c>
      <c r="E2245" s="47">
        <f>IF(ISNUMBER(expected_production[[#This Row],[Commissioned Date]]),MAX(0,(expected_production[[#This Row],[Date]]-expected_production[[#This Row],[Commissioned Date]])/365.25),"")</f>
        <v>0.15605749486652978</v>
      </c>
      <c r="F2245" s="49">
        <f>IF(expected_production[[#This Row],[Age (yrs)]]="",1,(1-DegradationRate)^expected_production[[#This Row],[Age (yrs)]])</f>
        <v>0.99890435684627177</v>
      </c>
      <c r="G2245" s="52">
        <f>IF(expected_production[[#This Row],[Base Expected (kWh)]]="","",expected_production[[#This Row],[Base Expected (kWh)]]*expected_production[[#This Row],[Degradation Factor]])</f>
        <v>20550.559223834032</v>
      </c>
    </row>
    <row r="2246" spans="1:7" ht="15" hidden="1" customHeight="1" x14ac:dyDescent="0.3">
      <c r="A2246" t="s">
        <v>188</v>
      </c>
      <c r="B2246" s="2">
        <v>45627</v>
      </c>
      <c r="C2246" s="52">
        <v>21930.3</v>
      </c>
      <c r="D2246" s="48">
        <f>_xlfn.XLOOKUP(expected_production[[#This Row],[Site Name]],Table1[[Site Name ]],Table1[Commisioned Date],"")</f>
        <v>45540</v>
      </c>
      <c r="E2246" s="47">
        <f>IF(ISNUMBER(expected_production[[#This Row],[Commissioned Date]]),MAX(0,(expected_production[[#This Row],[Date]]-expected_production[[#This Row],[Commissioned Date]])/365.25),"")</f>
        <v>0.23819301848049282</v>
      </c>
      <c r="F2246" s="49">
        <f>IF(expected_production[[#This Row],[Age (yrs)]]="",1,(1-DegradationRate)^expected_production[[#This Row],[Age (yrs)]])</f>
        <v>0.99832818480703212</v>
      </c>
      <c r="G2246" s="52">
        <f>IF(expected_production[[#This Row],[Base Expected (kWh)]]="","",expected_production[[#This Row],[Base Expected (kWh)]]*expected_production[[#This Row],[Degradation Factor]])</f>
        <v>21893.636591273655</v>
      </c>
    </row>
    <row r="2247" spans="1:7" ht="15" hidden="1" customHeight="1" x14ac:dyDescent="0.3">
      <c r="A2247" t="s">
        <v>188</v>
      </c>
      <c r="B2247" s="2">
        <v>45658</v>
      </c>
      <c r="C2247" s="52">
        <v>20588.400000000001</v>
      </c>
      <c r="D2247" s="48">
        <f>_xlfn.XLOOKUP(expected_production[[#This Row],[Site Name]],Table1[[Site Name ]],Table1[Commisioned Date],"")</f>
        <v>45540</v>
      </c>
      <c r="E2247" s="47">
        <f>IF(ISNUMBER(expected_production[[#This Row],[Commissioned Date]]),MAX(0,(expected_production[[#This Row],[Date]]-expected_production[[#This Row],[Commissioned Date]])/365.25),"")</f>
        <v>0.32306639288158795</v>
      </c>
      <c r="F2247" s="49">
        <f>IF(expected_production[[#This Row],[Age (yrs)]]="",1,(1-DegradationRate)^expected_production[[#This Row],[Age (yrs)]])</f>
        <v>0.99773315617080582</v>
      </c>
      <c r="G2247" s="52">
        <f>IF(expected_production[[#This Row],[Base Expected (kWh)]]="","",expected_production[[#This Row],[Base Expected (kWh)]]*expected_production[[#This Row],[Degradation Factor]])</f>
        <v>20541.729312507021</v>
      </c>
    </row>
    <row r="2248" spans="1:7" ht="15" hidden="1" customHeight="1" x14ac:dyDescent="0.3">
      <c r="A2248" t="s">
        <v>188</v>
      </c>
      <c r="B2248" s="2">
        <v>45689</v>
      </c>
      <c r="C2248" s="52">
        <v>17538.3</v>
      </c>
      <c r="D2248" s="48">
        <f>_xlfn.XLOOKUP(expected_production[[#This Row],[Site Name]],Table1[[Site Name ]],Table1[Commisioned Date],"")</f>
        <v>45540</v>
      </c>
      <c r="E2248" s="47">
        <f>IF(ISNUMBER(expected_production[[#This Row],[Commissioned Date]]),MAX(0,(expected_production[[#This Row],[Date]]-expected_production[[#This Row],[Commissioned Date]])/365.25),"")</f>
        <v>0.40793976728268311</v>
      </c>
      <c r="F2248" s="49">
        <f>IF(expected_production[[#This Row],[Age (yrs)]]="",1,(1-DegradationRate)^expected_production[[#This Row],[Age (yrs)]])</f>
        <v>0.99713848218657009</v>
      </c>
      <c r="G2248" s="52">
        <f>IF(expected_production[[#This Row],[Base Expected (kWh)]]="","",expected_production[[#This Row],[Base Expected (kWh)]]*expected_production[[#This Row],[Degradation Factor]])</f>
        <v>17488.113842132723</v>
      </c>
    </row>
    <row r="2249" spans="1:7" ht="15" hidden="1" customHeight="1" x14ac:dyDescent="0.3">
      <c r="A2249" t="s">
        <v>188</v>
      </c>
      <c r="B2249" s="2">
        <v>45717</v>
      </c>
      <c r="C2249" s="52">
        <v>17897.400000000001</v>
      </c>
      <c r="D2249" s="48">
        <f>_xlfn.XLOOKUP(expected_production[[#This Row],[Site Name]],Table1[[Site Name ]],Table1[Commisioned Date],"")</f>
        <v>45540</v>
      </c>
      <c r="E2249" s="47">
        <f>IF(ISNUMBER(expected_production[[#This Row],[Commissioned Date]]),MAX(0,(expected_production[[#This Row],[Date]]-expected_production[[#This Row],[Commissioned Date]])/365.25),"")</f>
        <v>0.48459958932238195</v>
      </c>
      <c r="F2249" s="49">
        <f>IF(expected_production[[#This Row],[Age (yrs)]]="",1,(1-DegradationRate)^expected_production[[#This Row],[Age (yrs)]])</f>
        <v>0.99660166195270561</v>
      </c>
      <c r="G2249" s="52">
        <f>IF(expected_production[[#This Row],[Base Expected (kWh)]]="","",expected_production[[#This Row],[Base Expected (kWh)]]*expected_production[[#This Row],[Degradation Factor]])</f>
        <v>17836.578584632356</v>
      </c>
    </row>
    <row r="2250" spans="1:7" ht="15" hidden="1" customHeight="1" x14ac:dyDescent="0.3">
      <c r="A2250" t="s">
        <v>188</v>
      </c>
      <c r="B2250" s="2">
        <v>45748</v>
      </c>
      <c r="C2250" s="52">
        <v>14674.5</v>
      </c>
      <c r="D2250" s="48">
        <f>_xlfn.XLOOKUP(expected_production[[#This Row],[Site Name]],Table1[[Site Name ]],Table1[Commisioned Date],"")</f>
        <v>45540</v>
      </c>
      <c r="E2250" s="47">
        <f>IF(ISNUMBER(expected_production[[#This Row],[Commissioned Date]]),MAX(0,(expected_production[[#This Row],[Date]]-expected_production[[#This Row],[Commissioned Date]])/365.25),"")</f>
        <v>0.56947296372347711</v>
      </c>
      <c r="F2250" s="49">
        <f>IF(expected_production[[#This Row],[Age (yrs)]]="",1,(1-DegradationRate)^expected_production[[#This Row],[Age (yrs)]])</f>
        <v>0.99600766236740168</v>
      </c>
      <c r="G2250" s="52">
        <f>IF(expected_production[[#This Row],[Base Expected (kWh)]]="","",expected_production[[#This Row],[Base Expected (kWh)]]*expected_production[[#This Row],[Degradation Factor]])</f>
        <v>14615.914441410436</v>
      </c>
    </row>
    <row r="2251" spans="1:7" ht="15" hidden="1" customHeight="1" x14ac:dyDescent="0.3">
      <c r="A2251" t="s">
        <v>188</v>
      </c>
      <c r="B2251" s="2">
        <v>45778</v>
      </c>
      <c r="C2251" s="52">
        <v>13272.3</v>
      </c>
      <c r="D2251" s="48">
        <f>_xlfn.XLOOKUP(expected_production[[#This Row],[Site Name]],Table1[[Site Name ]],Table1[Commisioned Date],"")</f>
        <v>45540</v>
      </c>
      <c r="E2251" s="47">
        <f>IF(ISNUMBER(expected_production[[#This Row],[Commissioned Date]]),MAX(0,(expected_production[[#This Row],[Date]]-expected_production[[#This Row],[Commissioned Date]])/365.25),"")</f>
        <v>0.65160848733744015</v>
      </c>
      <c r="F2251" s="49">
        <f>IF(expected_production[[#This Row],[Age (yrs)]]="",1,(1-DegradationRate)^expected_production[[#This Row],[Age (yrs)]])</f>
        <v>0.99543316115315494</v>
      </c>
      <c r="G2251" s="52">
        <f>IF(expected_production[[#This Row],[Base Expected (kWh)]]="","",expected_production[[#This Row],[Base Expected (kWh)]]*expected_production[[#This Row],[Degradation Factor]])</f>
        <v>13211.687544773018</v>
      </c>
    </row>
    <row r="2252" spans="1:7" ht="15" hidden="1" customHeight="1" x14ac:dyDescent="0.3">
      <c r="A2252" t="s">
        <v>188</v>
      </c>
      <c r="B2252" s="2">
        <v>45809</v>
      </c>
      <c r="C2252" s="52">
        <v>11571.3</v>
      </c>
      <c r="D2252" s="48">
        <f>_xlfn.XLOOKUP(expected_production[[#This Row],[Site Name]],Table1[[Site Name ]],Table1[Commisioned Date],"")</f>
        <v>45540</v>
      </c>
      <c r="E2252" s="47">
        <f>IF(ISNUMBER(expected_production[[#This Row],[Commissioned Date]]),MAX(0,(expected_production[[#This Row],[Date]]-expected_production[[#This Row],[Commissioned Date]])/365.25),"")</f>
        <v>0.73648186173853525</v>
      </c>
      <c r="F2252" s="49">
        <f>IF(expected_production[[#This Row],[Age (yrs)]]="",1,(1-DegradationRate)^expected_production[[#This Row],[Age (yrs)]])</f>
        <v>0.99483985802363351</v>
      </c>
      <c r="G2252" s="52">
        <f>IF(expected_production[[#This Row],[Base Expected (kWh)]]="","",expected_production[[#This Row],[Base Expected (kWh)]]*expected_production[[#This Row],[Degradation Factor]])</f>
        <v>11511.590449148869</v>
      </c>
    </row>
    <row r="2253" spans="1:7" ht="15" hidden="1" customHeight="1" x14ac:dyDescent="0.3">
      <c r="A2253" t="s">
        <v>188</v>
      </c>
      <c r="B2253" s="2">
        <v>45839</v>
      </c>
      <c r="C2253" s="52">
        <v>12990.6</v>
      </c>
      <c r="D2253" s="48">
        <f>_xlfn.XLOOKUP(expected_production[[#This Row],[Site Name]],Table1[[Site Name ]],Table1[Commisioned Date],"")</f>
        <v>45540</v>
      </c>
      <c r="E2253" s="47">
        <f>IF(ISNUMBER(expected_production[[#This Row],[Commissioned Date]]),MAX(0,(expected_production[[#This Row],[Date]]-expected_production[[#This Row],[Commissioned Date]])/365.25),"")</f>
        <v>0.81861738535249828</v>
      </c>
      <c r="F2253" s="49">
        <f>IF(expected_production[[#This Row],[Age (yrs)]]="",1,(1-DegradationRate)^expected_production[[#This Row],[Age (yrs)]])</f>
        <v>0.99426603040361594</v>
      </c>
      <c r="G2253" s="52">
        <f>IF(expected_production[[#This Row],[Base Expected (kWh)]]="","",expected_production[[#This Row],[Base Expected (kWh)]]*expected_production[[#This Row],[Degradation Factor]])</f>
        <v>12916.112294561213</v>
      </c>
    </row>
    <row r="2254" spans="1:7" ht="15" hidden="1" customHeight="1" x14ac:dyDescent="0.3">
      <c r="A2254" t="s">
        <v>188</v>
      </c>
      <c r="B2254" s="2">
        <v>45870</v>
      </c>
      <c r="C2254" s="52">
        <v>15871.5</v>
      </c>
      <c r="D2254" s="48">
        <f>_xlfn.XLOOKUP(expected_production[[#This Row],[Site Name]],Table1[[Site Name ]],Table1[Commisioned Date],"")</f>
        <v>45540</v>
      </c>
      <c r="E2254" s="47">
        <f>IF(ISNUMBER(expected_production[[#This Row],[Commissioned Date]]),MAX(0,(expected_production[[#This Row],[Date]]-expected_production[[#This Row],[Commissioned Date]])/365.25),"")</f>
        <v>0.90349075975359339</v>
      </c>
      <c r="F2254" s="49">
        <f>IF(expected_production[[#This Row],[Age (yrs)]]="",1,(1-DegradationRate)^expected_production[[#This Row],[Age (yrs)]])</f>
        <v>0.99367342291329286</v>
      </c>
      <c r="G2254" s="52">
        <f>IF(expected_production[[#This Row],[Base Expected (kWh)]]="","",expected_production[[#This Row],[Base Expected (kWh)]]*expected_production[[#This Row],[Degradation Factor]])</f>
        <v>15771.087731768328</v>
      </c>
    </row>
    <row r="2255" spans="1:7" ht="15" hidden="1" customHeight="1" x14ac:dyDescent="0.3">
      <c r="A2255" t="s">
        <v>188</v>
      </c>
      <c r="B2255" s="2">
        <v>45901</v>
      </c>
      <c r="C2255" s="52">
        <v>18317.7</v>
      </c>
      <c r="D2255" s="48">
        <f>_xlfn.XLOOKUP(expected_production[[#This Row],[Site Name]],Table1[[Site Name ]],Table1[Commisioned Date],"")</f>
        <v>45540</v>
      </c>
      <c r="E2255" s="47">
        <f>IF(ISNUMBER(expected_production[[#This Row],[Commissioned Date]]),MAX(0,(expected_production[[#This Row],[Date]]-expected_production[[#This Row],[Commissioned Date]])/365.25),"")</f>
        <v>0.9883641341546886</v>
      </c>
      <c r="F2255" s="49">
        <f>IF(expected_production[[#This Row],[Age (yrs)]]="",1,(1-DegradationRate)^expected_production[[#This Row],[Age (yrs)]])</f>
        <v>0.99308116863189677</v>
      </c>
      <c r="G2255" s="52">
        <f>IF(expected_production[[#This Row],[Base Expected (kWh)]]="","",expected_production[[#This Row],[Base Expected (kWh)]]*expected_production[[#This Row],[Degradation Factor]])</f>
        <v>18190.962922648498</v>
      </c>
    </row>
    <row r="2256" spans="1:7" ht="15" hidden="1" customHeight="1" x14ac:dyDescent="0.3">
      <c r="A2256" t="s">
        <v>188</v>
      </c>
      <c r="B2256" s="2">
        <v>45931</v>
      </c>
      <c r="C2256" s="52">
        <v>20121.3</v>
      </c>
      <c r="D2256" s="48">
        <f>_xlfn.XLOOKUP(expected_production[[#This Row],[Site Name]],Table1[[Site Name ]],Table1[Commisioned Date],"")</f>
        <v>45540</v>
      </c>
      <c r="E2256" s="47">
        <f>IF(ISNUMBER(expected_production[[#This Row],[Commissioned Date]]),MAX(0,(expected_production[[#This Row],[Date]]-expected_production[[#This Row],[Commissioned Date]])/365.25),"")</f>
        <v>1.0704996577686516</v>
      </c>
      <c r="F2256" s="49">
        <f>IF(expected_production[[#This Row],[Age (yrs)]]="",1,(1-DegradationRate)^expected_production[[#This Row],[Age (yrs)]])</f>
        <v>0.9925083554309736</v>
      </c>
      <c r="G2256" s="52">
        <f>IF(expected_production[[#This Row],[Base Expected (kWh)]]="","",expected_production[[#This Row],[Base Expected (kWh)]]*expected_production[[#This Row],[Degradation Factor]])</f>
        <v>19970.558372133248</v>
      </c>
    </row>
    <row r="2257" spans="1:7" ht="15" hidden="1" customHeight="1" x14ac:dyDescent="0.3">
      <c r="A2257" t="s">
        <v>188</v>
      </c>
      <c r="B2257" s="2">
        <v>45962</v>
      </c>
      <c r="C2257" s="52">
        <v>20573.099999999999</v>
      </c>
      <c r="D2257" s="48">
        <f>_xlfn.XLOOKUP(expected_production[[#This Row],[Site Name]],Table1[[Site Name ]],Table1[Commisioned Date],"")</f>
        <v>45540</v>
      </c>
      <c r="E2257" s="47">
        <f>IF(ISNUMBER(expected_production[[#This Row],[Commissioned Date]]),MAX(0,(expected_production[[#This Row],[Date]]-expected_production[[#This Row],[Commissioned Date]])/365.25),"")</f>
        <v>1.1553730321697468</v>
      </c>
      <c r="F2257" s="49">
        <f>IF(expected_production[[#This Row],[Age (yrs)]]="",1,(1-DegradationRate)^expected_production[[#This Row],[Age (yrs)]])</f>
        <v>0.9919167955590168</v>
      </c>
      <c r="G2257" s="52">
        <f>IF(expected_production[[#This Row],[Base Expected (kWh)]]="","",expected_production[[#This Row],[Base Expected (kWh)]]*expected_production[[#This Row],[Degradation Factor]])</f>
        <v>20406.803426715207</v>
      </c>
    </row>
    <row r="2258" spans="1:7" ht="15" hidden="1" customHeight="1" x14ac:dyDescent="0.3">
      <c r="A2258" t="s">
        <v>188</v>
      </c>
      <c r="B2258" s="2">
        <v>45992</v>
      </c>
      <c r="C2258" s="52">
        <v>21930.3</v>
      </c>
      <c r="D2258" s="48">
        <f>_xlfn.XLOOKUP(expected_production[[#This Row],[Site Name]],Table1[[Site Name ]],Table1[Commisioned Date],"")</f>
        <v>45540</v>
      </c>
      <c r="E2258" s="47">
        <f>IF(ISNUMBER(expected_production[[#This Row],[Commissioned Date]]),MAX(0,(expected_production[[#This Row],[Date]]-expected_production[[#This Row],[Commissioned Date]])/365.25),"")</f>
        <v>1.2375085557837098</v>
      </c>
      <c r="F2258" s="49">
        <f>IF(expected_production[[#This Row],[Age (yrs)]]="",1,(1-DegradationRate)^expected_production[[#This Row],[Age (yrs)]])</f>
        <v>0.99134465397315208</v>
      </c>
      <c r="G2258" s="52">
        <f>IF(expected_production[[#This Row],[Base Expected (kWh)]]="","",expected_production[[#This Row],[Base Expected (kWh)]]*expected_production[[#This Row],[Degradation Factor]])</f>
        <v>21740.485665027416</v>
      </c>
    </row>
    <row r="2259" spans="1:7" ht="15" hidden="1" customHeight="1" x14ac:dyDescent="0.3">
      <c r="A2259" t="s">
        <v>188</v>
      </c>
      <c r="B2259" s="2">
        <v>46023</v>
      </c>
      <c r="C2259" s="52">
        <v>20588.400000000001</v>
      </c>
      <c r="D2259" s="48">
        <f>_xlfn.XLOOKUP(expected_production[[#This Row],[Site Name]],Table1[[Site Name ]],Table1[Commisioned Date],"")</f>
        <v>45540</v>
      </c>
      <c r="E2259" s="47">
        <f>IF(ISNUMBER(expected_production[[#This Row],[Commissioned Date]]),MAX(0,(expected_production[[#This Row],[Date]]-expected_production[[#This Row],[Commissioned Date]])/365.25),"")</f>
        <v>1.322381930184805</v>
      </c>
      <c r="F2259" s="49">
        <f>IF(expected_production[[#This Row],[Age (yrs)]]="",1,(1-DegradationRate)^expected_production[[#This Row],[Age (yrs)]])</f>
        <v>0.99075378769644973</v>
      </c>
      <c r="G2259" s="52">
        <f>IF(expected_production[[#This Row],[Base Expected (kWh)]]="","",expected_production[[#This Row],[Base Expected (kWh)]]*expected_production[[#This Row],[Degradation Factor]])</f>
        <v>20398.035282609588</v>
      </c>
    </row>
    <row r="2260" spans="1:7" ht="15" hidden="1" customHeight="1" x14ac:dyDescent="0.3">
      <c r="A2260" t="s">
        <v>188</v>
      </c>
      <c r="B2260" s="2">
        <v>46054</v>
      </c>
      <c r="C2260" s="52">
        <v>17538.3</v>
      </c>
      <c r="D2260" s="48">
        <f>_xlfn.XLOOKUP(expected_production[[#This Row],[Site Name]],Table1[[Site Name ]],Table1[Commisioned Date],"")</f>
        <v>45540</v>
      </c>
      <c r="E2260" s="47">
        <f>IF(ISNUMBER(expected_production[[#This Row],[Commissioned Date]]),MAX(0,(expected_production[[#This Row],[Date]]-expected_production[[#This Row],[Commissioned Date]])/365.25),"")</f>
        <v>1.4072553045859</v>
      </c>
      <c r="F2260" s="49">
        <f>IF(expected_production[[#This Row],[Age (yrs)]]="",1,(1-DegradationRate)^expected_production[[#This Row],[Age (yrs)]])</f>
        <v>0.99016327359086731</v>
      </c>
      <c r="G2260" s="52">
        <f>IF(expected_production[[#This Row],[Base Expected (kWh)]]="","",expected_production[[#This Row],[Base Expected (kWh)]]*expected_production[[#This Row],[Degradation Factor]])</f>
        <v>17365.780541218708</v>
      </c>
    </row>
    <row r="2261" spans="1:7" ht="15" hidden="1" customHeight="1" x14ac:dyDescent="0.3">
      <c r="A2261" t="s">
        <v>188</v>
      </c>
      <c r="B2261" s="2">
        <v>46082</v>
      </c>
      <c r="C2261" s="52">
        <v>17897.400000000001</v>
      </c>
      <c r="D2261" s="48">
        <f>_xlfn.XLOOKUP(expected_production[[#This Row],[Site Name]],Table1[[Site Name ]],Table1[Commisioned Date],"")</f>
        <v>45540</v>
      </c>
      <c r="E2261" s="47">
        <f>IF(ISNUMBER(expected_production[[#This Row],[Commissioned Date]]),MAX(0,(expected_production[[#This Row],[Date]]-expected_production[[#This Row],[Commissioned Date]])/365.25),"")</f>
        <v>1.483915126625599</v>
      </c>
      <c r="F2261" s="49">
        <f>IF(expected_production[[#This Row],[Age (yrs)]]="",1,(1-DegradationRate)^expected_production[[#This Row],[Age (yrs)]])</f>
        <v>0.989630208535623</v>
      </c>
      <c r="G2261" s="52">
        <f>IF(expected_production[[#This Row],[Base Expected (kWh)]]="","",expected_production[[#This Row],[Base Expected (kWh)]]*expected_production[[#This Row],[Degradation Factor]])</f>
        <v>17711.807694245461</v>
      </c>
    </row>
    <row r="2262" spans="1:7" ht="15" hidden="1" customHeight="1" x14ac:dyDescent="0.3">
      <c r="A2262" t="s">
        <v>188</v>
      </c>
      <c r="B2262" s="2">
        <v>46113</v>
      </c>
      <c r="C2262" s="52">
        <v>14674.5</v>
      </c>
      <c r="D2262" s="48">
        <f>_xlfn.XLOOKUP(expected_production[[#This Row],[Site Name]],Table1[[Site Name ]],Table1[Commisioned Date],"")</f>
        <v>45540</v>
      </c>
      <c r="E2262" s="47">
        <f>IF(ISNUMBER(expected_production[[#This Row],[Commissioned Date]]),MAX(0,(expected_production[[#This Row],[Date]]-expected_production[[#This Row],[Commissioned Date]])/365.25),"")</f>
        <v>1.568788501026694</v>
      </c>
      <c r="F2262" s="49">
        <f>IF(expected_production[[#This Row],[Age (yrs)]]="",1,(1-DegradationRate)^expected_production[[#This Row],[Age (yrs)]])</f>
        <v>0.98904036411139973</v>
      </c>
      <c r="G2262" s="52">
        <f>IF(expected_production[[#This Row],[Base Expected (kWh)]]="","",expected_production[[#This Row],[Base Expected (kWh)]]*expected_production[[#This Row],[Degradation Factor]])</f>
        <v>14513.672823152736</v>
      </c>
    </row>
    <row r="2263" spans="1:7" ht="15" hidden="1" customHeight="1" x14ac:dyDescent="0.3">
      <c r="A2263" t="s">
        <v>188</v>
      </c>
      <c r="B2263" s="2">
        <v>46143</v>
      </c>
      <c r="C2263" s="52">
        <v>13272.3</v>
      </c>
      <c r="D2263" s="48">
        <f>_xlfn.XLOOKUP(expected_production[[#This Row],[Site Name]],Table1[[Site Name ]],Table1[Commisioned Date],"")</f>
        <v>45540</v>
      </c>
      <c r="E2263" s="47">
        <f>IF(ISNUMBER(expected_production[[#This Row],[Commissioned Date]]),MAX(0,(expected_production[[#This Row],[Date]]-expected_production[[#This Row],[Commissioned Date]])/365.25),"")</f>
        <v>1.6509240246406571</v>
      </c>
      <c r="F2263" s="49">
        <f>IF(expected_production[[#This Row],[Age (yrs)]]="",1,(1-DegradationRate)^expected_production[[#This Row],[Age (yrs)]])</f>
        <v>0.98846988166273009</v>
      </c>
      <c r="G2263" s="52">
        <f>IF(expected_production[[#This Row],[Base Expected (kWh)]]="","",expected_production[[#This Row],[Base Expected (kWh)]]*expected_production[[#This Row],[Degradation Factor]])</f>
        <v>13119.268810392252</v>
      </c>
    </row>
    <row r="2264" spans="1:7" ht="15" hidden="1" customHeight="1" x14ac:dyDescent="0.3">
      <c r="A2264" t="s">
        <v>188</v>
      </c>
      <c r="B2264" s="2">
        <v>46174</v>
      </c>
      <c r="C2264" s="52">
        <v>11571.3</v>
      </c>
      <c r="D2264" s="48">
        <f>_xlfn.XLOOKUP(expected_production[[#This Row],[Site Name]],Table1[[Site Name ]],Table1[Commisioned Date],"")</f>
        <v>45540</v>
      </c>
      <c r="E2264" s="47">
        <f>IF(ISNUMBER(expected_production[[#This Row],[Commissioned Date]]),MAX(0,(expected_production[[#This Row],[Date]]-expected_production[[#This Row],[Commissioned Date]])/365.25),"")</f>
        <v>1.7357973990417521</v>
      </c>
      <c r="F2264" s="49">
        <f>IF(expected_production[[#This Row],[Age (yrs)]]="",1,(1-DegradationRate)^expected_production[[#This Row],[Age (yrs)]])</f>
        <v>0.98788072882242417</v>
      </c>
      <c r="G2264" s="52">
        <f>IF(expected_production[[#This Row],[Base Expected (kWh)]]="","",expected_production[[#This Row],[Base Expected (kWh)]]*expected_production[[#This Row],[Degradation Factor]])</f>
        <v>11431.064277422916</v>
      </c>
    </row>
    <row r="2265" spans="1:7" ht="15" hidden="1" customHeight="1" x14ac:dyDescent="0.3">
      <c r="A2265" t="s">
        <v>188</v>
      </c>
      <c r="B2265" s="2">
        <v>46204</v>
      </c>
      <c r="C2265" s="52">
        <v>12990.6</v>
      </c>
      <c r="D2265" s="48">
        <f>_xlfn.XLOOKUP(expected_production[[#This Row],[Site Name]],Table1[[Site Name ]],Table1[Commisioned Date],"")</f>
        <v>45540</v>
      </c>
      <c r="E2265" s="47">
        <f>IF(ISNUMBER(expected_production[[#This Row],[Commissioned Date]]),MAX(0,(expected_production[[#This Row],[Date]]-expected_production[[#This Row],[Commissioned Date]])/365.25),"")</f>
        <v>1.8179329226557153</v>
      </c>
      <c r="F2265" s="49">
        <f>IF(expected_production[[#This Row],[Age (yrs)]]="",1,(1-DegradationRate)^expected_production[[#This Row],[Age (yrs)]])</f>
        <v>0.98731091525604009</v>
      </c>
      <c r="G2265" s="52">
        <f>IF(expected_production[[#This Row],[Base Expected (kWh)]]="","",expected_production[[#This Row],[Base Expected (kWh)]]*expected_production[[#This Row],[Degradation Factor]])</f>
        <v>12825.761175725114</v>
      </c>
    </row>
    <row r="2266" spans="1:7" ht="15" hidden="1" customHeight="1" x14ac:dyDescent="0.3">
      <c r="A2266" t="s">
        <v>188</v>
      </c>
      <c r="B2266" s="2">
        <v>46235</v>
      </c>
      <c r="C2266" s="52">
        <v>15871.5</v>
      </c>
      <c r="D2266" s="48">
        <f>_xlfn.XLOOKUP(expected_production[[#This Row],[Site Name]],Table1[[Site Name ]],Table1[Commisioned Date],"")</f>
        <v>45540</v>
      </c>
      <c r="E2266" s="47">
        <f>IF(ISNUMBER(expected_production[[#This Row],[Commissioned Date]]),MAX(0,(expected_production[[#This Row],[Date]]-expected_production[[#This Row],[Commissioned Date]])/365.25),"")</f>
        <v>1.9028062970568105</v>
      </c>
      <c r="F2266" s="49">
        <f>IF(expected_production[[#This Row],[Age (yrs)]]="",1,(1-DegradationRate)^expected_production[[#This Row],[Age (yrs)]])</f>
        <v>0.98672245318877938</v>
      </c>
      <c r="G2266" s="52">
        <f>IF(expected_production[[#This Row],[Base Expected (kWh)]]="","",expected_production[[#This Row],[Base Expected (kWh)]]*expected_production[[#This Row],[Degradation Factor]])</f>
        <v>15660.765415785712</v>
      </c>
    </row>
    <row r="2267" spans="1:7" ht="15" hidden="1" customHeight="1" x14ac:dyDescent="0.3">
      <c r="A2267" t="s">
        <v>188</v>
      </c>
      <c r="B2267" s="2">
        <v>46266</v>
      </c>
      <c r="C2267" s="52">
        <v>18317.7</v>
      </c>
      <c r="D2267" s="48">
        <f>_xlfn.XLOOKUP(expected_production[[#This Row],[Site Name]],Table1[[Site Name ]],Table1[Commisioned Date],"")</f>
        <v>45540</v>
      </c>
      <c r="E2267" s="47">
        <f>IF(ISNUMBER(expected_production[[#This Row],[Commissioned Date]]),MAX(0,(expected_production[[#This Row],[Date]]-expected_production[[#This Row],[Commissioned Date]])/365.25),"")</f>
        <v>1.9876796714579055</v>
      </c>
      <c r="F2267" s="49">
        <f>IF(expected_production[[#This Row],[Age (yrs)]]="",1,(1-DegradationRate)^expected_production[[#This Row],[Age (yrs)]])</f>
        <v>0.98613434185966942</v>
      </c>
      <c r="G2267" s="52">
        <f>IF(expected_production[[#This Row],[Base Expected (kWh)]]="","",expected_production[[#This Row],[Base Expected (kWh)]]*expected_production[[#This Row],[Degradation Factor]])</f>
        <v>18063.713033882868</v>
      </c>
    </row>
    <row r="2268" spans="1:7" ht="15" hidden="1" customHeight="1" x14ac:dyDescent="0.3">
      <c r="A2268" t="s">
        <v>188</v>
      </c>
      <c r="B2268" s="2">
        <v>46296</v>
      </c>
      <c r="C2268" s="52">
        <v>20121.3</v>
      </c>
      <c r="D2268" s="48">
        <f>_xlfn.XLOOKUP(expected_production[[#This Row],[Site Name]],Table1[[Site Name ]],Table1[Commisioned Date],"")</f>
        <v>45540</v>
      </c>
      <c r="E2268" s="47">
        <f>IF(ISNUMBER(expected_production[[#This Row],[Commissioned Date]]),MAX(0,(expected_production[[#This Row],[Date]]-expected_production[[#This Row],[Commissioned Date]])/365.25),"")</f>
        <v>2.0698151950718686</v>
      </c>
      <c r="F2268" s="49">
        <f>IF(expected_production[[#This Row],[Age (yrs)]]="",1,(1-DegradationRate)^expected_production[[#This Row],[Age (yrs)]])</f>
        <v>0.98556553561628957</v>
      </c>
      <c r="G2268" s="52">
        <f>IF(expected_production[[#This Row],[Base Expected (kWh)]]="","",expected_production[[#This Row],[Base Expected (kWh)]]*expected_production[[#This Row],[Degradation Factor]])</f>
        <v>19830.859811796046</v>
      </c>
    </row>
    <row r="2269" spans="1:7" ht="15" hidden="1" customHeight="1" x14ac:dyDescent="0.3">
      <c r="A2269" t="s">
        <v>188</v>
      </c>
      <c r="B2269" s="2">
        <v>46327</v>
      </c>
      <c r="C2269" s="52">
        <v>20573.099999999999</v>
      </c>
      <c r="D2269" s="48">
        <f>_xlfn.XLOOKUP(expected_production[[#This Row],[Site Name]],Table1[[Site Name ]],Table1[Commisioned Date],"")</f>
        <v>45540</v>
      </c>
      <c r="E2269" s="47">
        <f>IF(ISNUMBER(expected_production[[#This Row],[Commissioned Date]]),MAX(0,(expected_production[[#This Row],[Date]]-expected_production[[#This Row],[Commissioned Date]])/365.25),"")</f>
        <v>2.1546885694729636</v>
      </c>
      <c r="F2269" s="49">
        <f>IF(expected_production[[#This Row],[Age (yrs)]]="",1,(1-DegradationRate)^expected_production[[#This Row],[Age (yrs)]])</f>
        <v>0.9849781138390683</v>
      </c>
      <c r="G2269" s="52">
        <f>IF(expected_production[[#This Row],[Base Expected (kWh)]]="","",expected_production[[#This Row],[Base Expected (kWh)]]*expected_production[[#This Row],[Degradation Factor]])</f>
        <v>20264.053233822535</v>
      </c>
    </row>
    <row r="2270" spans="1:7" ht="15" hidden="1" customHeight="1" x14ac:dyDescent="0.3">
      <c r="A2270" t="s">
        <v>188</v>
      </c>
      <c r="B2270" s="2">
        <v>46357</v>
      </c>
      <c r="C2270" s="52">
        <v>21930.3</v>
      </c>
      <c r="D2270" s="48">
        <f>_xlfn.XLOOKUP(expected_production[[#This Row],[Site Name]],Table1[[Site Name ]],Table1[Commisioned Date],"")</f>
        <v>45540</v>
      </c>
      <c r="E2270" s="47">
        <f>IF(ISNUMBER(expected_production[[#This Row],[Commissioned Date]]),MAX(0,(expected_production[[#This Row],[Date]]-expected_production[[#This Row],[Commissioned Date]])/365.25),"")</f>
        <v>2.236824093086927</v>
      </c>
      <c r="F2270" s="49">
        <f>IF(expected_production[[#This Row],[Age (yrs)]]="",1,(1-DegradationRate)^expected_production[[#This Row],[Age (yrs)]])</f>
        <v>0.98440997451264789</v>
      </c>
      <c r="G2270" s="52">
        <f>IF(expected_production[[#This Row],[Base Expected (kWh)]]="","",expected_production[[#This Row],[Base Expected (kWh)]]*expected_production[[#This Row],[Degradation Factor]])</f>
        <v>21588.406064054721</v>
      </c>
    </row>
    <row r="2271" spans="1:7" ht="15" hidden="1" customHeight="1" x14ac:dyDescent="0.3">
      <c r="A2271" t="s">
        <v>226</v>
      </c>
      <c r="B2271" s="2">
        <v>45292</v>
      </c>
      <c r="C2271" s="52">
        <v>30721.5</v>
      </c>
      <c r="D2271" s="48">
        <f>_xlfn.XLOOKUP(expected_production[[#This Row],[Site Name]],Table1[[Site Name ]],Table1[Commisioned Date],"")</f>
        <v>45992</v>
      </c>
      <c r="E2271" s="47">
        <f>IF(ISNUMBER(expected_production[[#This Row],[Commissioned Date]]),MAX(0,(expected_production[[#This Row],[Date]]-expected_production[[#This Row],[Commissioned Date]])/365.25),"")</f>
        <v>0</v>
      </c>
      <c r="F2271" s="49">
        <f>IF(expected_production[[#This Row],[Age (yrs)]]="",1,(1-DegradationRate)^expected_production[[#This Row],[Age (yrs)]])</f>
        <v>1</v>
      </c>
      <c r="G2271" s="52">
        <f>IF(expected_production[[#This Row],[Base Expected (kWh)]]="","",expected_production[[#This Row],[Base Expected (kWh)]]*expected_production[[#This Row],[Degradation Factor]])</f>
        <v>30721.5</v>
      </c>
    </row>
    <row r="2272" spans="1:7" ht="15" hidden="1" customHeight="1" x14ac:dyDescent="0.3">
      <c r="A2272" t="s">
        <v>226</v>
      </c>
      <c r="B2272" s="2">
        <v>45323</v>
      </c>
      <c r="C2272" s="52">
        <v>24282.9</v>
      </c>
      <c r="D2272" s="48">
        <f>_xlfn.XLOOKUP(expected_production[[#This Row],[Site Name]],Table1[[Site Name ]],Table1[Commisioned Date],"")</f>
        <v>45992</v>
      </c>
      <c r="E2272" s="47">
        <f>IF(ISNUMBER(expected_production[[#This Row],[Commissioned Date]]),MAX(0,(expected_production[[#This Row],[Date]]-expected_production[[#This Row],[Commissioned Date]])/365.25),"")</f>
        <v>0</v>
      </c>
      <c r="F2272" s="49">
        <f>IF(expected_production[[#This Row],[Age (yrs)]]="",1,(1-DegradationRate)^expected_production[[#This Row],[Age (yrs)]])</f>
        <v>1</v>
      </c>
      <c r="G2272" s="52">
        <f>IF(expected_production[[#This Row],[Base Expected (kWh)]]="","",expected_production[[#This Row],[Base Expected (kWh)]]*expected_production[[#This Row],[Degradation Factor]])</f>
        <v>24282.9</v>
      </c>
    </row>
    <row r="2273" spans="1:7" ht="15" hidden="1" customHeight="1" x14ac:dyDescent="0.3">
      <c r="A2273" t="s">
        <v>226</v>
      </c>
      <c r="B2273" s="2">
        <v>45352</v>
      </c>
      <c r="C2273" s="52">
        <v>24146.1</v>
      </c>
      <c r="D2273" s="48">
        <f>_xlfn.XLOOKUP(expected_production[[#This Row],[Site Name]],Table1[[Site Name ]],Table1[Commisioned Date],"")</f>
        <v>45992</v>
      </c>
      <c r="E2273" s="47">
        <f>IF(ISNUMBER(expected_production[[#This Row],[Commissioned Date]]),MAX(0,(expected_production[[#This Row],[Date]]-expected_production[[#This Row],[Commissioned Date]])/365.25),"")</f>
        <v>0</v>
      </c>
      <c r="F2273" s="49">
        <f>IF(expected_production[[#This Row],[Age (yrs)]]="",1,(1-DegradationRate)^expected_production[[#This Row],[Age (yrs)]])</f>
        <v>1</v>
      </c>
      <c r="G2273" s="52">
        <f>IF(expected_production[[#This Row],[Base Expected (kWh)]]="","",expected_production[[#This Row],[Base Expected (kWh)]]*expected_production[[#This Row],[Degradation Factor]])</f>
        <v>24146.1</v>
      </c>
    </row>
    <row r="2274" spans="1:7" ht="15" hidden="1" customHeight="1" x14ac:dyDescent="0.3">
      <c r="A2274" t="s">
        <v>226</v>
      </c>
      <c r="B2274" s="2">
        <v>45383</v>
      </c>
      <c r="C2274" s="52">
        <v>18389.7</v>
      </c>
      <c r="D2274" s="48">
        <f>_xlfn.XLOOKUP(expected_production[[#This Row],[Site Name]],Table1[[Site Name ]],Table1[Commisioned Date],"")</f>
        <v>45992</v>
      </c>
      <c r="E2274" s="47">
        <f>IF(ISNUMBER(expected_production[[#This Row],[Commissioned Date]]),MAX(0,(expected_production[[#This Row],[Date]]-expected_production[[#This Row],[Commissioned Date]])/365.25),"")</f>
        <v>0</v>
      </c>
      <c r="F2274" s="49">
        <f>IF(expected_production[[#This Row],[Age (yrs)]]="",1,(1-DegradationRate)^expected_production[[#This Row],[Age (yrs)]])</f>
        <v>1</v>
      </c>
      <c r="G2274" s="52">
        <f>IF(expected_production[[#This Row],[Base Expected (kWh)]]="","",expected_production[[#This Row],[Base Expected (kWh)]]*expected_production[[#This Row],[Degradation Factor]])</f>
        <v>18389.7</v>
      </c>
    </row>
    <row r="2275" spans="1:7" ht="15" hidden="1" customHeight="1" x14ac:dyDescent="0.3">
      <c r="A2275" t="s">
        <v>226</v>
      </c>
      <c r="B2275" s="2">
        <v>45413</v>
      </c>
      <c r="C2275" s="52">
        <v>18961.2</v>
      </c>
      <c r="D2275" s="48">
        <f>_xlfn.XLOOKUP(expected_production[[#This Row],[Site Name]],Table1[[Site Name ]],Table1[Commisioned Date],"")</f>
        <v>45992</v>
      </c>
      <c r="E2275" s="47">
        <f>IF(ISNUMBER(expected_production[[#This Row],[Commissioned Date]]),MAX(0,(expected_production[[#This Row],[Date]]-expected_production[[#This Row],[Commissioned Date]])/365.25),"")</f>
        <v>0</v>
      </c>
      <c r="F2275" s="49">
        <f>IF(expected_production[[#This Row],[Age (yrs)]]="",1,(1-DegradationRate)^expected_production[[#This Row],[Age (yrs)]])</f>
        <v>1</v>
      </c>
      <c r="G2275" s="52">
        <f>IF(expected_production[[#This Row],[Base Expected (kWh)]]="","",expected_production[[#This Row],[Base Expected (kWh)]]*expected_production[[#This Row],[Degradation Factor]])</f>
        <v>18961.2</v>
      </c>
    </row>
    <row r="2276" spans="1:7" ht="15" hidden="1" customHeight="1" x14ac:dyDescent="0.3">
      <c r="A2276" t="s">
        <v>226</v>
      </c>
      <c r="B2276" s="2">
        <v>45444</v>
      </c>
      <c r="C2276" s="52">
        <v>15280.2</v>
      </c>
      <c r="D2276" s="48">
        <f>_xlfn.XLOOKUP(expected_production[[#This Row],[Site Name]],Table1[[Site Name ]],Table1[Commisioned Date],"")</f>
        <v>45992</v>
      </c>
      <c r="E2276" s="47">
        <f>IF(ISNUMBER(expected_production[[#This Row],[Commissioned Date]]),MAX(0,(expected_production[[#This Row],[Date]]-expected_production[[#This Row],[Commissioned Date]])/365.25),"")</f>
        <v>0</v>
      </c>
      <c r="F2276" s="49">
        <f>IF(expected_production[[#This Row],[Age (yrs)]]="",1,(1-DegradationRate)^expected_production[[#This Row],[Age (yrs)]])</f>
        <v>1</v>
      </c>
      <c r="G2276" s="52">
        <f>IF(expected_production[[#This Row],[Base Expected (kWh)]]="","",expected_production[[#This Row],[Base Expected (kWh)]]*expected_production[[#This Row],[Degradation Factor]])</f>
        <v>15280.2</v>
      </c>
    </row>
    <row r="2277" spans="1:7" ht="15" hidden="1" customHeight="1" x14ac:dyDescent="0.3">
      <c r="A2277" t="s">
        <v>226</v>
      </c>
      <c r="B2277" s="2">
        <v>45474</v>
      </c>
      <c r="C2277" s="52">
        <v>17361.900000000001</v>
      </c>
      <c r="D2277" s="48">
        <f>_xlfn.XLOOKUP(expected_production[[#This Row],[Site Name]],Table1[[Site Name ]],Table1[Commisioned Date],"")</f>
        <v>45992</v>
      </c>
      <c r="E2277" s="47">
        <f>IF(ISNUMBER(expected_production[[#This Row],[Commissioned Date]]),MAX(0,(expected_production[[#This Row],[Date]]-expected_production[[#This Row],[Commissioned Date]])/365.25),"")</f>
        <v>0</v>
      </c>
      <c r="F2277" s="49">
        <f>IF(expected_production[[#This Row],[Age (yrs)]]="",1,(1-DegradationRate)^expected_production[[#This Row],[Age (yrs)]])</f>
        <v>1</v>
      </c>
      <c r="G2277" s="52">
        <f>IF(expected_production[[#This Row],[Base Expected (kWh)]]="","",expected_production[[#This Row],[Base Expected (kWh)]]*expected_production[[#This Row],[Degradation Factor]])</f>
        <v>17361.900000000001</v>
      </c>
    </row>
    <row r="2278" spans="1:7" ht="15" hidden="1" customHeight="1" x14ac:dyDescent="0.3">
      <c r="A2278" t="s">
        <v>226</v>
      </c>
      <c r="B2278" s="2">
        <v>45505</v>
      </c>
      <c r="C2278" s="52">
        <v>19303.2</v>
      </c>
      <c r="D2278" s="48">
        <f>_xlfn.XLOOKUP(expected_production[[#This Row],[Site Name]],Table1[[Site Name ]],Table1[Commisioned Date],"")</f>
        <v>45992</v>
      </c>
      <c r="E2278" s="47">
        <f>IF(ISNUMBER(expected_production[[#This Row],[Commissioned Date]]),MAX(0,(expected_production[[#This Row],[Date]]-expected_production[[#This Row],[Commissioned Date]])/365.25),"")</f>
        <v>0</v>
      </c>
      <c r="F2278" s="49">
        <f>IF(expected_production[[#This Row],[Age (yrs)]]="",1,(1-DegradationRate)^expected_production[[#This Row],[Age (yrs)]])</f>
        <v>1</v>
      </c>
      <c r="G2278" s="52">
        <f>IF(expected_production[[#This Row],[Base Expected (kWh)]]="","",expected_production[[#This Row],[Base Expected (kWh)]]*expected_production[[#This Row],[Degradation Factor]])</f>
        <v>19303.2</v>
      </c>
    </row>
    <row r="2279" spans="1:7" ht="15" hidden="1" customHeight="1" x14ac:dyDescent="0.3">
      <c r="A2279" t="s">
        <v>226</v>
      </c>
      <c r="B2279" s="2">
        <v>45536</v>
      </c>
      <c r="C2279" s="52">
        <v>18141.3</v>
      </c>
      <c r="D2279" s="48">
        <f>_xlfn.XLOOKUP(expected_production[[#This Row],[Site Name]],Table1[[Site Name ]],Table1[Commisioned Date],"")</f>
        <v>45992</v>
      </c>
      <c r="E2279" s="47">
        <f>IF(ISNUMBER(expected_production[[#This Row],[Commissioned Date]]),MAX(0,(expected_production[[#This Row],[Date]]-expected_production[[#This Row],[Commissioned Date]])/365.25),"")</f>
        <v>0</v>
      </c>
      <c r="F2279" s="49">
        <f>IF(expected_production[[#This Row],[Age (yrs)]]="",1,(1-DegradationRate)^expected_production[[#This Row],[Age (yrs)]])</f>
        <v>1</v>
      </c>
      <c r="G2279" s="52">
        <f>IF(expected_production[[#This Row],[Base Expected (kWh)]]="","",expected_production[[#This Row],[Base Expected (kWh)]]*expected_production[[#This Row],[Degradation Factor]])</f>
        <v>18141.3</v>
      </c>
    </row>
    <row r="2280" spans="1:7" ht="15" hidden="1" customHeight="1" x14ac:dyDescent="0.3">
      <c r="A2280" t="s">
        <v>226</v>
      </c>
      <c r="B2280" s="2">
        <v>45566</v>
      </c>
      <c r="C2280" s="52">
        <v>22548.6</v>
      </c>
      <c r="D2280" s="48">
        <f>_xlfn.XLOOKUP(expected_production[[#This Row],[Site Name]],Table1[[Site Name ]],Table1[Commisioned Date],"")</f>
        <v>45992</v>
      </c>
      <c r="E2280" s="47">
        <f>IF(ISNUMBER(expected_production[[#This Row],[Commissioned Date]]),MAX(0,(expected_production[[#This Row],[Date]]-expected_production[[#This Row],[Commissioned Date]])/365.25),"")</f>
        <v>0</v>
      </c>
      <c r="F2280" s="49">
        <f>IF(expected_production[[#This Row],[Age (yrs)]]="",1,(1-DegradationRate)^expected_production[[#This Row],[Age (yrs)]])</f>
        <v>1</v>
      </c>
      <c r="G2280" s="52">
        <f>IF(expected_production[[#This Row],[Base Expected (kWh)]]="","",expected_production[[#This Row],[Base Expected (kWh)]]*expected_production[[#This Row],[Degradation Factor]])</f>
        <v>22548.6</v>
      </c>
    </row>
    <row r="2281" spans="1:7" ht="15" hidden="1" customHeight="1" x14ac:dyDescent="0.3">
      <c r="A2281" t="s">
        <v>226</v>
      </c>
      <c r="B2281" s="2">
        <v>45597</v>
      </c>
      <c r="C2281" s="52">
        <v>22923.9</v>
      </c>
      <c r="D2281" s="48">
        <f>_xlfn.XLOOKUP(expected_production[[#This Row],[Site Name]],Table1[[Site Name ]],Table1[Commisioned Date],"")</f>
        <v>45992</v>
      </c>
      <c r="E2281" s="47">
        <f>IF(ISNUMBER(expected_production[[#This Row],[Commissioned Date]]),MAX(0,(expected_production[[#This Row],[Date]]-expected_production[[#This Row],[Commissioned Date]])/365.25),"")</f>
        <v>0</v>
      </c>
      <c r="F2281" s="49">
        <f>IF(expected_production[[#This Row],[Age (yrs)]]="",1,(1-DegradationRate)^expected_production[[#This Row],[Age (yrs)]])</f>
        <v>1</v>
      </c>
      <c r="G2281" s="52">
        <f>IF(expected_production[[#This Row],[Base Expected (kWh)]]="","",expected_production[[#This Row],[Base Expected (kWh)]]*expected_production[[#This Row],[Degradation Factor]])</f>
        <v>22923.9</v>
      </c>
    </row>
    <row r="2282" spans="1:7" ht="15" hidden="1" customHeight="1" x14ac:dyDescent="0.3">
      <c r="A2282" t="s">
        <v>226</v>
      </c>
      <c r="B2282" s="2">
        <v>45627</v>
      </c>
      <c r="C2282" s="52">
        <v>28392.3</v>
      </c>
      <c r="D2282" s="48">
        <f>_xlfn.XLOOKUP(expected_production[[#This Row],[Site Name]],Table1[[Site Name ]],Table1[Commisioned Date],"")</f>
        <v>45992</v>
      </c>
      <c r="E2282" s="47">
        <f>IF(ISNUMBER(expected_production[[#This Row],[Commissioned Date]]),MAX(0,(expected_production[[#This Row],[Date]]-expected_production[[#This Row],[Commissioned Date]])/365.25),"")</f>
        <v>0</v>
      </c>
      <c r="F2282" s="49">
        <f>IF(expected_production[[#This Row],[Age (yrs)]]="",1,(1-DegradationRate)^expected_production[[#This Row],[Age (yrs)]])</f>
        <v>1</v>
      </c>
      <c r="G2282" s="52">
        <f>IF(expected_production[[#This Row],[Base Expected (kWh)]]="","",expected_production[[#This Row],[Base Expected (kWh)]]*expected_production[[#This Row],[Degradation Factor]])</f>
        <v>28392.3</v>
      </c>
    </row>
    <row r="2283" spans="1:7" ht="15" hidden="1" customHeight="1" x14ac:dyDescent="0.3">
      <c r="A2283" t="s">
        <v>226</v>
      </c>
      <c r="B2283" s="2">
        <v>45658</v>
      </c>
      <c r="C2283" s="52">
        <v>30721.5</v>
      </c>
      <c r="D2283" s="48">
        <f>_xlfn.XLOOKUP(expected_production[[#This Row],[Site Name]],Table1[[Site Name ]],Table1[Commisioned Date],"")</f>
        <v>45992</v>
      </c>
      <c r="E2283" s="47">
        <f>IF(ISNUMBER(expected_production[[#This Row],[Commissioned Date]]),MAX(0,(expected_production[[#This Row],[Date]]-expected_production[[#This Row],[Commissioned Date]])/365.25),"")</f>
        <v>0</v>
      </c>
      <c r="F2283" s="49">
        <f>IF(expected_production[[#This Row],[Age (yrs)]]="",1,(1-DegradationRate)^expected_production[[#This Row],[Age (yrs)]])</f>
        <v>1</v>
      </c>
      <c r="G2283" s="52">
        <f>IF(expected_production[[#This Row],[Base Expected (kWh)]]="","",expected_production[[#This Row],[Base Expected (kWh)]]*expected_production[[#This Row],[Degradation Factor]])</f>
        <v>30721.5</v>
      </c>
    </row>
    <row r="2284" spans="1:7" ht="15" hidden="1" customHeight="1" x14ac:dyDescent="0.3">
      <c r="A2284" t="s">
        <v>226</v>
      </c>
      <c r="B2284" s="2">
        <v>45689</v>
      </c>
      <c r="C2284" s="52">
        <v>24282.9</v>
      </c>
      <c r="D2284" s="48">
        <f>_xlfn.XLOOKUP(expected_production[[#This Row],[Site Name]],Table1[[Site Name ]],Table1[Commisioned Date],"")</f>
        <v>45992</v>
      </c>
      <c r="E2284" s="47">
        <f>IF(ISNUMBER(expected_production[[#This Row],[Commissioned Date]]),MAX(0,(expected_production[[#This Row],[Date]]-expected_production[[#This Row],[Commissioned Date]])/365.25),"")</f>
        <v>0</v>
      </c>
      <c r="F2284" s="49">
        <f>IF(expected_production[[#This Row],[Age (yrs)]]="",1,(1-DegradationRate)^expected_production[[#This Row],[Age (yrs)]])</f>
        <v>1</v>
      </c>
      <c r="G2284" s="52">
        <f>IF(expected_production[[#This Row],[Base Expected (kWh)]]="","",expected_production[[#This Row],[Base Expected (kWh)]]*expected_production[[#This Row],[Degradation Factor]])</f>
        <v>24282.9</v>
      </c>
    </row>
    <row r="2285" spans="1:7" ht="15" hidden="1" customHeight="1" x14ac:dyDescent="0.3">
      <c r="A2285" t="s">
        <v>226</v>
      </c>
      <c r="B2285" s="2">
        <v>45717</v>
      </c>
      <c r="C2285" s="52">
        <v>24146.1</v>
      </c>
      <c r="D2285" s="48">
        <f>_xlfn.XLOOKUP(expected_production[[#This Row],[Site Name]],Table1[[Site Name ]],Table1[Commisioned Date],"")</f>
        <v>45992</v>
      </c>
      <c r="E2285" s="47">
        <f>IF(ISNUMBER(expected_production[[#This Row],[Commissioned Date]]),MAX(0,(expected_production[[#This Row],[Date]]-expected_production[[#This Row],[Commissioned Date]])/365.25),"")</f>
        <v>0</v>
      </c>
      <c r="F2285" s="49">
        <f>IF(expected_production[[#This Row],[Age (yrs)]]="",1,(1-DegradationRate)^expected_production[[#This Row],[Age (yrs)]])</f>
        <v>1</v>
      </c>
      <c r="G2285" s="52">
        <f>IF(expected_production[[#This Row],[Base Expected (kWh)]]="","",expected_production[[#This Row],[Base Expected (kWh)]]*expected_production[[#This Row],[Degradation Factor]])</f>
        <v>24146.1</v>
      </c>
    </row>
    <row r="2286" spans="1:7" ht="15" hidden="1" customHeight="1" x14ac:dyDescent="0.3">
      <c r="A2286" t="s">
        <v>226</v>
      </c>
      <c r="B2286" s="2">
        <v>45748</v>
      </c>
      <c r="C2286" s="52">
        <v>18389.7</v>
      </c>
      <c r="D2286" s="48">
        <f>_xlfn.XLOOKUP(expected_production[[#This Row],[Site Name]],Table1[[Site Name ]],Table1[Commisioned Date],"")</f>
        <v>45992</v>
      </c>
      <c r="E2286" s="47">
        <f>IF(ISNUMBER(expected_production[[#This Row],[Commissioned Date]]),MAX(0,(expected_production[[#This Row],[Date]]-expected_production[[#This Row],[Commissioned Date]])/365.25),"")</f>
        <v>0</v>
      </c>
      <c r="F2286" s="49">
        <f>IF(expected_production[[#This Row],[Age (yrs)]]="",1,(1-DegradationRate)^expected_production[[#This Row],[Age (yrs)]])</f>
        <v>1</v>
      </c>
      <c r="G2286" s="52">
        <f>IF(expected_production[[#This Row],[Base Expected (kWh)]]="","",expected_production[[#This Row],[Base Expected (kWh)]]*expected_production[[#This Row],[Degradation Factor]])</f>
        <v>18389.7</v>
      </c>
    </row>
    <row r="2287" spans="1:7" ht="15" hidden="1" customHeight="1" x14ac:dyDescent="0.3">
      <c r="A2287" t="s">
        <v>226</v>
      </c>
      <c r="B2287" s="2">
        <v>45778</v>
      </c>
      <c r="C2287" s="52">
        <v>18961.2</v>
      </c>
      <c r="D2287" s="48">
        <f>_xlfn.XLOOKUP(expected_production[[#This Row],[Site Name]],Table1[[Site Name ]],Table1[Commisioned Date],"")</f>
        <v>45992</v>
      </c>
      <c r="E2287" s="47">
        <f>IF(ISNUMBER(expected_production[[#This Row],[Commissioned Date]]),MAX(0,(expected_production[[#This Row],[Date]]-expected_production[[#This Row],[Commissioned Date]])/365.25),"")</f>
        <v>0</v>
      </c>
      <c r="F2287" s="49">
        <f>IF(expected_production[[#This Row],[Age (yrs)]]="",1,(1-DegradationRate)^expected_production[[#This Row],[Age (yrs)]])</f>
        <v>1</v>
      </c>
      <c r="G2287" s="52">
        <f>IF(expected_production[[#This Row],[Base Expected (kWh)]]="","",expected_production[[#This Row],[Base Expected (kWh)]]*expected_production[[#This Row],[Degradation Factor]])</f>
        <v>18961.2</v>
      </c>
    </row>
    <row r="2288" spans="1:7" ht="15" hidden="1" customHeight="1" x14ac:dyDescent="0.3">
      <c r="A2288" t="s">
        <v>226</v>
      </c>
      <c r="B2288" s="2">
        <v>45809</v>
      </c>
      <c r="C2288" s="52">
        <v>15280.2</v>
      </c>
      <c r="D2288" s="48">
        <f>_xlfn.XLOOKUP(expected_production[[#This Row],[Site Name]],Table1[[Site Name ]],Table1[Commisioned Date],"")</f>
        <v>45992</v>
      </c>
      <c r="E2288" s="47">
        <f>IF(ISNUMBER(expected_production[[#This Row],[Commissioned Date]]),MAX(0,(expected_production[[#This Row],[Date]]-expected_production[[#This Row],[Commissioned Date]])/365.25),"")</f>
        <v>0</v>
      </c>
      <c r="F2288" s="49">
        <f>IF(expected_production[[#This Row],[Age (yrs)]]="",1,(1-DegradationRate)^expected_production[[#This Row],[Age (yrs)]])</f>
        <v>1</v>
      </c>
      <c r="G2288" s="52">
        <f>IF(expected_production[[#This Row],[Base Expected (kWh)]]="","",expected_production[[#This Row],[Base Expected (kWh)]]*expected_production[[#This Row],[Degradation Factor]])</f>
        <v>15280.2</v>
      </c>
    </row>
    <row r="2289" spans="1:7" ht="15" hidden="1" customHeight="1" x14ac:dyDescent="0.3">
      <c r="A2289" t="s">
        <v>226</v>
      </c>
      <c r="B2289" s="2">
        <v>45839</v>
      </c>
      <c r="C2289" s="52">
        <v>17361.900000000001</v>
      </c>
      <c r="D2289" s="48">
        <f>_xlfn.XLOOKUP(expected_production[[#This Row],[Site Name]],Table1[[Site Name ]],Table1[Commisioned Date],"")</f>
        <v>45992</v>
      </c>
      <c r="E2289" s="47">
        <f>IF(ISNUMBER(expected_production[[#This Row],[Commissioned Date]]),MAX(0,(expected_production[[#This Row],[Date]]-expected_production[[#This Row],[Commissioned Date]])/365.25),"")</f>
        <v>0</v>
      </c>
      <c r="F2289" s="49">
        <f>IF(expected_production[[#This Row],[Age (yrs)]]="",1,(1-DegradationRate)^expected_production[[#This Row],[Age (yrs)]])</f>
        <v>1</v>
      </c>
      <c r="G2289" s="52">
        <f>IF(expected_production[[#This Row],[Base Expected (kWh)]]="","",expected_production[[#This Row],[Base Expected (kWh)]]*expected_production[[#This Row],[Degradation Factor]])</f>
        <v>17361.900000000001</v>
      </c>
    </row>
    <row r="2290" spans="1:7" ht="15" hidden="1" customHeight="1" x14ac:dyDescent="0.3">
      <c r="A2290" t="s">
        <v>226</v>
      </c>
      <c r="B2290" s="2">
        <v>45870</v>
      </c>
      <c r="C2290" s="52">
        <v>19303.2</v>
      </c>
      <c r="D2290" s="48">
        <f>_xlfn.XLOOKUP(expected_production[[#This Row],[Site Name]],Table1[[Site Name ]],Table1[Commisioned Date],"")</f>
        <v>45992</v>
      </c>
      <c r="E2290" s="47">
        <f>IF(ISNUMBER(expected_production[[#This Row],[Commissioned Date]]),MAX(0,(expected_production[[#This Row],[Date]]-expected_production[[#This Row],[Commissioned Date]])/365.25),"")</f>
        <v>0</v>
      </c>
      <c r="F2290" s="49">
        <f>IF(expected_production[[#This Row],[Age (yrs)]]="",1,(1-DegradationRate)^expected_production[[#This Row],[Age (yrs)]])</f>
        <v>1</v>
      </c>
      <c r="G2290" s="52">
        <f>IF(expected_production[[#This Row],[Base Expected (kWh)]]="","",expected_production[[#This Row],[Base Expected (kWh)]]*expected_production[[#This Row],[Degradation Factor]])</f>
        <v>19303.2</v>
      </c>
    </row>
    <row r="2291" spans="1:7" ht="15" hidden="1" customHeight="1" x14ac:dyDescent="0.3">
      <c r="A2291" t="s">
        <v>226</v>
      </c>
      <c r="B2291" s="2">
        <v>45901</v>
      </c>
      <c r="C2291" s="52">
        <v>18141.3</v>
      </c>
      <c r="D2291" s="48">
        <f>_xlfn.XLOOKUP(expected_production[[#This Row],[Site Name]],Table1[[Site Name ]],Table1[Commisioned Date],"")</f>
        <v>45992</v>
      </c>
      <c r="E2291" s="47">
        <f>IF(ISNUMBER(expected_production[[#This Row],[Commissioned Date]]),MAX(0,(expected_production[[#This Row],[Date]]-expected_production[[#This Row],[Commissioned Date]])/365.25),"")</f>
        <v>0</v>
      </c>
      <c r="F2291" s="49">
        <f>IF(expected_production[[#This Row],[Age (yrs)]]="",1,(1-DegradationRate)^expected_production[[#This Row],[Age (yrs)]])</f>
        <v>1</v>
      </c>
      <c r="G2291" s="52">
        <f>IF(expected_production[[#This Row],[Base Expected (kWh)]]="","",expected_production[[#This Row],[Base Expected (kWh)]]*expected_production[[#This Row],[Degradation Factor]])</f>
        <v>18141.3</v>
      </c>
    </row>
    <row r="2292" spans="1:7" ht="15" hidden="1" customHeight="1" x14ac:dyDescent="0.3">
      <c r="A2292" t="s">
        <v>226</v>
      </c>
      <c r="B2292" s="2">
        <v>45931</v>
      </c>
      <c r="C2292" s="52">
        <v>22548.6</v>
      </c>
      <c r="D2292" s="48">
        <f>_xlfn.XLOOKUP(expected_production[[#This Row],[Site Name]],Table1[[Site Name ]],Table1[Commisioned Date],"")</f>
        <v>45992</v>
      </c>
      <c r="E2292" s="47">
        <f>IF(ISNUMBER(expected_production[[#This Row],[Commissioned Date]]),MAX(0,(expected_production[[#This Row],[Date]]-expected_production[[#This Row],[Commissioned Date]])/365.25),"")</f>
        <v>0</v>
      </c>
      <c r="F2292" s="49">
        <f>IF(expected_production[[#This Row],[Age (yrs)]]="",1,(1-DegradationRate)^expected_production[[#This Row],[Age (yrs)]])</f>
        <v>1</v>
      </c>
      <c r="G2292" s="52">
        <f>IF(expected_production[[#This Row],[Base Expected (kWh)]]="","",expected_production[[#This Row],[Base Expected (kWh)]]*expected_production[[#This Row],[Degradation Factor]])</f>
        <v>22548.6</v>
      </c>
    </row>
    <row r="2293" spans="1:7" ht="15" hidden="1" customHeight="1" x14ac:dyDescent="0.3">
      <c r="A2293" t="s">
        <v>226</v>
      </c>
      <c r="B2293" s="2">
        <v>45962</v>
      </c>
      <c r="C2293" s="52">
        <v>22923.9</v>
      </c>
      <c r="D2293" s="48">
        <f>_xlfn.XLOOKUP(expected_production[[#This Row],[Site Name]],Table1[[Site Name ]],Table1[Commisioned Date],"")</f>
        <v>45992</v>
      </c>
      <c r="E2293" s="47">
        <f>IF(ISNUMBER(expected_production[[#This Row],[Commissioned Date]]),MAX(0,(expected_production[[#This Row],[Date]]-expected_production[[#This Row],[Commissioned Date]])/365.25),"")</f>
        <v>0</v>
      </c>
      <c r="F2293" s="49">
        <f>IF(expected_production[[#This Row],[Age (yrs)]]="",1,(1-DegradationRate)^expected_production[[#This Row],[Age (yrs)]])</f>
        <v>1</v>
      </c>
      <c r="G2293" s="52">
        <f>IF(expected_production[[#This Row],[Base Expected (kWh)]]="","",expected_production[[#This Row],[Base Expected (kWh)]]*expected_production[[#This Row],[Degradation Factor]])</f>
        <v>22923.9</v>
      </c>
    </row>
    <row r="2294" spans="1:7" ht="15" hidden="1" customHeight="1" x14ac:dyDescent="0.3">
      <c r="A2294" t="s">
        <v>226</v>
      </c>
      <c r="B2294" s="2">
        <v>45992</v>
      </c>
      <c r="C2294" s="52">
        <v>28392.3</v>
      </c>
      <c r="D2294" s="48">
        <f>_xlfn.XLOOKUP(expected_production[[#This Row],[Site Name]],Table1[[Site Name ]],Table1[Commisioned Date],"")</f>
        <v>45992</v>
      </c>
      <c r="E2294" s="47">
        <f>IF(ISNUMBER(expected_production[[#This Row],[Commissioned Date]]),MAX(0,(expected_production[[#This Row],[Date]]-expected_production[[#This Row],[Commissioned Date]])/365.25),"")</f>
        <v>0</v>
      </c>
      <c r="F2294" s="49">
        <f>IF(expected_production[[#This Row],[Age (yrs)]]="",1,(1-DegradationRate)^expected_production[[#This Row],[Age (yrs)]])</f>
        <v>1</v>
      </c>
      <c r="G2294" s="52">
        <f>IF(expected_production[[#This Row],[Base Expected (kWh)]]="","",expected_production[[#This Row],[Base Expected (kWh)]]*expected_production[[#This Row],[Degradation Factor]])</f>
        <v>28392.3</v>
      </c>
    </row>
    <row r="2295" spans="1:7" ht="15" hidden="1" customHeight="1" x14ac:dyDescent="0.3">
      <c r="A2295" t="s">
        <v>226</v>
      </c>
      <c r="B2295" s="2">
        <v>46023</v>
      </c>
      <c r="C2295" s="52">
        <v>30721.5</v>
      </c>
      <c r="D2295" s="48">
        <f>_xlfn.XLOOKUP(expected_production[[#This Row],[Site Name]],Table1[[Site Name ]],Table1[Commisioned Date],"")</f>
        <v>45992</v>
      </c>
      <c r="E2295" s="47">
        <f>IF(ISNUMBER(expected_production[[#This Row],[Commissioned Date]]),MAX(0,(expected_production[[#This Row],[Date]]-expected_production[[#This Row],[Commissioned Date]])/365.25),"")</f>
        <v>8.4873374401095145E-2</v>
      </c>
      <c r="F2295" s="49">
        <f>IF(expected_production[[#This Row],[Age (yrs)]]="",1,(1-DegradationRate)^expected_production[[#This Row],[Age (yrs)]])</f>
        <v>0.99940397491998956</v>
      </c>
      <c r="G2295" s="52">
        <f>IF(expected_production[[#This Row],[Base Expected (kWh)]]="","",expected_production[[#This Row],[Base Expected (kWh)]]*expected_production[[#This Row],[Degradation Factor]])</f>
        <v>30703.189215504459</v>
      </c>
    </row>
    <row r="2296" spans="1:7" ht="15" hidden="1" customHeight="1" x14ac:dyDescent="0.3">
      <c r="A2296" t="s">
        <v>226</v>
      </c>
      <c r="B2296" s="2">
        <v>46054</v>
      </c>
      <c r="C2296" s="52">
        <v>24282.9</v>
      </c>
      <c r="D2296" s="48">
        <f>_xlfn.XLOOKUP(expected_production[[#This Row],[Site Name]],Table1[[Site Name ]],Table1[Commisioned Date],"")</f>
        <v>45992</v>
      </c>
      <c r="E2296" s="47">
        <f>IF(ISNUMBER(expected_production[[#This Row],[Commissioned Date]]),MAX(0,(expected_production[[#This Row],[Date]]-expected_production[[#This Row],[Commissioned Date]])/365.25),"")</f>
        <v>0.16974674880219029</v>
      </c>
      <c r="F2296" s="49">
        <f>IF(expected_production[[#This Row],[Age (yrs)]]="",1,(1-DegradationRate)^expected_production[[#This Row],[Age (yrs)]])</f>
        <v>0.99880830508587504</v>
      </c>
      <c r="G2296" s="52">
        <f>IF(expected_production[[#This Row],[Base Expected (kWh)]]="","",expected_production[[#This Row],[Base Expected (kWh)]]*expected_production[[#This Row],[Degradation Factor]])</f>
        <v>24253.962191569797</v>
      </c>
    </row>
    <row r="2297" spans="1:7" ht="15" hidden="1" customHeight="1" x14ac:dyDescent="0.3">
      <c r="A2297" t="s">
        <v>226</v>
      </c>
      <c r="B2297" s="2">
        <v>46082</v>
      </c>
      <c r="C2297" s="52">
        <v>24146.1</v>
      </c>
      <c r="D2297" s="48">
        <f>_xlfn.XLOOKUP(expected_production[[#This Row],[Site Name]],Table1[[Site Name ]],Table1[Commisioned Date],"")</f>
        <v>45992</v>
      </c>
      <c r="E2297" s="47">
        <f>IF(ISNUMBER(expected_production[[#This Row],[Commissioned Date]]),MAX(0,(expected_production[[#This Row],[Date]]-expected_production[[#This Row],[Commissioned Date]])/365.25),"")</f>
        <v>0.24640657084188911</v>
      </c>
      <c r="F2297" s="49">
        <f>IF(expected_production[[#This Row],[Age (yrs)]]="",1,(1-DegradationRate)^expected_production[[#This Row],[Age (yrs)]])</f>
        <v>0.99827058588488082</v>
      </c>
      <c r="G2297" s="52">
        <f>IF(expected_production[[#This Row],[Base Expected (kWh)]]="","",expected_production[[#This Row],[Base Expected (kWh)]]*expected_production[[#This Row],[Degradation Factor]])</f>
        <v>24104.341393834919</v>
      </c>
    </row>
    <row r="2298" spans="1:7" ht="15" hidden="1" customHeight="1" x14ac:dyDescent="0.3">
      <c r="A2298" t="s">
        <v>226</v>
      </c>
      <c r="B2298" s="2">
        <v>46113</v>
      </c>
      <c r="C2298" s="52">
        <v>18389.7</v>
      </c>
      <c r="D2298" s="48">
        <f>_xlfn.XLOOKUP(expected_production[[#This Row],[Site Name]],Table1[[Site Name ]],Table1[Commisioned Date],"")</f>
        <v>45992</v>
      </c>
      <c r="E2298" s="47">
        <f>IF(ISNUMBER(expected_production[[#This Row],[Commissioned Date]]),MAX(0,(expected_production[[#This Row],[Date]]-expected_production[[#This Row],[Commissioned Date]])/365.25),"")</f>
        <v>0.33127994524298426</v>
      </c>
      <c r="F2298" s="49">
        <f>IF(expected_production[[#This Row],[Age (yrs)]]="",1,(1-DegradationRate)^expected_production[[#This Row],[Age (yrs)]])</f>
        <v>0.99767559157905672</v>
      </c>
      <c r="G2298" s="52">
        <f>IF(expected_production[[#This Row],[Base Expected (kWh)]]="","",expected_production[[#This Row],[Base Expected (kWh)]]*expected_production[[#This Row],[Degradation Factor]])</f>
        <v>18346.95482646138</v>
      </c>
    </row>
    <row r="2299" spans="1:7" ht="15" hidden="1" customHeight="1" x14ac:dyDescent="0.3">
      <c r="A2299" t="s">
        <v>226</v>
      </c>
      <c r="B2299" s="2">
        <v>46143</v>
      </c>
      <c r="C2299" s="52">
        <v>18961.2</v>
      </c>
      <c r="D2299" s="48">
        <f>_xlfn.XLOOKUP(expected_production[[#This Row],[Site Name]],Table1[[Site Name ]],Table1[Commisioned Date],"")</f>
        <v>45992</v>
      </c>
      <c r="E2299" s="47">
        <f>IF(ISNUMBER(expected_production[[#This Row],[Commissioned Date]]),MAX(0,(expected_production[[#This Row],[Date]]-expected_production[[#This Row],[Commissioned Date]])/365.25),"")</f>
        <v>0.4134154688569473</v>
      </c>
      <c r="F2299" s="49">
        <f>IF(expected_production[[#This Row],[Age (yrs)]]="",1,(1-DegradationRate)^expected_production[[#This Row],[Age (yrs)]])</f>
        <v>0.99710012829655126</v>
      </c>
      <c r="G2299" s="52">
        <f>IF(expected_production[[#This Row],[Base Expected (kWh)]]="","",expected_production[[#This Row],[Base Expected (kWh)]]*expected_production[[#This Row],[Degradation Factor]])</f>
        <v>18906.21495265657</v>
      </c>
    </row>
    <row r="2300" spans="1:7" ht="15" hidden="1" customHeight="1" x14ac:dyDescent="0.3">
      <c r="A2300" t="s">
        <v>226</v>
      </c>
      <c r="B2300" s="2">
        <v>46174</v>
      </c>
      <c r="C2300" s="52">
        <v>15280.2</v>
      </c>
      <c r="D2300" s="48">
        <f>_xlfn.XLOOKUP(expected_production[[#This Row],[Site Name]],Table1[[Site Name ]],Table1[Commisioned Date],"")</f>
        <v>45992</v>
      </c>
      <c r="E2300" s="47">
        <f>IF(ISNUMBER(expected_production[[#This Row],[Commissioned Date]]),MAX(0,(expected_production[[#This Row],[Date]]-expected_production[[#This Row],[Commissioned Date]])/365.25),"")</f>
        <v>0.49828884325804246</v>
      </c>
      <c r="F2300" s="49">
        <f>IF(expected_production[[#This Row],[Age (yrs)]]="",1,(1-DegradationRate)^expected_production[[#This Row],[Age (yrs)]])</f>
        <v>0.99650583161280493</v>
      </c>
      <c r="G2300" s="52">
        <f>IF(expected_production[[#This Row],[Base Expected (kWh)]]="","",expected_production[[#This Row],[Base Expected (kWh)]]*expected_production[[#This Row],[Degradation Factor]])</f>
        <v>15226.808408209983</v>
      </c>
    </row>
    <row r="2301" spans="1:7" ht="15" hidden="1" customHeight="1" x14ac:dyDescent="0.3">
      <c r="A2301" t="s">
        <v>226</v>
      </c>
      <c r="B2301" s="2">
        <v>46204</v>
      </c>
      <c r="C2301" s="52">
        <v>17361.900000000001</v>
      </c>
      <c r="D2301" s="48">
        <f>_xlfn.XLOOKUP(expected_production[[#This Row],[Site Name]],Table1[[Site Name ]],Table1[Commisioned Date],"")</f>
        <v>45992</v>
      </c>
      <c r="E2301" s="47">
        <f>IF(ISNUMBER(expected_production[[#This Row],[Commissioned Date]]),MAX(0,(expected_production[[#This Row],[Date]]-expected_production[[#This Row],[Commissioned Date]])/365.25),"")</f>
        <v>0.58042436687200549</v>
      </c>
      <c r="F2301" s="49">
        <f>IF(expected_production[[#This Row],[Age (yrs)]]="",1,(1-DegradationRate)^expected_production[[#This Row],[Age (yrs)]])</f>
        <v>0.99593104305253943</v>
      </c>
      <c r="G2301" s="52">
        <f>IF(expected_production[[#This Row],[Base Expected (kWh)]]="","",expected_production[[#This Row],[Base Expected (kWh)]]*expected_production[[#This Row],[Degradation Factor]])</f>
        <v>17291.255176373885</v>
      </c>
    </row>
    <row r="2302" spans="1:7" ht="15" hidden="1" customHeight="1" x14ac:dyDescent="0.3">
      <c r="A2302" t="s">
        <v>226</v>
      </c>
      <c r="B2302" s="2">
        <v>46235</v>
      </c>
      <c r="C2302" s="52">
        <v>19303.2</v>
      </c>
      <c r="D2302" s="48">
        <f>_xlfn.XLOOKUP(expected_production[[#This Row],[Site Name]],Table1[[Site Name ]],Table1[Commisioned Date],"")</f>
        <v>45992</v>
      </c>
      <c r="E2302" s="47">
        <f>IF(ISNUMBER(expected_production[[#This Row],[Commissioned Date]]),MAX(0,(expected_production[[#This Row],[Date]]-expected_production[[#This Row],[Commissioned Date]])/365.25),"")</f>
        <v>0.6652977412731006</v>
      </c>
      <c r="F2302" s="49">
        <f>IF(expected_production[[#This Row],[Age (yrs)]]="",1,(1-DegradationRate)^expected_production[[#This Row],[Age (yrs)]])</f>
        <v>0.99533744317291917</v>
      </c>
      <c r="G2302" s="52">
        <f>IF(expected_production[[#This Row],[Base Expected (kWh)]]="","",expected_production[[#This Row],[Base Expected (kWh)]]*expected_production[[#This Row],[Degradation Factor]])</f>
        <v>19213.197733055495</v>
      </c>
    </row>
    <row r="2303" spans="1:7" ht="15" hidden="1" customHeight="1" x14ac:dyDescent="0.3">
      <c r="A2303" t="s">
        <v>226</v>
      </c>
      <c r="B2303" s="2">
        <v>46266</v>
      </c>
      <c r="C2303" s="52">
        <v>18141.3</v>
      </c>
      <c r="D2303" s="48">
        <f>_xlfn.XLOOKUP(expected_production[[#This Row],[Site Name]],Table1[[Site Name ]],Table1[Commisioned Date],"")</f>
        <v>45992</v>
      </c>
      <c r="E2303" s="47">
        <f>IF(ISNUMBER(expected_production[[#This Row],[Commissioned Date]]),MAX(0,(expected_production[[#This Row],[Date]]-expected_production[[#This Row],[Commissioned Date]])/365.25),"")</f>
        <v>0.75017111567419581</v>
      </c>
      <c r="F2303" s="49">
        <f>IF(expected_production[[#This Row],[Age (yrs)]]="",1,(1-DegradationRate)^expected_production[[#This Row],[Age (yrs)]])</f>
        <v>0.99474419709371464</v>
      </c>
      <c r="G2303" s="52">
        <f>IF(expected_production[[#This Row],[Base Expected (kWh)]]="","",expected_production[[#This Row],[Base Expected (kWh)]]*expected_production[[#This Row],[Degradation Factor]])</f>
        <v>18045.952902736204</v>
      </c>
    </row>
    <row r="2304" spans="1:7" ht="15" hidden="1" customHeight="1" x14ac:dyDescent="0.3">
      <c r="A2304" t="s">
        <v>226</v>
      </c>
      <c r="B2304" s="2">
        <v>46296</v>
      </c>
      <c r="C2304" s="52">
        <v>22548.6</v>
      </c>
      <c r="D2304" s="48">
        <f>_xlfn.XLOOKUP(expected_production[[#This Row],[Site Name]],Table1[[Site Name ]],Table1[Commisioned Date],"")</f>
        <v>45992</v>
      </c>
      <c r="E2304" s="47">
        <f>IF(ISNUMBER(expected_production[[#This Row],[Commissioned Date]]),MAX(0,(expected_production[[#This Row],[Date]]-expected_production[[#This Row],[Commissioned Date]])/365.25),"")</f>
        <v>0.83230663928815884</v>
      </c>
      <c r="F2304" s="49">
        <f>IF(expected_production[[#This Row],[Age (yrs)]]="",1,(1-DegradationRate)^expected_production[[#This Row],[Age (yrs)]])</f>
        <v>0.99417042465130501</v>
      </c>
      <c r="G2304" s="52">
        <f>IF(expected_production[[#This Row],[Base Expected (kWh)]]="","",expected_production[[#This Row],[Base Expected (kWh)]]*expected_production[[#This Row],[Degradation Factor]])</f>
        <v>22417.151237292415</v>
      </c>
    </row>
    <row r="2305" spans="1:7" ht="15" hidden="1" customHeight="1" x14ac:dyDescent="0.3">
      <c r="A2305" t="s">
        <v>226</v>
      </c>
      <c r="B2305" s="2">
        <v>46327</v>
      </c>
      <c r="C2305" s="52">
        <v>22923.9</v>
      </c>
      <c r="D2305" s="48">
        <f>_xlfn.XLOOKUP(expected_production[[#This Row],[Site Name]],Table1[[Site Name ]],Table1[Commisioned Date],"")</f>
        <v>45992</v>
      </c>
      <c r="E2305" s="47">
        <f>IF(ISNUMBER(expected_production[[#This Row],[Commissioned Date]]),MAX(0,(expected_production[[#This Row],[Date]]-expected_production[[#This Row],[Commissioned Date]])/365.25),"")</f>
        <v>0.91718001368925395</v>
      </c>
      <c r="F2305" s="49">
        <f>IF(expected_production[[#This Row],[Age (yrs)]]="",1,(1-DegradationRate)^expected_production[[#This Row],[Age (yrs)]])</f>
        <v>0.99357787414440824</v>
      </c>
      <c r="G2305" s="52">
        <f>IF(expected_production[[#This Row],[Base Expected (kWh)]]="","",expected_production[[#This Row],[Base Expected (kWh)]]*expected_production[[#This Row],[Degradation Factor]])</f>
        <v>22776.679829099001</v>
      </c>
    </row>
    <row r="2306" spans="1:7" ht="15" hidden="1" customHeight="1" x14ac:dyDescent="0.3">
      <c r="A2306" t="s">
        <v>226</v>
      </c>
      <c r="B2306" s="2">
        <v>46357</v>
      </c>
      <c r="C2306" s="52">
        <v>28392.3</v>
      </c>
      <c r="D2306" s="48">
        <f>_xlfn.XLOOKUP(expected_production[[#This Row],[Site Name]],Table1[[Site Name ]],Table1[Commisioned Date],"")</f>
        <v>45992</v>
      </c>
      <c r="E2306" s="47">
        <f>IF(ISNUMBER(expected_production[[#This Row],[Commissioned Date]]),MAX(0,(expected_production[[#This Row],[Date]]-expected_production[[#This Row],[Commissioned Date]])/365.25),"")</f>
        <v>0.99931553730321698</v>
      </c>
      <c r="F2306" s="49">
        <f>IF(expected_production[[#This Row],[Age (yrs)]]="",1,(1-DegradationRate)^expected_production[[#This Row],[Age (yrs)]])</f>
        <v>0.99300477444175339</v>
      </c>
      <c r="G2306" s="52">
        <f>IF(expected_production[[#This Row],[Base Expected (kWh)]]="","",expected_production[[#This Row],[Base Expected (kWh)]]*expected_production[[#This Row],[Degradation Factor]])</f>
        <v>28193.689457382596</v>
      </c>
    </row>
    <row r="2307" spans="1:7" ht="15" hidden="1" customHeight="1" x14ac:dyDescent="0.3">
      <c r="A2307" t="s">
        <v>208</v>
      </c>
      <c r="B2307" s="2">
        <v>45292</v>
      </c>
      <c r="C2307" s="52">
        <v>18584.099999999999</v>
      </c>
      <c r="D2307" s="48">
        <f>_xlfn.XLOOKUP(expected_production[[#This Row],[Site Name]],Table1[[Site Name ]],Table1[Commisioned Date],"")</f>
        <v>45748</v>
      </c>
      <c r="E2307" s="47">
        <f>IF(ISNUMBER(expected_production[[#This Row],[Commissioned Date]]),MAX(0,(expected_production[[#This Row],[Date]]-expected_production[[#This Row],[Commissioned Date]])/365.25),"")</f>
        <v>0</v>
      </c>
      <c r="F2307" s="49">
        <f>IF(expected_production[[#This Row],[Age (yrs)]]="",1,(1-DegradationRate)^expected_production[[#This Row],[Age (yrs)]])</f>
        <v>1</v>
      </c>
      <c r="G2307" s="52">
        <f>IF(expected_production[[#This Row],[Base Expected (kWh)]]="","",expected_production[[#This Row],[Base Expected (kWh)]]*expected_production[[#This Row],[Degradation Factor]])</f>
        <v>18584.099999999999</v>
      </c>
    </row>
    <row r="2308" spans="1:7" ht="15" hidden="1" customHeight="1" x14ac:dyDescent="0.3">
      <c r="A2308" t="s">
        <v>208</v>
      </c>
      <c r="B2308" s="2">
        <v>45323</v>
      </c>
      <c r="C2308" s="52">
        <v>16101.9</v>
      </c>
      <c r="D2308" s="48">
        <f>_xlfn.XLOOKUP(expected_production[[#This Row],[Site Name]],Table1[[Site Name ]],Table1[Commisioned Date],"")</f>
        <v>45748</v>
      </c>
      <c r="E2308" s="47">
        <f>IF(ISNUMBER(expected_production[[#This Row],[Commissioned Date]]),MAX(0,(expected_production[[#This Row],[Date]]-expected_production[[#This Row],[Commissioned Date]])/365.25),"")</f>
        <v>0</v>
      </c>
      <c r="F2308" s="49">
        <f>IF(expected_production[[#This Row],[Age (yrs)]]="",1,(1-DegradationRate)^expected_production[[#This Row],[Age (yrs)]])</f>
        <v>1</v>
      </c>
      <c r="G2308" s="52">
        <f>IF(expected_production[[#This Row],[Base Expected (kWh)]]="","",expected_production[[#This Row],[Base Expected (kWh)]]*expected_production[[#This Row],[Degradation Factor]])</f>
        <v>16101.9</v>
      </c>
    </row>
    <row r="2309" spans="1:7" ht="15" hidden="1" customHeight="1" x14ac:dyDescent="0.3">
      <c r="A2309" t="s">
        <v>208</v>
      </c>
      <c r="B2309" s="2">
        <v>45352</v>
      </c>
      <c r="C2309" s="52">
        <v>15901.2</v>
      </c>
      <c r="D2309" s="48">
        <f>_xlfn.XLOOKUP(expected_production[[#This Row],[Site Name]],Table1[[Site Name ]],Table1[Commisioned Date],"")</f>
        <v>45748</v>
      </c>
      <c r="E2309" s="47">
        <f>IF(ISNUMBER(expected_production[[#This Row],[Commissioned Date]]),MAX(0,(expected_production[[#This Row],[Date]]-expected_production[[#This Row],[Commissioned Date]])/365.25),"")</f>
        <v>0</v>
      </c>
      <c r="F2309" s="49">
        <f>IF(expected_production[[#This Row],[Age (yrs)]]="",1,(1-DegradationRate)^expected_production[[#This Row],[Age (yrs)]])</f>
        <v>1</v>
      </c>
      <c r="G2309" s="52">
        <f>IF(expected_production[[#This Row],[Base Expected (kWh)]]="","",expected_production[[#This Row],[Base Expected (kWh)]]*expected_production[[#This Row],[Degradation Factor]])</f>
        <v>15901.2</v>
      </c>
    </row>
    <row r="2310" spans="1:7" ht="15" hidden="1" customHeight="1" x14ac:dyDescent="0.3">
      <c r="A2310" t="s">
        <v>208</v>
      </c>
      <c r="B2310" s="2">
        <v>45383</v>
      </c>
      <c r="C2310" s="52">
        <v>13660.2</v>
      </c>
      <c r="D2310" s="48">
        <f>_xlfn.XLOOKUP(expected_production[[#This Row],[Site Name]],Table1[[Site Name ]],Table1[Commisioned Date],"")</f>
        <v>45748</v>
      </c>
      <c r="E2310" s="47">
        <f>IF(ISNUMBER(expected_production[[#This Row],[Commissioned Date]]),MAX(0,(expected_production[[#This Row],[Date]]-expected_production[[#This Row],[Commissioned Date]])/365.25),"")</f>
        <v>0</v>
      </c>
      <c r="F2310" s="49">
        <f>IF(expected_production[[#This Row],[Age (yrs)]]="",1,(1-DegradationRate)^expected_production[[#This Row],[Age (yrs)]])</f>
        <v>1</v>
      </c>
      <c r="G2310" s="52">
        <f>IF(expected_production[[#This Row],[Base Expected (kWh)]]="","",expected_production[[#This Row],[Base Expected (kWh)]]*expected_production[[#This Row],[Degradation Factor]])</f>
        <v>13660.2</v>
      </c>
    </row>
    <row r="2311" spans="1:7" ht="15" hidden="1" customHeight="1" x14ac:dyDescent="0.3">
      <c r="A2311" t="s">
        <v>208</v>
      </c>
      <c r="B2311" s="2">
        <v>45413</v>
      </c>
      <c r="C2311" s="52">
        <v>12620.7</v>
      </c>
      <c r="D2311" s="48">
        <f>_xlfn.XLOOKUP(expected_production[[#This Row],[Site Name]],Table1[[Site Name ]],Table1[Commisioned Date],"")</f>
        <v>45748</v>
      </c>
      <c r="E2311" s="47">
        <f>IF(ISNUMBER(expected_production[[#This Row],[Commissioned Date]]),MAX(0,(expected_production[[#This Row],[Date]]-expected_production[[#This Row],[Commissioned Date]])/365.25),"")</f>
        <v>0</v>
      </c>
      <c r="F2311" s="49">
        <f>IF(expected_production[[#This Row],[Age (yrs)]]="",1,(1-DegradationRate)^expected_production[[#This Row],[Age (yrs)]])</f>
        <v>1</v>
      </c>
      <c r="G2311" s="52">
        <f>IF(expected_production[[#This Row],[Base Expected (kWh)]]="","",expected_production[[#This Row],[Base Expected (kWh)]]*expected_production[[#This Row],[Degradation Factor]])</f>
        <v>12620.7</v>
      </c>
    </row>
    <row r="2312" spans="1:7" ht="15" hidden="1" customHeight="1" x14ac:dyDescent="0.3">
      <c r="A2312" t="s">
        <v>208</v>
      </c>
      <c r="B2312" s="2">
        <v>45444</v>
      </c>
      <c r="C2312" s="52">
        <v>11094.3</v>
      </c>
      <c r="D2312" s="48">
        <f>_xlfn.XLOOKUP(expected_production[[#This Row],[Site Name]],Table1[[Site Name ]],Table1[Commisioned Date],"")</f>
        <v>45748</v>
      </c>
      <c r="E2312" s="47">
        <f>IF(ISNUMBER(expected_production[[#This Row],[Commissioned Date]]),MAX(0,(expected_production[[#This Row],[Date]]-expected_production[[#This Row],[Commissioned Date]])/365.25),"")</f>
        <v>0</v>
      </c>
      <c r="F2312" s="49">
        <f>IF(expected_production[[#This Row],[Age (yrs)]]="",1,(1-DegradationRate)^expected_production[[#This Row],[Age (yrs)]])</f>
        <v>1</v>
      </c>
      <c r="G2312" s="52">
        <f>IF(expected_production[[#This Row],[Base Expected (kWh)]]="","",expected_production[[#This Row],[Base Expected (kWh)]]*expected_production[[#This Row],[Degradation Factor]])</f>
        <v>11094.3</v>
      </c>
    </row>
    <row r="2313" spans="1:7" ht="15" hidden="1" customHeight="1" x14ac:dyDescent="0.3">
      <c r="A2313" t="s">
        <v>208</v>
      </c>
      <c r="B2313" s="2">
        <v>45474</v>
      </c>
      <c r="C2313" s="52">
        <v>12367.8</v>
      </c>
      <c r="D2313" s="48">
        <f>_xlfn.XLOOKUP(expected_production[[#This Row],[Site Name]],Table1[[Site Name ]],Table1[Commisioned Date],"")</f>
        <v>45748</v>
      </c>
      <c r="E2313" s="47">
        <f>IF(ISNUMBER(expected_production[[#This Row],[Commissioned Date]]),MAX(0,(expected_production[[#This Row],[Date]]-expected_production[[#This Row],[Commissioned Date]])/365.25),"")</f>
        <v>0</v>
      </c>
      <c r="F2313" s="49">
        <f>IF(expected_production[[#This Row],[Age (yrs)]]="",1,(1-DegradationRate)^expected_production[[#This Row],[Age (yrs)]])</f>
        <v>1</v>
      </c>
      <c r="G2313" s="52">
        <f>IF(expected_production[[#This Row],[Base Expected (kWh)]]="","",expected_production[[#This Row],[Base Expected (kWh)]]*expected_production[[#This Row],[Degradation Factor]])</f>
        <v>12367.8</v>
      </c>
    </row>
    <row r="2314" spans="1:7" ht="15" hidden="1" customHeight="1" x14ac:dyDescent="0.3">
      <c r="A2314" t="s">
        <v>208</v>
      </c>
      <c r="B2314" s="2">
        <v>45505</v>
      </c>
      <c r="C2314" s="52">
        <v>14484.6</v>
      </c>
      <c r="D2314" s="48">
        <f>_xlfn.XLOOKUP(expected_production[[#This Row],[Site Name]],Table1[[Site Name ]],Table1[Commisioned Date],"")</f>
        <v>45748</v>
      </c>
      <c r="E2314" s="47">
        <f>IF(ISNUMBER(expected_production[[#This Row],[Commissioned Date]]),MAX(0,(expected_production[[#This Row],[Date]]-expected_production[[#This Row],[Commissioned Date]])/365.25),"")</f>
        <v>0</v>
      </c>
      <c r="F2314" s="49">
        <f>IF(expected_production[[#This Row],[Age (yrs)]]="",1,(1-DegradationRate)^expected_production[[#This Row],[Age (yrs)]])</f>
        <v>1</v>
      </c>
      <c r="G2314" s="52">
        <f>IF(expected_production[[#This Row],[Base Expected (kWh)]]="","",expected_production[[#This Row],[Base Expected (kWh)]]*expected_production[[#This Row],[Degradation Factor]])</f>
        <v>14484.6</v>
      </c>
    </row>
    <row r="2315" spans="1:7" ht="15" hidden="1" customHeight="1" x14ac:dyDescent="0.3">
      <c r="A2315" t="s">
        <v>208</v>
      </c>
      <c r="B2315" s="2">
        <v>45536</v>
      </c>
      <c r="C2315" s="52">
        <v>16189.2</v>
      </c>
      <c r="D2315" s="48">
        <f>_xlfn.XLOOKUP(expected_production[[#This Row],[Site Name]],Table1[[Site Name ]],Table1[Commisioned Date],"")</f>
        <v>45748</v>
      </c>
      <c r="E2315" s="47">
        <f>IF(ISNUMBER(expected_production[[#This Row],[Commissioned Date]]),MAX(0,(expected_production[[#This Row],[Date]]-expected_production[[#This Row],[Commissioned Date]])/365.25),"")</f>
        <v>0</v>
      </c>
      <c r="F2315" s="49">
        <f>IF(expected_production[[#This Row],[Age (yrs)]]="",1,(1-DegradationRate)^expected_production[[#This Row],[Age (yrs)]])</f>
        <v>1</v>
      </c>
      <c r="G2315" s="52">
        <f>IF(expected_production[[#This Row],[Base Expected (kWh)]]="","",expected_production[[#This Row],[Base Expected (kWh)]]*expected_production[[#This Row],[Degradation Factor]])</f>
        <v>16189.2</v>
      </c>
    </row>
    <row r="2316" spans="1:7" ht="15" hidden="1" customHeight="1" x14ac:dyDescent="0.3">
      <c r="A2316" t="s">
        <v>208</v>
      </c>
      <c r="B2316" s="2">
        <v>45566</v>
      </c>
      <c r="C2316" s="52">
        <v>18663.3</v>
      </c>
      <c r="D2316" s="48">
        <f>_xlfn.XLOOKUP(expected_production[[#This Row],[Site Name]],Table1[[Site Name ]],Table1[Commisioned Date],"")</f>
        <v>45748</v>
      </c>
      <c r="E2316" s="47">
        <f>IF(ISNUMBER(expected_production[[#This Row],[Commissioned Date]]),MAX(0,(expected_production[[#This Row],[Date]]-expected_production[[#This Row],[Commissioned Date]])/365.25),"")</f>
        <v>0</v>
      </c>
      <c r="F2316" s="49">
        <f>IF(expected_production[[#This Row],[Age (yrs)]]="",1,(1-DegradationRate)^expected_production[[#This Row],[Age (yrs)]])</f>
        <v>1</v>
      </c>
      <c r="G2316" s="52">
        <f>IF(expected_production[[#This Row],[Base Expected (kWh)]]="","",expected_production[[#This Row],[Base Expected (kWh)]]*expected_production[[#This Row],[Degradation Factor]])</f>
        <v>18663.3</v>
      </c>
    </row>
    <row r="2317" spans="1:7" ht="15" hidden="1" customHeight="1" x14ac:dyDescent="0.3">
      <c r="A2317" t="s">
        <v>208</v>
      </c>
      <c r="B2317" s="2">
        <v>45597</v>
      </c>
      <c r="C2317" s="52">
        <v>18589.5</v>
      </c>
      <c r="D2317" s="48">
        <f>_xlfn.XLOOKUP(expected_production[[#This Row],[Site Name]],Table1[[Site Name ]],Table1[Commisioned Date],"")</f>
        <v>45748</v>
      </c>
      <c r="E2317" s="47">
        <f>IF(ISNUMBER(expected_production[[#This Row],[Commissioned Date]]),MAX(0,(expected_production[[#This Row],[Date]]-expected_production[[#This Row],[Commissioned Date]])/365.25),"")</f>
        <v>0</v>
      </c>
      <c r="F2317" s="49">
        <f>IF(expected_production[[#This Row],[Age (yrs)]]="",1,(1-DegradationRate)^expected_production[[#This Row],[Age (yrs)]])</f>
        <v>1</v>
      </c>
      <c r="G2317" s="52">
        <f>IF(expected_production[[#This Row],[Base Expected (kWh)]]="","",expected_production[[#This Row],[Base Expected (kWh)]]*expected_production[[#This Row],[Degradation Factor]])</f>
        <v>18589.5</v>
      </c>
    </row>
    <row r="2318" spans="1:7" ht="15" hidden="1" customHeight="1" x14ac:dyDescent="0.3">
      <c r="A2318" t="s">
        <v>208</v>
      </c>
      <c r="B2318" s="2">
        <v>45627</v>
      </c>
      <c r="C2318" s="52">
        <v>19022.400000000001</v>
      </c>
      <c r="D2318" s="48">
        <f>_xlfn.XLOOKUP(expected_production[[#This Row],[Site Name]],Table1[[Site Name ]],Table1[Commisioned Date],"")</f>
        <v>45748</v>
      </c>
      <c r="E2318" s="47">
        <f>IF(ISNUMBER(expected_production[[#This Row],[Commissioned Date]]),MAX(0,(expected_production[[#This Row],[Date]]-expected_production[[#This Row],[Commissioned Date]])/365.25),"")</f>
        <v>0</v>
      </c>
      <c r="F2318" s="49">
        <f>IF(expected_production[[#This Row],[Age (yrs)]]="",1,(1-DegradationRate)^expected_production[[#This Row],[Age (yrs)]])</f>
        <v>1</v>
      </c>
      <c r="G2318" s="52">
        <f>IF(expected_production[[#This Row],[Base Expected (kWh)]]="","",expected_production[[#This Row],[Base Expected (kWh)]]*expected_production[[#This Row],[Degradation Factor]])</f>
        <v>19022.400000000001</v>
      </c>
    </row>
    <row r="2319" spans="1:7" ht="15" hidden="1" customHeight="1" x14ac:dyDescent="0.3">
      <c r="A2319" t="s">
        <v>208</v>
      </c>
      <c r="B2319" s="2">
        <v>45658</v>
      </c>
      <c r="C2319" s="52">
        <v>18584.099999999999</v>
      </c>
      <c r="D2319" s="48">
        <f>_xlfn.XLOOKUP(expected_production[[#This Row],[Site Name]],Table1[[Site Name ]],Table1[Commisioned Date],"")</f>
        <v>45748</v>
      </c>
      <c r="E2319" s="47">
        <f>IF(ISNUMBER(expected_production[[#This Row],[Commissioned Date]]),MAX(0,(expected_production[[#This Row],[Date]]-expected_production[[#This Row],[Commissioned Date]])/365.25),"")</f>
        <v>0</v>
      </c>
      <c r="F2319" s="49">
        <f>IF(expected_production[[#This Row],[Age (yrs)]]="",1,(1-DegradationRate)^expected_production[[#This Row],[Age (yrs)]])</f>
        <v>1</v>
      </c>
      <c r="G2319" s="52">
        <f>IF(expected_production[[#This Row],[Base Expected (kWh)]]="","",expected_production[[#This Row],[Base Expected (kWh)]]*expected_production[[#This Row],[Degradation Factor]])</f>
        <v>18584.099999999999</v>
      </c>
    </row>
    <row r="2320" spans="1:7" ht="15" hidden="1" customHeight="1" x14ac:dyDescent="0.3">
      <c r="A2320" t="s">
        <v>208</v>
      </c>
      <c r="B2320" s="2">
        <v>45689</v>
      </c>
      <c r="C2320" s="52">
        <v>16101.9</v>
      </c>
      <c r="D2320" s="48">
        <f>_xlfn.XLOOKUP(expected_production[[#This Row],[Site Name]],Table1[[Site Name ]],Table1[Commisioned Date],"")</f>
        <v>45748</v>
      </c>
      <c r="E2320" s="47">
        <f>IF(ISNUMBER(expected_production[[#This Row],[Commissioned Date]]),MAX(0,(expected_production[[#This Row],[Date]]-expected_production[[#This Row],[Commissioned Date]])/365.25),"")</f>
        <v>0</v>
      </c>
      <c r="F2320" s="49">
        <f>IF(expected_production[[#This Row],[Age (yrs)]]="",1,(1-DegradationRate)^expected_production[[#This Row],[Age (yrs)]])</f>
        <v>1</v>
      </c>
      <c r="G2320" s="52">
        <f>IF(expected_production[[#This Row],[Base Expected (kWh)]]="","",expected_production[[#This Row],[Base Expected (kWh)]]*expected_production[[#This Row],[Degradation Factor]])</f>
        <v>16101.9</v>
      </c>
    </row>
    <row r="2321" spans="1:7" ht="15" hidden="1" customHeight="1" x14ac:dyDescent="0.3">
      <c r="A2321" t="s">
        <v>208</v>
      </c>
      <c r="B2321" s="2">
        <v>45717</v>
      </c>
      <c r="C2321" s="52">
        <v>15901.2</v>
      </c>
      <c r="D2321" s="48">
        <f>_xlfn.XLOOKUP(expected_production[[#This Row],[Site Name]],Table1[[Site Name ]],Table1[Commisioned Date],"")</f>
        <v>45748</v>
      </c>
      <c r="E2321" s="47">
        <f>IF(ISNUMBER(expected_production[[#This Row],[Commissioned Date]]),MAX(0,(expected_production[[#This Row],[Date]]-expected_production[[#This Row],[Commissioned Date]])/365.25),"")</f>
        <v>0</v>
      </c>
      <c r="F2321" s="49">
        <f>IF(expected_production[[#This Row],[Age (yrs)]]="",1,(1-DegradationRate)^expected_production[[#This Row],[Age (yrs)]])</f>
        <v>1</v>
      </c>
      <c r="G2321" s="52">
        <f>IF(expected_production[[#This Row],[Base Expected (kWh)]]="","",expected_production[[#This Row],[Base Expected (kWh)]]*expected_production[[#This Row],[Degradation Factor]])</f>
        <v>15901.2</v>
      </c>
    </row>
    <row r="2322" spans="1:7" ht="15" hidden="1" customHeight="1" x14ac:dyDescent="0.3">
      <c r="A2322" t="s">
        <v>208</v>
      </c>
      <c r="B2322" s="2">
        <v>45748</v>
      </c>
      <c r="C2322" s="52">
        <v>13660.2</v>
      </c>
      <c r="D2322" s="48">
        <f>_xlfn.XLOOKUP(expected_production[[#This Row],[Site Name]],Table1[[Site Name ]],Table1[Commisioned Date],"")</f>
        <v>45748</v>
      </c>
      <c r="E2322" s="47">
        <f>IF(ISNUMBER(expected_production[[#This Row],[Commissioned Date]]),MAX(0,(expected_production[[#This Row],[Date]]-expected_production[[#This Row],[Commissioned Date]])/365.25),"")</f>
        <v>0</v>
      </c>
      <c r="F2322" s="49">
        <f>IF(expected_production[[#This Row],[Age (yrs)]]="",1,(1-DegradationRate)^expected_production[[#This Row],[Age (yrs)]])</f>
        <v>1</v>
      </c>
      <c r="G2322" s="52">
        <f>IF(expected_production[[#This Row],[Base Expected (kWh)]]="","",expected_production[[#This Row],[Base Expected (kWh)]]*expected_production[[#This Row],[Degradation Factor]])</f>
        <v>13660.2</v>
      </c>
    </row>
    <row r="2323" spans="1:7" ht="15" hidden="1" customHeight="1" x14ac:dyDescent="0.3">
      <c r="A2323" t="s">
        <v>208</v>
      </c>
      <c r="B2323" s="2">
        <v>45778</v>
      </c>
      <c r="C2323" s="52">
        <v>12620.7</v>
      </c>
      <c r="D2323" s="48">
        <f>_xlfn.XLOOKUP(expected_production[[#This Row],[Site Name]],Table1[[Site Name ]],Table1[Commisioned Date],"")</f>
        <v>45748</v>
      </c>
      <c r="E2323" s="47">
        <f>IF(ISNUMBER(expected_production[[#This Row],[Commissioned Date]]),MAX(0,(expected_production[[#This Row],[Date]]-expected_production[[#This Row],[Commissioned Date]])/365.25),"")</f>
        <v>8.2135523613963035E-2</v>
      </c>
      <c r="F2323" s="49">
        <f>IF(expected_production[[#This Row],[Age (yrs)]]="",1,(1-DegradationRate)^expected_production[[#This Row],[Age (yrs)]])</f>
        <v>0.99942319598939511</v>
      </c>
      <c r="G2323" s="52">
        <f>IF(expected_production[[#This Row],[Base Expected (kWh)]]="","",expected_production[[#This Row],[Base Expected (kWh)]]*expected_production[[#This Row],[Degradation Factor]])</f>
        <v>12613.420329623359</v>
      </c>
    </row>
    <row r="2324" spans="1:7" ht="15" hidden="1" customHeight="1" x14ac:dyDescent="0.3">
      <c r="A2324" t="s">
        <v>208</v>
      </c>
      <c r="B2324" s="2">
        <v>45809</v>
      </c>
      <c r="C2324" s="52">
        <v>11094.3</v>
      </c>
      <c r="D2324" s="48">
        <f>_xlfn.XLOOKUP(expected_production[[#This Row],[Site Name]],Table1[[Site Name ]],Table1[Commisioned Date],"")</f>
        <v>45748</v>
      </c>
      <c r="E2324" s="47">
        <f>IF(ISNUMBER(expected_production[[#This Row],[Commissioned Date]]),MAX(0,(expected_production[[#This Row],[Date]]-expected_production[[#This Row],[Commissioned Date]])/365.25),"")</f>
        <v>0.16700889801505817</v>
      </c>
      <c r="F2324" s="49">
        <f>IF(expected_production[[#This Row],[Age (yrs)]]="",1,(1-DegradationRate)^expected_production[[#This Row],[Age (yrs)]])</f>
        <v>0.99882751469904119</v>
      </c>
      <c r="G2324" s="52">
        <f>IF(expected_production[[#This Row],[Base Expected (kWh)]]="","",expected_production[[#This Row],[Base Expected (kWh)]]*expected_production[[#This Row],[Degradation Factor]])</f>
        <v>11081.292096325571</v>
      </c>
    </row>
    <row r="2325" spans="1:7" ht="15" hidden="1" customHeight="1" x14ac:dyDescent="0.3">
      <c r="A2325" t="s">
        <v>208</v>
      </c>
      <c r="B2325" s="2">
        <v>45839</v>
      </c>
      <c r="C2325" s="52">
        <v>12367.8</v>
      </c>
      <c r="D2325" s="48">
        <f>_xlfn.XLOOKUP(expected_production[[#This Row],[Site Name]],Table1[[Site Name ]],Table1[Commisioned Date],"")</f>
        <v>45748</v>
      </c>
      <c r="E2325" s="47">
        <f>IF(ISNUMBER(expected_production[[#This Row],[Commissioned Date]]),MAX(0,(expected_production[[#This Row],[Date]]-expected_production[[#This Row],[Commissioned Date]])/365.25),"")</f>
        <v>0.24914442162902123</v>
      </c>
      <c r="F2325" s="49">
        <f>IF(expected_production[[#This Row],[Age (yrs)]]="",1,(1-DegradationRate)^expected_production[[#This Row],[Age (yrs)]])</f>
        <v>0.99825138698266025</v>
      </c>
      <c r="G2325" s="52">
        <f>IF(expected_production[[#This Row],[Base Expected (kWh)]]="","",expected_production[[#This Row],[Base Expected (kWh)]]*expected_production[[#This Row],[Degradation Factor]])</f>
        <v>12346.173503924145</v>
      </c>
    </row>
    <row r="2326" spans="1:7" ht="15" hidden="1" customHeight="1" x14ac:dyDescent="0.3">
      <c r="A2326" t="s">
        <v>208</v>
      </c>
      <c r="B2326" s="2">
        <v>45870</v>
      </c>
      <c r="C2326" s="52">
        <v>14484.6</v>
      </c>
      <c r="D2326" s="48">
        <f>_xlfn.XLOOKUP(expected_production[[#This Row],[Site Name]],Table1[[Site Name ]],Table1[Commisioned Date],"")</f>
        <v>45748</v>
      </c>
      <c r="E2326" s="47">
        <f>IF(ISNUMBER(expected_production[[#This Row],[Commissioned Date]]),MAX(0,(expected_production[[#This Row],[Date]]-expected_production[[#This Row],[Commissioned Date]])/365.25),"")</f>
        <v>0.33401779603011633</v>
      </c>
      <c r="F2326" s="49">
        <f>IF(expected_production[[#This Row],[Age (yrs)]]="",1,(1-DegradationRate)^expected_production[[#This Row],[Age (yrs)]])</f>
        <v>0.99765640411986334</v>
      </c>
      <c r="G2326" s="52">
        <f>IF(expected_production[[#This Row],[Base Expected (kWh)]]="","",expected_production[[#This Row],[Base Expected (kWh)]]*expected_production[[#This Row],[Degradation Factor]])</f>
        <v>14450.653951114573</v>
      </c>
    </row>
    <row r="2327" spans="1:7" ht="15" hidden="1" customHeight="1" x14ac:dyDescent="0.3">
      <c r="A2327" t="s">
        <v>208</v>
      </c>
      <c r="B2327" s="2">
        <v>45901</v>
      </c>
      <c r="C2327" s="52">
        <v>16189.2</v>
      </c>
      <c r="D2327" s="48">
        <f>_xlfn.XLOOKUP(expected_production[[#This Row],[Site Name]],Table1[[Site Name ]],Table1[Commisioned Date],"")</f>
        <v>45748</v>
      </c>
      <c r="E2327" s="47">
        <f>IF(ISNUMBER(expected_production[[#This Row],[Commissioned Date]]),MAX(0,(expected_production[[#This Row],[Date]]-expected_production[[#This Row],[Commissioned Date]])/365.25),"")</f>
        <v>0.41889117043121149</v>
      </c>
      <c r="F2327" s="49">
        <f>IF(expected_production[[#This Row],[Age (yrs)]]="",1,(1-DegradationRate)^expected_production[[#This Row],[Age (yrs)]])</f>
        <v>0.99706177588177491</v>
      </c>
      <c r="G2327" s="52">
        <f>IF(expected_production[[#This Row],[Base Expected (kWh)]]="","",expected_production[[#This Row],[Base Expected (kWh)]]*expected_production[[#This Row],[Degradation Factor]])</f>
        <v>16141.632502105231</v>
      </c>
    </row>
    <row r="2328" spans="1:7" ht="15" hidden="1" customHeight="1" x14ac:dyDescent="0.3">
      <c r="A2328" t="s">
        <v>208</v>
      </c>
      <c r="B2328" s="2">
        <v>45931</v>
      </c>
      <c r="C2328" s="52">
        <v>18663.3</v>
      </c>
      <c r="D2328" s="48">
        <f>_xlfn.XLOOKUP(expected_production[[#This Row],[Site Name]],Table1[[Site Name ]],Table1[Commisioned Date],"")</f>
        <v>45748</v>
      </c>
      <c r="E2328" s="47">
        <f>IF(ISNUMBER(expected_production[[#This Row],[Commissioned Date]]),MAX(0,(expected_production[[#This Row],[Date]]-expected_production[[#This Row],[Commissioned Date]])/365.25),"")</f>
        <v>0.50102669404517453</v>
      </c>
      <c r="F2328" s="49">
        <f>IF(expected_production[[#This Row],[Age (yrs)]]="",1,(1-DegradationRate)^expected_production[[#This Row],[Age (yrs)]])</f>
        <v>0.99648666665062535</v>
      </c>
      <c r="G2328" s="52">
        <f>IF(expected_production[[#This Row],[Base Expected (kWh)]]="","",expected_production[[#This Row],[Base Expected (kWh)]]*expected_production[[#This Row],[Degradation Factor]])</f>
        <v>18597.729605700617</v>
      </c>
    </row>
    <row r="2329" spans="1:7" ht="15" hidden="1" customHeight="1" x14ac:dyDescent="0.3">
      <c r="A2329" t="s">
        <v>208</v>
      </c>
      <c r="B2329" s="2">
        <v>45962</v>
      </c>
      <c r="C2329" s="52">
        <v>18589.5</v>
      </c>
      <c r="D2329" s="48">
        <f>_xlfn.XLOOKUP(expected_production[[#This Row],[Site Name]],Table1[[Site Name ]],Table1[Commisioned Date],"")</f>
        <v>45748</v>
      </c>
      <c r="E2329" s="47">
        <f>IF(ISNUMBER(expected_production[[#This Row],[Commissioned Date]]),MAX(0,(expected_production[[#This Row],[Date]]-expected_production[[#This Row],[Commissioned Date]])/365.25),"")</f>
        <v>0.58590006844626963</v>
      </c>
      <c r="F2329" s="49">
        <f>IF(expected_production[[#This Row],[Age (yrs)]]="",1,(1-DegradationRate)^expected_production[[#This Row],[Age (yrs)]])</f>
        <v>0.99589273560540559</v>
      </c>
      <c r="G2329" s="52">
        <f>IF(expected_production[[#This Row],[Base Expected (kWh)]]="","",expected_production[[#This Row],[Base Expected (kWh)]]*expected_production[[#This Row],[Degradation Factor]])</f>
        <v>18513.148008536686</v>
      </c>
    </row>
    <row r="2330" spans="1:7" ht="15" hidden="1" customHeight="1" x14ac:dyDescent="0.3">
      <c r="A2330" t="s">
        <v>208</v>
      </c>
      <c r="B2330" s="2">
        <v>45992</v>
      </c>
      <c r="C2330" s="52">
        <v>19022.400000000001</v>
      </c>
      <c r="D2330" s="48">
        <f>_xlfn.XLOOKUP(expected_production[[#This Row],[Site Name]],Table1[[Site Name ]],Table1[Commisioned Date],"")</f>
        <v>45748</v>
      </c>
      <c r="E2330" s="47">
        <f>IF(ISNUMBER(expected_production[[#This Row],[Commissioned Date]]),MAX(0,(expected_production[[#This Row],[Date]]-expected_production[[#This Row],[Commissioned Date]])/365.25),"")</f>
        <v>0.66803559206023266</v>
      </c>
      <c r="F2330" s="49">
        <f>IF(expected_production[[#This Row],[Age (yrs)]]="",1,(1-DegradationRate)^expected_production[[#This Row],[Age (yrs)]])</f>
        <v>0.99531830068137617</v>
      </c>
      <c r="G2330" s="52">
        <f>IF(expected_production[[#This Row],[Base Expected (kWh)]]="","",expected_production[[#This Row],[Base Expected (kWh)]]*expected_production[[#This Row],[Degradation Factor]])</f>
        <v>18933.342842881411</v>
      </c>
    </row>
    <row r="2331" spans="1:7" ht="15" hidden="1" customHeight="1" x14ac:dyDescent="0.3">
      <c r="A2331" t="s">
        <v>208</v>
      </c>
      <c r="B2331" s="2">
        <v>46023</v>
      </c>
      <c r="C2331" s="52">
        <v>18584.099999999999</v>
      </c>
      <c r="D2331" s="48">
        <f>_xlfn.XLOOKUP(expected_production[[#This Row],[Site Name]],Table1[[Site Name ]],Table1[Commisioned Date],"")</f>
        <v>45748</v>
      </c>
      <c r="E2331" s="47">
        <f>IF(ISNUMBER(expected_production[[#This Row],[Commissioned Date]]),MAX(0,(expected_production[[#This Row],[Date]]-expected_production[[#This Row],[Commissioned Date]])/365.25),"")</f>
        <v>0.75290896646132788</v>
      </c>
      <c r="F2331" s="49">
        <f>IF(expected_production[[#This Row],[Age (yrs)]]="",1,(1-DegradationRate)^expected_production[[#This Row],[Age (yrs)]])</f>
        <v>0.99472506601157662</v>
      </c>
      <c r="G2331" s="52">
        <f>IF(expected_production[[#This Row],[Base Expected (kWh)]]="","",expected_production[[#This Row],[Base Expected (kWh)]]*expected_production[[#This Row],[Degradation Factor]])</f>
        <v>18486.07009926574</v>
      </c>
    </row>
    <row r="2332" spans="1:7" ht="15" hidden="1" customHeight="1" x14ac:dyDescent="0.3">
      <c r="A2332" t="s">
        <v>208</v>
      </c>
      <c r="B2332" s="2">
        <v>46054</v>
      </c>
      <c r="C2332" s="52">
        <v>16101.9</v>
      </c>
      <c r="D2332" s="48">
        <f>_xlfn.XLOOKUP(expected_production[[#This Row],[Site Name]],Table1[[Site Name ]],Table1[Commisioned Date],"")</f>
        <v>45748</v>
      </c>
      <c r="E2332" s="47">
        <f>IF(ISNUMBER(expected_production[[#This Row],[Commissioned Date]]),MAX(0,(expected_production[[#This Row],[Date]]-expected_production[[#This Row],[Commissioned Date]])/365.25),"")</f>
        <v>0.83778234086242298</v>
      </c>
      <c r="F2332" s="49">
        <f>IF(expected_production[[#This Row],[Age (yrs)]]="",1,(1-DegradationRate)^expected_production[[#This Row],[Age (yrs)]])</f>
        <v>0.99413218492451871</v>
      </c>
      <c r="G2332" s="52">
        <f>IF(expected_production[[#This Row],[Base Expected (kWh)]]="","",expected_production[[#This Row],[Base Expected (kWh)]]*expected_production[[#This Row],[Degradation Factor]])</f>
        <v>16007.417028436108</v>
      </c>
    </row>
    <row r="2333" spans="1:7" ht="15" hidden="1" customHeight="1" x14ac:dyDescent="0.3">
      <c r="A2333" t="s">
        <v>208</v>
      </c>
      <c r="B2333" s="2">
        <v>46082</v>
      </c>
      <c r="C2333" s="52">
        <v>15901.2</v>
      </c>
      <c r="D2333" s="48">
        <f>_xlfn.XLOOKUP(expected_production[[#This Row],[Site Name]],Table1[[Site Name ]],Table1[Commisioned Date],"")</f>
        <v>45748</v>
      </c>
      <c r="E2333" s="47">
        <f>IF(ISNUMBER(expected_production[[#This Row],[Commissioned Date]]),MAX(0,(expected_production[[#This Row],[Date]]-expected_production[[#This Row],[Commissioned Date]])/365.25),"")</f>
        <v>0.91444216290212188</v>
      </c>
      <c r="F2333" s="49">
        <f>IF(expected_production[[#This Row],[Age (yrs)]]="",1,(1-DegradationRate)^expected_production[[#This Row],[Age (yrs)]])</f>
        <v>0.99359698316314138</v>
      </c>
      <c r="G2333" s="52">
        <f>IF(expected_production[[#This Row],[Base Expected (kWh)]]="","",expected_production[[#This Row],[Base Expected (kWh)]]*expected_production[[#This Row],[Degradation Factor]])</f>
        <v>15799.384348673744</v>
      </c>
    </row>
    <row r="2334" spans="1:7" ht="15" hidden="1" customHeight="1" x14ac:dyDescent="0.3">
      <c r="A2334" t="s">
        <v>208</v>
      </c>
      <c r="B2334" s="2">
        <v>46113</v>
      </c>
      <c r="C2334" s="52">
        <v>13660.2</v>
      </c>
      <c r="D2334" s="48">
        <f>_xlfn.XLOOKUP(expected_production[[#This Row],[Site Name]],Table1[[Site Name ]],Table1[Commisioned Date],"")</f>
        <v>45748</v>
      </c>
      <c r="E2334" s="47">
        <f>IF(ISNUMBER(expected_production[[#This Row],[Commissioned Date]]),MAX(0,(expected_production[[#This Row],[Date]]-expected_production[[#This Row],[Commissioned Date]])/365.25),"")</f>
        <v>0.99931553730321698</v>
      </c>
      <c r="F2334" s="49">
        <f>IF(expected_production[[#This Row],[Age (yrs)]]="",1,(1-DegradationRate)^expected_production[[#This Row],[Age (yrs)]])</f>
        <v>0.99300477444175339</v>
      </c>
      <c r="G2334" s="52">
        <f>IF(expected_production[[#This Row],[Base Expected (kWh)]]="","",expected_production[[#This Row],[Base Expected (kWh)]]*expected_production[[#This Row],[Degradation Factor]])</f>
        <v>13564.64381982924</v>
      </c>
    </row>
    <row r="2335" spans="1:7" ht="15" hidden="1" customHeight="1" x14ac:dyDescent="0.3">
      <c r="A2335" t="s">
        <v>208</v>
      </c>
      <c r="B2335" s="2">
        <v>46143</v>
      </c>
      <c r="C2335" s="52">
        <v>12620.7</v>
      </c>
      <c r="D2335" s="48">
        <f>_xlfn.XLOOKUP(expected_production[[#This Row],[Site Name]],Table1[[Site Name ]],Table1[Commisioned Date],"")</f>
        <v>45748</v>
      </c>
      <c r="E2335" s="47">
        <f>IF(ISNUMBER(expected_production[[#This Row],[Commissioned Date]]),MAX(0,(expected_production[[#This Row],[Date]]-expected_production[[#This Row],[Commissioned Date]])/365.25),"")</f>
        <v>1.0814510609171799</v>
      </c>
      <c r="F2335" s="49">
        <f>IF(expected_production[[#This Row],[Age (yrs)]]="",1,(1-DegradationRate)^expected_production[[#This Row],[Age (yrs)]])</f>
        <v>0.99243200530530551</v>
      </c>
      <c r="G2335" s="52">
        <f>IF(expected_production[[#This Row],[Base Expected (kWh)]]="","",expected_production[[#This Row],[Base Expected (kWh)]]*expected_production[[#This Row],[Degradation Factor]])</f>
        <v>12525.18660935667</v>
      </c>
    </row>
    <row r="2336" spans="1:7" ht="15" hidden="1" customHeight="1" x14ac:dyDescent="0.3">
      <c r="A2336" t="s">
        <v>208</v>
      </c>
      <c r="B2336" s="2">
        <v>46174</v>
      </c>
      <c r="C2336" s="52">
        <v>11094.3</v>
      </c>
      <c r="D2336" s="48">
        <f>_xlfn.XLOOKUP(expected_production[[#This Row],[Site Name]],Table1[[Site Name ]],Table1[Commisioned Date],"")</f>
        <v>45748</v>
      </c>
      <c r="E2336" s="47">
        <f>IF(ISNUMBER(expected_production[[#This Row],[Commissioned Date]]),MAX(0,(expected_production[[#This Row],[Date]]-expected_production[[#This Row],[Commissioned Date]])/365.25),"")</f>
        <v>1.1663244353182751</v>
      </c>
      <c r="F2336" s="49">
        <f>IF(expected_production[[#This Row],[Age (yrs)]]="",1,(1-DegradationRate)^expected_production[[#This Row],[Age (yrs)]])</f>
        <v>0.99184049093993853</v>
      </c>
      <c r="G2336" s="52">
        <f>IF(expected_production[[#This Row],[Base Expected (kWh)]]="","",expected_production[[#This Row],[Base Expected (kWh)]]*expected_production[[#This Row],[Degradation Factor]])</f>
        <v>11003.77595863496</v>
      </c>
    </row>
    <row r="2337" spans="1:7" ht="15" hidden="1" customHeight="1" x14ac:dyDescent="0.3">
      <c r="A2337" t="s">
        <v>208</v>
      </c>
      <c r="B2337" s="2">
        <v>46204</v>
      </c>
      <c r="C2337" s="52">
        <v>12367.8</v>
      </c>
      <c r="D2337" s="48">
        <f>_xlfn.XLOOKUP(expected_production[[#This Row],[Site Name]],Table1[[Site Name ]],Table1[Commisioned Date],"")</f>
        <v>45748</v>
      </c>
      <c r="E2337" s="47">
        <f>IF(ISNUMBER(expected_production[[#This Row],[Commissioned Date]]),MAX(0,(expected_production[[#This Row],[Date]]-expected_production[[#This Row],[Commissioned Date]])/365.25),"")</f>
        <v>1.2484599589322383</v>
      </c>
      <c r="F2337" s="49">
        <f>IF(expected_production[[#This Row],[Age (yrs)]]="",1,(1-DegradationRate)^expected_production[[#This Row],[Age (yrs)]])</f>
        <v>0.99126839336688399</v>
      </c>
      <c r="G2337" s="52">
        <f>IF(expected_production[[#This Row],[Base Expected (kWh)]]="","",expected_production[[#This Row],[Base Expected (kWh)]]*expected_production[[#This Row],[Degradation Factor]])</f>
        <v>12259.809235482948</v>
      </c>
    </row>
    <row r="2338" spans="1:7" ht="15" hidden="1" customHeight="1" x14ac:dyDescent="0.3">
      <c r="A2338" t="s">
        <v>208</v>
      </c>
      <c r="B2338" s="2">
        <v>46235</v>
      </c>
      <c r="C2338" s="52">
        <v>14484.6</v>
      </c>
      <c r="D2338" s="48">
        <f>_xlfn.XLOOKUP(expected_production[[#This Row],[Site Name]],Table1[[Site Name ]],Table1[Commisioned Date],"")</f>
        <v>45748</v>
      </c>
      <c r="E2338" s="47">
        <f>IF(ISNUMBER(expected_production[[#This Row],[Commissioned Date]]),MAX(0,(expected_production[[#This Row],[Date]]-expected_production[[#This Row],[Commissioned Date]])/365.25),"")</f>
        <v>1.3333333333333333</v>
      </c>
      <c r="F2338" s="49">
        <f>IF(expected_production[[#This Row],[Age (yrs)]]="",1,(1-DegradationRate)^expected_production[[#This Row],[Age (yrs)]])</f>
        <v>0.99067757254341571</v>
      </c>
      <c r="G2338" s="52">
        <f>IF(expected_production[[#This Row],[Base Expected (kWh)]]="","",expected_production[[#This Row],[Base Expected (kWh)]]*expected_production[[#This Row],[Degradation Factor]])</f>
        <v>14349.56836726236</v>
      </c>
    </row>
    <row r="2339" spans="1:7" ht="15" hidden="1" customHeight="1" x14ac:dyDescent="0.3">
      <c r="A2339" t="s">
        <v>208</v>
      </c>
      <c r="B2339" s="2">
        <v>46266</v>
      </c>
      <c r="C2339" s="52">
        <v>16189.2</v>
      </c>
      <c r="D2339" s="48">
        <f>_xlfn.XLOOKUP(expected_production[[#This Row],[Site Name]],Table1[[Site Name ]],Table1[Commisioned Date],"")</f>
        <v>45748</v>
      </c>
      <c r="E2339" s="47">
        <f>IF(ISNUMBER(expected_production[[#This Row],[Commissioned Date]]),MAX(0,(expected_production[[#This Row],[Date]]-expected_production[[#This Row],[Commissioned Date]])/365.25),"")</f>
        <v>1.4182067077344285</v>
      </c>
      <c r="F2339" s="49">
        <f>IF(expected_production[[#This Row],[Age (yrs)]]="",1,(1-DegradationRate)^expected_production[[#This Row],[Age (yrs)]])</f>
        <v>0.99008710386397591</v>
      </c>
      <c r="G2339" s="52">
        <f>IF(expected_production[[#This Row],[Base Expected (kWh)]]="","",expected_production[[#This Row],[Base Expected (kWh)]]*expected_production[[#This Row],[Degradation Factor]])</f>
        <v>16028.71814187468</v>
      </c>
    </row>
    <row r="2340" spans="1:7" ht="15" hidden="1" customHeight="1" x14ac:dyDescent="0.3">
      <c r="A2340" t="s">
        <v>208</v>
      </c>
      <c r="B2340" s="2">
        <v>46296</v>
      </c>
      <c r="C2340" s="52">
        <v>18663.3</v>
      </c>
      <c r="D2340" s="48">
        <f>_xlfn.XLOOKUP(expected_production[[#This Row],[Site Name]],Table1[[Site Name ]],Table1[Commisioned Date],"")</f>
        <v>45748</v>
      </c>
      <c r="E2340" s="47">
        <f>IF(ISNUMBER(expected_production[[#This Row],[Commissioned Date]]),MAX(0,(expected_production[[#This Row],[Date]]-expected_production[[#This Row],[Commissioned Date]])/365.25),"")</f>
        <v>1.5003422313483916</v>
      </c>
      <c r="F2340" s="49">
        <f>IF(expected_production[[#This Row],[Age (yrs)]]="",1,(1-DegradationRate)^expected_production[[#This Row],[Age (yrs)]])</f>
        <v>0.98951601765161901</v>
      </c>
      <c r="G2340" s="52">
        <f>IF(expected_production[[#This Row],[Base Expected (kWh)]]="","",expected_production[[#This Row],[Base Expected (kWh)]]*expected_production[[#This Row],[Degradation Factor]])</f>
        <v>18467.634292237461</v>
      </c>
    </row>
    <row r="2341" spans="1:7" ht="15" hidden="1" customHeight="1" x14ac:dyDescent="0.3">
      <c r="A2341" t="s">
        <v>208</v>
      </c>
      <c r="B2341" s="2">
        <v>46327</v>
      </c>
      <c r="C2341" s="52">
        <v>18589.5</v>
      </c>
      <c r="D2341" s="48">
        <f>_xlfn.XLOOKUP(expected_production[[#This Row],[Site Name]],Table1[[Site Name ]],Table1[Commisioned Date],"")</f>
        <v>45748</v>
      </c>
      <c r="E2341" s="47">
        <f>IF(ISNUMBER(expected_production[[#This Row],[Commissioned Date]]),MAX(0,(expected_production[[#This Row],[Date]]-expected_production[[#This Row],[Commissioned Date]])/365.25),"")</f>
        <v>1.5852156057494866</v>
      </c>
      <c r="F2341" s="49">
        <f>IF(expected_production[[#This Row],[Age (yrs)]]="",1,(1-DegradationRate)^expected_production[[#This Row],[Age (yrs)]])</f>
        <v>0.98892624128802653</v>
      </c>
      <c r="G2341" s="52">
        <f>IF(expected_production[[#This Row],[Base Expected (kWh)]]="","",expected_production[[#This Row],[Base Expected (kWh)]]*expected_production[[#This Row],[Degradation Factor]])</f>
        <v>18383.644362423769</v>
      </c>
    </row>
    <row r="2342" spans="1:7" ht="15" hidden="1" customHeight="1" x14ac:dyDescent="0.3">
      <c r="A2342" t="s">
        <v>208</v>
      </c>
      <c r="B2342" s="2">
        <v>46357</v>
      </c>
      <c r="C2342" s="52">
        <v>19022.400000000001</v>
      </c>
      <c r="D2342" s="48">
        <f>_xlfn.XLOOKUP(expected_production[[#This Row],[Site Name]],Table1[[Site Name ]],Table1[Commisioned Date],"")</f>
        <v>45748</v>
      </c>
      <c r="E2342" s="47">
        <f>IF(ISNUMBER(expected_production[[#This Row],[Commissioned Date]]),MAX(0,(expected_production[[#This Row],[Date]]-expected_production[[#This Row],[Commissioned Date]])/365.25),"")</f>
        <v>1.6673511293634498</v>
      </c>
      <c r="F2342" s="49">
        <f>IF(expected_production[[#This Row],[Age (yrs)]]="",1,(1-DegradationRate)^expected_production[[#This Row],[Age (yrs)]])</f>
        <v>0.98835582466585914</v>
      </c>
      <c r="G2342" s="52">
        <f>IF(expected_production[[#This Row],[Base Expected (kWh)]]="","",expected_production[[#This Row],[Base Expected (kWh)]]*expected_production[[#This Row],[Degradation Factor]])</f>
        <v>18800.899839123842</v>
      </c>
    </row>
    <row r="2343" spans="1:7" ht="15" hidden="1" customHeight="1" x14ac:dyDescent="0.3">
      <c r="A2343" t="s">
        <v>190</v>
      </c>
      <c r="B2343" s="2">
        <v>45292</v>
      </c>
      <c r="C2343" s="52">
        <v>16638.665000000001</v>
      </c>
      <c r="D2343" s="48">
        <f>_xlfn.XLOOKUP(expected_production[[#This Row],[Site Name]],Table1[[Site Name ]],Table1[Commisioned Date],"")</f>
        <v>44532</v>
      </c>
      <c r="E2343" s="47">
        <f>IF(ISNUMBER(expected_production[[#This Row],[Commissioned Date]]),MAX(0,(expected_production[[#This Row],[Date]]-expected_production[[#This Row],[Commissioned Date]])/365.25),"")</f>
        <v>2.0807665982203969</v>
      </c>
      <c r="F2343" s="49">
        <f>IF(expected_production[[#This Row],[Age (yrs)]]="",1,(1-DegradationRate)^expected_production[[#This Row],[Age (yrs)]])</f>
        <v>0.98548971957697196</v>
      </c>
      <c r="G2343" s="52">
        <f>IF(expected_production[[#This Row],[Base Expected (kWh)]]="","",expected_production[[#This Row],[Base Expected (kWh)]]*expected_production[[#This Row],[Degradation Factor]])</f>
        <v>16397.23330498518</v>
      </c>
    </row>
    <row r="2344" spans="1:7" ht="15" hidden="1" customHeight="1" x14ac:dyDescent="0.3">
      <c r="A2344" t="s">
        <v>190</v>
      </c>
      <c r="B2344" s="2">
        <v>45323</v>
      </c>
      <c r="C2344" s="52">
        <v>14215.06</v>
      </c>
      <c r="D2344" s="48">
        <f>_xlfn.XLOOKUP(expected_production[[#This Row],[Site Name]],Table1[[Site Name ]],Table1[Commisioned Date],"")</f>
        <v>44532</v>
      </c>
      <c r="E2344" s="47">
        <f>IF(ISNUMBER(expected_production[[#This Row],[Commissioned Date]]),MAX(0,(expected_production[[#This Row],[Date]]-expected_production[[#This Row],[Commissioned Date]])/365.25),"")</f>
        <v>2.1656399726214923</v>
      </c>
      <c r="F2344" s="49">
        <f>IF(expected_production[[#This Row],[Age (yrs)]]="",1,(1-DegradationRate)^expected_production[[#This Row],[Age (yrs)]])</f>
        <v>0.9849023429880116</v>
      </c>
      <c r="G2344" s="52">
        <f>IF(expected_production[[#This Row],[Base Expected (kWh)]]="","",expected_production[[#This Row],[Base Expected (kWh)]]*expected_production[[#This Row],[Degradation Factor]])</f>
        <v>14000.445899715163</v>
      </c>
    </row>
    <row r="2345" spans="1:7" ht="15" hidden="1" customHeight="1" x14ac:dyDescent="0.3">
      <c r="A2345" t="s">
        <v>190</v>
      </c>
      <c r="B2345" s="2">
        <v>45352</v>
      </c>
      <c r="C2345" s="52">
        <v>15137.31</v>
      </c>
      <c r="D2345" s="48">
        <f>_xlfn.XLOOKUP(expected_production[[#This Row],[Site Name]],Table1[[Site Name ]],Table1[Commisioned Date],"")</f>
        <v>44532</v>
      </c>
      <c r="E2345" s="47">
        <f>IF(ISNUMBER(expected_production[[#This Row],[Commissioned Date]]),MAX(0,(expected_production[[#This Row],[Date]]-expected_production[[#This Row],[Commissioned Date]])/365.25),"")</f>
        <v>2.2450376454483232</v>
      </c>
      <c r="F2345" s="49">
        <f>IF(expected_production[[#This Row],[Age (yrs)]]="",1,(1-DegradationRate)^expected_production[[#This Row],[Age (yrs)]])</f>
        <v>0.98435317860690286</v>
      </c>
      <c r="G2345" s="52">
        <f>IF(expected_production[[#This Row],[Base Expected (kWh)]]="","",expected_production[[#This Row],[Base Expected (kWh)]]*expected_production[[#This Row],[Degradation Factor]])</f>
        <v>14900.459214058055</v>
      </c>
    </row>
    <row r="2346" spans="1:7" ht="15" hidden="1" customHeight="1" x14ac:dyDescent="0.3">
      <c r="A2346" t="s">
        <v>190</v>
      </c>
      <c r="B2346" s="2">
        <v>45383</v>
      </c>
      <c r="C2346" s="52">
        <v>13176.87</v>
      </c>
      <c r="D2346" s="48">
        <f>_xlfn.XLOOKUP(expected_production[[#This Row],[Site Name]],Table1[[Site Name ]],Table1[Commisioned Date],"")</f>
        <v>44532</v>
      </c>
      <c r="E2346" s="47">
        <f>IF(ISNUMBER(expected_production[[#This Row],[Commissioned Date]]),MAX(0,(expected_production[[#This Row],[Date]]-expected_production[[#This Row],[Commissioned Date]])/365.25),"")</f>
        <v>2.3299110198494182</v>
      </c>
      <c r="F2346" s="49">
        <f>IF(expected_production[[#This Row],[Age (yrs)]]="",1,(1-DegradationRate)^expected_production[[#This Row],[Age (yrs)]])</f>
        <v>0.98376647942486517</v>
      </c>
      <c r="G2346" s="52">
        <f>IF(expected_production[[#This Row],[Base Expected (kWh)]]="","",expected_production[[#This Row],[Base Expected (kWh)]]*expected_production[[#This Row],[Degradation Factor]])</f>
        <v>12962.963009739124</v>
      </c>
    </row>
    <row r="2347" spans="1:7" ht="15" hidden="1" customHeight="1" x14ac:dyDescent="0.3">
      <c r="A2347" t="s">
        <v>190</v>
      </c>
      <c r="B2347" s="2">
        <v>45413</v>
      </c>
      <c r="C2347" s="52">
        <v>12813.75</v>
      </c>
      <c r="D2347" s="48">
        <f>_xlfn.XLOOKUP(expected_production[[#This Row],[Site Name]],Table1[[Site Name ]],Table1[Commisioned Date],"")</f>
        <v>44532</v>
      </c>
      <c r="E2347" s="47">
        <f>IF(ISNUMBER(expected_production[[#This Row],[Commissioned Date]]),MAX(0,(expected_production[[#This Row],[Date]]-expected_production[[#This Row],[Commissioned Date]])/365.25),"")</f>
        <v>2.4120465434633811</v>
      </c>
      <c r="F2347" s="49">
        <f>IF(expected_production[[#This Row],[Age (yrs)]]="",1,(1-DegradationRate)^expected_production[[#This Row],[Age (yrs)]])</f>
        <v>0.98319903897403416</v>
      </c>
      <c r="G2347" s="52">
        <f>IF(expected_production[[#This Row],[Base Expected (kWh)]]="","",expected_production[[#This Row],[Base Expected (kWh)]]*expected_production[[#This Row],[Degradation Factor]])</f>
        <v>12598.46668565353</v>
      </c>
    </row>
    <row r="2348" spans="1:7" ht="15" hidden="1" customHeight="1" x14ac:dyDescent="0.3">
      <c r="A2348" t="s">
        <v>190</v>
      </c>
      <c r="B2348" s="2">
        <v>45444</v>
      </c>
      <c r="C2348" s="52">
        <v>11578.87</v>
      </c>
      <c r="D2348" s="48">
        <f>_xlfn.XLOOKUP(expected_production[[#This Row],[Site Name]],Table1[[Site Name ]],Table1[Commisioned Date],"")</f>
        <v>44532</v>
      </c>
      <c r="E2348" s="47">
        <f>IF(ISNUMBER(expected_production[[#This Row],[Commissioned Date]]),MAX(0,(expected_production[[#This Row],[Date]]-expected_production[[#This Row],[Commissioned Date]])/365.25),"")</f>
        <v>2.4969199178644765</v>
      </c>
      <c r="F2348" s="49">
        <f>IF(expected_production[[#This Row],[Age (yrs)]]="",1,(1-DegradationRate)^expected_production[[#This Row],[Age (yrs)]])</f>
        <v>0.9826130276881635</v>
      </c>
      <c r="G2348" s="52">
        <f>IF(expected_production[[#This Row],[Base Expected (kWh)]]="","",expected_production[[#This Row],[Base Expected (kWh)]]*expected_production[[#This Row],[Degradation Factor]])</f>
        <v>11377.548507907646</v>
      </c>
    </row>
    <row r="2349" spans="1:7" ht="15" hidden="1" customHeight="1" x14ac:dyDescent="0.3">
      <c r="A2349" t="s">
        <v>190</v>
      </c>
      <c r="B2349" s="2">
        <v>45474</v>
      </c>
      <c r="C2349" s="52">
        <v>12892.545</v>
      </c>
      <c r="D2349" s="48">
        <f>_xlfn.XLOOKUP(expected_production[[#This Row],[Site Name]],Table1[[Site Name ]],Table1[Commisioned Date],"")</f>
        <v>44532</v>
      </c>
      <c r="E2349" s="47">
        <f>IF(ISNUMBER(expected_production[[#This Row],[Commissioned Date]]),MAX(0,(expected_production[[#This Row],[Date]]-expected_production[[#This Row],[Commissioned Date]])/365.25),"")</f>
        <v>2.5790554414784395</v>
      </c>
      <c r="F2349" s="49">
        <f>IF(expected_production[[#This Row],[Age (yrs)]]="",1,(1-DegradationRate)^expected_production[[#This Row],[Age (yrs)]])</f>
        <v>0.98204625255292033</v>
      </c>
      <c r="G2349" s="52">
        <f>IF(expected_production[[#This Row],[Base Expected (kWh)]]="","",expected_production[[#This Row],[Base Expected (kWh)]]*expected_production[[#This Row],[Degradation Factor]])</f>
        <v>12661.07550311989</v>
      </c>
    </row>
    <row r="2350" spans="1:7" ht="15" hidden="1" customHeight="1" x14ac:dyDescent="0.3">
      <c r="A2350" t="s">
        <v>190</v>
      </c>
      <c r="B2350" s="2">
        <v>45505</v>
      </c>
      <c r="C2350" s="52">
        <v>14836.92</v>
      </c>
      <c r="D2350" s="48">
        <f>_xlfn.XLOOKUP(expected_production[[#This Row],[Site Name]],Table1[[Site Name ]],Table1[Commisioned Date],"")</f>
        <v>44532</v>
      </c>
      <c r="E2350" s="47">
        <f>IF(ISNUMBER(expected_production[[#This Row],[Commissioned Date]]),MAX(0,(expected_production[[#This Row],[Date]]-expected_production[[#This Row],[Commissioned Date]])/365.25),"")</f>
        <v>2.6639288158795345</v>
      </c>
      <c r="F2350" s="49">
        <f>IF(expected_production[[#This Row],[Age (yrs)]]="",1,(1-DegradationRate)^expected_production[[#This Row],[Age (yrs)]])</f>
        <v>0.98146092835666854</v>
      </c>
      <c r="G2350" s="52">
        <f>IF(expected_production[[#This Row],[Base Expected (kWh)]]="","",expected_production[[#This Row],[Base Expected (kWh)]]*expected_production[[#This Row],[Degradation Factor]])</f>
        <v>14561.857277153622</v>
      </c>
    </row>
    <row r="2351" spans="1:7" ht="15" hidden="1" customHeight="1" x14ac:dyDescent="0.3">
      <c r="A2351" t="s">
        <v>190</v>
      </c>
      <c r="B2351" s="2">
        <v>45536</v>
      </c>
      <c r="C2351" s="52">
        <v>15996.15</v>
      </c>
      <c r="D2351" s="48">
        <f>_xlfn.XLOOKUP(expected_production[[#This Row],[Site Name]],Table1[[Site Name ]],Table1[Commisioned Date],"")</f>
        <v>44532</v>
      </c>
      <c r="E2351" s="47">
        <f>IF(ISNUMBER(expected_production[[#This Row],[Commissioned Date]]),MAX(0,(expected_production[[#This Row],[Date]]-expected_production[[#This Row],[Commissioned Date]])/365.25),"")</f>
        <v>2.7488021902806299</v>
      </c>
      <c r="F2351" s="49">
        <f>IF(expected_production[[#This Row],[Age (yrs)]]="",1,(1-DegradationRate)^expected_production[[#This Row],[Age (yrs)]])</f>
        <v>0.98087595302831754</v>
      </c>
      <c r="G2351" s="52">
        <f>IF(expected_production[[#This Row],[Base Expected (kWh)]]="","",expected_production[[#This Row],[Base Expected (kWh)]]*expected_production[[#This Row],[Degradation Factor]])</f>
        <v>15690.238876033922</v>
      </c>
    </row>
    <row r="2352" spans="1:7" ht="15" hidden="1" customHeight="1" x14ac:dyDescent="0.3">
      <c r="A2352" t="s">
        <v>190</v>
      </c>
      <c r="B2352" s="2">
        <v>45566</v>
      </c>
      <c r="C2352" s="52">
        <v>16796.169999999998</v>
      </c>
      <c r="D2352" s="48">
        <f>_xlfn.XLOOKUP(expected_production[[#This Row],[Site Name]],Table1[[Site Name ]],Table1[Commisioned Date],"")</f>
        <v>44532</v>
      </c>
      <c r="E2352" s="47">
        <f>IF(ISNUMBER(expected_production[[#This Row],[Commissioned Date]]),MAX(0,(expected_production[[#This Row],[Date]]-expected_production[[#This Row],[Commissioned Date]])/365.25),"")</f>
        <v>2.8309377138945928</v>
      </c>
      <c r="F2352" s="49">
        <f>IF(expected_production[[#This Row],[Age (yrs)]]="",1,(1-DegradationRate)^expected_production[[#This Row],[Age (yrs)]])</f>
        <v>0.98031017984470492</v>
      </c>
      <c r="G2352" s="52">
        <f>IF(expected_production[[#This Row],[Base Expected (kWh)]]="","",expected_production[[#This Row],[Base Expected (kWh)]]*expected_production[[#This Row],[Degradation Factor]])</f>
        <v>16465.456433402236</v>
      </c>
    </row>
    <row r="2353" spans="1:7" ht="15" hidden="1" customHeight="1" x14ac:dyDescent="0.3">
      <c r="A2353" t="s">
        <v>190</v>
      </c>
      <c r="B2353" s="2">
        <v>45597</v>
      </c>
      <c r="C2353" s="52">
        <v>16463.224999999999</v>
      </c>
      <c r="D2353" s="48">
        <f>_xlfn.XLOOKUP(expected_production[[#This Row],[Site Name]],Table1[[Site Name ]],Table1[Commisioned Date],"")</f>
        <v>44532</v>
      </c>
      <c r="E2353" s="47">
        <f>IF(ISNUMBER(expected_production[[#This Row],[Commissioned Date]]),MAX(0,(expected_production[[#This Row],[Date]]-expected_production[[#This Row],[Commissioned Date]])/365.25),"")</f>
        <v>2.9158110882956878</v>
      </c>
      <c r="F2353" s="49">
        <f>IF(expected_production[[#This Row],[Age (yrs)]]="",1,(1-DegradationRate)^expected_production[[#This Row],[Age (yrs)]])</f>
        <v>0.97972589039132796</v>
      </c>
      <c r="G2353" s="52">
        <f>IF(expected_production[[#This Row],[Base Expected (kWh)]]="","",expected_production[[#This Row],[Base Expected (kWh)]]*expected_production[[#This Row],[Degradation Factor]])</f>
        <v>16129.447771837769</v>
      </c>
    </row>
    <row r="2354" spans="1:7" ht="15" hidden="1" customHeight="1" x14ac:dyDescent="0.3">
      <c r="A2354" t="s">
        <v>190</v>
      </c>
      <c r="B2354" s="2">
        <v>45627</v>
      </c>
      <c r="C2354" s="52">
        <v>17398.904999999999</v>
      </c>
      <c r="D2354" s="48">
        <f>_xlfn.XLOOKUP(expected_production[[#This Row],[Site Name]],Table1[[Site Name ]],Table1[Commisioned Date],"")</f>
        <v>44532</v>
      </c>
      <c r="E2354" s="47">
        <f>IF(ISNUMBER(expected_production[[#This Row],[Commissioned Date]]),MAX(0,(expected_production[[#This Row],[Date]]-expected_production[[#This Row],[Commissioned Date]])/365.25),"")</f>
        <v>2.9979466119096507</v>
      </c>
      <c r="F2354" s="49">
        <f>IF(expected_production[[#This Row],[Age (yrs)]]="",1,(1-DegradationRate)^expected_production[[#This Row],[Age (yrs)]])</f>
        <v>0.97916078056845668</v>
      </c>
      <c r="G2354" s="52">
        <f>IF(expected_production[[#This Row],[Base Expected (kWh)]]="","",expected_production[[#This Row],[Base Expected (kWh)]]*expected_production[[#This Row],[Degradation Factor]])</f>
        <v>17036.325400836424</v>
      </c>
    </row>
    <row r="2355" spans="1:7" ht="15" hidden="1" customHeight="1" x14ac:dyDescent="0.3">
      <c r="A2355" t="s">
        <v>190</v>
      </c>
      <c r="B2355" s="2">
        <v>45658</v>
      </c>
      <c r="C2355" s="52">
        <v>16638.665000000001</v>
      </c>
      <c r="D2355" s="48">
        <f>_xlfn.XLOOKUP(expected_production[[#This Row],[Site Name]],Table1[[Site Name ]],Table1[Commisioned Date],"")</f>
        <v>44532</v>
      </c>
      <c r="E2355" s="47">
        <f>IF(ISNUMBER(expected_production[[#This Row],[Commissioned Date]]),MAX(0,(expected_production[[#This Row],[Date]]-expected_production[[#This Row],[Commissioned Date]])/365.25),"")</f>
        <v>3.0828199863107462</v>
      </c>
      <c r="F2355" s="49">
        <f>IF(expected_production[[#This Row],[Age (yrs)]]="",1,(1-DegradationRate)^expected_production[[#This Row],[Age (yrs)]])</f>
        <v>0.97857717618587536</v>
      </c>
      <c r="G2355" s="52">
        <f>IF(expected_production[[#This Row],[Base Expected (kWh)]]="","",expected_production[[#This Row],[Base Expected (kWh)]]*expected_production[[#This Row],[Degradation Factor]])</f>
        <v>16282.21781120276</v>
      </c>
    </row>
    <row r="2356" spans="1:7" ht="15" hidden="1" customHeight="1" x14ac:dyDescent="0.3">
      <c r="A2356" t="s">
        <v>190</v>
      </c>
      <c r="B2356" s="2">
        <v>45689</v>
      </c>
      <c r="C2356" s="52">
        <v>14215.06</v>
      </c>
      <c r="D2356" s="48">
        <f>_xlfn.XLOOKUP(expected_production[[#This Row],[Site Name]],Table1[[Site Name ]],Table1[Commisioned Date],"")</f>
        <v>44532</v>
      </c>
      <c r="E2356" s="47">
        <f>IF(ISNUMBER(expected_production[[#This Row],[Commissioned Date]]),MAX(0,(expected_production[[#This Row],[Date]]-expected_production[[#This Row],[Commissioned Date]])/365.25),"")</f>
        <v>3.1676933607118412</v>
      </c>
      <c r="F2356" s="49">
        <f>IF(expected_production[[#This Row],[Age (yrs)]]="",1,(1-DegradationRate)^expected_production[[#This Row],[Age (yrs)]])</f>
        <v>0.97799391964614268</v>
      </c>
      <c r="G2356" s="52">
        <f>IF(expected_production[[#This Row],[Base Expected (kWh)]]="","",expected_production[[#This Row],[Base Expected (kWh)]]*expected_production[[#This Row],[Degradation Factor]])</f>
        <v>13902.242247405096</v>
      </c>
    </row>
    <row r="2357" spans="1:7" ht="15" hidden="1" customHeight="1" x14ac:dyDescent="0.3">
      <c r="A2357" t="s">
        <v>190</v>
      </c>
      <c r="B2357" s="2">
        <v>45717</v>
      </c>
      <c r="C2357" s="52">
        <v>15137.31</v>
      </c>
      <c r="D2357" s="48">
        <f>_xlfn.XLOOKUP(expected_production[[#This Row],[Site Name]],Table1[[Site Name ]],Table1[Commisioned Date],"")</f>
        <v>44532</v>
      </c>
      <c r="E2357" s="47">
        <f>IF(ISNUMBER(expected_production[[#This Row],[Commissioned Date]]),MAX(0,(expected_production[[#This Row],[Date]]-expected_production[[#This Row],[Commissioned Date]])/365.25),"")</f>
        <v>3.2443531827515399</v>
      </c>
      <c r="F2357" s="49">
        <f>IF(expected_production[[#This Row],[Age (yrs)]]="",1,(1-DegradationRate)^expected_production[[#This Row],[Age (yrs)]])</f>
        <v>0.97746740609357052</v>
      </c>
      <c r="G2357" s="52">
        <f>IF(expected_production[[#This Row],[Base Expected (kWh)]]="","",expected_production[[#This Row],[Base Expected (kWh)]]*expected_production[[#This Row],[Degradation Factor]])</f>
        <v>14796.227140934265</v>
      </c>
    </row>
    <row r="2358" spans="1:7" ht="15" hidden="1" customHeight="1" x14ac:dyDescent="0.3">
      <c r="A2358" t="s">
        <v>190</v>
      </c>
      <c r="B2358" s="2">
        <v>45748</v>
      </c>
      <c r="C2358" s="52">
        <v>13176.87</v>
      </c>
      <c r="D2358" s="48">
        <f>_xlfn.XLOOKUP(expected_production[[#This Row],[Site Name]],Table1[[Site Name ]],Table1[Commisioned Date],"")</f>
        <v>44532</v>
      </c>
      <c r="E2358" s="47">
        <f>IF(ISNUMBER(expected_production[[#This Row],[Commissioned Date]]),MAX(0,(expected_production[[#This Row],[Date]]-expected_production[[#This Row],[Commissioned Date]])/365.25),"")</f>
        <v>3.3292265571526354</v>
      </c>
      <c r="F2358" s="49">
        <f>IF(expected_production[[#This Row],[Age (yrs)]]="",1,(1-DegradationRate)^expected_production[[#This Row],[Age (yrs)]])</f>
        <v>0.97688481100464597</v>
      </c>
      <c r="G2358" s="52">
        <f>IF(expected_production[[#This Row],[Base Expected (kWh)]]="","",expected_production[[#This Row],[Base Expected (kWh)]]*expected_production[[#This Row],[Degradation Factor]])</f>
        <v>12872.28415958279</v>
      </c>
    </row>
    <row r="2359" spans="1:7" ht="15" hidden="1" customHeight="1" x14ac:dyDescent="0.3">
      <c r="A2359" t="s">
        <v>190</v>
      </c>
      <c r="B2359" s="2">
        <v>45778</v>
      </c>
      <c r="C2359" s="52">
        <v>12813.75</v>
      </c>
      <c r="D2359" s="48">
        <f>_xlfn.XLOOKUP(expected_production[[#This Row],[Site Name]],Table1[[Site Name ]],Table1[Commisioned Date],"")</f>
        <v>44532</v>
      </c>
      <c r="E2359" s="47">
        <f>IF(ISNUMBER(expected_production[[#This Row],[Commissioned Date]]),MAX(0,(expected_production[[#This Row],[Date]]-expected_production[[#This Row],[Commissioned Date]])/365.25),"")</f>
        <v>3.4113620807665983</v>
      </c>
      <c r="F2359" s="49">
        <f>IF(expected_production[[#This Row],[Age (yrs)]]="",1,(1-DegradationRate)^expected_production[[#This Row],[Age (yrs)]])</f>
        <v>0.97632133992775949</v>
      </c>
      <c r="G2359" s="52">
        <f>IF(expected_production[[#This Row],[Base Expected (kWh)]]="","",expected_production[[#This Row],[Base Expected (kWh)]]*expected_production[[#This Row],[Degradation Factor]])</f>
        <v>12510.337569499328</v>
      </c>
    </row>
    <row r="2360" spans="1:7" ht="15" hidden="1" customHeight="1" x14ac:dyDescent="0.3">
      <c r="A2360" t="s">
        <v>190</v>
      </c>
      <c r="B2360" s="2">
        <v>45809</v>
      </c>
      <c r="C2360" s="52">
        <v>11578.87</v>
      </c>
      <c r="D2360" s="48">
        <f>_xlfn.XLOOKUP(expected_production[[#This Row],[Site Name]],Table1[[Site Name ]],Table1[Commisioned Date],"")</f>
        <v>44532</v>
      </c>
      <c r="E2360" s="47">
        <f>IF(ISNUMBER(expected_production[[#This Row],[Commissioned Date]]),MAX(0,(expected_production[[#This Row],[Date]]-expected_production[[#This Row],[Commissioned Date]])/365.25),"")</f>
        <v>3.4962354551676933</v>
      </c>
      <c r="F2360" s="49">
        <f>IF(expected_production[[#This Row],[Age (yrs)]]="",1,(1-DegradationRate)^expected_production[[#This Row],[Age (yrs)]])</f>
        <v>0.97573942792301316</v>
      </c>
      <c r="G2360" s="52">
        <f>IF(expected_production[[#This Row],[Base Expected (kWh)]]="","",expected_production[[#This Row],[Base Expected (kWh)]]*expected_production[[#This Row],[Degradation Factor]])</f>
        <v>11297.959989794939</v>
      </c>
    </row>
    <row r="2361" spans="1:7" ht="15" hidden="1" customHeight="1" x14ac:dyDescent="0.3">
      <c r="A2361" t="s">
        <v>190</v>
      </c>
      <c r="B2361" s="2">
        <v>45839</v>
      </c>
      <c r="C2361" s="52">
        <v>12892.545</v>
      </c>
      <c r="D2361" s="48">
        <f>_xlfn.XLOOKUP(expected_production[[#This Row],[Site Name]],Table1[[Site Name ]],Table1[Commisioned Date],"")</f>
        <v>44532</v>
      </c>
      <c r="E2361" s="47">
        <f>IF(ISNUMBER(expected_production[[#This Row],[Commissioned Date]]),MAX(0,(expected_production[[#This Row],[Date]]-expected_production[[#This Row],[Commissioned Date]])/365.25),"")</f>
        <v>3.5783709787816562</v>
      </c>
      <c r="F2361" s="49">
        <f>IF(expected_production[[#This Row],[Age (yrs)]]="",1,(1-DegradationRate)^expected_production[[#This Row],[Age (yrs)]])</f>
        <v>0.97517661750768181</v>
      </c>
      <c r="G2361" s="52">
        <f>IF(expected_production[[#This Row],[Base Expected (kWh)]]="","",expected_production[[#This Row],[Base Expected (kWh)]]*expected_production[[#This Row],[Degradation Factor]])</f>
        <v>12572.508424165575</v>
      </c>
    </row>
    <row r="2362" spans="1:7" ht="15" hidden="1" customHeight="1" x14ac:dyDescent="0.3">
      <c r="A2362" t="s">
        <v>190</v>
      </c>
      <c r="B2362" s="2">
        <v>45870</v>
      </c>
      <c r="C2362" s="52">
        <v>14836.92</v>
      </c>
      <c r="D2362" s="48">
        <f>_xlfn.XLOOKUP(expected_production[[#This Row],[Site Name]],Table1[[Site Name ]],Table1[Commisioned Date],"")</f>
        <v>44532</v>
      </c>
      <c r="E2362" s="47">
        <f>IF(ISNUMBER(expected_production[[#This Row],[Commissioned Date]]),MAX(0,(expected_production[[#This Row],[Date]]-expected_production[[#This Row],[Commissioned Date]])/365.25),"")</f>
        <v>3.6632443531827517</v>
      </c>
      <c r="F2362" s="49">
        <f>IF(expected_production[[#This Row],[Age (yrs)]]="",1,(1-DegradationRate)^expected_production[[#This Row],[Age (yrs)]])</f>
        <v>0.97459538778620747</v>
      </c>
      <c r="G2362" s="52">
        <f>IF(expected_production[[#This Row],[Base Expected (kWh)]]="","",expected_production[[#This Row],[Base Expected (kWh)]]*expected_production[[#This Row],[Degradation Factor]])</f>
        <v>14459.993800952938</v>
      </c>
    </row>
    <row r="2363" spans="1:7" ht="15" hidden="1" customHeight="1" x14ac:dyDescent="0.3">
      <c r="A2363" t="s">
        <v>190</v>
      </c>
      <c r="B2363" s="2">
        <v>45901</v>
      </c>
      <c r="C2363" s="52">
        <v>15996.15</v>
      </c>
      <c r="D2363" s="48">
        <f>_xlfn.XLOOKUP(expected_production[[#This Row],[Site Name]],Table1[[Site Name ]],Table1[Commisioned Date],"")</f>
        <v>44532</v>
      </c>
      <c r="E2363" s="47">
        <f>IF(ISNUMBER(expected_production[[#This Row],[Commissioned Date]]),MAX(0,(expected_production[[#This Row],[Date]]-expected_production[[#This Row],[Commissioned Date]])/365.25),"")</f>
        <v>3.7481177275838466</v>
      </c>
      <c r="F2363" s="49">
        <f>IF(expected_production[[#This Row],[Age (yrs)]]="",1,(1-DegradationRate)^expected_production[[#This Row],[Age (yrs)]])</f>
        <v>0.97401450449222438</v>
      </c>
      <c r="G2363" s="52">
        <f>IF(expected_production[[#This Row],[Base Expected (kWh)]]="","",expected_production[[#This Row],[Base Expected (kWh)]]*expected_production[[#This Row],[Degradation Factor]])</f>
        <v>15580.482116033294</v>
      </c>
    </row>
    <row r="2364" spans="1:7" ht="15" hidden="1" customHeight="1" x14ac:dyDescent="0.3">
      <c r="A2364" t="s">
        <v>190</v>
      </c>
      <c r="B2364" s="2">
        <v>45931</v>
      </c>
      <c r="C2364" s="52">
        <v>16796.169999999998</v>
      </c>
      <c r="D2364" s="48">
        <f>_xlfn.XLOOKUP(expected_production[[#This Row],[Site Name]],Table1[[Site Name ]],Table1[Commisioned Date],"")</f>
        <v>44532</v>
      </c>
      <c r="E2364" s="47">
        <f>IF(ISNUMBER(expected_production[[#This Row],[Commissioned Date]]),MAX(0,(expected_production[[#This Row],[Date]]-expected_production[[#This Row],[Commissioned Date]])/365.25),"")</f>
        <v>3.8302532511978096</v>
      </c>
      <c r="F2364" s="49">
        <f>IF(expected_production[[#This Row],[Age (yrs)]]="",1,(1-DegradationRate)^expected_production[[#This Row],[Age (yrs)]])</f>
        <v>0.97345268901964588</v>
      </c>
      <c r="G2364" s="52">
        <f>IF(expected_production[[#This Row],[Base Expected (kWh)]]="","",expected_production[[#This Row],[Base Expected (kWh)]]*expected_production[[#This Row],[Degradation Factor]])</f>
        <v>16350.276851731103</v>
      </c>
    </row>
    <row r="2365" spans="1:7" ht="15" hidden="1" customHeight="1" x14ac:dyDescent="0.3">
      <c r="A2365" t="s">
        <v>190</v>
      </c>
      <c r="B2365" s="2">
        <v>45962</v>
      </c>
      <c r="C2365" s="52">
        <v>16463.224999999999</v>
      </c>
      <c r="D2365" s="48">
        <f>_xlfn.XLOOKUP(expected_production[[#This Row],[Site Name]],Table1[[Site Name ]],Table1[Commisioned Date],"")</f>
        <v>44532</v>
      </c>
      <c r="E2365" s="47">
        <f>IF(ISNUMBER(expected_production[[#This Row],[Commissioned Date]]),MAX(0,(expected_production[[#This Row],[Date]]-expected_production[[#This Row],[Commissioned Date]])/365.25),"")</f>
        <v>3.915126625598905</v>
      </c>
      <c r="F2365" s="49">
        <f>IF(expected_production[[#This Row],[Age (yrs)]]="",1,(1-DegradationRate)^expected_production[[#This Row],[Age (yrs)]])</f>
        <v>0.9728724868027866</v>
      </c>
      <c r="G2365" s="52">
        <f>IF(expected_production[[#This Row],[Base Expected (kWh)]]="","",expected_production[[#This Row],[Base Expected (kWh)]]*expected_production[[#This Row],[Degradation Factor]])</f>
        <v>16016.618646543804</v>
      </c>
    </row>
    <row r="2366" spans="1:7" ht="15" hidden="1" customHeight="1" x14ac:dyDescent="0.3">
      <c r="A2366" t="s">
        <v>190</v>
      </c>
      <c r="B2366" s="2">
        <v>45992</v>
      </c>
      <c r="C2366" s="52">
        <v>17398.904999999999</v>
      </c>
      <c r="D2366" s="48">
        <f>_xlfn.XLOOKUP(expected_production[[#This Row],[Site Name]],Table1[[Site Name ]],Table1[Commisioned Date],"")</f>
        <v>44532</v>
      </c>
      <c r="E2366" s="47">
        <f>IF(ISNUMBER(expected_production[[#This Row],[Commissioned Date]]),MAX(0,(expected_production[[#This Row],[Date]]-expected_production[[#This Row],[Commissioned Date]])/365.25),"")</f>
        <v>3.9972621492128679</v>
      </c>
      <c r="F2366" s="49">
        <f>IF(expected_production[[#This Row],[Age (yrs)]]="",1,(1-DegradationRate)^expected_production[[#This Row],[Age (yrs)]])</f>
        <v>0.97231133005059156</v>
      </c>
      <c r="G2366" s="52">
        <f>IF(expected_production[[#This Row],[Base Expected (kWh)]]="","",expected_production[[#This Row],[Base Expected (kWh)]]*expected_production[[#This Row],[Degradation Factor]])</f>
        <v>16917.152461973888</v>
      </c>
    </row>
    <row r="2367" spans="1:7" ht="15" hidden="1" customHeight="1" x14ac:dyDescent="0.3">
      <c r="A2367" t="s">
        <v>190</v>
      </c>
      <c r="B2367" s="2">
        <v>46023</v>
      </c>
      <c r="C2367" s="52">
        <v>16638.665000000001</v>
      </c>
      <c r="D2367" s="48">
        <f>_xlfn.XLOOKUP(expected_production[[#This Row],[Site Name]],Table1[[Site Name ]],Table1[Commisioned Date],"")</f>
        <v>44532</v>
      </c>
      <c r="E2367" s="47">
        <f>IF(ISNUMBER(expected_production[[#This Row],[Commissioned Date]]),MAX(0,(expected_production[[#This Row],[Date]]-expected_production[[#This Row],[Commissioned Date]])/365.25),"")</f>
        <v>4.0821355236139629</v>
      </c>
      <c r="F2367" s="49">
        <f>IF(expected_production[[#This Row],[Age (yrs)]]="",1,(1-DegradationRate)^expected_production[[#This Row],[Age (yrs)]])</f>
        <v>0.97173180811230309</v>
      </c>
      <c r="G2367" s="52">
        <f>IF(expected_production[[#This Row],[Base Expected (kWh)]]="","",expected_production[[#This Row],[Base Expected (kWh)]]*expected_production[[#This Row],[Degradation Factor]])</f>
        <v>16168.320025024894</v>
      </c>
    </row>
    <row r="2368" spans="1:7" ht="15" hidden="1" customHeight="1" x14ac:dyDescent="0.3">
      <c r="A2368" t="s">
        <v>190</v>
      </c>
      <c r="B2368" s="2">
        <v>46054</v>
      </c>
      <c r="C2368" s="52">
        <v>14215.06</v>
      </c>
      <c r="D2368" s="48">
        <f>_xlfn.XLOOKUP(expected_production[[#This Row],[Site Name]],Table1[[Site Name ]],Table1[Commisioned Date],"")</f>
        <v>44532</v>
      </c>
      <c r="E2368" s="47">
        <f>IF(ISNUMBER(expected_production[[#This Row],[Commissioned Date]]),MAX(0,(expected_production[[#This Row],[Date]]-expected_production[[#This Row],[Commissioned Date]])/365.25),"")</f>
        <v>4.1670088980150579</v>
      </c>
      <c r="F2368" s="49">
        <f>IF(expected_production[[#This Row],[Age (yrs)]]="",1,(1-DegradationRate)^expected_production[[#This Row],[Age (yrs)]])</f>
        <v>0.97115263158362419</v>
      </c>
      <c r="G2368" s="52">
        <f>IF(expected_production[[#This Row],[Base Expected (kWh)]]="","",expected_production[[#This Row],[Base Expected (kWh)]]*expected_production[[#This Row],[Degradation Factor]])</f>
        <v>13804.992927119112</v>
      </c>
    </row>
    <row r="2369" spans="1:7" ht="15" hidden="1" customHeight="1" x14ac:dyDescent="0.3">
      <c r="A2369" t="s">
        <v>190</v>
      </c>
      <c r="B2369" s="2">
        <v>46082</v>
      </c>
      <c r="C2369" s="52">
        <v>15137.31</v>
      </c>
      <c r="D2369" s="48">
        <f>_xlfn.XLOOKUP(expected_production[[#This Row],[Site Name]],Table1[[Site Name ]],Table1[Commisioned Date],"")</f>
        <v>44532</v>
      </c>
      <c r="E2369" s="47">
        <f>IF(ISNUMBER(expected_production[[#This Row],[Commissioned Date]]),MAX(0,(expected_production[[#This Row],[Date]]-expected_production[[#This Row],[Commissioned Date]])/365.25),"")</f>
        <v>4.2436687200547567</v>
      </c>
      <c r="F2369" s="49">
        <f>IF(expected_production[[#This Row],[Age (yrs)]]="",1,(1-DegradationRate)^expected_production[[#This Row],[Age (yrs)]])</f>
        <v>0.97062980111211183</v>
      </c>
      <c r="G2369" s="52">
        <f>IF(expected_production[[#This Row],[Base Expected (kWh)]]="","",expected_production[[#This Row],[Base Expected (kWh)]]*expected_production[[#This Row],[Degradation Factor]])</f>
        <v>14692.724194672381</v>
      </c>
    </row>
    <row r="2370" spans="1:7" ht="15" hidden="1" customHeight="1" x14ac:dyDescent="0.3">
      <c r="A2370" t="s">
        <v>190</v>
      </c>
      <c r="B2370" s="2">
        <v>46113</v>
      </c>
      <c r="C2370" s="52">
        <v>13176.87</v>
      </c>
      <c r="D2370" s="48">
        <f>_xlfn.XLOOKUP(expected_production[[#This Row],[Site Name]],Table1[[Site Name ]],Table1[Commisioned Date],"")</f>
        <v>44532</v>
      </c>
      <c r="E2370" s="47">
        <f>IF(ISNUMBER(expected_production[[#This Row],[Commissioned Date]]),MAX(0,(expected_production[[#This Row],[Date]]-expected_production[[#This Row],[Commissioned Date]])/365.25),"")</f>
        <v>4.3285420944558526</v>
      </c>
      <c r="F2370" s="49">
        <f>IF(expected_production[[#This Row],[Age (yrs)]]="",1,(1-DegradationRate)^expected_production[[#This Row],[Age (yrs)]])</f>
        <v>0.97005128140724339</v>
      </c>
      <c r="G2370" s="52">
        <f>IF(expected_production[[#This Row],[Base Expected (kWh)]]="","",expected_production[[#This Row],[Base Expected (kWh)]]*expected_production[[#This Row],[Degradation Factor]])</f>
        <v>12782.239628436664</v>
      </c>
    </row>
    <row r="2371" spans="1:7" ht="15" hidden="1" customHeight="1" x14ac:dyDescent="0.3">
      <c r="A2371" t="s">
        <v>190</v>
      </c>
      <c r="B2371" s="2">
        <v>46143</v>
      </c>
      <c r="C2371" s="52">
        <v>12813.75</v>
      </c>
      <c r="D2371" s="48">
        <f>_xlfn.XLOOKUP(expected_production[[#This Row],[Site Name]],Table1[[Site Name ]],Table1[Commisioned Date],"")</f>
        <v>44532</v>
      </c>
      <c r="E2371" s="47">
        <f>IF(ISNUMBER(expected_production[[#This Row],[Commissioned Date]]),MAX(0,(expected_production[[#This Row],[Date]]-expected_production[[#This Row],[Commissioned Date]])/365.25),"")</f>
        <v>4.4106776180698155</v>
      </c>
      <c r="F2371" s="49">
        <f>IF(expected_production[[#This Row],[Age (yrs)]]="",1,(1-DegradationRate)^expected_production[[#This Row],[Age (yrs)]])</f>
        <v>0.96949175193763526</v>
      </c>
      <c r="G2371" s="52">
        <f>IF(expected_production[[#This Row],[Base Expected (kWh)]]="","",expected_production[[#This Row],[Base Expected (kWh)]]*expected_production[[#This Row],[Degradation Factor]])</f>
        <v>12422.824936390874</v>
      </c>
    </row>
    <row r="2372" spans="1:7" ht="15" hidden="1" customHeight="1" x14ac:dyDescent="0.3">
      <c r="A2372" t="s">
        <v>190</v>
      </c>
      <c r="B2372" s="2">
        <v>46174</v>
      </c>
      <c r="C2372" s="52">
        <v>11578.87</v>
      </c>
      <c r="D2372" s="48">
        <f>_xlfn.XLOOKUP(expected_production[[#This Row],[Site Name]],Table1[[Site Name ]],Table1[Commisioned Date],"")</f>
        <v>44532</v>
      </c>
      <c r="E2372" s="47">
        <f>IF(ISNUMBER(expected_production[[#This Row],[Commissioned Date]]),MAX(0,(expected_production[[#This Row],[Date]]-expected_production[[#This Row],[Commissioned Date]])/365.25),"")</f>
        <v>4.4955509924709105</v>
      </c>
      <c r="F2372" s="49">
        <f>IF(expected_production[[#This Row],[Age (yrs)]]="",1,(1-DegradationRate)^expected_production[[#This Row],[Age (yrs)]])</f>
        <v>0.9689139105386172</v>
      </c>
      <c r="G2372" s="52">
        <f>IF(expected_production[[#This Row],[Base Expected (kWh)]]="","",expected_production[[#This Row],[Base Expected (kWh)]]*expected_production[[#This Row],[Degradation Factor]])</f>
        <v>11218.92821131828</v>
      </c>
    </row>
    <row r="2373" spans="1:7" ht="15" hidden="1" customHeight="1" x14ac:dyDescent="0.3">
      <c r="A2373" t="s">
        <v>190</v>
      </c>
      <c r="B2373" s="2">
        <v>46204</v>
      </c>
      <c r="C2373" s="52">
        <v>12892.545</v>
      </c>
      <c r="D2373" s="48">
        <f>_xlfn.XLOOKUP(expected_production[[#This Row],[Site Name]],Table1[[Site Name ]],Table1[Commisioned Date],"")</f>
        <v>44532</v>
      </c>
      <c r="E2373" s="47">
        <f>IF(ISNUMBER(expected_production[[#This Row],[Commissioned Date]]),MAX(0,(expected_production[[#This Row],[Date]]-expected_production[[#This Row],[Commissioned Date]])/365.25),"")</f>
        <v>4.5776865160848734</v>
      </c>
      <c r="F2373" s="49">
        <f>IF(expected_production[[#This Row],[Age (yrs)]]="",1,(1-DegradationRate)^expected_production[[#This Row],[Age (yrs)]])</f>
        <v>0.96835503710908755</v>
      </c>
      <c r="G2373" s="52">
        <f>IF(expected_production[[#This Row],[Base Expected (kWh)]]="","",expected_production[[#This Row],[Base Expected (kWh)]]*expected_production[[#This Row],[Degradation Factor]])</f>
        <v>12484.560891905581</v>
      </c>
    </row>
    <row r="2374" spans="1:7" ht="15" hidden="1" customHeight="1" x14ac:dyDescent="0.3">
      <c r="A2374" t="s">
        <v>190</v>
      </c>
      <c r="B2374" s="2">
        <v>46235</v>
      </c>
      <c r="C2374" s="52">
        <v>14836.92</v>
      </c>
      <c r="D2374" s="48">
        <f>_xlfn.XLOOKUP(expected_production[[#This Row],[Site Name]],Table1[[Site Name ]],Table1[Commisioned Date],"")</f>
        <v>44532</v>
      </c>
      <c r="E2374" s="47">
        <f>IF(ISNUMBER(expected_production[[#This Row],[Commissioned Date]]),MAX(0,(expected_production[[#This Row],[Date]]-expected_production[[#This Row],[Commissioned Date]])/365.25),"")</f>
        <v>4.6625598904859684</v>
      </c>
      <c r="F2374" s="49">
        <f>IF(expected_production[[#This Row],[Age (yrs)]]="",1,(1-DegradationRate)^expected_production[[#This Row],[Age (yrs)]])</f>
        <v>0.96777787322061615</v>
      </c>
      <c r="G2374" s="52">
        <f>IF(expected_production[[#This Row],[Base Expected (kWh)]]="","",expected_production[[#This Row],[Base Expected (kWh)]]*expected_production[[#This Row],[Degradation Factor]])</f>
        <v>14358.842882744424</v>
      </c>
    </row>
    <row r="2375" spans="1:7" ht="15" hidden="1" customHeight="1" x14ac:dyDescent="0.3">
      <c r="A2375" t="s">
        <v>190</v>
      </c>
      <c r="B2375" s="2">
        <v>46266</v>
      </c>
      <c r="C2375" s="52">
        <v>15996.15</v>
      </c>
      <c r="D2375" s="48">
        <f>_xlfn.XLOOKUP(expected_production[[#This Row],[Site Name]],Table1[[Site Name ]],Table1[Commisioned Date],"")</f>
        <v>44532</v>
      </c>
      <c r="E2375" s="47">
        <f>IF(ISNUMBER(expected_production[[#This Row],[Commissioned Date]]),MAX(0,(expected_production[[#This Row],[Date]]-expected_production[[#This Row],[Commissioned Date]])/365.25),"")</f>
        <v>4.7474332648870634</v>
      </c>
      <c r="F2375" s="49">
        <f>IF(expected_production[[#This Row],[Age (yrs)]]="",1,(1-DegradationRate)^expected_production[[#This Row],[Age (yrs)]])</f>
        <v>0.96720105333629747</v>
      </c>
      <c r="G2375" s="52">
        <f>IF(expected_production[[#This Row],[Base Expected (kWh)]]="","",expected_production[[#This Row],[Base Expected (kWh)]]*expected_production[[#This Row],[Degradation Factor]])</f>
        <v>15471.493129325414</v>
      </c>
    </row>
    <row r="2376" spans="1:7" ht="15" hidden="1" customHeight="1" x14ac:dyDescent="0.3">
      <c r="A2376" t="s">
        <v>190</v>
      </c>
      <c r="B2376" s="2">
        <v>46296</v>
      </c>
      <c r="C2376" s="52">
        <v>16796.169999999998</v>
      </c>
      <c r="D2376" s="48">
        <f>_xlfn.XLOOKUP(expected_production[[#This Row],[Site Name]],Table1[[Site Name ]],Table1[Commisioned Date],"")</f>
        <v>44532</v>
      </c>
      <c r="E2376" s="47">
        <f>IF(ISNUMBER(expected_production[[#This Row],[Commissioned Date]]),MAX(0,(expected_production[[#This Row],[Date]]-expected_production[[#This Row],[Commissioned Date]])/365.25),"")</f>
        <v>4.8295687885010263</v>
      </c>
      <c r="F2376" s="49">
        <f>IF(expected_production[[#This Row],[Age (yrs)]]="",1,(1-DegradationRate)^expected_production[[#This Row],[Age (yrs)]])</f>
        <v>0.96664316788967175</v>
      </c>
      <c r="G2376" s="52">
        <f>IF(expected_production[[#This Row],[Base Expected (kWh)]]="","",expected_production[[#This Row],[Base Expected (kWh)]]*expected_production[[#This Row],[Degradation Factor]])</f>
        <v>16235.902977213465</v>
      </c>
    </row>
    <row r="2377" spans="1:7" ht="15" hidden="1" customHeight="1" x14ac:dyDescent="0.3">
      <c r="A2377" t="s">
        <v>190</v>
      </c>
      <c r="B2377" s="2">
        <v>46327</v>
      </c>
      <c r="C2377" s="52">
        <v>16463.224999999999</v>
      </c>
      <c r="D2377" s="48">
        <f>_xlfn.XLOOKUP(expected_production[[#This Row],[Site Name]],Table1[[Site Name ]],Table1[Commisioned Date],"")</f>
        <v>44532</v>
      </c>
      <c r="E2377" s="47">
        <f>IF(ISNUMBER(expected_production[[#This Row],[Commissioned Date]]),MAX(0,(expected_production[[#This Row],[Date]]-expected_production[[#This Row],[Commissioned Date]])/365.25),"")</f>
        <v>4.9144421629021222</v>
      </c>
      <c r="F2377" s="49">
        <f>IF(expected_production[[#This Row],[Age (yrs)]]="",1,(1-DegradationRate)^expected_production[[#This Row],[Age (yrs)]])</f>
        <v>0.96606702431818881</v>
      </c>
      <c r="G2377" s="52">
        <f>IF(expected_production[[#This Row],[Base Expected (kWh)]]="","",expected_production[[#This Row],[Base Expected (kWh)]]*expected_production[[#This Row],[Degradation Factor]])</f>
        <v>15904.578786430813</v>
      </c>
    </row>
    <row r="2378" spans="1:7" ht="15" hidden="1" customHeight="1" x14ac:dyDescent="0.3">
      <c r="A2378" t="s">
        <v>190</v>
      </c>
      <c r="B2378" s="2">
        <v>46357</v>
      </c>
      <c r="C2378" s="52">
        <v>17398.904999999999</v>
      </c>
      <c r="D2378" s="48">
        <f>_xlfn.XLOOKUP(expected_production[[#This Row],[Site Name]],Table1[[Site Name ]],Table1[Commisioned Date],"")</f>
        <v>44532</v>
      </c>
      <c r="E2378" s="47">
        <f>IF(ISNUMBER(expected_production[[#This Row],[Commissioned Date]]),MAX(0,(expected_production[[#This Row],[Date]]-expected_production[[#This Row],[Commissioned Date]])/365.25),"")</f>
        <v>4.9965776865160851</v>
      </c>
      <c r="F2378" s="49">
        <f>IF(expected_production[[#This Row],[Age (yrs)]]="",1,(1-DegradationRate)^expected_production[[#This Row],[Age (yrs)]])</f>
        <v>0.96550979298404893</v>
      </c>
      <c r="G2378" s="52">
        <f>IF(expected_production[[#This Row],[Base Expected (kWh)]]="","",expected_production[[#This Row],[Base Expected (kWh)]]*expected_production[[#This Row],[Degradation Factor]])</f>
        <v>16798.813164699131</v>
      </c>
    </row>
    <row r="2379" spans="1:7" ht="15" hidden="1" customHeight="1" x14ac:dyDescent="0.3">
      <c r="A2379" t="s">
        <v>199</v>
      </c>
      <c r="B2379" s="2">
        <v>45292</v>
      </c>
      <c r="C2379" s="52">
        <v>3784.4250000000002</v>
      </c>
      <c r="D2379" s="48">
        <f>_xlfn.XLOOKUP(expected_production[[#This Row],[Site Name]],Table1[[Site Name ]],Table1[Commisioned Date],"")</f>
        <v>44351</v>
      </c>
      <c r="E2379" s="47">
        <f>IF(ISNUMBER(expected_production[[#This Row],[Commissioned Date]]),MAX(0,(expected_production[[#This Row],[Date]]-expected_production[[#This Row],[Commissioned Date]])/365.25),"")</f>
        <v>2.5763175906913074</v>
      </c>
      <c r="F2379" s="49">
        <f>IF(expected_production[[#This Row],[Age (yrs)]]="",1,(1-DegradationRate)^expected_production[[#This Row],[Age (yrs)]])</f>
        <v>0.98206513978936671</v>
      </c>
      <c r="G2379" s="52">
        <f>IF(expected_production[[#This Row],[Base Expected (kWh)]]="","",expected_production[[#This Row],[Base Expected (kWh)]]*expected_production[[#This Row],[Degradation Factor]])</f>
        <v>3716.5518666473745</v>
      </c>
    </row>
    <row r="2380" spans="1:7" ht="15" hidden="1" customHeight="1" x14ac:dyDescent="0.3">
      <c r="A2380" t="s">
        <v>199</v>
      </c>
      <c r="B2380" s="2">
        <v>45323</v>
      </c>
      <c r="C2380" s="52">
        <v>3270.15</v>
      </c>
      <c r="D2380" s="48">
        <f>_xlfn.XLOOKUP(expected_production[[#This Row],[Site Name]],Table1[[Site Name ]],Table1[Commisioned Date],"")</f>
        <v>44351</v>
      </c>
      <c r="E2380" s="47">
        <f>IF(ISNUMBER(expected_production[[#This Row],[Commissioned Date]]),MAX(0,(expected_production[[#This Row],[Date]]-expected_production[[#This Row],[Commissioned Date]])/365.25),"")</f>
        <v>2.6611909650924024</v>
      </c>
      <c r="F2380" s="49">
        <f>IF(expected_production[[#This Row],[Age (yrs)]]="",1,(1-DegradationRate)^expected_production[[#This Row],[Age (yrs)]])</f>
        <v>0.98147980433584825</v>
      </c>
      <c r="G2380" s="52">
        <f>IF(expected_production[[#This Row],[Base Expected (kWh)]]="","",expected_production[[#This Row],[Base Expected (kWh)]]*expected_production[[#This Row],[Degradation Factor]])</f>
        <v>3209.5861821488743</v>
      </c>
    </row>
    <row r="2381" spans="1:7" ht="15" hidden="1" customHeight="1" x14ac:dyDescent="0.3">
      <c r="A2381" t="s">
        <v>199</v>
      </c>
      <c r="B2381" s="2">
        <v>45352</v>
      </c>
      <c r="C2381" s="52">
        <v>3533.3249999999998</v>
      </c>
      <c r="D2381" s="48">
        <f>_xlfn.XLOOKUP(expected_production[[#This Row],[Site Name]],Table1[[Site Name ]],Table1[Commisioned Date],"")</f>
        <v>44351</v>
      </c>
      <c r="E2381" s="47">
        <f>IF(ISNUMBER(expected_production[[#This Row],[Commissioned Date]]),MAX(0,(expected_production[[#This Row],[Date]]-expected_production[[#This Row],[Commissioned Date]])/365.25),"")</f>
        <v>2.7405886379192332</v>
      </c>
      <c r="F2381" s="49">
        <f>IF(expected_production[[#This Row],[Age (yrs)]]="",1,(1-DegradationRate)^expected_production[[#This Row],[Age (yrs)]])</f>
        <v>0.98093254830264243</v>
      </c>
      <c r="G2381" s="52">
        <f>IF(expected_production[[#This Row],[Base Expected (kWh)]]="","",expected_production[[#This Row],[Base Expected (kWh)]]*expected_production[[#This Row],[Degradation Factor]])</f>
        <v>3465.9534962314337</v>
      </c>
    </row>
    <row r="2382" spans="1:7" ht="15" hidden="1" customHeight="1" x14ac:dyDescent="0.3">
      <c r="A2382" t="s">
        <v>199</v>
      </c>
      <c r="B2382" s="2">
        <v>45383</v>
      </c>
      <c r="C2382" s="52">
        <v>3063.0749999999998</v>
      </c>
      <c r="D2382" s="48">
        <f>_xlfn.XLOOKUP(expected_production[[#This Row],[Site Name]],Table1[[Site Name ]],Table1[Commisioned Date],"")</f>
        <v>44351</v>
      </c>
      <c r="E2382" s="47">
        <f>IF(ISNUMBER(expected_production[[#This Row],[Commissioned Date]]),MAX(0,(expected_production[[#This Row],[Date]]-expected_production[[#This Row],[Commissioned Date]])/365.25),"")</f>
        <v>2.8254620123203287</v>
      </c>
      <c r="F2382" s="49">
        <f>IF(expected_production[[#This Row],[Age (yrs)]]="",1,(1-DegradationRate)^expected_production[[#This Row],[Age (yrs)]])</f>
        <v>0.9803478879020554</v>
      </c>
      <c r="G2382" s="52">
        <f>IF(expected_production[[#This Row],[Base Expected (kWh)]]="","",expected_production[[#This Row],[Base Expected (kWh)]]*expected_production[[#This Row],[Degradation Factor]])</f>
        <v>3002.8791067355883</v>
      </c>
    </row>
    <row r="2383" spans="1:7" ht="15" hidden="1" customHeight="1" x14ac:dyDescent="0.3">
      <c r="A2383" t="s">
        <v>199</v>
      </c>
      <c r="B2383" s="2">
        <v>45413</v>
      </c>
      <c r="C2383" s="52">
        <v>3093.8249999999998</v>
      </c>
      <c r="D2383" s="48">
        <f>_xlfn.XLOOKUP(expected_production[[#This Row],[Site Name]],Table1[[Site Name ]],Table1[Commisioned Date],"")</f>
        <v>44351</v>
      </c>
      <c r="E2383" s="47">
        <f>IF(ISNUMBER(expected_production[[#This Row],[Commissioned Date]]),MAX(0,(expected_production[[#This Row],[Date]]-expected_production[[#This Row],[Commissioned Date]])/365.25),"")</f>
        <v>2.9075975359342916</v>
      </c>
      <c r="F2383" s="49">
        <f>IF(expected_production[[#This Row],[Age (yrs)]]="",1,(1-DegradationRate)^expected_production[[#This Row],[Age (yrs)]])</f>
        <v>0.9797824193085255</v>
      </c>
      <c r="G2383" s="52">
        <f>IF(expected_production[[#This Row],[Base Expected (kWh)]]="","",expected_production[[#This Row],[Base Expected (kWh)]]*expected_production[[#This Row],[Degradation Factor]])</f>
        <v>3031.2753434171987</v>
      </c>
    </row>
    <row r="2384" spans="1:7" ht="15" hidden="1" customHeight="1" x14ac:dyDescent="0.3">
      <c r="A2384" t="s">
        <v>199</v>
      </c>
      <c r="B2384" s="2">
        <v>45444</v>
      </c>
      <c r="C2384" s="52">
        <v>2834.0250000000001</v>
      </c>
      <c r="D2384" s="48">
        <f>_xlfn.XLOOKUP(expected_production[[#This Row],[Site Name]],Table1[[Site Name ]],Table1[Commisioned Date],"")</f>
        <v>44351</v>
      </c>
      <c r="E2384" s="47">
        <f>IF(ISNUMBER(expected_production[[#This Row],[Commissioned Date]]),MAX(0,(expected_production[[#This Row],[Date]]-expected_production[[#This Row],[Commissioned Date]])/365.25),"")</f>
        <v>2.9924709103353866</v>
      </c>
      <c r="F2384" s="49">
        <f>IF(expected_production[[#This Row],[Age (yrs)]]="",1,(1-DegradationRate)^expected_production[[#This Row],[Age (yrs)]])</f>
        <v>0.97919844441366433</v>
      </c>
      <c r="G2384" s="52">
        <f>IF(expected_production[[#This Row],[Base Expected (kWh)]]="","",expected_production[[#This Row],[Base Expected (kWh)]]*expected_production[[#This Row],[Degradation Factor]])</f>
        <v>2775.0728714294351</v>
      </c>
    </row>
    <row r="2385" spans="1:7" ht="15" hidden="1" customHeight="1" x14ac:dyDescent="0.3">
      <c r="A2385" t="s">
        <v>199</v>
      </c>
      <c r="B2385" s="2">
        <v>45474</v>
      </c>
      <c r="C2385" s="52">
        <v>3103.35</v>
      </c>
      <c r="D2385" s="48">
        <f>_xlfn.XLOOKUP(expected_production[[#This Row],[Site Name]],Table1[[Site Name ]],Table1[Commisioned Date],"")</f>
        <v>44351</v>
      </c>
      <c r="E2385" s="47">
        <f>IF(ISNUMBER(expected_production[[#This Row],[Commissioned Date]]),MAX(0,(expected_production[[#This Row],[Date]]-expected_production[[#This Row],[Commissioned Date]])/365.25),"")</f>
        <v>3.07460643394935</v>
      </c>
      <c r="F2385" s="49">
        <f>IF(expected_production[[#This Row],[Age (yrs)]]="",1,(1-DegradationRate)^expected_production[[#This Row],[Age (yrs)]])</f>
        <v>0.97863363882374843</v>
      </c>
      <c r="G2385" s="52">
        <f>IF(expected_production[[#This Row],[Base Expected (kWh)]]="","",expected_production[[#This Row],[Base Expected (kWh)]]*expected_production[[#This Row],[Degradation Factor]])</f>
        <v>3037.0427030436795</v>
      </c>
    </row>
    <row r="2386" spans="1:7" ht="15" hidden="1" customHeight="1" x14ac:dyDescent="0.3">
      <c r="A2386" t="s">
        <v>199</v>
      </c>
      <c r="B2386" s="2">
        <v>45505</v>
      </c>
      <c r="C2386" s="52">
        <v>3491.55</v>
      </c>
      <c r="D2386" s="48">
        <f>_xlfn.XLOOKUP(expected_production[[#This Row],[Site Name]],Table1[[Site Name ]],Table1[Commisioned Date],"")</f>
        <v>44351</v>
      </c>
      <c r="E2386" s="47">
        <f>IF(ISNUMBER(expected_production[[#This Row],[Commissioned Date]]),MAX(0,(expected_production[[#This Row],[Date]]-expected_production[[#This Row],[Commissioned Date]])/365.25),"")</f>
        <v>3.159479808350445</v>
      </c>
      <c r="F2386" s="49">
        <f>IF(expected_production[[#This Row],[Age (yrs)]]="",1,(1-DegradationRate)^expected_production[[#This Row],[Age (yrs)]])</f>
        <v>0.97805034863086748</v>
      </c>
      <c r="G2386" s="52">
        <f>IF(expected_production[[#This Row],[Base Expected (kWh)]]="","",expected_production[[#This Row],[Base Expected (kWh)]]*expected_production[[#This Row],[Degradation Factor]])</f>
        <v>3414.9116947621055</v>
      </c>
    </row>
    <row r="2387" spans="1:7" ht="15" hidden="1" customHeight="1" x14ac:dyDescent="0.3">
      <c r="A2387" t="s">
        <v>199</v>
      </c>
      <c r="B2387" s="2">
        <v>45536</v>
      </c>
      <c r="C2387" s="52">
        <v>3723.45</v>
      </c>
      <c r="D2387" s="48">
        <f>_xlfn.XLOOKUP(expected_production[[#This Row],[Site Name]],Table1[[Site Name ]],Table1[Commisioned Date],"")</f>
        <v>44351</v>
      </c>
      <c r="E2387" s="47">
        <f>IF(ISNUMBER(expected_production[[#This Row],[Commissioned Date]]),MAX(0,(expected_production[[#This Row],[Date]]-expected_production[[#This Row],[Commissioned Date]])/365.25),"")</f>
        <v>3.2443531827515399</v>
      </c>
      <c r="F2387" s="49">
        <f>IF(expected_production[[#This Row],[Age (yrs)]]="",1,(1-DegradationRate)^expected_production[[#This Row],[Age (yrs)]])</f>
        <v>0.97746740609357052</v>
      </c>
      <c r="G2387" s="52">
        <f>IF(expected_production[[#This Row],[Base Expected (kWh)]]="","",expected_production[[#This Row],[Base Expected (kWh)]]*expected_production[[#This Row],[Degradation Factor]])</f>
        <v>3639.5510132191048</v>
      </c>
    </row>
    <row r="2388" spans="1:7" ht="15" hidden="1" customHeight="1" x14ac:dyDescent="0.3">
      <c r="A2388" t="s">
        <v>199</v>
      </c>
      <c r="B2388" s="2">
        <v>45566</v>
      </c>
      <c r="C2388" s="52">
        <v>3899.4</v>
      </c>
      <c r="D2388" s="48">
        <f>_xlfn.XLOOKUP(expected_production[[#This Row],[Site Name]],Table1[[Site Name ]],Table1[Commisioned Date],"")</f>
        <v>44351</v>
      </c>
      <c r="E2388" s="47">
        <f>IF(ISNUMBER(expected_production[[#This Row],[Commissioned Date]]),MAX(0,(expected_production[[#This Row],[Date]]-expected_production[[#This Row],[Commissioned Date]])/365.25),"")</f>
        <v>3.3264887063655029</v>
      </c>
      <c r="F2388" s="49">
        <f>IF(expected_production[[#This Row],[Age (yrs)]]="",1,(1-DegradationRate)^expected_production[[#This Row],[Age (yrs)]])</f>
        <v>0.97690359897350021</v>
      </c>
      <c r="G2388" s="52">
        <f>IF(expected_production[[#This Row],[Base Expected (kWh)]]="","",expected_production[[#This Row],[Base Expected (kWh)]]*expected_production[[#This Row],[Degradation Factor]])</f>
        <v>3809.3378938372666</v>
      </c>
    </row>
    <row r="2389" spans="1:7" ht="15" hidden="1" customHeight="1" x14ac:dyDescent="0.3">
      <c r="A2389" t="s">
        <v>199</v>
      </c>
      <c r="B2389" s="2">
        <v>45597</v>
      </c>
      <c r="C2389" s="52">
        <v>3732.75</v>
      </c>
      <c r="D2389" s="48">
        <f>_xlfn.XLOOKUP(expected_production[[#This Row],[Site Name]],Table1[[Site Name ]],Table1[Commisioned Date],"")</f>
        <v>44351</v>
      </c>
      <c r="E2389" s="47">
        <f>IF(ISNUMBER(expected_production[[#This Row],[Commissioned Date]]),MAX(0,(expected_production[[#This Row],[Date]]-expected_production[[#This Row],[Commissioned Date]])/365.25),"")</f>
        <v>3.4113620807665983</v>
      </c>
      <c r="F2389" s="49">
        <f>IF(expected_production[[#This Row],[Age (yrs)]]="",1,(1-DegradationRate)^expected_production[[#This Row],[Age (yrs)]])</f>
        <v>0.97632133992775949</v>
      </c>
      <c r="G2389" s="52">
        <f>IF(expected_production[[#This Row],[Base Expected (kWh)]]="","",expected_production[[#This Row],[Base Expected (kWh)]]*expected_production[[#This Row],[Degradation Factor]])</f>
        <v>3644.3634816153444</v>
      </c>
    </row>
    <row r="2390" spans="1:7" ht="15" hidden="1" customHeight="1" x14ac:dyDescent="0.3">
      <c r="A2390" t="s">
        <v>199</v>
      </c>
      <c r="B2390" s="2">
        <v>45627</v>
      </c>
      <c r="C2390" s="52">
        <v>4016.1750000000002</v>
      </c>
      <c r="D2390" s="48">
        <f>_xlfn.XLOOKUP(expected_production[[#This Row],[Site Name]],Table1[[Site Name ]],Table1[Commisioned Date],"")</f>
        <v>44351</v>
      </c>
      <c r="E2390" s="47">
        <f>IF(ISNUMBER(expected_production[[#This Row],[Commissioned Date]]),MAX(0,(expected_production[[#This Row],[Date]]-expected_production[[#This Row],[Commissioned Date]])/365.25),"")</f>
        <v>3.4934976043805612</v>
      </c>
      <c r="F2390" s="49">
        <f>IF(expected_production[[#This Row],[Age (yrs)]]="",1,(1-DegradationRate)^expected_production[[#This Row],[Age (yrs)]])</f>
        <v>0.97575819386325002</v>
      </c>
      <c r="G2390" s="52">
        <f>IF(expected_production[[#This Row],[Base Expected (kWh)]]="","",expected_production[[#This Row],[Base Expected (kWh)]]*expected_production[[#This Row],[Degradation Factor]])</f>
        <v>3918.8156642387385</v>
      </c>
    </row>
    <row r="2391" spans="1:7" ht="15" hidden="1" customHeight="1" x14ac:dyDescent="0.3">
      <c r="A2391" t="s">
        <v>199</v>
      </c>
      <c r="B2391" s="2">
        <v>45658</v>
      </c>
      <c r="C2391" s="52">
        <v>3784.4250000000002</v>
      </c>
      <c r="D2391" s="48">
        <f>_xlfn.XLOOKUP(expected_production[[#This Row],[Site Name]],Table1[[Site Name ]],Table1[Commisioned Date],"")</f>
        <v>44351</v>
      </c>
      <c r="E2391" s="47">
        <f>IF(ISNUMBER(expected_production[[#This Row],[Commissioned Date]]),MAX(0,(expected_production[[#This Row],[Date]]-expected_production[[#This Row],[Commissioned Date]])/365.25),"")</f>
        <v>3.5783709787816562</v>
      </c>
      <c r="F2391" s="49">
        <f>IF(expected_production[[#This Row],[Age (yrs)]]="",1,(1-DegradationRate)^expected_production[[#This Row],[Age (yrs)]])</f>
        <v>0.97517661750768181</v>
      </c>
      <c r="G2391" s="52">
        <f>IF(expected_production[[#This Row],[Base Expected (kWh)]]="","",expected_production[[#This Row],[Base Expected (kWh)]]*expected_production[[#This Row],[Degradation Factor]])</f>
        <v>3690.4827707115087</v>
      </c>
    </row>
    <row r="2392" spans="1:7" ht="15" hidden="1" customHeight="1" x14ac:dyDescent="0.3">
      <c r="A2392" t="s">
        <v>199</v>
      </c>
      <c r="B2392" s="2">
        <v>45689</v>
      </c>
      <c r="C2392" s="52">
        <v>3270.15</v>
      </c>
      <c r="D2392" s="48">
        <f>_xlfn.XLOOKUP(expected_production[[#This Row],[Site Name]],Table1[[Site Name ]],Table1[Commisioned Date],"")</f>
        <v>44351</v>
      </c>
      <c r="E2392" s="47">
        <f>IF(ISNUMBER(expected_production[[#This Row],[Commissioned Date]]),MAX(0,(expected_production[[#This Row],[Date]]-expected_production[[#This Row],[Commissioned Date]])/365.25),"")</f>
        <v>3.6632443531827517</v>
      </c>
      <c r="F2392" s="49">
        <f>IF(expected_production[[#This Row],[Age (yrs)]]="",1,(1-DegradationRate)^expected_production[[#This Row],[Age (yrs)]])</f>
        <v>0.97459538778620747</v>
      </c>
      <c r="G2392" s="52">
        <f>IF(expected_production[[#This Row],[Base Expected (kWh)]]="","",expected_production[[#This Row],[Base Expected (kWh)]]*expected_production[[#This Row],[Degradation Factor]])</f>
        <v>3187.0731073690663</v>
      </c>
    </row>
    <row r="2393" spans="1:7" ht="15" hidden="1" customHeight="1" x14ac:dyDescent="0.3">
      <c r="A2393" t="s">
        <v>199</v>
      </c>
      <c r="B2393" s="2">
        <v>45717</v>
      </c>
      <c r="C2393" s="52">
        <v>3533.3249999999998</v>
      </c>
      <c r="D2393" s="48">
        <f>_xlfn.XLOOKUP(expected_production[[#This Row],[Site Name]],Table1[[Site Name ]],Table1[Commisioned Date],"")</f>
        <v>44351</v>
      </c>
      <c r="E2393" s="47">
        <f>IF(ISNUMBER(expected_production[[#This Row],[Commissioned Date]]),MAX(0,(expected_production[[#This Row],[Date]]-expected_production[[#This Row],[Commissioned Date]])/365.25),"")</f>
        <v>3.7399041752224504</v>
      </c>
      <c r="F2393" s="49">
        <f>IF(expected_production[[#This Row],[Age (yrs)]]="",1,(1-DegradationRate)^expected_production[[#This Row],[Age (yrs)]])</f>
        <v>0.97407070386983974</v>
      </c>
      <c r="G2393" s="52">
        <f>IF(expected_production[[#This Row],[Base Expected (kWh)]]="","",expected_production[[#This Row],[Base Expected (kWh)]]*expected_production[[#This Row],[Degradation Factor]])</f>
        <v>3441.7083697509015</v>
      </c>
    </row>
    <row r="2394" spans="1:7" ht="15" hidden="1" customHeight="1" x14ac:dyDescent="0.3">
      <c r="A2394" t="s">
        <v>199</v>
      </c>
      <c r="B2394" s="2">
        <v>45748</v>
      </c>
      <c r="C2394" s="52">
        <v>3063.0749999999998</v>
      </c>
      <c r="D2394" s="48">
        <f>_xlfn.XLOOKUP(expected_production[[#This Row],[Site Name]],Table1[[Site Name ]],Table1[Commisioned Date],"")</f>
        <v>44351</v>
      </c>
      <c r="E2394" s="47">
        <f>IF(ISNUMBER(expected_production[[#This Row],[Commissioned Date]]),MAX(0,(expected_production[[#This Row],[Date]]-expected_production[[#This Row],[Commissioned Date]])/365.25),"")</f>
        <v>3.8247775496235454</v>
      </c>
      <c r="F2394" s="49">
        <f>IF(expected_production[[#This Row],[Age (yrs)]]="",1,(1-DegradationRate)^expected_production[[#This Row],[Age (yrs)]])</f>
        <v>0.97349013330062995</v>
      </c>
      <c r="G2394" s="52">
        <f>IF(expected_production[[#This Row],[Base Expected (kWh)]]="","",expected_production[[#This Row],[Base Expected (kWh)]]*expected_production[[#This Row],[Degradation Factor]])</f>
        <v>2981.873290059827</v>
      </c>
    </row>
    <row r="2395" spans="1:7" ht="15" hidden="1" customHeight="1" x14ac:dyDescent="0.3">
      <c r="A2395" t="s">
        <v>199</v>
      </c>
      <c r="B2395" s="2">
        <v>45778</v>
      </c>
      <c r="C2395" s="52">
        <v>3093.8249999999998</v>
      </c>
      <c r="D2395" s="48">
        <f>_xlfn.XLOOKUP(expected_production[[#This Row],[Site Name]],Table1[[Site Name ]],Table1[Commisioned Date],"")</f>
        <v>44351</v>
      </c>
      <c r="E2395" s="47">
        <f>IF(ISNUMBER(expected_production[[#This Row],[Commissioned Date]]),MAX(0,(expected_production[[#This Row],[Date]]-expected_production[[#This Row],[Commissioned Date]])/365.25),"")</f>
        <v>3.9069130732375084</v>
      </c>
      <c r="F2395" s="49">
        <f>IF(expected_production[[#This Row],[Age (yrs)]]="",1,(1-DegradationRate)^expected_production[[#This Row],[Age (yrs)]])</f>
        <v>0.97292862028745775</v>
      </c>
      <c r="G2395" s="52">
        <f>IF(expected_production[[#This Row],[Base Expected (kWh)]]="","",expected_production[[#This Row],[Base Expected (kWh)]]*expected_production[[#This Row],[Degradation Factor]])</f>
        <v>3010.0708886608436</v>
      </c>
    </row>
    <row r="2396" spans="1:7" ht="15" hidden="1" customHeight="1" x14ac:dyDescent="0.3">
      <c r="A2396" t="s">
        <v>199</v>
      </c>
      <c r="B2396" s="2">
        <v>45809</v>
      </c>
      <c r="C2396" s="52">
        <v>2834.0250000000001</v>
      </c>
      <c r="D2396" s="48">
        <f>_xlfn.XLOOKUP(expected_production[[#This Row],[Site Name]],Table1[[Site Name ]],Table1[Commisioned Date],"")</f>
        <v>44351</v>
      </c>
      <c r="E2396" s="47">
        <f>IF(ISNUMBER(expected_production[[#This Row],[Commissioned Date]]),MAX(0,(expected_production[[#This Row],[Date]]-expected_production[[#This Row],[Commissioned Date]])/365.25),"")</f>
        <v>3.9917864476386038</v>
      </c>
      <c r="F2396" s="49">
        <f>IF(expected_production[[#This Row],[Age (yrs)]]="",1,(1-DegradationRate)^expected_production[[#This Row],[Age (yrs)]])</f>
        <v>0.97234873042870651</v>
      </c>
      <c r="G2396" s="52">
        <f>IF(expected_production[[#This Row],[Base Expected (kWh)]]="","",expected_production[[#This Row],[Base Expected (kWh)]]*expected_production[[#This Row],[Degradation Factor]])</f>
        <v>2755.6606107532152</v>
      </c>
    </row>
    <row r="2397" spans="1:7" ht="15" hidden="1" customHeight="1" x14ac:dyDescent="0.3">
      <c r="A2397" t="s">
        <v>199</v>
      </c>
      <c r="B2397" s="2">
        <v>45839</v>
      </c>
      <c r="C2397" s="52">
        <v>3103.35</v>
      </c>
      <c r="D2397" s="48">
        <f>_xlfn.XLOOKUP(expected_production[[#This Row],[Site Name]],Table1[[Site Name ]],Table1[Commisioned Date],"")</f>
        <v>44351</v>
      </c>
      <c r="E2397" s="47">
        <f>IF(ISNUMBER(expected_production[[#This Row],[Commissioned Date]]),MAX(0,(expected_production[[#This Row],[Date]]-expected_production[[#This Row],[Commissioned Date]])/365.25),"")</f>
        <v>4.0739219712525667</v>
      </c>
      <c r="F2397" s="49">
        <f>IF(expected_production[[#This Row],[Age (yrs)]]="",1,(1-DegradationRate)^expected_production[[#This Row],[Age (yrs)]])</f>
        <v>0.97178787578128856</v>
      </c>
      <c r="G2397" s="52">
        <f>IF(expected_production[[#This Row],[Base Expected (kWh)]]="","",expected_production[[#This Row],[Base Expected (kWh)]]*expected_production[[#This Row],[Degradation Factor]])</f>
        <v>3015.7979043058617</v>
      </c>
    </row>
    <row r="2398" spans="1:7" ht="15" hidden="1" customHeight="1" x14ac:dyDescent="0.3">
      <c r="A2398" t="s">
        <v>199</v>
      </c>
      <c r="B2398" s="2">
        <v>45870</v>
      </c>
      <c r="C2398" s="52">
        <v>3491.55</v>
      </c>
      <c r="D2398" s="48">
        <f>_xlfn.XLOOKUP(expected_production[[#This Row],[Site Name]],Table1[[Site Name ]],Table1[Commisioned Date],"")</f>
        <v>44351</v>
      </c>
      <c r="E2398" s="47">
        <f>IF(ISNUMBER(expected_production[[#This Row],[Commissioned Date]]),MAX(0,(expected_production[[#This Row],[Date]]-expected_production[[#This Row],[Commissioned Date]])/365.25),"")</f>
        <v>4.1587953456536617</v>
      </c>
      <c r="F2398" s="49">
        <f>IF(expected_production[[#This Row],[Age (yrs)]]="",1,(1-DegradationRate)^expected_production[[#This Row],[Age (yrs)]])</f>
        <v>0.97120866583487286</v>
      </c>
      <c r="G2398" s="52">
        <f>IF(expected_production[[#This Row],[Base Expected (kWh)]]="","",expected_production[[#This Row],[Base Expected (kWh)]]*expected_production[[#This Row],[Degradation Factor]])</f>
        <v>3391.0236171957504</v>
      </c>
    </row>
    <row r="2399" spans="1:7" ht="15" hidden="1" customHeight="1" x14ac:dyDescent="0.3">
      <c r="A2399" t="s">
        <v>199</v>
      </c>
      <c r="B2399" s="2">
        <v>45901</v>
      </c>
      <c r="C2399" s="52">
        <v>3723.45</v>
      </c>
      <c r="D2399" s="48">
        <f>_xlfn.XLOOKUP(expected_production[[#This Row],[Site Name]],Table1[[Site Name ]],Table1[Commisioned Date],"")</f>
        <v>44351</v>
      </c>
      <c r="E2399" s="47">
        <f>IF(ISNUMBER(expected_production[[#This Row],[Commissioned Date]]),MAX(0,(expected_production[[#This Row],[Date]]-expected_production[[#This Row],[Commissioned Date]])/365.25),"")</f>
        <v>4.2436687200547567</v>
      </c>
      <c r="F2399" s="49">
        <f>IF(expected_production[[#This Row],[Age (yrs)]]="",1,(1-DegradationRate)^expected_production[[#This Row],[Age (yrs)]])</f>
        <v>0.97062980111211183</v>
      </c>
      <c r="G2399" s="52">
        <f>IF(expected_production[[#This Row],[Base Expected (kWh)]]="","",expected_production[[#This Row],[Base Expected (kWh)]]*expected_production[[#This Row],[Degradation Factor]])</f>
        <v>3614.0915329508925</v>
      </c>
    </row>
    <row r="2400" spans="1:7" ht="15" hidden="1" customHeight="1" x14ac:dyDescent="0.3">
      <c r="A2400" t="s">
        <v>199</v>
      </c>
      <c r="B2400" s="2">
        <v>45931</v>
      </c>
      <c r="C2400" s="52">
        <v>3899.4</v>
      </c>
      <c r="D2400" s="48">
        <f>_xlfn.XLOOKUP(expected_production[[#This Row],[Site Name]],Table1[[Site Name ]],Table1[Commisioned Date],"")</f>
        <v>44351</v>
      </c>
      <c r="E2400" s="47">
        <f>IF(ISNUMBER(expected_production[[#This Row],[Commissioned Date]]),MAX(0,(expected_production[[#This Row],[Date]]-expected_production[[#This Row],[Commissioned Date]])/365.25),"")</f>
        <v>4.3258042436687196</v>
      </c>
      <c r="F2400" s="49">
        <f>IF(expected_production[[#This Row],[Age (yrs)]]="",1,(1-DegradationRate)^expected_production[[#This Row],[Age (yrs)]])</f>
        <v>0.97006993795001772</v>
      </c>
      <c r="G2400" s="52">
        <f>IF(expected_production[[#This Row],[Base Expected (kWh)]]="","",expected_production[[#This Row],[Base Expected (kWh)]]*expected_production[[#This Row],[Degradation Factor]])</f>
        <v>3782.6907160422993</v>
      </c>
    </row>
    <row r="2401" spans="1:7" ht="15" hidden="1" customHeight="1" x14ac:dyDescent="0.3">
      <c r="A2401" t="s">
        <v>199</v>
      </c>
      <c r="B2401" s="2">
        <v>45962</v>
      </c>
      <c r="C2401" s="52">
        <v>3732.75</v>
      </c>
      <c r="D2401" s="48">
        <f>_xlfn.XLOOKUP(expected_production[[#This Row],[Site Name]],Table1[[Site Name ]],Table1[Commisioned Date],"")</f>
        <v>44351</v>
      </c>
      <c r="E2401" s="47">
        <f>IF(ISNUMBER(expected_production[[#This Row],[Commissioned Date]]),MAX(0,(expected_production[[#This Row],[Date]]-expected_production[[#This Row],[Commissioned Date]])/365.25),"")</f>
        <v>4.4106776180698155</v>
      </c>
      <c r="F2401" s="49">
        <f>IF(expected_production[[#This Row],[Age (yrs)]]="",1,(1-DegradationRate)^expected_production[[#This Row],[Age (yrs)]])</f>
        <v>0.96949175193763526</v>
      </c>
      <c r="G2401" s="52">
        <f>IF(expected_production[[#This Row],[Base Expected (kWh)]]="","",expected_production[[#This Row],[Base Expected (kWh)]]*expected_production[[#This Row],[Degradation Factor]])</f>
        <v>3618.8703370452081</v>
      </c>
    </row>
    <row r="2402" spans="1:7" ht="15" hidden="1" customHeight="1" x14ac:dyDescent="0.3">
      <c r="A2402" t="s">
        <v>199</v>
      </c>
      <c r="B2402" s="2">
        <v>45992</v>
      </c>
      <c r="C2402" s="52">
        <v>4016.1750000000002</v>
      </c>
      <c r="D2402" s="48">
        <f>_xlfn.XLOOKUP(expected_production[[#This Row],[Site Name]],Table1[[Site Name ]],Table1[Commisioned Date],"")</f>
        <v>44351</v>
      </c>
      <c r="E2402" s="47">
        <f>IF(ISNUMBER(expected_production[[#This Row],[Commissioned Date]]),MAX(0,(expected_production[[#This Row],[Date]]-expected_production[[#This Row],[Commissioned Date]])/365.25),"")</f>
        <v>4.4928131416837784</v>
      </c>
      <c r="F2402" s="49">
        <f>IF(expected_production[[#This Row],[Age (yrs)]]="",1,(1-DegradationRate)^expected_production[[#This Row],[Age (yrs)]])</f>
        <v>0.96893254520686922</v>
      </c>
      <c r="G2402" s="52">
        <f>IF(expected_production[[#This Row],[Base Expected (kWh)]]="","",expected_production[[#This Row],[Base Expected (kWh)]]*expected_production[[#This Row],[Degradation Factor]])</f>
        <v>3891.4026647461983</v>
      </c>
    </row>
    <row r="2403" spans="1:7" ht="15" hidden="1" customHeight="1" x14ac:dyDescent="0.3">
      <c r="A2403" t="s">
        <v>199</v>
      </c>
      <c r="B2403" s="2">
        <v>46023</v>
      </c>
      <c r="C2403" s="52">
        <v>3784.4250000000002</v>
      </c>
      <c r="D2403" s="48">
        <f>_xlfn.XLOOKUP(expected_production[[#This Row],[Site Name]],Table1[[Site Name ]],Table1[Commisioned Date],"")</f>
        <v>44351</v>
      </c>
      <c r="E2403" s="47">
        <f>IF(ISNUMBER(expected_production[[#This Row],[Commissioned Date]]),MAX(0,(expected_production[[#This Row],[Date]]-expected_production[[#This Row],[Commissioned Date]])/365.25),"")</f>
        <v>4.5776865160848734</v>
      </c>
      <c r="F2403" s="49">
        <f>IF(expected_production[[#This Row],[Age (yrs)]]="",1,(1-DegradationRate)^expected_production[[#This Row],[Age (yrs)]])</f>
        <v>0.96835503710908755</v>
      </c>
      <c r="G2403" s="52">
        <f>IF(expected_production[[#This Row],[Base Expected (kWh)]]="","",expected_production[[#This Row],[Base Expected (kWh)]]*expected_production[[#This Row],[Degradation Factor]])</f>
        <v>3664.6670113115588</v>
      </c>
    </row>
    <row r="2404" spans="1:7" ht="15" hidden="1" customHeight="1" x14ac:dyDescent="0.3">
      <c r="A2404" t="s">
        <v>199</v>
      </c>
      <c r="B2404" s="2">
        <v>46054</v>
      </c>
      <c r="C2404" s="52">
        <v>3270.15</v>
      </c>
      <c r="D2404" s="48">
        <f>_xlfn.XLOOKUP(expected_production[[#This Row],[Site Name]],Table1[[Site Name ]],Table1[Commisioned Date],"")</f>
        <v>44351</v>
      </c>
      <c r="E2404" s="47">
        <f>IF(ISNUMBER(expected_production[[#This Row],[Commissioned Date]]),MAX(0,(expected_production[[#This Row],[Date]]-expected_production[[#This Row],[Commissioned Date]])/365.25),"")</f>
        <v>4.6625598904859684</v>
      </c>
      <c r="F2404" s="49">
        <f>IF(expected_production[[#This Row],[Age (yrs)]]="",1,(1-DegradationRate)^expected_production[[#This Row],[Age (yrs)]])</f>
        <v>0.96777787322061615</v>
      </c>
      <c r="G2404" s="52">
        <f>IF(expected_production[[#This Row],[Base Expected (kWh)]]="","",expected_production[[#This Row],[Base Expected (kWh)]]*expected_production[[#This Row],[Degradation Factor]])</f>
        <v>3164.7788121123981</v>
      </c>
    </row>
    <row r="2405" spans="1:7" ht="15" hidden="1" customHeight="1" x14ac:dyDescent="0.3">
      <c r="A2405" t="s">
        <v>199</v>
      </c>
      <c r="B2405" s="2">
        <v>46082</v>
      </c>
      <c r="C2405" s="52">
        <v>3533.3249999999998</v>
      </c>
      <c r="D2405" s="48">
        <f>_xlfn.XLOOKUP(expected_production[[#This Row],[Site Name]],Table1[[Site Name ]],Table1[Commisioned Date],"")</f>
        <v>44351</v>
      </c>
      <c r="E2405" s="47">
        <f>IF(ISNUMBER(expected_production[[#This Row],[Commissioned Date]]),MAX(0,(expected_production[[#This Row],[Date]]-expected_production[[#This Row],[Commissioned Date]])/365.25),"")</f>
        <v>4.7392197125256672</v>
      </c>
      <c r="F2405" s="49">
        <f>IF(expected_production[[#This Row],[Age (yrs)]]="",1,(1-DegradationRate)^expected_production[[#This Row],[Age (yrs)]])</f>
        <v>0.96725685958659013</v>
      </c>
      <c r="G2405" s="52">
        <f>IF(expected_production[[#This Row],[Base Expected (kWh)]]="","",expected_production[[#This Row],[Base Expected (kWh)]]*expected_production[[#This Row],[Degradation Factor]])</f>
        <v>3417.6328433987883</v>
      </c>
    </row>
    <row r="2406" spans="1:7" ht="15" hidden="1" customHeight="1" x14ac:dyDescent="0.3">
      <c r="A2406" t="s">
        <v>199</v>
      </c>
      <c r="B2406" s="2">
        <v>46113</v>
      </c>
      <c r="C2406" s="52">
        <v>3063.0749999999998</v>
      </c>
      <c r="D2406" s="48">
        <f>_xlfn.XLOOKUP(expected_production[[#This Row],[Site Name]],Table1[[Site Name ]],Table1[Commisioned Date],"")</f>
        <v>44351</v>
      </c>
      <c r="E2406" s="47">
        <f>IF(ISNUMBER(expected_production[[#This Row],[Commissioned Date]]),MAX(0,(expected_production[[#This Row],[Date]]-expected_production[[#This Row],[Commissioned Date]])/365.25),"")</f>
        <v>4.8240930869267622</v>
      </c>
      <c r="F2406" s="49">
        <f>IF(expected_production[[#This Row],[Age (yrs)]]="",1,(1-DegradationRate)^expected_production[[#This Row],[Age (yrs)]])</f>
        <v>0.96668035023946441</v>
      </c>
      <c r="G2406" s="52">
        <f>IF(expected_production[[#This Row],[Base Expected (kWh)]]="","",expected_production[[#This Row],[Base Expected (kWh)]]*expected_production[[#This Row],[Degradation Factor]])</f>
        <v>2961.0144138097471</v>
      </c>
    </row>
    <row r="2407" spans="1:7" ht="15" hidden="1" customHeight="1" x14ac:dyDescent="0.3">
      <c r="A2407" t="s">
        <v>199</v>
      </c>
      <c r="B2407" s="2">
        <v>46143</v>
      </c>
      <c r="C2407" s="52">
        <v>3093.8249999999998</v>
      </c>
      <c r="D2407" s="48">
        <f>_xlfn.XLOOKUP(expected_production[[#This Row],[Site Name]],Table1[[Site Name ]],Table1[Commisioned Date],"")</f>
        <v>44351</v>
      </c>
      <c r="E2407" s="47">
        <f>IF(ISNUMBER(expected_production[[#This Row],[Commissioned Date]]),MAX(0,(expected_production[[#This Row],[Date]]-expected_production[[#This Row],[Commissioned Date]])/365.25),"")</f>
        <v>4.9062286105407251</v>
      </c>
      <c r="F2407" s="49">
        <f>IF(expected_production[[#This Row],[Age (yrs)]]="",1,(1-DegradationRate)^expected_production[[#This Row],[Age (yrs)]])</f>
        <v>0.96612276513647333</v>
      </c>
      <c r="G2407" s="52">
        <f>IF(expected_production[[#This Row],[Base Expected (kWh)]]="","",expected_production[[#This Row],[Base Expected (kWh)]]*expected_production[[#This Row],[Degradation Factor]])</f>
        <v>2989.0147638483495</v>
      </c>
    </row>
    <row r="2408" spans="1:7" ht="15" hidden="1" customHeight="1" x14ac:dyDescent="0.3">
      <c r="A2408" t="s">
        <v>199</v>
      </c>
      <c r="B2408" s="2">
        <v>46174</v>
      </c>
      <c r="C2408" s="52">
        <v>2834.0250000000001</v>
      </c>
      <c r="D2408" s="48">
        <f>_xlfn.XLOOKUP(expected_production[[#This Row],[Site Name]],Table1[[Site Name ]],Table1[Commisioned Date],"")</f>
        <v>44351</v>
      </c>
      <c r="E2408" s="47">
        <f>IF(ISNUMBER(expected_production[[#This Row],[Commissioned Date]]),MAX(0,(expected_production[[#This Row],[Date]]-expected_production[[#This Row],[Commissioned Date]])/365.25),"")</f>
        <v>4.991101984941821</v>
      </c>
      <c r="F2408" s="49">
        <f>IF(expected_production[[#This Row],[Age (yrs)]]="",1,(1-DegradationRate)^expected_production[[#This Row],[Age (yrs)]])</f>
        <v>0.96554693173808293</v>
      </c>
      <c r="G2408" s="52">
        <f>IF(expected_production[[#This Row],[Base Expected (kWh)]]="","",expected_production[[#This Row],[Base Expected (kWh)]]*expected_production[[#This Row],[Degradation Factor]])</f>
        <v>2736.3841432190206</v>
      </c>
    </row>
    <row r="2409" spans="1:7" ht="15" hidden="1" customHeight="1" x14ac:dyDescent="0.3">
      <c r="A2409" t="s">
        <v>199</v>
      </c>
      <c r="B2409" s="2">
        <v>46204</v>
      </c>
      <c r="C2409" s="52">
        <v>3103.35</v>
      </c>
      <c r="D2409" s="48">
        <f>_xlfn.XLOOKUP(expected_production[[#This Row],[Site Name]],Table1[[Site Name ]],Table1[Commisioned Date],"")</f>
        <v>44351</v>
      </c>
      <c r="E2409" s="47">
        <f>IF(ISNUMBER(expected_production[[#This Row],[Commissioned Date]]),MAX(0,(expected_production[[#This Row],[Date]]-expected_production[[#This Row],[Commissioned Date]])/365.25),"")</f>
        <v>5.0732375085557839</v>
      </c>
      <c r="F2409" s="49">
        <f>IF(expected_production[[#This Row],[Age (yrs)]]="",1,(1-DegradationRate)^expected_production[[#This Row],[Age (yrs)]])</f>
        <v>0.96499000039542915</v>
      </c>
      <c r="G2409" s="52">
        <f>IF(expected_production[[#This Row],[Base Expected (kWh)]]="","",expected_production[[#This Row],[Base Expected (kWh)]]*expected_production[[#This Row],[Degradation Factor]])</f>
        <v>2994.701717727155</v>
      </c>
    </row>
    <row r="2410" spans="1:7" ht="15" hidden="1" customHeight="1" x14ac:dyDescent="0.3">
      <c r="A2410" t="s">
        <v>199</v>
      </c>
      <c r="B2410" s="2">
        <v>46235</v>
      </c>
      <c r="C2410" s="52">
        <v>3491.55</v>
      </c>
      <c r="D2410" s="48">
        <f>_xlfn.XLOOKUP(expected_production[[#This Row],[Site Name]],Table1[[Site Name ]],Table1[Commisioned Date],"")</f>
        <v>44351</v>
      </c>
      <c r="E2410" s="47">
        <f>IF(ISNUMBER(expected_production[[#This Row],[Commissioned Date]]),MAX(0,(expected_production[[#This Row],[Date]]-expected_production[[#This Row],[Commissioned Date]])/365.25),"")</f>
        <v>5.1581108829568789</v>
      </c>
      <c r="F2410" s="49">
        <f>IF(expected_production[[#This Row],[Age (yrs)]]="",1,(1-DegradationRate)^expected_production[[#This Row],[Age (yrs)]])</f>
        <v>0.96441484215323414</v>
      </c>
      <c r="G2410" s="52">
        <f>IF(expected_production[[#This Row],[Base Expected (kWh)]]="","",expected_production[[#This Row],[Base Expected (kWh)]]*expected_production[[#This Row],[Degradation Factor]])</f>
        <v>3367.3026421201248</v>
      </c>
    </row>
    <row r="2411" spans="1:7" ht="15" hidden="1" customHeight="1" x14ac:dyDescent="0.3">
      <c r="A2411" t="s">
        <v>199</v>
      </c>
      <c r="B2411" s="2">
        <v>46266</v>
      </c>
      <c r="C2411" s="52">
        <v>3723.45</v>
      </c>
      <c r="D2411" s="48">
        <f>_xlfn.XLOOKUP(expected_production[[#This Row],[Site Name]],Table1[[Site Name ]],Table1[Commisioned Date],"")</f>
        <v>44351</v>
      </c>
      <c r="E2411" s="47">
        <f>IF(ISNUMBER(expected_production[[#This Row],[Commissioned Date]]),MAX(0,(expected_production[[#This Row],[Date]]-expected_production[[#This Row],[Commissioned Date]])/365.25),"")</f>
        <v>5.2429842573579739</v>
      </c>
      <c r="F2411" s="49">
        <f>IF(expected_production[[#This Row],[Age (yrs)]]="",1,(1-DegradationRate)^expected_production[[#This Row],[Age (yrs)]])</f>
        <v>0.96384002671977653</v>
      </c>
      <c r="G2411" s="52">
        <f>IF(expected_production[[#This Row],[Base Expected (kWh)]]="","",expected_production[[#This Row],[Base Expected (kWh)]]*expected_production[[#This Row],[Degradation Factor]])</f>
        <v>3588.8101474897517</v>
      </c>
    </row>
    <row r="2412" spans="1:7" ht="15" hidden="1" customHeight="1" x14ac:dyDescent="0.3">
      <c r="A2412" t="s">
        <v>199</v>
      </c>
      <c r="B2412" s="2">
        <v>46296</v>
      </c>
      <c r="C2412" s="52">
        <v>3899.4</v>
      </c>
      <c r="D2412" s="48">
        <f>_xlfn.XLOOKUP(expected_production[[#This Row],[Site Name]],Table1[[Site Name ]],Table1[Commisioned Date],"")</f>
        <v>44351</v>
      </c>
      <c r="E2412" s="47">
        <f>IF(ISNUMBER(expected_production[[#This Row],[Commissioned Date]]),MAX(0,(expected_production[[#This Row],[Date]]-expected_production[[#This Row],[Commissioned Date]])/365.25),"")</f>
        <v>5.3251197809719368</v>
      </c>
      <c r="F2412" s="49">
        <f>IF(expected_production[[#This Row],[Age (yrs)]]="",1,(1-DegradationRate)^expected_production[[#This Row],[Age (yrs)]])</f>
        <v>0.963284079926783</v>
      </c>
      <c r="G2412" s="52">
        <f>IF(expected_production[[#This Row],[Base Expected (kWh)]]="","",expected_production[[#This Row],[Base Expected (kWh)]]*expected_production[[#This Row],[Degradation Factor]])</f>
        <v>3756.2299412664979</v>
      </c>
    </row>
    <row r="2413" spans="1:7" ht="15" hidden="1" customHeight="1" x14ac:dyDescent="0.3">
      <c r="A2413" t="s">
        <v>199</v>
      </c>
      <c r="B2413" s="2">
        <v>46327</v>
      </c>
      <c r="C2413" s="52">
        <v>3732.75</v>
      </c>
      <c r="D2413" s="48">
        <f>_xlfn.XLOOKUP(expected_production[[#This Row],[Site Name]],Table1[[Site Name ]],Table1[Commisioned Date],"")</f>
        <v>44351</v>
      </c>
      <c r="E2413" s="47">
        <f>IF(ISNUMBER(expected_production[[#This Row],[Commissioned Date]]),MAX(0,(expected_production[[#This Row],[Date]]-expected_production[[#This Row],[Commissioned Date]])/365.25),"")</f>
        <v>5.4099931553730318</v>
      </c>
      <c r="F2413" s="49">
        <f>IF(expected_production[[#This Row],[Age (yrs)]]="",1,(1-DegradationRate)^expected_production[[#This Row],[Age (yrs)]])</f>
        <v>0.96270993845597186</v>
      </c>
      <c r="G2413" s="52">
        <f>IF(expected_production[[#This Row],[Base Expected (kWh)]]="","",expected_production[[#This Row],[Base Expected (kWh)]]*expected_production[[#This Row],[Degradation Factor]])</f>
        <v>3593.555522771529</v>
      </c>
    </row>
    <row r="2414" spans="1:7" ht="15" hidden="1" customHeight="1" x14ac:dyDescent="0.3">
      <c r="A2414" t="s">
        <v>199</v>
      </c>
      <c r="B2414" s="2">
        <v>46357</v>
      </c>
      <c r="C2414" s="52">
        <v>4016.1750000000002</v>
      </c>
      <c r="D2414" s="48">
        <f>_xlfn.XLOOKUP(expected_production[[#This Row],[Site Name]],Table1[[Site Name ]],Table1[Commisioned Date],"")</f>
        <v>44351</v>
      </c>
      <c r="E2414" s="47">
        <f>IF(ISNUMBER(expected_production[[#This Row],[Commissioned Date]]),MAX(0,(expected_production[[#This Row],[Date]]-expected_production[[#This Row],[Commissioned Date]])/365.25),"")</f>
        <v>5.4921286789869956</v>
      </c>
      <c r="F2414" s="49">
        <f>IF(expected_production[[#This Row],[Age (yrs)]]="",1,(1-DegradationRate)^expected_production[[#This Row],[Age (yrs)]])</f>
        <v>0.96215464350242119</v>
      </c>
      <c r="G2414" s="52">
        <f>IF(expected_production[[#This Row],[Base Expected (kWh)]]="","",expected_production[[#This Row],[Base Expected (kWh)]]*expected_production[[#This Row],[Degradation Factor]])</f>
        <v>3864.1814253683365</v>
      </c>
    </row>
    <row r="2415" spans="1:7" ht="15" hidden="1" customHeight="1" x14ac:dyDescent="0.3">
      <c r="A2415" t="s">
        <v>192</v>
      </c>
      <c r="B2415" s="2">
        <v>45292</v>
      </c>
      <c r="C2415" s="52">
        <v>0</v>
      </c>
      <c r="D2415" s="48">
        <f>_xlfn.XLOOKUP(expected_production[[#This Row],[Site Name]],Table1[[Site Name ]],Table1[Commisioned Date],"")</f>
        <v>45247</v>
      </c>
      <c r="E2415" s="47">
        <f>IF(ISNUMBER(expected_production[[#This Row],[Commissioned Date]]),MAX(0,(expected_production[[#This Row],[Date]]-expected_production[[#This Row],[Commissioned Date]])/365.25),"")</f>
        <v>0.12320328542094455</v>
      </c>
      <c r="F2415" s="49">
        <f>IF(expected_production[[#This Row],[Age (yrs)]]="",1,(1-DegradationRate)^expected_production[[#This Row],[Age (yrs)]])</f>
        <v>0.9991349187596642</v>
      </c>
      <c r="G2415" s="52">
        <f>IF(expected_production[[#This Row],[Base Expected (kWh)]]="","",expected_production[[#This Row],[Base Expected (kWh)]]*expected_production[[#This Row],[Degradation Factor]])</f>
        <v>0</v>
      </c>
    </row>
    <row r="2416" spans="1:7" ht="15" hidden="1" customHeight="1" x14ac:dyDescent="0.3">
      <c r="A2416" t="s">
        <v>192</v>
      </c>
      <c r="B2416" s="2">
        <v>45323</v>
      </c>
      <c r="C2416" s="52">
        <v>0</v>
      </c>
      <c r="D2416" s="48">
        <f>_xlfn.XLOOKUP(expected_production[[#This Row],[Site Name]],Table1[[Site Name ]],Table1[Commisioned Date],"")</f>
        <v>45247</v>
      </c>
      <c r="E2416" s="47">
        <f>IF(ISNUMBER(expected_production[[#This Row],[Commissioned Date]]),MAX(0,(expected_production[[#This Row],[Date]]-expected_production[[#This Row],[Commissioned Date]])/365.25),"")</f>
        <v>0.20807665982203971</v>
      </c>
      <c r="F2416" s="49">
        <f>IF(expected_production[[#This Row],[Age (yrs)]]="",1,(1-DegradationRate)^expected_production[[#This Row],[Age (yrs)]])</f>
        <v>0.99853940928976925</v>
      </c>
      <c r="G2416" s="52">
        <f>IF(expected_production[[#This Row],[Base Expected (kWh)]]="","",expected_production[[#This Row],[Base Expected (kWh)]]*expected_production[[#This Row],[Degradation Factor]])</f>
        <v>0</v>
      </c>
    </row>
    <row r="2417" spans="1:7" ht="15" hidden="1" customHeight="1" x14ac:dyDescent="0.3">
      <c r="A2417" t="s">
        <v>192</v>
      </c>
      <c r="B2417" s="2">
        <v>45352</v>
      </c>
      <c r="C2417" s="52">
        <v>0</v>
      </c>
      <c r="D2417" s="48">
        <f>_xlfn.XLOOKUP(expected_production[[#This Row],[Site Name]],Table1[[Site Name ]],Table1[Commisioned Date],"")</f>
        <v>45247</v>
      </c>
      <c r="E2417" s="47">
        <f>IF(ISNUMBER(expected_production[[#This Row],[Commissioned Date]]),MAX(0,(expected_production[[#This Row],[Date]]-expected_production[[#This Row],[Commissioned Date]])/365.25),"")</f>
        <v>0.28747433264887062</v>
      </c>
      <c r="F2417" s="49">
        <f>IF(expected_production[[#This Row],[Age (yrs)]]="",1,(1-DegradationRate)^expected_production[[#This Row],[Age (yrs)]])</f>
        <v>0.99798264111816393</v>
      </c>
      <c r="G2417" s="52">
        <f>IF(expected_production[[#This Row],[Base Expected (kWh)]]="","",expected_production[[#This Row],[Base Expected (kWh)]]*expected_production[[#This Row],[Degradation Factor]])</f>
        <v>0</v>
      </c>
    </row>
    <row r="2418" spans="1:7" ht="15" hidden="1" customHeight="1" x14ac:dyDescent="0.3">
      <c r="A2418" t="s">
        <v>192</v>
      </c>
      <c r="B2418" s="2">
        <v>45383</v>
      </c>
      <c r="C2418" s="52">
        <v>0</v>
      </c>
      <c r="D2418" s="48">
        <f>_xlfn.XLOOKUP(expected_production[[#This Row],[Site Name]],Table1[[Site Name ]],Table1[Commisioned Date],"")</f>
        <v>45247</v>
      </c>
      <c r="E2418" s="47">
        <f>IF(ISNUMBER(expected_production[[#This Row],[Commissioned Date]]),MAX(0,(expected_production[[#This Row],[Date]]-expected_production[[#This Row],[Commissioned Date]])/365.25),"")</f>
        <v>0.37234770704996578</v>
      </c>
      <c r="F2418" s="49">
        <f>IF(expected_production[[#This Row],[Age (yrs)]]="",1,(1-DegradationRate)^expected_production[[#This Row],[Age (yrs)]])</f>
        <v>0.99738781843464241</v>
      </c>
      <c r="G2418" s="52">
        <f>IF(expected_production[[#This Row],[Base Expected (kWh)]]="","",expected_production[[#This Row],[Base Expected (kWh)]]*expected_production[[#This Row],[Degradation Factor]])</f>
        <v>0</v>
      </c>
    </row>
    <row r="2419" spans="1:7" ht="15" hidden="1" customHeight="1" x14ac:dyDescent="0.3">
      <c r="A2419" t="s">
        <v>192</v>
      </c>
      <c r="B2419" s="2">
        <v>45413</v>
      </c>
      <c r="C2419" s="52">
        <v>0</v>
      </c>
      <c r="D2419" s="48">
        <f>_xlfn.XLOOKUP(expected_production[[#This Row],[Site Name]],Table1[[Site Name ]],Table1[Commisioned Date],"")</f>
        <v>45247</v>
      </c>
      <c r="E2419" s="47">
        <f>IF(ISNUMBER(expected_production[[#This Row],[Commissioned Date]]),MAX(0,(expected_production[[#This Row],[Date]]-expected_production[[#This Row],[Commissioned Date]])/365.25),"")</f>
        <v>0.45448323066392882</v>
      </c>
      <c r="F2419" s="49">
        <f>IF(expected_production[[#This Row],[Age (yrs)]]="",1,(1-DegradationRate)^expected_production[[#This Row],[Age (yrs)]])</f>
        <v>0.99681252114084085</v>
      </c>
      <c r="G2419" s="52">
        <f>IF(expected_production[[#This Row],[Base Expected (kWh)]]="","",expected_production[[#This Row],[Base Expected (kWh)]]*expected_production[[#This Row],[Degradation Factor]])</f>
        <v>0</v>
      </c>
    </row>
    <row r="2420" spans="1:7" ht="15" hidden="1" customHeight="1" x14ac:dyDescent="0.3">
      <c r="A2420" t="s">
        <v>192</v>
      </c>
      <c r="B2420" s="2">
        <v>45444</v>
      </c>
      <c r="C2420" s="52">
        <v>0</v>
      </c>
      <c r="D2420" s="48">
        <f>_xlfn.XLOOKUP(expected_production[[#This Row],[Site Name]],Table1[[Site Name ]],Table1[Commisioned Date],"")</f>
        <v>45247</v>
      </c>
      <c r="E2420" s="47">
        <f>IF(ISNUMBER(expected_production[[#This Row],[Commissioned Date]]),MAX(0,(expected_production[[#This Row],[Date]]-expected_production[[#This Row],[Commissioned Date]])/365.25),"")</f>
        <v>0.53935660506502392</v>
      </c>
      <c r="F2420" s="49">
        <f>IF(expected_production[[#This Row],[Age (yrs)]]="",1,(1-DegradationRate)^expected_production[[#This Row],[Age (yrs)]])</f>
        <v>0.9962183958781724</v>
      </c>
      <c r="G2420" s="52">
        <f>IF(expected_production[[#This Row],[Base Expected (kWh)]]="","",expected_production[[#This Row],[Base Expected (kWh)]]*expected_production[[#This Row],[Degradation Factor]])</f>
        <v>0</v>
      </c>
    </row>
    <row r="2421" spans="1:7" ht="15" hidden="1" customHeight="1" x14ac:dyDescent="0.3">
      <c r="A2421" t="s">
        <v>192</v>
      </c>
      <c r="B2421" s="2">
        <v>45474</v>
      </c>
      <c r="C2421" s="52">
        <v>0</v>
      </c>
      <c r="D2421" s="48">
        <f>_xlfn.XLOOKUP(expected_production[[#This Row],[Site Name]],Table1[[Site Name ]],Table1[Commisioned Date],"")</f>
        <v>45247</v>
      </c>
      <c r="E2421" s="47">
        <f>IF(ISNUMBER(expected_production[[#This Row],[Commissioned Date]]),MAX(0,(expected_production[[#This Row],[Date]]-expected_production[[#This Row],[Commissioned Date]])/365.25),"")</f>
        <v>0.62149212867898695</v>
      </c>
      <c r="F2421" s="49">
        <f>IF(expected_production[[#This Row],[Age (yrs)]]="",1,(1-DegradationRate)^expected_production[[#This Row],[Age (yrs)]])</f>
        <v>0.99564377311199148</v>
      </c>
      <c r="G2421" s="52">
        <f>IF(expected_production[[#This Row],[Base Expected (kWh)]]="","",expected_production[[#This Row],[Base Expected (kWh)]]*expected_production[[#This Row],[Degradation Factor]])</f>
        <v>0</v>
      </c>
    </row>
    <row r="2422" spans="1:7" ht="15" hidden="1" customHeight="1" x14ac:dyDescent="0.3">
      <c r="A2422" t="s">
        <v>192</v>
      </c>
      <c r="B2422" s="2">
        <v>45505</v>
      </c>
      <c r="C2422" s="52">
        <v>0</v>
      </c>
      <c r="D2422" s="48">
        <f>_xlfn.XLOOKUP(expected_production[[#This Row],[Site Name]],Table1[[Site Name ]],Table1[Commisioned Date],"")</f>
        <v>45247</v>
      </c>
      <c r="E2422" s="47">
        <f>IF(ISNUMBER(expected_production[[#This Row],[Commissioned Date]]),MAX(0,(expected_production[[#This Row],[Date]]-expected_production[[#This Row],[Commissioned Date]])/365.25),"")</f>
        <v>0.70636550308008217</v>
      </c>
      <c r="F2422" s="49">
        <f>IF(expected_production[[#This Row],[Age (yrs)]]="",1,(1-DegradationRate)^expected_production[[#This Row],[Age (yrs)]])</f>
        <v>0.99505034445246054</v>
      </c>
      <c r="G2422" s="52">
        <f>IF(expected_production[[#This Row],[Base Expected (kWh)]]="","",expected_production[[#This Row],[Base Expected (kWh)]]*expected_production[[#This Row],[Degradation Factor]])</f>
        <v>0</v>
      </c>
    </row>
    <row r="2423" spans="1:7" ht="15" hidden="1" customHeight="1" x14ac:dyDescent="0.3">
      <c r="A2423" t="s">
        <v>192</v>
      </c>
      <c r="B2423" s="2">
        <v>45536</v>
      </c>
      <c r="C2423" s="52">
        <v>0</v>
      </c>
      <c r="D2423" s="48">
        <f>_xlfn.XLOOKUP(expected_production[[#This Row],[Site Name]],Table1[[Site Name ]],Table1[Commisioned Date],"")</f>
        <v>45247</v>
      </c>
      <c r="E2423" s="47">
        <f>IF(ISNUMBER(expected_production[[#This Row],[Commissioned Date]]),MAX(0,(expected_production[[#This Row],[Date]]-expected_production[[#This Row],[Commissioned Date]])/365.25),"")</f>
        <v>0.79123887748117727</v>
      </c>
      <c r="F2423" s="49">
        <f>IF(expected_production[[#This Row],[Age (yrs)]]="",1,(1-DegradationRate)^expected_production[[#This Row],[Age (yrs)]])</f>
        <v>0.99445726949129376</v>
      </c>
      <c r="G2423" s="52">
        <f>IF(expected_production[[#This Row],[Base Expected (kWh)]]="","",expected_production[[#This Row],[Base Expected (kWh)]]*expected_production[[#This Row],[Degradation Factor]])</f>
        <v>0</v>
      </c>
    </row>
    <row r="2424" spans="1:7" ht="15" hidden="1" customHeight="1" x14ac:dyDescent="0.3">
      <c r="A2424" t="s">
        <v>192</v>
      </c>
      <c r="B2424" s="2">
        <v>45566</v>
      </c>
      <c r="C2424" s="52">
        <v>0</v>
      </c>
      <c r="D2424" s="48">
        <f>_xlfn.XLOOKUP(expected_production[[#This Row],[Site Name]],Table1[[Site Name ]],Table1[Commisioned Date],"")</f>
        <v>45247</v>
      </c>
      <c r="E2424" s="47">
        <f>IF(ISNUMBER(expected_production[[#This Row],[Commissioned Date]]),MAX(0,(expected_production[[#This Row],[Date]]-expected_production[[#This Row],[Commissioned Date]])/365.25),"")</f>
        <v>0.87337440109514031</v>
      </c>
      <c r="F2424" s="49">
        <f>IF(expected_production[[#This Row],[Age (yrs)]]="",1,(1-DegradationRate)^expected_production[[#This Row],[Age (yrs)]])</f>
        <v>0.99388366254987603</v>
      </c>
      <c r="G2424" s="52">
        <f>IF(expected_production[[#This Row],[Base Expected (kWh)]]="","",expected_production[[#This Row],[Base Expected (kWh)]]*expected_production[[#This Row],[Degradation Factor]])</f>
        <v>0</v>
      </c>
    </row>
    <row r="2425" spans="1:7" ht="15" hidden="1" customHeight="1" x14ac:dyDescent="0.3">
      <c r="A2425" t="s">
        <v>192</v>
      </c>
      <c r="B2425" s="2">
        <v>45597</v>
      </c>
      <c r="C2425" s="52">
        <v>0</v>
      </c>
      <c r="D2425" s="48">
        <f>_xlfn.XLOOKUP(expected_production[[#This Row],[Site Name]],Table1[[Site Name ]],Table1[Commisioned Date],"")</f>
        <v>45247</v>
      </c>
      <c r="E2425" s="47">
        <f>IF(ISNUMBER(expected_production[[#This Row],[Commissioned Date]]),MAX(0,(expected_production[[#This Row],[Date]]-expected_production[[#This Row],[Commissioned Date]])/365.25),"")</f>
        <v>0.95824777549623541</v>
      </c>
      <c r="F2425" s="49">
        <f>IF(expected_production[[#This Row],[Age (yrs)]]="",1,(1-DegradationRate)^expected_production[[#This Row],[Age (yrs)]])</f>
        <v>0.9932912829603836</v>
      </c>
      <c r="G2425" s="52">
        <f>IF(expected_production[[#This Row],[Base Expected (kWh)]]="","",expected_production[[#This Row],[Base Expected (kWh)]]*expected_production[[#This Row],[Degradation Factor]])</f>
        <v>0</v>
      </c>
    </row>
    <row r="2426" spans="1:7" ht="15" hidden="1" customHeight="1" x14ac:dyDescent="0.3">
      <c r="A2426" t="s">
        <v>192</v>
      </c>
      <c r="B2426" s="2">
        <v>45627</v>
      </c>
      <c r="C2426" s="52">
        <v>0</v>
      </c>
      <c r="D2426" s="48">
        <f>_xlfn.XLOOKUP(expected_production[[#This Row],[Site Name]],Table1[[Site Name ]],Table1[Commisioned Date],"")</f>
        <v>45247</v>
      </c>
      <c r="E2426" s="47">
        <f>IF(ISNUMBER(expected_production[[#This Row],[Commissioned Date]]),MAX(0,(expected_production[[#This Row],[Date]]-expected_production[[#This Row],[Commissioned Date]])/365.25),"")</f>
        <v>1.0403832991101984</v>
      </c>
      <c r="F2426" s="49">
        <f>IF(expected_production[[#This Row],[Age (yrs)]]="",1,(1-DegradationRate)^expected_production[[#This Row],[Age (yrs)]])</f>
        <v>0.99271834856467311</v>
      </c>
      <c r="G2426" s="52">
        <f>IF(expected_production[[#This Row],[Base Expected (kWh)]]="","",expected_production[[#This Row],[Base Expected (kWh)]]*expected_production[[#This Row],[Degradation Factor]])</f>
        <v>0</v>
      </c>
    </row>
    <row r="2427" spans="1:7" ht="15" hidden="1" customHeight="1" x14ac:dyDescent="0.3">
      <c r="A2427" t="s">
        <v>192</v>
      </c>
      <c r="B2427" s="2">
        <v>45658</v>
      </c>
      <c r="C2427" s="52">
        <v>0</v>
      </c>
      <c r="D2427" s="48">
        <f>_xlfn.XLOOKUP(expected_production[[#This Row],[Site Name]],Table1[[Site Name ]],Table1[Commisioned Date],"")</f>
        <v>45247</v>
      </c>
      <c r="E2427" s="47">
        <f>IF(ISNUMBER(expected_production[[#This Row],[Commissioned Date]]),MAX(0,(expected_production[[#This Row],[Date]]-expected_production[[#This Row],[Commissioned Date]])/365.25),"")</f>
        <v>1.1252566735112937</v>
      </c>
      <c r="F2427" s="49">
        <f>IF(expected_production[[#This Row],[Age (yrs)]]="",1,(1-DegradationRate)^expected_production[[#This Row],[Age (yrs)]])</f>
        <v>0.99212666353154211</v>
      </c>
      <c r="G2427" s="52">
        <f>IF(expected_production[[#This Row],[Base Expected (kWh)]]="","",expected_production[[#This Row],[Base Expected (kWh)]]*expected_production[[#This Row],[Degradation Factor]])</f>
        <v>0</v>
      </c>
    </row>
    <row r="2428" spans="1:7" ht="15" hidden="1" customHeight="1" x14ac:dyDescent="0.3">
      <c r="A2428" t="s">
        <v>192</v>
      </c>
      <c r="B2428" s="2">
        <v>45689</v>
      </c>
      <c r="C2428" s="52">
        <v>0</v>
      </c>
      <c r="D2428" s="48">
        <f>_xlfn.XLOOKUP(expected_production[[#This Row],[Site Name]],Table1[[Site Name ]],Table1[Commisioned Date],"")</f>
        <v>45247</v>
      </c>
      <c r="E2428" s="47">
        <f>IF(ISNUMBER(expected_production[[#This Row],[Commissioned Date]]),MAX(0,(expected_production[[#This Row],[Date]]-expected_production[[#This Row],[Commissioned Date]])/365.25),"")</f>
        <v>1.2101300479123889</v>
      </c>
      <c r="F2428" s="49">
        <f>IF(expected_production[[#This Row],[Age (yrs)]]="",1,(1-DegradationRate)^expected_production[[#This Row],[Age (yrs)]])</f>
        <v>0.99153533115753012</v>
      </c>
      <c r="G2428" s="52">
        <f>IF(expected_production[[#This Row],[Base Expected (kWh)]]="","",expected_production[[#This Row],[Base Expected (kWh)]]*expected_production[[#This Row],[Degradation Factor]])</f>
        <v>0</v>
      </c>
    </row>
    <row r="2429" spans="1:7" ht="15" hidden="1" customHeight="1" x14ac:dyDescent="0.3">
      <c r="A2429" t="s">
        <v>192</v>
      </c>
      <c r="B2429" s="2">
        <v>45717</v>
      </c>
      <c r="C2429" s="52">
        <v>0</v>
      </c>
      <c r="D2429" s="48">
        <f>_xlfn.XLOOKUP(expected_production[[#This Row],[Site Name]],Table1[[Site Name ]],Table1[Commisioned Date],"")</f>
        <v>45247</v>
      </c>
      <c r="E2429" s="47">
        <f>IF(ISNUMBER(expected_production[[#This Row],[Commissioned Date]]),MAX(0,(expected_production[[#This Row],[Date]]-expected_production[[#This Row],[Commissioned Date]])/365.25),"")</f>
        <v>1.2867898699520877</v>
      </c>
      <c r="F2429" s="49">
        <f>IF(expected_production[[#This Row],[Age (yrs)]]="",1,(1-DegradationRate)^expected_production[[#This Row],[Age (yrs)]])</f>
        <v>0.99100152744032766</v>
      </c>
      <c r="G2429" s="52">
        <f>IF(expected_production[[#This Row],[Base Expected (kWh)]]="","",expected_production[[#This Row],[Base Expected (kWh)]]*expected_production[[#This Row],[Degradation Factor]])</f>
        <v>0</v>
      </c>
    </row>
    <row r="2430" spans="1:7" ht="15" hidden="1" customHeight="1" x14ac:dyDescent="0.3">
      <c r="A2430" t="s">
        <v>192</v>
      </c>
      <c r="B2430" s="2">
        <v>45748</v>
      </c>
      <c r="C2430" s="52">
        <v>0</v>
      </c>
      <c r="D2430" s="48">
        <f>_xlfn.XLOOKUP(expected_production[[#This Row],[Site Name]],Table1[[Site Name ]],Table1[Commisioned Date],"")</f>
        <v>45247</v>
      </c>
      <c r="E2430" s="47">
        <f>IF(ISNUMBER(expected_production[[#This Row],[Commissioned Date]]),MAX(0,(expected_production[[#This Row],[Date]]-expected_production[[#This Row],[Commissioned Date]])/365.25),"")</f>
        <v>1.3716632443531827</v>
      </c>
      <c r="F2430" s="49">
        <f>IF(expected_production[[#This Row],[Age (yrs)]]="",1,(1-DegradationRate)^expected_production[[#This Row],[Age (yrs)]])</f>
        <v>0.99041086567564451</v>
      </c>
      <c r="G2430" s="52">
        <f>IF(expected_production[[#This Row],[Base Expected (kWh)]]="","",expected_production[[#This Row],[Base Expected (kWh)]]*expected_production[[#This Row],[Degradation Factor]])</f>
        <v>0</v>
      </c>
    </row>
    <row r="2431" spans="1:7" ht="15" hidden="1" customHeight="1" x14ac:dyDescent="0.3">
      <c r="A2431" t="s">
        <v>192</v>
      </c>
      <c r="B2431" s="2">
        <v>45778</v>
      </c>
      <c r="C2431" s="52">
        <v>0</v>
      </c>
      <c r="D2431" s="48">
        <f>_xlfn.XLOOKUP(expected_production[[#This Row],[Site Name]],Table1[[Site Name ]],Table1[Commisioned Date],"")</f>
        <v>45247</v>
      </c>
      <c r="E2431" s="47">
        <f>IF(ISNUMBER(expected_production[[#This Row],[Commissioned Date]]),MAX(0,(expected_production[[#This Row],[Date]]-expected_production[[#This Row],[Commissioned Date]])/365.25),"")</f>
        <v>1.4537987679671458</v>
      </c>
      <c r="F2431" s="49">
        <f>IF(expected_production[[#This Row],[Age (yrs)]]="",1,(1-DegradationRate)^expected_production[[#This Row],[Age (yrs)]])</f>
        <v>0.98983959271617616</v>
      </c>
      <c r="G2431" s="52">
        <f>IF(expected_production[[#This Row],[Base Expected (kWh)]]="","",expected_production[[#This Row],[Base Expected (kWh)]]*expected_production[[#This Row],[Degradation Factor]])</f>
        <v>0</v>
      </c>
    </row>
    <row r="2432" spans="1:7" ht="15" hidden="1" customHeight="1" x14ac:dyDescent="0.3">
      <c r="A2432" t="s">
        <v>192</v>
      </c>
      <c r="B2432" s="2">
        <v>45809</v>
      </c>
      <c r="C2432" s="52">
        <v>0</v>
      </c>
      <c r="D2432" s="48">
        <f>_xlfn.XLOOKUP(expected_production[[#This Row],[Site Name]],Table1[[Site Name ]],Table1[Commisioned Date],"")</f>
        <v>45247</v>
      </c>
      <c r="E2432" s="47">
        <f>IF(ISNUMBER(expected_production[[#This Row],[Commissioned Date]]),MAX(0,(expected_production[[#This Row],[Date]]-expected_production[[#This Row],[Commissioned Date]])/365.25),"")</f>
        <v>1.538672142368241</v>
      </c>
      <c r="F2432" s="49">
        <f>IF(expected_production[[#This Row],[Age (yrs)]]="",1,(1-DegradationRate)^expected_production[[#This Row],[Age (yrs)]])</f>
        <v>0.98924962349373002</v>
      </c>
      <c r="G2432" s="52">
        <f>IF(expected_production[[#This Row],[Base Expected (kWh)]]="","",expected_production[[#This Row],[Base Expected (kWh)]]*expected_production[[#This Row],[Degradation Factor]])</f>
        <v>0</v>
      </c>
    </row>
    <row r="2433" spans="1:7" ht="15" hidden="1" customHeight="1" x14ac:dyDescent="0.3">
      <c r="A2433" t="s">
        <v>192</v>
      </c>
      <c r="B2433" s="2">
        <v>45839</v>
      </c>
      <c r="C2433" s="52">
        <v>0</v>
      </c>
      <c r="D2433" s="48">
        <f>_xlfn.XLOOKUP(expected_production[[#This Row],[Site Name]],Table1[[Site Name ]],Table1[Commisioned Date],"")</f>
        <v>45247</v>
      </c>
      <c r="E2433" s="47">
        <f>IF(ISNUMBER(expected_production[[#This Row],[Commissioned Date]]),MAX(0,(expected_production[[#This Row],[Date]]-expected_production[[#This Row],[Commissioned Date]])/365.25),"")</f>
        <v>1.6208076659822039</v>
      </c>
      <c r="F2433" s="49">
        <f>IF(expected_production[[#This Row],[Age (yrs)]]="",1,(1-DegradationRate)^expected_production[[#This Row],[Age (yrs)]])</f>
        <v>0.98867902034340938</v>
      </c>
      <c r="G2433" s="52">
        <f>IF(expected_production[[#This Row],[Base Expected (kWh)]]="","",expected_production[[#This Row],[Base Expected (kWh)]]*expected_production[[#This Row],[Degradation Factor]])</f>
        <v>0</v>
      </c>
    </row>
    <row r="2434" spans="1:7" ht="15" hidden="1" customHeight="1" x14ac:dyDescent="0.3">
      <c r="A2434" t="s">
        <v>192</v>
      </c>
      <c r="B2434" s="2">
        <v>45870</v>
      </c>
      <c r="C2434" s="52">
        <v>0</v>
      </c>
      <c r="D2434" s="48">
        <f>_xlfn.XLOOKUP(expected_production[[#This Row],[Site Name]],Table1[[Site Name ]],Table1[Commisioned Date],"")</f>
        <v>45247</v>
      </c>
      <c r="E2434" s="47">
        <f>IF(ISNUMBER(expected_production[[#This Row],[Commissioned Date]]),MAX(0,(expected_production[[#This Row],[Date]]-expected_production[[#This Row],[Commissioned Date]])/365.25),"")</f>
        <v>1.7056810403832992</v>
      </c>
      <c r="F2434" s="49">
        <f>IF(expected_production[[#This Row],[Age (yrs)]]="",1,(1-DegradationRate)^expected_production[[#This Row],[Age (yrs)]])</f>
        <v>0.98808974285120454</v>
      </c>
      <c r="G2434" s="52">
        <f>IF(expected_production[[#This Row],[Base Expected (kWh)]]="","",expected_production[[#This Row],[Base Expected (kWh)]]*expected_production[[#This Row],[Degradation Factor]])</f>
        <v>0</v>
      </c>
    </row>
    <row r="2435" spans="1:7" ht="15" hidden="1" customHeight="1" x14ac:dyDescent="0.3">
      <c r="A2435" t="s">
        <v>192</v>
      </c>
      <c r="B2435" s="2">
        <v>45901</v>
      </c>
      <c r="C2435" s="52">
        <v>0</v>
      </c>
      <c r="D2435" s="48">
        <f>_xlfn.XLOOKUP(expected_production[[#This Row],[Site Name]],Table1[[Site Name ]],Table1[Commisioned Date],"")</f>
        <v>45247</v>
      </c>
      <c r="E2435" s="47">
        <f>IF(ISNUMBER(expected_production[[#This Row],[Commissioned Date]]),MAX(0,(expected_production[[#This Row],[Date]]-expected_production[[#This Row],[Commissioned Date]])/365.25),"")</f>
        <v>1.7905544147843941</v>
      </c>
      <c r="F2435" s="49">
        <f>IF(expected_production[[#This Row],[Age (yrs)]]="",1,(1-DegradationRate)^expected_production[[#This Row],[Age (yrs)]])</f>
        <v>0.98750081658316413</v>
      </c>
      <c r="G2435" s="52">
        <f>IF(expected_production[[#This Row],[Base Expected (kWh)]]="","",expected_production[[#This Row],[Base Expected (kWh)]]*expected_production[[#This Row],[Degradation Factor]])</f>
        <v>0</v>
      </c>
    </row>
    <row r="2436" spans="1:7" ht="15" hidden="1" customHeight="1" x14ac:dyDescent="0.3">
      <c r="A2436" t="s">
        <v>192</v>
      </c>
      <c r="B2436" s="2">
        <v>45931</v>
      </c>
      <c r="C2436" s="52">
        <v>0</v>
      </c>
      <c r="D2436" s="48">
        <f>_xlfn.XLOOKUP(expected_production[[#This Row],[Site Name]],Table1[[Site Name ]],Table1[Commisioned Date],"")</f>
        <v>45247</v>
      </c>
      <c r="E2436" s="47">
        <f>IF(ISNUMBER(expected_production[[#This Row],[Commissioned Date]]),MAX(0,(expected_production[[#This Row],[Date]]-expected_production[[#This Row],[Commissioned Date]])/365.25),"")</f>
        <v>1.8726899383983573</v>
      </c>
      <c r="F2436" s="49">
        <f>IF(expected_production[[#This Row],[Age (yrs)]]="",1,(1-DegradationRate)^expected_production[[#This Row],[Age (yrs)]])</f>
        <v>0.98693122215168338</v>
      </c>
      <c r="G2436" s="52">
        <f>IF(expected_production[[#This Row],[Base Expected (kWh)]]="","",expected_production[[#This Row],[Base Expected (kWh)]]*expected_production[[#This Row],[Degradation Factor]])</f>
        <v>0</v>
      </c>
    </row>
    <row r="2437" spans="1:7" ht="15" hidden="1" customHeight="1" x14ac:dyDescent="0.3">
      <c r="A2437" t="s">
        <v>192</v>
      </c>
      <c r="B2437" s="2">
        <v>45962</v>
      </c>
      <c r="C2437" s="52">
        <v>0</v>
      </c>
      <c r="D2437" s="48">
        <f>_xlfn.XLOOKUP(expected_production[[#This Row],[Site Name]],Table1[[Site Name ]],Table1[Commisioned Date],"")</f>
        <v>45247</v>
      </c>
      <c r="E2437" s="47">
        <f>IF(ISNUMBER(expected_production[[#This Row],[Commissioned Date]]),MAX(0,(expected_production[[#This Row],[Date]]-expected_production[[#This Row],[Commissioned Date]])/365.25),"")</f>
        <v>1.9575633127994525</v>
      </c>
      <c r="F2437" s="49">
        <f>IF(expected_production[[#This Row],[Age (yrs)]]="",1,(1-DegradationRate)^expected_production[[#This Row],[Age (yrs)]])</f>
        <v>0.98634298639103557</v>
      </c>
      <c r="G2437" s="52">
        <f>IF(expected_production[[#This Row],[Base Expected (kWh)]]="","",expected_production[[#This Row],[Base Expected (kWh)]]*expected_production[[#This Row],[Degradation Factor]])</f>
        <v>0</v>
      </c>
    </row>
    <row r="2438" spans="1:7" ht="15" hidden="1" customHeight="1" x14ac:dyDescent="0.3">
      <c r="A2438" t="s">
        <v>192</v>
      </c>
      <c r="B2438" s="2">
        <v>45992</v>
      </c>
      <c r="C2438" s="52">
        <v>0</v>
      </c>
      <c r="D2438" s="48">
        <f>_xlfn.XLOOKUP(expected_production[[#This Row],[Site Name]],Table1[[Site Name ]],Table1[Commisioned Date],"")</f>
        <v>45247</v>
      </c>
      <c r="E2438" s="47">
        <f>IF(ISNUMBER(expected_production[[#This Row],[Commissioned Date]]),MAX(0,(expected_production[[#This Row],[Date]]-expected_production[[#This Row],[Commissioned Date]])/365.25),"")</f>
        <v>2.0396988364134154</v>
      </c>
      <c r="F2438" s="49">
        <f>IF(expected_production[[#This Row],[Age (yrs)]]="",1,(1-DegradationRate)^expected_production[[#This Row],[Age (yrs)]])</f>
        <v>0.98577405980065314</v>
      </c>
      <c r="G2438" s="52">
        <f>IF(expected_production[[#This Row],[Base Expected (kWh)]]="","",expected_production[[#This Row],[Base Expected (kWh)]]*expected_production[[#This Row],[Degradation Factor]])</f>
        <v>0</v>
      </c>
    </row>
    <row r="2439" spans="1:7" ht="15" hidden="1" customHeight="1" x14ac:dyDescent="0.3">
      <c r="A2439" t="s">
        <v>192</v>
      </c>
      <c r="B2439" s="2">
        <v>46023</v>
      </c>
      <c r="C2439" s="52">
        <v>0</v>
      </c>
      <c r="D2439" s="48">
        <f>_xlfn.XLOOKUP(expected_production[[#This Row],[Site Name]],Table1[[Site Name ]],Table1[Commisioned Date],"")</f>
        <v>45247</v>
      </c>
      <c r="E2439" s="47">
        <f>IF(ISNUMBER(expected_production[[#This Row],[Commissioned Date]]),MAX(0,(expected_production[[#This Row],[Date]]-expected_production[[#This Row],[Commissioned Date]])/365.25),"")</f>
        <v>2.1245722108145104</v>
      </c>
      <c r="F2439" s="49">
        <f>IF(expected_production[[#This Row],[Age (yrs)]]="",1,(1-DegradationRate)^expected_production[[#This Row],[Age (yrs)]])</f>
        <v>0.98518651373778832</v>
      </c>
      <c r="G2439" s="52">
        <f>IF(expected_production[[#This Row],[Base Expected (kWh)]]="","",expected_production[[#This Row],[Base Expected (kWh)]]*expected_production[[#This Row],[Degradation Factor]])</f>
        <v>0</v>
      </c>
    </row>
    <row r="2440" spans="1:7" ht="15" hidden="1" customHeight="1" x14ac:dyDescent="0.3">
      <c r="A2440" t="s">
        <v>192</v>
      </c>
      <c r="B2440" s="2">
        <v>46054</v>
      </c>
      <c r="C2440" s="52">
        <v>0</v>
      </c>
      <c r="D2440" s="48">
        <f>_xlfn.XLOOKUP(expected_production[[#This Row],[Site Name]],Table1[[Site Name ]],Table1[Commisioned Date],"")</f>
        <v>45247</v>
      </c>
      <c r="E2440" s="47">
        <f>IF(ISNUMBER(expected_production[[#This Row],[Commissioned Date]]),MAX(0,(expected_production[[#This Row],[Date]]-expected_production[[#This Row],[Commissioned Date]])/365.25),"")</f>
        <v>2.2094455852156059</v>
      </c>
      <c r="F2440" s="49">
        <f>IF(expected_production[[#This Row],[Age (yrs)]]="",1,(1-DegradationRate)^expected_production[[#This Row],[Age (yrs)]])</f>
        <v>0.98459931786711252</v>
      </c>
      <c r="G2440" s="52">
        <f>IF(expected_production[[#This Row],[Base Expected (kWh)]]="","",expected_production[[#This Row],[Base Expected (kWh)]]*expected_production[[#This Row],[Degradation Factor]])</f>
        <v>0</v>
      </c>
    </row>
    <row r="2441" spans="1:7" ht="15" hidden="1" customHeight="1" x14ac:dyDescent="0.3">
      <c r="A2441" t="s">
        <v>192</v>
      </c>
      <c r="B2441" s="2">
        <v>46082</v>
      </c>
      <c r="C2441" s="52">
        <v>0</v>
      </c>
      <c r="D2441" s="48">
        <f>_xlfn.XLOOKUP(expected_production[[#This Row],[Site Name]],Table1[[Site Name ]],Table1[Commisioned Date],"")</f>
        <v>45247</v>
      </c>
      <c r="E2441" s="47">
        <f>IF(ISNUMBER(expected_production[[#This Row],[Commissioned Date]]),MAX(0,(expected_production[[#This Row],[Date]]-expected_production[[#This Row],[Commissioned Date]])/365.25),"")</f>
        <v>2.2861054072553046</v>
      </c>
      <c r="F2441" s="49">
        <f>IF(expected_production[[#This Row],[Age (yrs)]]="",1,(1-DegradationRate)^expected_production[[#This Row],[Age (yrs)]])</f>
        <v>0.98406924822731567</v>
      </c>
      <c r="G2441" s="52">
        <f>IF(expected_production[[#This Row],[Base Expected (kWh)]]="","",expected_production[[#This Row],[Base Expected (kWh)]]*expected_production[[#This Row],[Degradation Factor]])</f>
        <v>0</v>
      </c>
    </row>
    <row r="2442" spans="1:7" ht="15" hidden="1" customHeight="1" x14ac:dyDescent="0.3">
      <c r="A2442" t="s">
        <v>192</v>
      </c>
      <c r="B2442" s="2">
        <v>46113</v>
      </c>
      <c r="C2442" s="52">
        <v>0</v>
      </c>
      <c r="D2442" s="48">
        <f>_xlfn.XLOOKUP(expected_production[[#This Row],[Site Name]],Table1[[Site Name ]],Table1[Commisioned Date],"")</f>
        <v>45247</v>
      </c>
      <c r="E2442" s="47">
        <f>IF(ISNUMBER(expected_production[[#This Row],[Commissioned Date]]),MAX(0,(expected_production[[#This Row],[Date]]-expected_production[[#This Row],[Commissioned Date]])/365.25),"")</f>
        <v>2.3709787816563996</v>
      </c>
      <c r="F2442" s="49">
        <f>IF(expected_production[[#This Row],[Age (yrs)]]="",1,(1-DegradationRate)^expected_production[[#This Row],[Age (yrs)]])</f>
        <v>0.98348271827490508</v>
      </c>
      <c r="G2442" s="52">
        <f>IF(expected_production[[#This Row],[Base Expected (kWh)]]="","",expected_production[[#This Row],[Base Expected (kWh)]]*expected_production[[#This Row],[Degradation Factor]])</f>
        <v>0</v>
      </c>
    </row>
    <row r="2443" spans="1:7" ht="15" hidden="1" customHeight="1" x14ac:dyDescent="0.3">
      <c r="A2443" t="s">
        <v>192</v>
      </c>
      <c r="B2443" s="2">
        <v>46143</v>
      </c>
      <c r="C2443" s="52">
        <v>0</v>
      </c>
      <c r="D2443" s="48">
        <f>_xlfn.XLOOKUP(expected_production[[#This Row],[Site Name]],Table1[[Site Name ]],Table1[Commisioned Date],"")</f>
        <v>45247</v>
      </c>
      <c r="E2443" s="47">
        <f>IF(ISNUMBER(expected_production[[#This Row],[Commissioned Date]]),MAX(0,(expected_production[[#This Row],[Date]]-expected_production[[#This Row],[Commissioned Date]])/365.25),"")</f>
        <v>2.4531143052703626</v>
      </c>
      <c r="F2443" s="49">
        <f>IF(expected_production[[#This Row],[Age (yrs)]]="",1,(1-DegradationRate)^expected_production[[#This Row],[Age (yrs)]])</f>
        <v>0.98291544149864352</v>
      </c>
      <c r="G2443" s="52">
        <f>IF(expected_production[[#This Row],[Base Expected (kWh)]]="","",expected_production[[#This Row],[Base Expected (kWh)]]*expected_production[[#This Row],[Degradation Factor]])</f>
        <v>0</v>
      </c>
    </row>
    <row r="2444" spans="1:7" ht="15" hidden="1" customHeight="1" x14ac:dyDescent="0.3">
      <c r="A2444" t="s">
        <v>192</v>
      </c>
      <c r="B2444" s="2">
        <v>46174</v>
      </c>
      <c r="C2444" s="52">
        <v>0</v>
      </c>
      <c r="D2444" s="48">
        <f>_xlfn.XLOOKUP(expected_production[[#This Row],[Site Name]],Table1[[Site Name ]],Table1[Commisioned Date],"")</f>
        <v>45247</v>
      </c>
      <c r="E2444" s="47">
        <f>IF(ISNUMBER(expected_production[[#This Row],[Commissioned Date]]),MAX(0,(expected_production[[#This Row],[Date]]-expected_production[[#This Row],[Commissioned Date]])/365.25),"")</f>
        <v>2.537987679671458</v>
      </c>
      <c r="F2444" s="49">
        <f>IF(expected_production[[#This Row],[Age (yrs)]]="",1,(1-DegradationRate)^expected_production[[#This Row],[Age (yrs)]])</f>
        <v>0.98232959924398078</v>
      </c>
      <c r="G2444" s="52">
        <f>IF(expected_production[[#This Row],[Base Expected (kWh)]]="","",expected_production[[#This Row],[Base Expected (kWh)]]*expected_production[[#This Row],[Degradation Factor]])</f>
        <v>0</v>
      </c>
    </row>
    <row r="2445" spans="1:7" ht="15" hidden="1" customHeight="1" x14ac:dyDescent="0.3">
      <c r="A2445" t="s">
        <v>192</v>
      </c>
      <c r="B2445" s="2">
        <v>46204</v>
      </c>
      <c r="C2445" s="52">
        <v>0</v>
      </c>
      <c r="D2445" s="48">
        <f>_xlfn.XLOOKUP(expected_production[[#This Row],[Site Name]],Table1[[Site Name ]],Table1[Commisioned Date],"")</f>
        <v>45247</v>
      </c>
      <c r="E2445" s="47">
        <f>IF(ISNUMBER(expected_production[[#This Row],[Commissioned Date]]),MAX(0,(expected_production[[#This Row],[Date]]-expected_production[[#This Row],[Commissioned Date]])/365.25),"")</f>
        <v>2.6201232032854209</v>
      </c>
      <c r="F2445" s="49">
        <f>IF(expected_production[[#This Row],[Age (yrs)]]="",1,(1-DegradationRate)^expected_production[[#This Row],[Age (yrs)]])</f>
        <v>0.9817629875914009</v>
      </c>
      <c r="G2445" s="52">
        <f>IF(expected_production[[#This Row],[Base Expected (kWh)]]="","",expected_production[[#This Row],[Base Expected (kWh)]]*expected_production[[#This Row],[Degradation Factor]])</f>
        <v>0</v>
      </c>
    </row>
    <row r="2446" spans="1:7" ht="15" hidden="1" customHeight="1" x14ac:dyDescent="0.3">
      <c r="A2446" t="s">
        <v>192</v>
      </c>
      <c r="B2446" s="2">
        <v>46235</v>
      </c>
      <c r="C2446" s="52">
        <v>0</v>
      </c>
      <c r="D2446" s="48">
        <f>_xlfn.XLOOKUP(expected_production[[#This Row],[Site Name]],Table1[[Site Name ]],Table1[Commisioned Date],"")</f>
        <v>45247</v>
      </c>
      <c r="E2446" s="47">
        <f>IF(ISNUMBER(expected_production[[#This Row],[Commissioned Date]]),MAX(0,(expected_production[[#This Row],[Date]]-expected_production[[#This Row],[Commissioned Date]])/365.25),"")</f>
        <v>2.7049965776865159</v>
      </c>
      <c r="F2446" s="49">
        <f>IF(expected_production[[#This Row],[Age (yrs)]]="",1,(1-DegradationRate)^expected_production[[#This Row],[Age (yrs)]])</f>
        <v>0.98117783222817045</v>
      </c>
      <c r="G2446" s="52">
        <f>IF(expected_production[[#This Row],[Base Expected (kWh)]]="","",expected_production[[#This Row],[Base Expected (kWh)]]*expected_production[[#This Row],[Degradation Factor]])</f>
        <v>0</v>
      </c>
    </row>
    <row r="2447" spans="1:7" ht="15" hidden="1" customHeight="1" x14ac:dyDescent="0.3">
      <c r="A2447" t="s">
        <v>192</v>
      </c>
      <c r="B2447" s="2">
        <v>46266</v>
      </c>
      <c r="C2447" s="52">
        <v>0</v>
      </c>
      <c r="D2447" s="48">
        <f>_xlfn.XLOOKUP(expected_production[[#This Row],[Site Name]],Table1[[Site Name ]],Table1[Commisioned Date],"")</f>
        <v>45247</v>
      </c>
      <c r="E2447" s="47">
        <f>IF(ISNUMBER(expected_production[[#This Row],[Commissioned Date]]),MAX(0,(expected_production[[#This Row],[Date]]-expected_production[[#This Row],[Commissioned Date]])/365.25),"")</f>
        <v>2.7898699520876113</v>
      </c>
      <c r="F2447" s="49">
        <f>IF(expected_production[[#This Row],[Age (yrs)]]="",1,(1-DegradationRate)^expected_production[[#This Row],[Age (yrs)]])</f>
        <v>0.98059302563221218</v>
      </c>
      <c r="G2447" s="52">
        <f>IF(expected_production[[#This Row],[Base Expected (kWh)]]="","",expected_production[[#This Row],[Base Expected (kWh)]]*expected_production[[#This Row],[Degradation Factor]])</f>
        <v>0</v>
      </c>
    </row>
    <row r="2448" spans="1:7" ht="15" hidden="1" customHeight="1" x14ac:dyDescent="0.3">
      <c r="A2448" t="s">
        <v>192</v>
      </c>
      <c r="B2448" s="2">
        <v>46296</v>
      </c>
      <c r="C2448" s="52">
        <v>0</v>
      </c>
      <c r="D2448" s="48">
        <f>_xlfn.XLOOKUP(expected_production[[#This Row],[Site Name]],Table1[[Site Name ]],Table1[Commisioned Date],"")</f>
        <v>45247</v>
      </c>
      <c r="E2448" s="47">
        <f>IF(ISNUMBER(expected_production[[#This Row],[Commissioned Date]]),MAX(0,(expected_production[[#This Row],[Date]]-expected_production[[#This Row],[Commissioned Date]])/365.25),"")</f>
        <v>2.8720054757015743</v>
      </c>
      <c r="F2448" s="49">
        <f>IF(expected_production[[#This Row],[Age (yrs)]]="",1,(1-DegradationRate)^expected_production[[#This Row],[Age (yrs)]])</f>
        <v>0.98002741564225626</v>
      </c>
      <c r="G2448" s="52">
        <f>IF(expected_production[[#This Row],[Base Expected (kWh)]]="","",expected_production[[#This Row],[Base Expected (kWh)]]*expected_production[[#This Row],[Degradation Factor]])</f>
        <v>0</v>
      </c>
    </row>
    <row r="2449" spans="1:7" ht="15" hidden="1" customHeight="1" x14ac:dyDescent="0.3">
      <c r="A2449" t="s">
        <v>192</v>
      </c>
      <c r="B2449" s="2">
        <v>46327</v>
      </c>
      <c r="C2449" s="52">
        <v>0</v>
      </c>
      <c r="D2449" s="48">
        <f>_xlfn.XLOOKUP(expected_production[[#This Row],[Site Name]],Table1[[Site Name ]],Table1[Commisioned Date],"")</f>
        <v>45247</v>
      </c>
      <c r="E2449" s="47">
        <f>IF(ISNUMBER(expected_production[[#This Row],[Commissioned Date]]),MAX(0,(expected_production[[#This Row],[Date]]-expected_production[[#This Row],[Commissioned Date]])/365.25),"")</f>
        <v>2.9568788501026693</v>
      </c>
      <c r="F2449" s="49">
        <f>IF(expected_production[[#This Row],[Age (yrs)]]="",1,(1-DegradationRate)^expected_production[[#This Row],[Age (yrs)]])</f>
        <v>0.97944329472343572</v>
      </c>
      <c r="G2449" s="52">
        <f>IF(expected_production[[#This Row],[Base Expected (kWh)]]="","",expected_production[[#This Row],[Base Expected (kWh)]]*expected_production[[#This Row],[Degradation Factor]])</f>
        <v>0</v>
      </c>
    </row>
    <row r="2450" spans="1:7" ht="15" hidden="1" customHeight="1" x14ac:dyDescent="0.3">
      <c r="A2450" t="s">
        <v>192</v>
      </c>
      <c r="B2450" s="2">
        <v>46357</v>
      </c>
      <c r="C2450" s="52">
        <v>0</v>
      </c>
      <c r="D2450" s="48">
        <f>_xlfn.XLOOKUP(expected_production[[#This Row],[Site Name]],Table1[[Site Name ]],Table1[Commisioned Date],"")</f>
        <v>45247</v>
      </c>
      <c r="E2450" s="47">
        <f>IF(ISNUMBER(expected_production[[#This Row],[Commissioned Date]]),MAX(0,(expected_production[[#This Row],[Date]]-expected_production[[#This Row],[Commissioned Date]])/365.25),"")</f>
        <v>3.0390143737166326</v>
      </c>
      <c r="F2450" s="49">
        <f>IF(expected_production[[#This Row],[Age (yrs)]]="",1,(1-DegradationRate)^expected_production[[#This Row],[Age (yrs)]])</f>
        <v>0.97887834790287909</v>
      </c>
      <c r="G2450" s="52">
        <f>IF(expected_production[[#This Row],[Base Expected (kWh)]]="","",expected_production[[#This Row],[Base Expected (kWh)]]*expected_production[[#This Row],[Degradation Factor]])</f>
        <v>0</v>
      </c>
    </row>
    <row r="2451" spans="1:7" ht="15" hidden="1" customHeight="1" x14ac:dyDescent="0.3">
      <c r="A2451" t="s">
        <v>194</v>
      </c>
      <c r="B2451" s="2">
        <v>45292</v>
      </c>
      <c r="C2451" s="52">
        <v>7399.8</v>
      </c>
      <c r="D2451" s="48">
        <f>_xlfn.XLOOKUP(expected_production[[#This Row],[Site Name]],Table1[[Site Name ]],Table1[Commisioned Date],"")</f>
        <v>45068</v>
      </c>
      <c r="E2451" s="47">
        <f>IF(ISNUMBER(expected_production[[#This Row],[Commissioned Date]]),MAX(0,(expected_production[[#This Row],[Date]]-expected_production[[#This Row],[Commissioned Date]])/365.25),"")</f>
        <v>0.61327857631759064</v>
      </c>
      <c r="F2451" s="49">
        <f>IF(expected_production[[#This Row],[Age (yrs)]]="",1,(1-DegradationRate)^expected_production[[#This Row],[Age (yrs)]])</f>
        <v>0.99570122047044196</v>
      </c>
      <c r="G2451" s="52">
        <f>IF(expected_production[[#This Row],[Base Expected (kWh)]]="","",expected_production[[#This Row],[Base Expected (kWh)]]*expected_production[[#This Row],[Degradation Factor]])</f>
        <v>7367.9898912371764</v>
      </c>
    </row>
    <row r="2452" spans="1:7" ht="15" hidden="1" customHeight="1" x14ac:dyDescent="0.3">
      <c r="A2452" t="s">
        <v>194</v>
      </c>
      <c r="B2452" s="2">
        <v>45323</v>
      </c>
      <c r="C2452" s="52">
        <v>6298.2</v>
      </c>
      <c r="D2452" s="48">
        <f>_xlfn.XLOOKUP(expected_production[[#This Row],[Site Name]],Table1[[Site Name ]],Table1[Commisioned Date],"")</f>
        <v>45068</v>
      </c>
      <c r="E2452" s="47">
        <f>IF(ISNUMBER(expected_production[[#This Row],[Commissioned Date]]),MAX(0,(expected_production[[#This Row],[Date]]-expected_production[[#This Row],[Commissioned Date]])/365.25),"")</f>
        <v>0.69815195071868585</v>
      </c>
      <c r="F2452" s="49">
        <f>IF(expected_production[[#This Row],[Age (yrs)]]="",1,(1-DegradationRate)^expected_production[[#This Row],[Age (yrs)]])</f>
        <v>0.99510775757084458</v>
      </c>
      <c r="G2452" s="52">
        <f>IF(expected_production[[#This Row],[Base Expected (kWh)]]="","",expected_production[[#This Row],[Base Expected (kWh)]]*expected_production[[#This Row],[Degradation Factor]])</f>
        <v>6267.3876787326935</v>
      </c>
    </row>
    <row r="2453" spans="1:7" ht="15" hidden="1" customHeight="1" x14ac:dyDescent="0.3">
      <c r="A2453" t="s">
        <v>194</v>
      </c>
      <c r="B2453" s="2">
        <v>45352</v>
      </c>
      <c r="C2453" s="52">
        <v>6353.1</v>
      </c>
      <c r="D2453" s="48">
        <f>_xlfn.XLOOKUP(expected_production[[#This Row],[Site Name]],Table1[[Site Name ]],Table1[Commisioned Date],"")</f>
        <v>45068</v>
      </c>
      <c r="E2453" s="47">
        <f>IF(ISNUMBER(expected_production[[#This Row],[Commissioned Date]]),MAX(0,(expected_production[[#This Row],[Date]]-expected_production[[#This Row],[Commissioned Date]])/365.25),"")</f>
        <v>0.77754962354551682</v>
      </c>
      <c r="F2453" s="49">
        <f>IF(expected_production[[#This Row],[Age (yrs)]]="",1,(1-DegradationRate)^expected_production[[#This Row],[Age (yrs)]])</f>
        <v>0.99455290282842923</v>
      </c>
      <c r="G2453" s="52">
        <f>IF(expected_production[[#This Row],[Base Expected (kWh)]]="","",expected_production[[#This Row],[Base Expected (kWh)]]*expected_production[[#This Row],[Degradation Factor]])</f>
        <v>6318.4940469592939</v>
      </c>
    </row>
    <row r="2454" spans="1:7" ht="15" hidden="1" customHeight="1" x14ac:dyDescent="0.3">
      <c r="A2454" t="s">
        <v>194</v>
      </c>
      <c r="B2454" s="2">
        <v>45383</v>
      </c>
      <c r="C2454" s="52">
        <v>5016.6000000000004</v>
      </c>
      <c r="D2454" s="48">
        <f>_xlfn.XLOOKUP(expected_production[[#This Row],[Site Name]],Table1[[Site Name ]],Table1[Commisioned Date],"")</f>
        <v>45068</v>
      </c>
      <c r="E2454" s="47">
        <f>IF(ISNUMBER(expected_production[[#This Row],[Commissioned Date]]),MAX(0,(expected_production[[#This Row],[Date]]-expected_production[[#This Row],[Commissioned Date]])/365.25),"")</f>
        <v>0.86242299794661192</v>
      </c>
      <c r="F2454" s="49">
        <f>IF(expected_production[[#This Row],[Age (yrs)]]="",1,(1-DegradationRate)^expected_production[[#This Row],[Age (yrs)]])</f>
        <v>0.99396012435494629</v>
      </c>
      <c r="G2454" s="52">
        <f>IF(expected_production[[#This Row],[Base Expected (kWh)]]="","",expected_production[[#This Row],[Base Expected (kWh)]]*expected_production[[#This Row],[Degradation Factor]])</f>
        <v>4986.3003598390242</v>
      </c>
    </row>
    <row r="2455" spans="1:7" ht="15" hidden="1" customHeight="1" x14ac:dyDescent="0.3">
      <c r="A2455" t="s">
        <v>194</v>
      </c>
      <c r="B2455" s="2">
        <v>45413</v>
      </c>
      <c r="C2455" s="52">
        <v>4753.8</v>
      </c>
      <c r="D2455" s="48">
        <f>_xlfn.XLOOKUP(expected_production[[#This Row],[Site Name]],Table1[[Site Name ]],Table1[Commisioned Date],"")</f>
        <v>45068</v>
      </c>
      <c r="E2455" s="47">
        <f>IF(ISNUMBER(expected_production[[#This Row],[Commissioned Date]]),MAX(0,(expected_production[[#This Row],[Date]]-expected_production[[#This Row],[Commissioned Date]])/365.25),"")</f>
        <v>0.94455852156057496</v>
      </c>
      <c r="F2455" s="49">
        <f>IF(expected_production[[#This Row],[Age (yrs)]]="",1,(1-DegradationRate)^expected_production[[#This Row],[Age (yrs)]])</f>
        <v>0.99338680416883696</v>
      </c>
      <c r="G2455" s="52">
        <f>IF(expected_production[[#This Row],[Base Expected (kWh)]]="","",expected_production[[#This Row],[Base Expected (kWh)]]*expected_production[[#This Row],[Degradation Factor]])</f>
        <v>4722.362189657817</v>
      </c>
    </row>
    <row r="2456" spans="1:7" ht="15" hidden="1" customHeight="1" x14ac:dyDescent="0.3">
      <c r="A2456" t="s">
        <v>194</v>
      </c>
      <c r="B2456" s="2">
        <v>45444</v>
      </c>
      <c r="C2456" s="52">
        <v>4257</v>
      </c>
      <c r="D2456" s="48">
        <f>_xlfn.XLOOKUP(expected_production[[#This Row],[Site Name]],Table1[[Site Name ]],Table1[Commisioned Date],"")</f>
        <v>45068</v>
      </c>
      <c r="E2456" s="47">
        <f>IF(ISNUMBER(expected_production[[#This Row],[Commissioned Date]]),MAX(0,(expected_production[[#This Row],[Date]]-expected_production[[#This Row],[Commissioned Date]])/365.25),"")</f>
        <v>1.0294318959616702</v>
      </c>
      <c r="F2456" s="49">
        <f>IF(expected_production[[#This Row],[Age (yrs)]]="",1,(1-DegradationRate)^expected_production[[#This Row],[Age (yrs)]])</f>
        <v>0.99279472071940089</v>
      </c>
      <c r="G2456" s="52">
        <f>IF(expected_production[[#This Row],[Base Expected (kWh)]]="","",expected_production[[#This Row],[Base Expected (kWh)]]*expected_production[[#This Row],[Degradation Factor]])</f>
        <v>4226.3271261024893</v>
      </c>
    </row>
    <row r="2457" spans="1:7" ht="15" hidden="1" customHeight="1" x14ac:dyDescent="0.3">
      <c r="A2457" t="s">
        <v>194</v>
      </c>
      <c r="B2457" s="2">
        <v>45474</v>
      </c>
      <c r="C2457" s="52">
        <v>4730.3999999999996</v>
      </c>
      <c r="D2457" s="48">
        <f>_xlfn.XLOOKUP(expected_production[[#This Row],[Site Name]],Table1[[Site Name ]],Table1[Commisioned Date],"")</f>
        <v>45068</v>
      </c>
      <c r="E2457" s="47">
        <f>IF(ISNUMBER(expected_production[[#This Row],[Commissioned Date]]),MAX(0,(expected_production[[#This Row],[Date]]-expected_production[[#This Row],[Commissioned Date]])/365.25),"")</f>
        <v>1.1115674195756331</v>
      </c>
      <c r="F2457" s="49">
        <f>IF(expected_production[[#This Row],[Age (yrs)]]="",1,(1-DegradationRate)^expected_production[[#This Row],[Age (yrs)]])</f>
        <v>0.99222207274278251</v>
      </c>
      <c r="G2457" s="52">
        <f>IF(expected_production[[#This Row],[Base Expected (kWh)]]="","",expected_production[[#This Row],[Base Expected (kWh)]]*expected_production[[#This Row],[Degradation Factor]])</f>
        <v>4693.6072929024576</v>
      </c>
    </row>
    <row r="2458" spans="1:7" ht="15" hidden="1" customHeight="1" x14ac:dyDescent="0.3">
      <c r="A2458" t="s">
        <v>194</v>
      </c>
      <c r="B2458" s="2">
        <v>45505</v>
      </c>
      <c r="C2458" s="52">
        <v>5440.5</v>
      </c>
      <c r="D2458" s="48">
        <f>_xlfn.XLOOKUP(expected_production[[#This Row],[Site Name]],Table1[[Site Name ]],Table1[Commisioned Date],"")</f>
        <v>45068</v>
      </c>
      <c r="E2458" s="47">
        <f>IF(ISNUMBER(expected_production[[#This Row],[Commissioned Date]]),MAX(0,(expected_production[[#This Row],[Date]]-expected_production[[#This Row],[Commissioned Date]])/365.25),"")</f>
        <v>1.1964407939767283</v>
      </c>
      <c r="F2458" s="49">
        <f>IF(expected_production[[#This Row],[Age (yrs)]]="",1,(1-DegradationRate)^expected_production[[#This Row],[Age (yrs)]])</f>
        <v>0.99163068350248795</v>
      </c>
      <c r="G2458" s="52">
        <f>IF(expected_production[[#This Row],[Base Expected (kWh)]]="","",expected_production[[#This Row],[Base Expected (kWh)]]*expected_production[[#This Row],[Degradation Factor]])</f>
        <v>5394.9667335952854</v>
      </c>
    </row>
    <row r="2459" spans="1:7" ht="15" hidden="1" customHeight="1" x14ac:dyDescent="0.3">
      <c r="A2459" t="s">
        <v>194</v>
      </c>
      <c r="B2459" s="2">
        <v>45536</v>
      </c>
      <c r="C2459" s="52">
        <v>6345.9</v>
      </c>
      <c r="D2459" s="48">
        <f>_xlfn.XLOOKUP(expected_production[[#This Row],[Site Name]],Table1[[Site Name ]],Table1[Commisioned Date],"")</f>
        <v>45068</v>
      </c>
      <c r="E2459" s="47">
        <f>IF(ISNUMBER(expected_production[[#This Row],[Commissioned Date]]),MAX(0,(expected_production[[#This Row],[Date]]-expected_production[[#This Row],[Commissioned Date]])/365.25),"")</f>
        <v>1.2813141683778233</v>
      </c>
      <c r="F2459" s="49">
        <f>IF(expected_production[[#This Row],[Age (yrs)]]="",1,(1-DegradationRate)^expected_production[[#This Row],[Age (yrs)]])</f>
        <v>0.99103964674501255</v>
      </c>
      <c r="G2459" s="52">
        <f>IF(expected_production[[#This Row],[Base Expected (kWh)]]="","",expected_production[[#This Row],[Base Expected (kWh)]]*expected_production[[#This Row],[Degradation Factor]])</f>
        <v>6289.0384942791752</v>
      </c>
    </row>
    <row r="2460" spans="1:7" ht="15" hidden="1" customHeight="1" x14ac:dyDescent="0.3">
      <c r="A2460" t="s">
        <v>194</v>
      </c>
      <c r="B2460" s="2">
        <v>45566</v>
      </c>
      <c r="C2460" s="52">
        <v>7250.4</v>
      </c>
      <c r="D2460" s="48">
        <f>_xlfn.XLOOKUP(expected_production[[#This Row],[Site Name]],Table1[[Site Name ]],Table1[Commisioned Date],"")</f>
        <v>45068</v>
      </c>
      <c r="E2460" s="47">
        <f>IF(ISNUMBER(expected_production[[#This Row],[Commissioned Date]]),MAX(0,(expected_production[[#This Row],[Date]]-expected_production[[#This Row],[Commissioned Date]])/365.25),"")</f>
        <v>1.3634496919917864</v>
      </c>
      <c r="F2460" s="49">
        <f>IF(expected_production[[#This Row],[Age (yrs)]]="",1,(1-DegradationRate)^expected_production[[#This Row],[Age (yrs)]])</f>
        <v>0.99046801110210148</v>
      </c>
      <c r="G2460" s="52">
        <f>IF(expected_production[[#This Row],[Base Expected (kWh)]]="","",expected_production[[#This Row],[Base Expected (kWh)]]*expected_production[[#This Row],[Degradation Factor]])</f>
        <v>7181.2892676946758</v>
      </c>
    </row>
    <row r="2461" spans="1:7" ht="15" hidden="1" customHeight="1" x14ac:dyDescent="0.3">
      <c r="A2461" t="s">
        <v>194</v>
      </c>
      <c r="B2461" s="2">
        <v>45597</v>
      </c>
      <c r="C2461" s="52">
        <v>7330.5</v>
      </c>
      <c r="D2461" s="48">
        <f>_xlfn.XLOOKUP(expected_production[[#This Row],[Site Name]],Table1[[Site Name ]],Table1[Commisioned Date],"")</f>
        <v>45068</v>
      </c>
      <c r="E2461" s="47">
        <f>IF(ISNUMBER(expected_production[[#This Row],[Commissioned Date]]),MAX(0,(expected_production[[#This Row],[Date]]-expected_production[[#This Row],[Commissioned Date]])/365.25),"")</f>
        <v>1.4483230663928817</v>
      </c>
      <c r="F2461" s="49">
        <f>IF(expected_production[[#This Row],[Age (yrs)]]="",1,(1-DegradationRate)^expected_production[[#This Row],[Age (yrs)]])</f>
        <v>0.98987766732653659</v>
      </c>
      <c r="G2461" s="52">
        <f>IF(expected_production[[#This Row],[Base Expected (kWh)]]="","",expected_production[[#This Row],[Base Expected (kWh)]]*expected_production[[#This Row],[Degradation Factor]])</f>
        <v>7256.2982403371761</v>
      </c>
    </row>
    <row r="2462" spans="1:7" ht="15" hidden="1" customHeight="1" x14ac:dyDescent="0.3">
      <c r="A2462" t="s">
        <v>194</v>
      </c>
      <c r="B2462" s="2">
        <v>45627</v>
      </c>
      <c r="C2462" s="52">
        <v>7866</v>
      </c>
      <c r="D2462" s="48">
        <f>_xlfn.XLOOKUP(expected_production[[#This Row],[Site Name]],Table1[[Site Name ]],Table1[Commisioned Date],"")</f>
        <v>45068</v>
      </c>
      <c r="E2462" s="47">
        <f>IF(ISNUMBER(expected_production[[#This Row],[Commissioned Date]]),MAX(0,(expected_production[[#This Row],[Date]]-expected_production[[#This Row],[Commissioned Date]])/365.25),"")</f>
        <v>1.5304585900068446</v>
      </c>
      <c r="F2462" s="49">
        <f>IF(expected_production[[#This Row],[Age (yrs)]]="",1,(1-DegradationRate)^expected_production[[#This Row],[Age (yrs)]])</f>
        <v>0.9893067019180144</v>
      </c>
      <c r="G2462" s="52">
        <f>IF(expected_production[[#This Row],[Base Expected (kWh)]]="","",expected_production[[#This Row],[Base Expected (kWh)]]*expected_production[[#This Row],[Degradation Factor]])</f>
        <v>7781.886517287101</v>
      </c>
    </row>
    <row r="2463" spans="1:7" ht="15" hidden="1" customHeight="1" x14ac:dyDescent="0.3">
      <c r="A2463" t="s">
        <v>194</v>
      </c>
      <c r="B2463" s="2">
        <v>45658</v>
      </c>
      <c r="C2463" s="52">
        <v>7399.8</v>
      </c>
      <c r="D2463" s="48">
        <f>_xlfn.XLOOKUP(expected_production[[#This Row],[Site Name]],Table1[[Site Name ]],Table1[Commisioned Date],"")</f>
        <v>45068</v>
      </c>
      <c r="E2463" s="47">
        <f>IF(ISNUMBER(expected_production[[#This Row],[Commissioned Date]]),MAX(0,(expected_production[[#This Row],[Date]]-expected_production[[#This Row],[Commissioned Date]])/365.25),"")</f>
        <v>1.6153319644079398</v>
      </c>
      <c r="F2463" s="49">
        <f>IF(expected_production[[#This Row],[Age (yrs)]]="",1,(1-DegradationRate)^expected_production[[#This Row],[Age (yrs)]])</f>
        <v>0.98871705031184887</v>
      </c>
      <c r="G2463" s="52">
        <f>IF(expected_production[[#This Row],[Base Expected (kWh)]]="","",expected_production[[#This Row],[Base Expected (kWh)]]*expected_production[[#This Row],[Degradation Factor]])</f>
        <v>7316.3084288976197</v>
      </c>
    </row>
    <row r="2464" spans="1:7" ht="15" hidden="1" customHeight="1" x14ac:dyDescent="0.3">
      <c r="A2464" t="s">
        <v>194</v>
      </c>
      <c r="B2464" s="2">
        <v>45689</v>
      </c>
      <c r="C2464" s="52">
        <v>6298.2</v>
      </c>
      <c r="D2464" s="48">
        <f>_xlfn.XLOOKUP(expected_production[[#This Row],[Site Name]],Table1[[Site Name ]],Table1[Commisioned Date],"")</f>
        <v>45068</v>
      </c>
      <c r="E2464" s="47">
        <f>IF(ISNUMBER(expected_production[[#This Row],[Commissioned Date]]),MAX(0,(expected_production[[#This Row],[Date]]-expected_production[[#This Row],[Commissioned Date]])/365.25),"")</f>
        <v>1.700205338809035</v>
      </c>
      <c r="F2464" s="49">
        <f>IF(expected_production[[#This Row],[Age (yrs)]]="",1,(1-DegradationRate)^expected_production[[#This Row],[Age (yrs)]])</f>
        <v>0.98812775015282905</v>
      </c>
      <c r="G2464" s="52">
        <f>IF(expected_production[[#This Row],[Base Expected (kWh)]]="","",expected_production[[#This Row],[Base Expected (kWh)]]*expected_production[[#This Row],[Degradation Factor]])</f>
        <v>6223.4261960125477</v>
      </c>
    </row>
    <row r="2465" spans="1:7" ht="15" hidden="1" customHeight="1" x14ac:dyDescent="0.3">
      <c r="A2465" t="s">
        <v>194</v>
      </c>
      <c r="B2465" s="2">
        <v>45717</v>
      </c>
      <c r="C2465" s="52">
        <v>6353.1</v>
      </c>
      <c r="D2465" s="48">
        <f>_xlfn.XLOOKUP(expected_production[[#This Row],[Site Name]],Table1[[Site Name ]],Table1[Commisioned Date],"")</f>
        <v>45068</v>
      </c>
      <c r="E2465" s="47">
        <f>IF(ISNUMBER(expected_production[[#This Row],[Commissioned Date]]),MAX(0,(expected_production[[#This Row],[Date]]-expected_production[[#This Row],[Commissioned Date]])/365.25),"")</f>
        <v>1.7768651608487338</v>
      </c>
      <c r="F2465" s="49">
        <f>IF(expected_production[[#This Row],[Age (yrs)]]="",1,(1-DegradationRate)^expected_production[[#This Row],[Age (yrs)]])</f>
        <v>0.9875957809435354</v>
      </c>
      <c r="G2465" s="52">
        <f>IF(expected_production[[#This Row],[Base Expected (kWh)]]="","",expected_production[[#This Row],[Base Expected (kWh)]]*expected_production[[#This Row],[Degradation Factor]])</f>
        <v>6274.294755912375</v>
      </c>
    </row>
    <row r="2466" spans="1:7" ht="15" hidden="1" customHeight="1" x14ac:dyDescent="0.3">
      <c r="A2466" t="s">
        <v>194</v>
      </c>
      <c r="B2466" s="2">
        <v>45748</v>
      </c>
      <c r="C2466" s="52">
        <v>5016.6000000000004</v>
      </c>
      <c r="D2466" s="48">
        <f>_xlfn.XLOOKUP(expected_production[[#This Row],[Site Name]],Table1[[Site Name ]],Table1[Commisioned Date],"")</f>
        <v>45068</v>
      </c>
      <c r="E2466" s="47">
        <f>IF(ISNUMBER(expected_production[[#This Row],[Commissioned Date]]),MAX(0,(expected_production[[#This Row],[Date]]-expected_production[[#This Row],[Commissioned Date]])/365.25),"")</f>
        <v>1.8617385352498288</v>
      </c>
      <c r="F2466" s="49">
        <f>IF(expected_production[[#This Row],[Age (yrs)]]="",1,(1-DegradationRate)^expected_production[[#This Row],[Age (yrs)]])</f>
        <v>0.98700714908918052</v>
      </c>
      <c r="G2466" s="52">
        <f>IF(expected_production[[#This Row],[Base Expected (kWh)]]="","",expected_production[[#This Row],[Base Expected (kWh)]]*expected_production[[#This Row],[Degradation Factor]])</f>
        <v>4951.4200641207835</v>
      </c>
    </row>
    <row r="2467" spans="1:7" ht="15" hidden="1" customHeight="1" x14ac:dyDescent="0.3">
      <c r="A2467" t="s">
        <v>194</v>
      </c>
      <c r="B2467" s="2">
        <v>45778</v>
      </c>
      <c r="C2467" s="52">
        <v>4753.8</v>
      </c>
      <c r="D2467" s="48">
        <f>_xlfn.XLOOKUP(expected_production[[#This Row],[Site Name]],Table1[[Site Name ]],Table1[Commisioned Date],"")</f>
        <v>45068</v>
      </c>
      <c r="E2467" s="47">
        <f>IF(ISNUMBER(expected_production[[#This Row],[Commissioned Date]]),MAX(0,(expected_production[[#This Row],[Date]]-expected_production[[#This Row],[Commissioned Date]])/365.25),"")</f>
        <v>1.9438740588637919</v>
      </c>
      <c r="F2467" s="49">
        <f>IF(expected_production[[#This Row],[Age (yrs)]]="",1,(1-DegradationRate)^expected_production[[#This Row],[Age (yrs)]])</f>
        <v>0.98643783940709018</v>
      </c>
      <c r="G2467" s="52">
        <f>IF(expected_production[[#This Row],[Base Expected (kWh)]]="","",expected_production[[#This Row],[Base Expected (kWh)]]*expected_production[[#This Row],[Degradation Factor]])</f>
        <v>4689.3282009734257</v>
      </c>
    </row>
    <row r="2468" spans="1:7" ht="15" hidden="1" customHeight="1" x14ac:dyDescent="0.3">
      <c r="A2468" t="s">
        <v>194</v>
      </c>
      <c r="B2468" s="2">
        <v>45809</v>
      </c>
      <c r="C2468" s="52">
        <v>4257</v>
      </c>
      <c r="D2468" s="48">
        <f>_xlfn.XLOOKUP(expected_production[[#This Row],[Site Name]],Table1[[Site Name ]],Table1[Commisioned Date],"")</f>
        <v>45068</v>
      </c>
      <c r="E2468" s="47">
        <f>IF(ISNUMBER(expected_production[[#This Row],[Commissioned Date]]),MAX(0,(expected_production[[#This Row],[Date]]-expected_production[[#This Row],[Commissioned Date]])/365.25),"")</f>
        <v>2.0287474332648872</v>
      </c>
      <c r="F2468" s="49">
        <f>IF(expected_production[[#This Row],[Age (yrs)]]="",1,(1-DegradationRate)^expected_production[[#This Row],[Age (yrs)]])</f>
        <v>0.98584989771493226</v>
      </c>
      <c r="G2468" s="52">
        <f>IF(expected_production[[#This Row],[Base Expected (kWh)]]="","",expected_production[[#This Row],[Base Expected (kWh)]]*expected_production[[#This Row],[Degradation Factor]])</f>
        <v>4196.763014572467</v>
      </c>
    </row>
    <row r="2469" spans="1:7" ht="15" hidden="1" customHeight="1" x14ac:dyDescent="0.3">
      <c r="A2469" t="s">
        <v>194</v>
      </c>
      <c r="B2469" s="2">
        <v>45839</v>
      </c>
      <c r="C2469" s="52">
        <v>4730.3999999999996</v>
      </c>
      <c r="D2469" s="48">
        <f>_xlfn.XLOOKUP(expected_production[[#This Row],[Site Name]],Table1[[Site Name ]],Table1[Commisioned Date],"")</f>
        <v>45068</v>
      </c>
      <c r="E2469" s="47">
        <f>IF(ISNUMBER(expected_production[[#This Row],[Commissioned Date]]),MAX(0,(expected_production[[#This Row],[Date]]-expected_production[[#This Row],[Commissioned Date]])/365.25),"")</f>
        <v>2.1108829568788501</v>
      </c>
      <c r="F2469" s="49">
        <f>IF(expected_production[[#This Row],[Age (yrs)]]="",1,(1-DegradationRate)^expected_production[[#This Row],[Age (yrs)]])</f>
        <v>0.98528125554007584</v>
      </c>
      <c r="G2469" s="52">
        <f>IF(expected_production[[#This Row],[Base Expected (kWh)]]="","",expected_production[[#This Row],[Base Expected (kWh)]]*expected_production[[#This Row],[Degradation Factor]])</f>
        <v>4660.7744512067748</v>
      </c>
    </row>
    <row r="2470" spans="1:7" ht="15" hidden="1" customHeight="1" x14ac:dyDescent="0.3">
      <c r="A2470" t="s">
        <v>194</v>
      </c>
      <c r="B2470" s="2">
        <v>45870</v>
      </c>
      <c r="C2470" s="52">
        <v>5440.5</v>
      </c>
      <c r="D2470" s="48">
        <f>_xlfn.XLOOKUP(expected_production[[#This Row],[Site Name]],Table1[[Site Name ]],Table1[Commisioned Date],"")</f>
        <v>45068</v>
      </c>
      <c r="E2470" s="47">
        <f>IF(ISNUMBER(expected_production[[#This Row],[Commissioned Date]]),MAX(0,(expected_production[[#This Row],[Date]]-expected_production[[#This Row],[Commissioned Date]])/365.25),"")</f>
        <v>2.1957563312799451</v>
      </c>
      <c r="F2470" s="49">
        <f>IF(expected_production[[#This Row],[Age (yrs)]]="",1,(1-DegradationRate)^expected_production[[#This Row],[Age (yrs)]])</f>
        <v>0.98469400320090972</v>
      </c>
      <c r="G2470" s="52">
        <f>IF(expected_production[[#This Row],[Base Expected (kWh)]]="","",expected_production[[#This Row],[Base Expected (kWh)]]*expected_production[[#This Row],[Degradation Factor]])</f>
        <v>5357.2277244145489</v>
      </c>
    </row>
    <row r="2471" spans="1:7" ht="15" hidden="1" customHeight="1" x14ac:dyDescent="0.3">
      <c r="A2471" t="s">
        <v>194</v>
      </c>
      <c r="B2471" s="2">
        <v>45901</v>
      </c>
      <c r="C2471" s="52">
        <v>6345.9</v>
      </c>
      <c r="D2471" s="48">
        <f>_xlfn.XLOOKUP(expected_production[[#This Row],[Site Name]],Table1[[Site Name ]],Table1[Commisioned Date],"")</f>
        <v>45068</v>
      </c>
      <c r="E2471" s="47">
        <f>IF(ISNUMBER(expected_production[[#This Row],[Commissioned Date]]),MAX(0,(expected_production[[#This Row],[Date]]-expected_production[[#This Row],[Commissioned Date]])/365.25),"")</f>
        <v>2.2806297056810405</v>
      </c>
      <c r="F2471" s="49">
        <f>IF(expected_production[[#This Row],[Age (yrs)]]="",1,(1-DegradationRate)^expected_production[[#This Row],[Age (yrs)]])</f>
        <v>0.9841071008788661</v>
      </c>
      <c r="G2471" s="52">
        <f>IF(expected_production[[#This Row],[Base Expected (kWh)]]="","",expected_production[[#This Row],[Base Expected (kWh)]]*expected_production[[#This Row],[Degradation Factor]])</f>
        <v>6245.0452514671961</v>
      </c>
    </row>
    <row r="2472" spans="1:7" ht="15" hidden="1" customHeight="1" x14ac:dyDescent="0.3">
      <c r="A2472" t="s">
        <v>194</v>
      </c>
      <c r="B2472" s="2">
        <v>45931</v>
      </c>
      <c r="C2472" s="52">
        <v>7250.4</v>
      </c>
      <c r="D2472" s="48">
        <f>_xlfn.XLOOKUP(expected_production[[#This Row],[Site Name]],Table1[[Site Name ]],Table1[Commisioned Date],"")</f>
        <v>45068</v>
      </c>
      <c r="E2472" s="47">
        <f>IF(ISNUMBER(expected_production[[#This Row],[Commissioned Date]]),MAX(0,(expected_production[[#This Row],[Date]]-expected_production[[#This Row],[Commissioned Date]])/365.25),"")</f>
        <v>2.3627652292950034</v>
      </c>
      <c r="F2472" s="49">
        <f>IF(expected_production[[#This Row],[Age (yrs)]]="",1,(1-DegradationRate)^expected_production[[#This Row],[Age (yrs)]])</f>
        <v>0.98353946395621439</v>
      </c>
      <c r="G2472" s="52">
        <f>IF(expected_production[[#This Row],[Base Expected (kWh)]]="","",expected_production[[#This Row],[Base Expected (kWh)]]*expected_production[[#This Row],[Degradation Factor]])</f>
        <v>7131.054529468136</v>
      </c>
    </row>
    <row r="2473" spans="1:7" ht="15" hidden="1" customHeight="1" x14ac:dyDescent="0.3">
      <c r="A2473" t="s">
        <v>194</v>
      </c>
      <c r="B2473" s="2">
        <v>45962</v>
      </c>
      <c r="C2473" s="52">
        <v>7330.5</v>
      </c>
      <c r="D2473" s="48">
        <f>_xlfn.XLOOKUP(expected_production[[#This Row],[Site Name]],Table1[[Site Name ]],Table1[Commisioned Date],"")</f>
        <v>45068</v>
      </c>
      <c r="E2473" s="47">
        <f>IF(ISNUMBER(expected_production[[#This Row],[Commissioned Date]]),MAX(0,(expected_production[[#This Row],[Date]]-expected_production[[#This Row],[Commissioned Date]])/365.25),"")</f>
        <v>2.4476386036960984</v>
      </c>
      <c r="F2473" s="49">
        <f>IF(expected_production[[#This Row],[Age (yrs)]]="",1,(1-DegradationRate)^expected_production[[#This Row],[Age (yrs)]])</f>
        <v>0.9829532497685165</v>
      </c>
      <c r="G2473" s="52">
        <f>IF(expected_production[[#This Row],[Base Expected (kWh)]]="","",expected_production[[#This Row],[Base Expected (kWh)]]*expected_production[[#This Row],[Degradation Factor]])</f>
        <v>7205.5387974281102</v>
      </c>
    </row>
    <row r="2474" spans="1:7" ht="15" hidden="1" customHeight="1" x14ac:dyDescent="0.3">
      <c r="A2474" t="s">
        <v>194</v>
      </c>
      <c r="B2474" s="2">
        <v>45992</v>
      </c>
      <c r="C2474" s="52">
        <v>7866</v>
      </c>
      <c r="D2474" s="48">
        <f>_xlfn.XLOOKUP(expected_production[[#This Row],[Site Name]],Table1[[Site Name ]],Table1[Commisioned Date],"")</f>
        <v>45068</v>
      </c>
      <c r="E2474" s="47">
        <f>IF(ISNUMBER(expected_production[[#This Row],[Commissioned Date]]),MAX(0,(expected_production[[#This Row],[Date]]-expected_production[[#This Row],[Commissioned Date]])/365.25),"")</f>
        <v>2.5297741273100618</v>
      </c>
      <c r="F2474" s="49">
        <f>IF(expected_production[[#This Row],[Age (yrs)]]="",1,(1-DegradationRate)^expected_production[[#This Row],[Age (yrs)]])</f>
        <v>0.98238627839181281</v>
      </c>
      <c r="G2474" s="52">
        <f>IF(expected_production[[#This Row],[Base Expected (kWh)]]="","",expected_production[[#This Row],[Base Expected (kWh)]]*expected_production[[#This Row],[Degradation Factor]])</f>
        <v>7727.4504658299993</v>
      </c>
    </row>
    <row r="2475" spans="1:7" ht="15" hidden="1" customHeight="1" x14ac:dyDescent="0.3">
      <c r="A2475" t="s">
        <v>194</v>
      </c>
      <c r="B2475" s="2">
        <v>46023</v>
      </c>
      <c r="C2475" s="52">
        <v>7399.8</v>
      </c>
      <c r="D2475" s="48">
        <f>_xlfn.XLOOKUP(expected_production[[#This Row],[Site Name]],Table1[[Site Name ]],Table1[Commisioned Date],"")</f>
        <v>45068</v>
      </c>
      <c r="E2475" s="47">
        <f>IF(ISNUMBER(expected_production[[#This Row],[Commissioned Date]]),MAX(0,(expected_production[[#This Row],[Date]]-expected_production[[#This Row],[Commissioned Date]])/365.25),"")</f>
        <v>2.6146475017111568</v>
      </c>
      <c r="F2475" s="49">
        <f>IF(expected_production[[#This Row],[Age (yrs)]]="",1,(1-DegradationRate)^expected_production[[#This Row],[Age (yrs)]])</f>
        <v>0.98180075153163315</v>
      </c>
      <c r="G2475" s="52">
        <f>IF(expected_production[[#This Row],[Base Expected (kWh)]]="","",expected_production[[#This Row],[Base Expected (kWh)]]*expected_production[[#This Row],[Degradation Factor]])</f>
        <v>7265.1292011837795</v>
      </c>
    </row>
    <row r="2476" spans="1:7" ht="15" hidden="1" customHeight="1" x14ac:dyDescent="0.3">
      <c r="A2476" t="s">
        <v>194</v>
      </c>
      <c r="B2476" s="2">
        <v>46054</v>
      </c>
      <c r="C2476" s="52">
        <v>6298.2</v>
      </c>
      <c r="D2476" s="48">
        <f>_xlfn.XLOOKUP(expected_production[[#This Row],[Site Name]],Table1[[Site Name ]],Table1[Commisioned Date],"")</f>
        <v>45068</v>
      </c>
      <c r="E2476" s="47">
        <f>IF(ISNUMBER(expected_production[[#This Row],[Commissioned Date]]),MAX(0,(expected_production[[#This Row],[Date]]-expected_production[[#This Row],[Commissioned Date]])/365.25),"")</f>
        <v>2.6995208761122518</v>
      </c>
      <c r="F2476" s="49">
        <f>IF(expected_production[[#This Row],[Age (yrs)]]="",1,(1-DegradationRate)^expected_production[[#This Row],[Age (yrs)]])</f>
        <v>0.98121557366014722</v>
      </c>
      <c r="G2476" s="52">
        <f>IF(expected_production[[#This Row],[Base Expected (kWh)]]="","",expected_production[[#This Row],[Base Expected (kWh)]]*expected_production[[#This Row],[Degradation Factor]])</f>
        <v>6179.8919260263392</v>
      </c>
    </row>
    <row r="2477" spans="1:7" ht="15" hidden="1" customHeight="1" x14ac:dyDescent="0.3">
      <c r="A2477" t="s">
        <v>194</v>
      </c>
      <c r="B2477" s="2">
        <v>46082</v>
      </c>
      <c r="C2477" s="52">
        <v>6353.1</v>
      </c>
      <c r="D2477" s="48">
        <f>_xlfn.XLOOKUP(expected_production[[#This Row],[Site Name]],Table1[[Site Name ]],Table1[Commisioned Date],"")</f>
        <v>45068</v>
      </c>
      <c r="E2477" s="47">
        <f>IF(ISNUMBER(expected_production[[#This Row],[Commissioned Date]]),MAX(0,(expected_production[[#This Row],[Date]]-expected_production[[#This Row],[Commissioned Date]])/365.25),"")</f>
        <v>2.7761806981519506</v>
      </c>
      <c r="F2477" s="49">
        <f>IF(expected_production[[#This Row],[Age (yrs)]]="",1,(1-DegradationRate)^expected_production[[#This Row],[Age (yrs)]])</f>
        <v>0.98068732569546269</v>
      </c>
      <c r="G2477" s="52">
        <f>IF(expected_production[[#This Row],[Base Expected (kWh)]]="","",expected_production[[#This Row],[Base Expected (kWh)]]*expected_production[[#This Row],[Degradation Factor]])</f>
        <v>6230.404648875844</v>
      </c>
    </row>
    <row r="2478" spans="1:7" ht="15" hidden="1" customHeight="1" x14ac:dyDescent="0.3">
      <c r="A2478" t="s">
        <v>194</v>
      </c>
      <c r="B2478" s="2">
        <v>46113</v>
      </c>
      <c r="C2478" s="52">
        <v>5016.6000000000004</v>
      </c>
      <c r="D2478" s="48">
        <f>_xlfn.XLOOKUP(expected_production[[#This Row],[Site Name]],Table1[[Site Name ]],Table1[Commisioned Date],"")</f>
        <v>45068</v>
      </c>
      <c r="E2478" s="47">
        <f>IF(ISNUMBER(expected_production[[#This Row],[Commissioned Date]]),MAX(0,(expected_production[[#This Row],[Date]]-expected_production[[#This Row],[Commissioned Date]])/365.25),"")</f>
        <v>2.861054072553046</v>
      </c>
      <c r="F2478" s="49">
        <f>IF(expected_production[[#This Row],[Age (yrs)]]="",1,(1-DegradationRate)^expected_production[[#This Row],[Age (yrs)]])</f>
        <v>0.98010281145369982</v>
      </c>
      <c r="G2478" s="52">
        <f>IF(expected_production[[#This Row],[Base Expected (kWh)]]="","",expected_production[[#This Row],[Base Expected (kWh)]]*expected_production[[#This Row],[Degradation Factor]])</f>
        <v>4916.7837639386307</v>
      </c>
    </row>
    <row r="2479" spans="1:7" ht="15" hidden="1" customHeight="1" x14ac:dyDescent="0.3">
      <c r="A2479" t="s">
        <v>194</v>
      </c>
      <c r="B2479" s="2">
        <v>46143</v>
      </c>
      <c r="C2479" s="52">
        <v>4753.8</v>
      </c>
      <c r="D2479" s="48">
        <f>_xlfn.XLOOKUP(expected_production[[#This Row],[Site Name]],Table1[[Site Name ]],Table1[Commisioned Date],"")</f>
        <v>45068</v>
      </c>
      <c r="E2479" s="47">
        <f>IF(ISNUMBER(expected_production[[#This Row],[Commissioned Date]]),MAX(0,(expected_production[[#This Row],[Date]]-expected_production[[#This Row],[Commissioned Date]])/365.25),"")</f>
        <v>2.9431895961670089</v>
      </c>
      <c r="F2479" s="49">
        <f>IF(expected_production[[#This Row],[Age (yrs)]]="",1,(1-DegradationRate)^expected_production[[#This Row],[Age (yrs)]])</f>
        <v>0.97953748422124809</v>
      </c>
      <c r="G2479" s="52">
        <f>IF(expected_production[[#This Row],[Base Expected (kWh)]]="","",expected_production[[#This Row],[Base Expected (kWh)]]*expected_production[[#This Row],[Degradation Factor]])</f>
        <v>4656.5252924909692</v>
      </c>
    </row>
    <row r="2480" spans="1:7" ht="15" hidden="1" customHeight="1" x14ac:dyDescent="0.3">
      <c r="A2480" t="s">
        <v>194</v>
      </c>
      <c r="B2480" s="2">
        <v>46174</v>
      </c>
      <c r="C2480" s="52">
        <v>4257</v>
      </c>
      <c r="D2480" s="48">
        <f>_xlfn.XLOOKUP(expected_production[[#This Row],[Site Name]],Table1[[Site Name ]],Table1[Commisioned Date],"")</f>
        <v>45068</v>
      </c>
      <c r="E2480" s="47">
        <f>IF(ISNUMBER(expected_production[[#This Row],[Commissioned Date]]),MAX(0,(expected_production[[#This Row],[Date]]-expected_production[[#This Row],[Commissioned Date]])/365.25),"")</f>
        <v>3.0280629705681039</v>
      </c>
      <c r="F2480" s="49">
        <f>IF(expected_production[[#This Row],[Age (yrs)]]="",1,(1-DegradationRate)^expected_production[[#This Row],[Age (yrs)]])</f>
        <v>0.97895365531384193</v>
      </c>
      <c r="G2480" s="52">
        <f>IF(expected_production[[#This Row],[Base Expected (kWh)]]="","",expected_production[[#This Row],[Base Expected (kWh)]]*expected_production[[#This Row],[Degradation Factor]])</f>
        <v>4167.4057106710252</v>
      </c>
    </row>
    <row r="2481" spans="1:7" ht="15" hidden="1" customHeight="1" x14ac:dyDescent="0.3">
      <c r="A2481" t="s">
        <v>194</v>
      </c>
      <c r="B2481" s="2">
        <v>46204</v>
      </c>
      <c r="C2481" s="52">
        <v>4730.3999999999996</v>
      </c>
      <c r="D2481" s="48">
        <f>_xlfn.XLOOKUP(expected_production[[#This Row],[Site Name]],Table1[[Site Name ]],Table1[Commisioned Date],"")</f>
        <v>45068</v>
      </c>
      <c r="E2481" s="47">
        <f>IF(ISNUMBER(expected_production[[#This Row],[Commissioned Date]]),MAX(0,(expected_production[[#This Row],[Date]]-expected_production[[#This Row],[Commissioned Date]])/365.25),"")</f>
        <v>3.1101984941820673</v>
      </c>
      <c r="F2481" s="49">
        <f>IF(expected_production[[#This Row],[Age (yrs)]]="",1,(1-DegradationRate)^expected_production[[#This Row],[Age (yrs)]])</f>
        <v>0.97838899091926057</v>
      </c>
      <c r="G2481" s="52">
        <f>IF(expected_production[[#This Row],[Base Expected (kWh)]]="","",expected_production[[#This Row],[Base Expected (kWh)]]*expected_production[[#This Row],[Degradation Factor]])</f>
        <v>4628.17128264447</v>
      </c>
    </row>
    <row r="2482" spans="1:7" ht="15" hidden="1" customHeight="1" x14ac:dyDescent="0.3">
      <c r="A2482" t="s">
        <v>194</v>
      </c>
      <c r="B2482" s="2">
        <v>46235</v>
      </c>
      <c r="C2482" s="52">
        <v>5440.5</v>
      </c>
      <c r="D2482" s="48">
        <f>_xlfn.XLOOKUP(expected_production[[#This Row],[Site Name]],Table1[[Site Name ]],Table1[Commisioned Date],"")</f>
        <v>45068</v>
      </c>
      <c r="E2482" s="47">
        <f>IF(ISNUMBER(expected_production[[#This Row],[Commissioned Date]]),MAX(0,(expected_production[[#This Row],[Date]]-expected_production[[#This Row],[Commissioned Date]])/365.25),"")</f>
        <v>3.1950718685831623</v>
      </c>
      <c r="F2482" s="49">
        <f>IF(expected_production[[#This Row],[Age (yrs)]]="",1,(1-DegradationRate)^expected_production[[#This Row],[Age (yrs)]])</f>
        <v>0.97780584654266656</v>
      </c>
      <c r="G2482" s="52">
        <f>IF(expected_production[[#This Row],[Base Expected (kWh)]]="","",expected_production[[#This Row],[Base Expected (kWh)]]*expected_production[[#This Row],[Degradation Factor]])</f>
        <v>5319.7527081153776</v>
      </c>
    </row>
    <row r="2483" spans="1:7" ht="15" hidden="1" customHeight="1" x14ac:dyDescent="0.3">
      <c r="A2483" t="s">
        <v>194</v>
      </c>
      <c r="B2483" s="2">
        <v>46266</v>
      </c>
      <c r="C2483" s="52">
        <v>6345.9</v>
      </c>
      <c r="D2483" s="48">
        <f>_xlfn.XLOOKUP(expected_production[[#This Row],[Site Name]],Table1[[Site Name ]],Table1[Commisioned Date],"")</f>
        <v>45068</v>
      </c>
      <c r="E2483" s="47">
        <f>IF(ISNUMBER(expected_production[[#This Row],[Commissioned Date]]),MAX(0,(expected_production[[#This Row],[Date]]-expected_production[[#This Row],[Commissioned Date]])/365.25),"")</f>
        <v>3.2799452429842573</v>
      </c>
      <c r="F2483" s="49">
        <f>IF(expected_production[[#This Row],[Age (yrs)]]="",1,(1-DegradationRate)^expected_production[[#This Row],[Age (yrs)]])</f>
        <v>0.97722304973474627</v>
      </c>
      <c r="G2483" s="52">
        <f>IF(expected_production[[#This Row],[Base Expected (kWh)]]="","",expected_production[[#This Row],[Base Expected (kWh)]]*expected_production[[#This Row],[Degradation Factor]])</f>
        <v>6201.3597513117256</v>
      </c>
    </row>
    <row r="2484" spans="1:7" ht="15" hidden="1" customHeight="1" x14ac:dyDescent="0.3">
      <c r="A2484" t="s">
        <v>194</v>
      </c>
      <c r="B2484" s="2">
        <v>46296</v>
      </c>
      <c r="C2484" s="52">
        <v>7250.4</v>
      </c>
      <c r="D2484" s="48">
        <f>_xlfn.XLOOKUP(expected_production[[#This Row],[Site Name]],Table1[[Site Name ]],Table1[Commisioned Date],"")</f>
        <v>45068</v>
      </c>
      <c r="E2484" s="47">
        <f>IF(ISNUMBER(expected_production[[#This Row],[Commissioned Date]]),MAX(0,(expected_production[[#This Row],[Date]]-expected_production[[#This Row],[Commissioned Date]])/365.25),"")</f>
        <v>3.3620807665982202</v>
      </c>
      <c r="F2484" s="49">
        <f>IF(expected_production[[#This Row],[Age (yrs)]]="",1,(1-DegradationRate)^expected_production[[#This Row],[Age (yrs)]])</f>
        <v>0.97665938356040372</v>
      </c>
      <c r="G2484" s="52">
        <f>IF(expected_production[[#This Row],[Base Expected (kWh)]]="","",expected_production[[#This Row],[Base Expected (kWh)]]*expected_production[[#This Row],[Degradation Factor]])</f>
        <v>7081.171194566351</v>
      </c>
    </row>
    <row r="2485" spans="1:7" ht="15" hidden="1" customHeight="1" x14ac:dyDescent="0.3">
      <c r="A2485" t="s">
        <v>194</v>
      </c>
      <c r="B2485" s="2">
        <v>46327</v>
      </c>
      <c r="C2485" s="52">
        <v>7330.5</v>
      </c>
      <c r="D2485" s="48">
        <f>_xlfn.XLOOKUP(expected_production[[#This Row],[Site Name]],Table1[[Site Name ]],Table1[Commisioned Date],"")</f>
        <v>45068</v>
      </c>
      <c r="E2485" s="47">
        <f>IF(ISNUMBER(expected_production[[#This Row],[Commissioned Date]]),MAX(0,(expected_production[[#This Row],[Date]]-expected_production[[#This Row],[Commissioned Date]])/365.25),"")</f>
        <v>3.4469541409993156</v>
      </c>
      <c r="F2485" s="49">
        <f>IF(expected_production[[#This Row],[Age (yrs)]]="",1,(1-DegradationRate)^expected_production[[#This Row],[Age (yrs)]])</f>
        <v>0.97607727007317413</v>
      </c>
      <c r="G2485" s="52">
        <f>IF(expected_production[[#This Row],[Base Expected (kWh)]]="","",expected_production[[#This Row],[Base Expected (kWh)]]*expected_production[[#This Row],[Degradation Factor]])</f>
        <v>7155.1344282714026</v>
      </c>
    </row>
    <row r="2486" spans="1:7" ht="15" hidden="1" customHeight="1" x14ac:dyDescent="0.3">
      <c r="A2486" t="s">
        <v>194</v>
      </c>
      <c r="B2486" s="2">
        <v>46357</v>
      </c>
      <c r="C2486" s="52">
        <v>7866</v>
      </c>
      <c r="D2486" s="48">
        <f>_xlfn.XLOOKUP(expected_production[[#This Row],[Site Name]],Table1[[Site Name ]],Table1[Commisioned Date],"")</f>
        <v>45068</v>
      </c>
      <c r="E2486" s="47">
        <f>IF(ISNUMBER(expected_production[[#This Row],[Commissioned Date]]),MAX(0,(expected_production[[#This Row],[Date]]-expected_production[[#This Row],[Commissioned Date]])/365.25),"")</f>
        <v>3.5290896646132786</v>
      </c>
      <c r="F2486" s="49">
        <f>IF(expected_production[[#This Row],[Age (yrs)]]="",1,(1-DegradationRate)^expected_production[[#This Row],[Age (yrs)]])</f>
        <v>0.97551426478913561</v>
      </c>
      <c r="G2486" s="52">
        <f>IF(expected_production[[#This Row],[Base Expected (kWh)]]="","",expected_production[[#This Row],[Base Expected (kWh)]]*expected_production[[#This Row],[Degradation Factor]])</f>
        <v>7673.3952068313411</v>
      </c>
    </row>
    <row r="2487" spans="1:7" ht="15" hidden="1" customHeight="1" x14ac:dyDescent="0.3">
      <c r="A2487" t="s">
        <v>196</v>
      </c>
      <c r="B2487" s="2">
        <v>45292</v>
      </c>
      <c r="C2487" s="52">
        <v>4274.1000000000004</v>
      </c>
      <c r="D2487" s="48">
        <f>_xlfn.XLOOKUP(expected_production[[#This Row],[Site Name]],Table1[[Site Name ]],Table1[Commisioned Date],"")</f>
        <v>44617</v>
      </c>
      <c r="E2487" s="47">
        <f>IF(ISNUMBER(expected_production[[#This Row],[Commissioned Date]]),MAX(0,(expected_production[[#This Row],[Date]]-expected_production[[#This Row],[Commissioned Date]])/365.25),"")</f>
        <v>1.8480492813141685</v>
      </c>
      <c r="F2487" s="49">
        <f>IF(expected_production[[#This Row],[Age (yrs)]]="",1,(1-DegradationRate)^expected_production[[#This Row],[Age (yrs)]])</f>
        <v>0.98710206597534522</v>
      </c>
      <c r="G2487" s="52">
        <f>IF(expected_production[[#This Row],[Base Expected (kWh)]]="","",expected_production[[#This Row],[Base Expected (kWh)]]*expected_production[[#This Row],[Degradation Factor]])</f>
        <v>4218.9729401852237</v>
      </c>
    </row>
    <row r="2488" spans="1:7" ht="15" hidden="1" customHeight="1" x14ac:dyDescent="0.3">
      <c r="A2488" t="s">
        <v>196</v>
      </c>
      <c r="B2488" s="2">
        <v>45323</v>
      </c>
      <c r="C2488" s="52">
        <v>3810.6</v>
      </c>
      <c r="D2488" s="48">
        <f>_xlfn.XLOOKUP(expected_production[[#This Row],[Site Name]],Table1[[Site Name ]],Table1[Commisioned Date],"")</f>
        <v>44617</v>
      </c>
      <c r="E2488" s="47">
        <f>IF(ISNUMBER(expected_production[[#This Row],[Commissioned Date]]),MAX(0,(expected_production[[#This Row],[Date]]-expected_production[[#This Row],[Commissioned Date]])/365.25),"")</f>
        <v>1.9329226557152634</v>
      </c>
      <c r="F2488" s="49">
        <f>IF(expected_production[[#This Row],[Age (yrs)]]="",1,(1-DegradationRate)^expected_production[[#This Row],[Age (yrs)]])</f>
        <v>0.98651372838749374</v>
      </c>
      <c r="G2488" s="52">
        <f>IF(expected_production[[#This Row],[Base Expected (kWh)]]="","",expected_production[[#This Row],[Base Expected (kWh)]]*expected_production[[#This Row],[Degradation Factor]])</f>
        <v>3759.2092133933834</v>
      </c>
    </row>
    <row r="2489" spans="1:7" ht="15" hidden="1" customHeight="1" x14ac:dyDescent="0.3">
      <c r="A2489" t="s">
        <v>196</v>
      </c>
      <c r="B2489" s="2">
        <v>45352</v>
      </c>
      <c r="C2489" s="52">
        <v>3907.2750000000001</v>
      </c>
      <c r="D2489" s="48">
        <f>_xlfn.XLOOKUP(expected_production[[#This Row],[Site Name]],Table1[[Site Name ]],Table1[Commisioned Date],"")</f>
        <v>44617</v>
      </c>
      <c r="E2489" s="47">
        <f>IF(ISNUMBER(expected_production[[#This Row],[Commissioned Date]]),MAX(0,(expected_production[[#This Row],[Date]]-expected_production[[#This Row],[Commissioned Date]])/365.25),"")</f>
        <v>2.0123203285420943</v>
      </c>
      <c r="F2489" s="49">
        <f>IF(expected_production[[#This Row],[Age (yrs)]]="",1,(1-DegradationRate)^expected_production[[#This Row],[Age (yrs)]])</f>
        <v>0.98596366552597026</v>
      </c>
      <c r="G2489" s="52">
        <f>IF(expected_production[[#This Row],[Base Expected (kWh)]]="","",expected_production[[#This Row],[Base Expected (kWh)]]*expected_production[[#This Row],[Degradation Factor]])</f>
        <v>3852.4311812179853</v>
      </c>
    </row>
    <row r="2490" spans="1:7" ht="15" hidden="1" customHeight="1" x14ac:dyDescent="0.3">
      <c r="A2490" t="s">
        <v>196</v>
      </c>
      <c r="B2490" s="2">
        <v>45383</v>
      </c>
      <c r="C2490" s="52">
        <v>3268.125</v>
      </c>
      <c r="D2490" s="48">
        <f>_xlfn.XLOOKUP(expected_production[[#This Row],[Site Name]],Table1[[Site Name ]],Table1[Commisioned Date],"")</f>
        <v>44617</v>
      </c>
      <c r="E2490" s="47">
        <f>IF(ISNUMBER(expected_production[[#This Row],[Commissioned Date]]),MAX(0,(expected_production[[#This Row],[Date]]-expected_production[[#This Row],[Commissioned Date]])/365.25),"")</f>
        <v>2.0971937029431897</v>
      </c>
      <c r="F2490" s="49">
        <f>IF(expected_production[[#This Row],[Age (yrs)]]="",1,(1-DegradationRate)^expected_production[[#This Row],[Age (yrs)]])</f>
        <v>0.98537600645333778</v>
      </c>
      <c r="G2490" s="52">
        <f>IF(expected_production[[#This Row],[Base Expected (kWh)]]="","",expected_production[[#This Row],[Base Expected (kWh)]]*expected_production[[#This Row],[Degradation Factor]])</f>
        <v>3220.3319610903145</v>
      </c>
    </row>
    <row r="2491" spans="1:7" ht="15" hidden="1" customHeight="1" x14ac:dyDescent="0.3">
      <c r="A2491" t="s">
        <v>196</v>
      </c>
      <c r="B2491" s="2">
        <v>45413</v>
      </c>
      <c r="C2491" s="52">
        <v>2929.95</v>
      </c>
      <c r="D2491" s="48">
        <f>_xlfn.XLOOKUP(expected_production[[#This Row],[Site Name]],Table1[[Site Name ]],Table1[Commisioned Date],"")</f>
        <v>44617</v>
      </c>
      <c r="E2491" s="47">
        <f>IF(ISNUMBER(expected_production[[#This Row],[Commissioned Date]]),MAX(0,(expected_production[[#This Row],[Date]]-expected_production[[#This Row],[Commissioned Date]])/365.25),"")</f>
        <v>2.1793292265571527</v>
      </c>
      <c r="F2491" s="49">
        <f>IF(expected_production[[#This Row],[Age (yrs)]]="",1,(1-DegradationRate)^expected_production[[#This Row],[Age (yrs)]])</f>
        <v>0.98480763762086165</v>
      </c>
      <c r="G2491" s="52">
        <f>IF(expected_production[[#This Row],[Base Expected (kWh)]]="","",expected_production[[#This Row],[Base Expected (kWh)]]*expected_production[[#This Row],[Degradation Factor]])</f>
        <v>2885.4371378472433</v>
      </c>
    </row>
    <row r="2492" spans="1:7" ht="15" hidden="1" customHeight="1" x14ac:dyDescent="0.3">
      <c r="A2492" t="s">
        <v>196</v>
      </c>
      <c r="B2492" s="2">
        <v>45444</v>
      </c>
      <c r="C2492" s="52">
        <v>2664.75</v>
      </c>
      <c r="D2492" s="48">
        <f>_xlfn.XLOOKUP(expected_production[[#This Row],[Site Name]],Table1[[Site Name ]],Table1[Commisioned Date],"")</f>
        <v>44617</v>
      </c>
      <c r="E2492" s="47">
        <f>IF(ISNUMBER(expected_production[[#This Row],[Commissioned Date]]),MAX(0,(expected_production[[#This Row],[Date]]-expected_production[[#This Row],[Commissioned Date]])/365.25),"")</f>
        <v>2.2642026009582477</v>
      </c>
      <c r="F2492" s="49">
        <f>IF(expected_production[[#This Row],[Age (yrs)]]="",1,(1-DegradationRate)^expected_production[[#This Row],[Age (yrs)]])</f>
        <v>0.98422066756985371</v>
      </c>
      <c r="G2492" s="52">
        <f>IF(expected_production[[#This Row],[Base Expected (kWh)]]="","",expected_production[[#This Row],[Base Expected (kWh)]]*expected_production[[#This Row],[Degradation Factor]])</f>
        <v>2622.7020239067679</v>
      </c>
    </row>
    <row r="2493" spans="1:7" ht="15" hidden="1" customHeight="1" x14ac:dyDescent="0.3">
      <c r="A2493" t="s">
        <v>196</v>
      </c>
      <c r="B2493" s="2">
        <v>45474</v>
      </c>
      <c r="C2493" s="52">
        <v>2851.125</v>
      </c>
      <c r="D2493" s="48">
        <f>_xlfn.XLOOKUP(expected_production[[#This Row],[Site Name]],Table1[[Site Name ]],Table1[Commisioned Date],"")</f>
        <v>44617</v>
      </c>
      <c r="E2493" s="47">
        <f>IF(ISNUMBER(expected_production[[#This Row],[Commissioned Date]]),MAX(0,(expected_production[[#This Row],[Date]]-expected_production[[#This Row],[Commissioned Date]])/365.25),"")</f>
        <v>2.346338124572211</v>
      </c>
      <c r="F2493" s="49">
        <f>IF(expected_production[[#This Row],[Age (yrs)]]="",1,(1-DegradationRate)^expected_production[[#This Row],[Age (yrs)]])</f>
        <v>0.98365296514147915</v>
      </c>
      <c r="G2493" s="52">
        <f>IF(expected_production[[#This Row],[Base Expected (kWh)]]="","",expected_production[[#This Row],[Base Expected (kWh)]]*expected_production[[#This Row],[Degradation Factor]])</f>
        <v>2804.5175602389995</v>
      </c>
    </row>
    <row r="2494" spans="1:7" ht="15" hidden="1" customHeight="1" x14ac:dyDescent="0.3">
      <c r="A2494" t="s">
        <v>196</v>
      </c>
      <c r="B2494" s="2">
        <v>45505</v>
      </c>
      <c r="C2494" s="52">
        <v>3237</v>
      </c>
      <c r="D2494" s="48">
        <f>_xlfn.XLOOKUP(expected_production[[#This Row],[Site Name]],Table1[[Site Name ]],Table1[Commisioned Date],"")</f>
        <v>44617</v>
      </c>
      <c r="E2494" s="47">
        <f>IF(ISNUMBER(expected_production[[#This Row],[Commissioned Date]]),MAX(0,(expected_production[[#This Row],[Date]]-expected_production[[#This Row],[Commissioned Date]])/365.25),"")</f>
        <v>2.431211498973306</v>
      </c>
      <c r="F2494" s="49">
        <f>IF(expected_production[[#This Row],[Age (yrs)]]="",1,(1-DegradationRate)^expected_production[[#This Row],[Age (yrs)]])</f>
        <v>0.98306668330422819</v>
      </c>
      <c r="G2494" s="52">
        <f>IF(expected_production[[#This Row],[Base Expected (kWh)]]="","",expected_production[[#This Row],[Base Expected (kWh)]]*expected_production[[#This Row],[Degradation Factor]])</f>
        <v>3182.1868538557865</v>
      </c>
    </row>
    <row r="2495" spans="1:7" ht="15" hidden="1" customHeight="1" x14ac:dyDescent="0.3">
      <c r="A2495" t="s">
        <v>196</v>
      </c>
      <c r="B2495" s="2">
        <v>45536</v>
      </c>
      <c r="C2495" s="52">
        <v>3327.75</v>
      </c>
      <c r="D2495" s="48">
        <f>_xlfn.XLOOKUP(expected_production[[#This Row],[Site Name]],Table1[[Site Name ]],Table1[Commisioned Date],"")</f>
        <v>44617</v>
      </c>
      <c r="E2495" s="47">
        <f>IF(ISNUMBER(expected_production[[#This Row],[Commissioned Date]]),MAX(0,(expected_production[[#This Row],[Date]]-expected_production[[#This Row],[Commissioned Date]])/365.25),"")</f>
        <v>2.516084873374401</v>
      </c>
      <c r="F2495" s="49">
        <f>IF(expected_production[[#This Row],[Age (yrs)]]="",1,(1-DegradationRate)^expected_production[[#This Row],[Age (yrs)]])</f>
        <v>0.98248075090565623</v>
      </c>
      <c r="G2495" s="52">
        <f>IF(expected_production[[#This Row],[Base Expected (kWh)]]="","",expected_production[[#This Row],[Base Expected (kWh)]]*expected_production[[#This Row],[Degradation Factor]])</f>
        <v>3269.4503188262975</v>
      </c>
    </row>
    <row r="2496" spans="1:7" ht="15" hidden="1" customHeight="1" x14ac:dyDescent="0.3">
      <c r="A2496" t="s">
        <v>196</v>
      </c>
      <c r="B2496" s="2">
        <v>45566</v>
      </c>
      <c r="C2496" s="52">
        <v>3775.7249999999999</v>
      </c>
      <c r="D2496" s="48">
        <f>_xlfn.XLOOKUP(expected_production[[#This Row],[Site Name]],Table1[[Site Name ]],Table1[Commisioned Date],"")</f>
        <v>44617</v>
      </c>
      <c r="E2496" s="47">
        <f>IF(ISNUMBER(expected_production[[#This Row],[Commissioned Date]]),MAX(0,(expected_production[[#This Row],[Date]]-expected_production[[#This Row],[Commissioned Date]])/365.25),"")</f>
        <v>2.5982203969883639</v>
      </c>
      <c r="F2496" s="49">
        <f>IF(expected_production[[#This Row],[Age (yrs)]]="",1,(1-DegradationRate)^expected_production[[#This Row],[Age (yrs)]])</f>
        <v>0.98191405206819171</v>
      </c>
      <c r="G2496" s="52">
        <f>IF(expected_production[[#This Row],[Base Expected (kWh)]]="","",expected_production[[#This Row],[Base Expected (kWh)]]*expected_production[[#This Row],[Degradation Factor]])</f>
        <v>3707.4374342451729</v>
      </c>
    </row>
    <row r="2497" spans="1:7" ht="15" hidden="1" customHeight="1" x14ac:dyDescent="0.3">
      <c r="A2497" t="s">
        <v>196</v>
      </c>
      <c r="B2497" s="2">
        <v>45597</v>
      </c>
      <c r="C2497" s="52">
        <v>3829.5749999999998</v>
      </c>
      <c r="D2497" s="48">
        <f>_xlfn.XLOOKUP(expected_production[[#This Row],[Site Name]],Table1[[Site Name ]],Table1[Commisioned Date],"")</f>
        <v>44617</v>
      </c>
      <c r="E2497" s="47">
        <f>IF(ISNUMBER(expected_production[[#This Row],[Commissioned Date]]),MAX(0,(expected_production[[#This Row],[Date]]-expected_production[[#This Row],[Commissioned Date]])/365.25),"")</f>
        <v>2.6830937713894594</v>
      </c>
      <c r="F2497" s="49">
        <f>IF(expected_production[[#This Row],[Age (yrs)]]="",1,(1-DegradationRate)^expected_production[[#This Row],[Age (yrs)]])</f>
        <v>0.98132880666674438</v>
      </c>
      <c r="G2497" s="52">
        <f>IF(expected_production[[#This Row],[Base Expected (kWh)]]="","",expected_production[[#This Row],[Base Expected (kWh)]]*expected_production[[#This Row],[Degradation Factor]])</f>
        <v>3758.0722647907974</v>
      </c>
    </row>
    <row r="2498" spans="1:7" ht="15" hidden="1" customHeight="1" x14ac:dyDescent="0.3">
      <c r="A2498" t="s">
        <v>196</v>
      </c>
      <c r="B2498" s="2">
        <v>45627</v>
      </c>
      <c r="C2498" s="52">
        <v>4315.6499999999996</v>
      </c>
      <c r="D2498" s="48">
        <f>_xlfn.XLOOKUP(expected_production[[#This Row],[Site Name]],Table1[[Site Name ]],Table1[Commisioned Date],"")</f>
        <v>44617</v>
      </c>
      <c r="E2498" s="47">
        <f>IF(ISNUMBER(expected_production[[#This Row],[Commissioned Date]]),MAX(0,(expected_production[[#This Row],[Date]]-expected_production[[#This Row],[Commissioned Date]])/365.25),"")</f>
        <v>2.7652292950034223</v>
      </c>
      <c r="F2498" s="49">
        <f>IF(expected_production[[#This Row],[Age (yrs)]]="",1,(1-DegradationRate)^expected_production[[#This Row],[Age (yrs)]])</f>
        <v>0.98076277227533681</v>
      </c>
      <c r="G2498" s="52">
        <f>IF(expected_production[[#This Row],[Base Expected (kWh)]]="","",expected_production[[#This Row],[Base Expected (kWh)]]*expected_production[[#This Row],[Degradation Factor]])</f>
        <v>4232.6288581700574</v>
      </c>
    </row>
    <row r="2499" spans="1:7" ht="15" hidden="1" customHeight="1" x14ac:dyDescent="0.3">
      <c r="A2499" t="s">
        <v>196</v>
      </c>
      <c r="B2499" s="2">
        <v>45658</v>
      </c>
      <c r="C2499" s="52">
        <v>4274.1000000000004</v>
      </c>
      <c r="D2499" s="48">
        <f>_xlfn.XLOOKUP(expected_production[[#This Row],[Site Name]],Table1[[Site Name ]],Table1[Commisioned Date],"")</f>
        <v>44617</v>
      </c>
      <c r="E2499" s="47">
        <f>IF(ISNUMBER(expected_production[[#This Row],[Commissioned Date]]),MAX(0,(expected_production[[#This Row],[Date]]-expected_production[[#This Row],[Commissioned Date]])/365.25),"")</f>
        <v>2.8501026694045173</v>
      </c>
      <c r="F2499" s="49">
        <f>IF(expected_production[[#This Row],[Age (yrs)]]="",1,(1-DegradationRate)^expected_production[[#This Row],[Age (yrs)]])</f>
        <v>0.98017821306552011</v>
      </c>
      <c r="G2499" s="52">
        <f>IF(expected_production[[#This Row],[Base Expected (kWh)]]="","",expected_production[[#This Row],[Base Expected (kWh)]]*expected_production[[#This Row],[Degradation Factor]])</f>
        <v>4189.3797004633398</v>
      </c>
    </row>
    <row r="2500" spans="1:7" ht="15" hidden="1" customHeight="1" x14ac:dyDescent="0.3">
      <c r="A2500" t="s">
        <v>196</v>
      </c>
      <c r="B2500" s="2">
        <v>45689</v>
      </c>
      <c r="C2500" s="52">
        <v>3810.6</v>
      </c>
      <c r="D2500" s="48">
        <f>_xlfn.XLOOKUP(expected_production[[#This Row],[Site Name]],Table1[[Site Name ]],Table1[Commisioned Date],"")</f>
        <v>44617</v>
      </c>
      <c r="E2500" s="47">
        <f>IF(ISNUMBER(expected_production[[#This Row],[Commissioned Date]]),MAX(0,(expected_production[[#This Row],[Date]]-expected_production[[#This Row],[Commissioned Date]])/365.25),"")</f>
        <v>2.9349760438056127</v>
      </c>
      <c r="F2500" s="49">
        <f>IF(expected_production[[#This Row],[Age (yrs)]]="",1,(1-DegradationRate)^expected_production[[#This Row],[Age (yrs)]])</f>
        <v>0.97959400226765325</v>
      </c>
      <c r="G2500" s="52">
        <f>IF(expected_production[[#This Row],[Base Expected (kWh)]]="","",expected_production[[#This Row],[Base Expected (kWh)]]*expected_production[[#This Row],[Degradation Factor]])</f>
        <v>3732.8409050411192</v>
      </c>
    </row>
    <row r="2501" spans="1:7" ht="15" hidden="1" customHeight="1" x14ac:dyDescent="0.3">
      <c r="A2501" t="s">
        <v>196</v>
      </c>
      <c r="B2501" s="2">
        <v>45717</v>
      </c>
      <c r="C2501" s="52">
        <v>3907.2750000000001</v>
      </c>
      <c r="D2501" s="48">
        <f>_xlfn.XLOOKUP(expected_production[[#This Row],[Site Name]],Table1[[Site Name ]],Table1[Commisioned Date],"")</f>
        <v>44617</v>
      </c>
      <c r="E2501" s="47">
        <f>IF(ISNUMBER(expected_production[[#This Row],[Commissioned Date]]),MAX(0,(expected_production[[#This Row],[Date]]-expected_production[[#This Row],[Commissioned Date]])/365.25),"")</f>
        <v>3.0116358658453115</v>
      </c>
      <c r="F2501" s="49">
        <f>IF(expected_production[[#This Row],[Age (yrs)]]="",1,(1-DegradationRate)^expected_production[[#This Row],[Age (yrs)]])</f>
        <v>0.97906662729338045</v>
      </c>
      <c r="G2501" s="52">
        <f>IF(expected_production[[#This Row],[Base Expected (kWh)]]="","",expected_production[[#This Row],[Base Expected (kWh)]]*expected_production[[#This Row],[Degradation Factor]])</f>
        <v>3825.4825561577431</v>
      </c>
    </row>
    <row r="2502" spans="1:7" ht="15" hidden="1" customHeight="1" x14ac:dyDescent="0.3">
      <c r="A2502" t="s">
        <v>196</v>
      </c>
      <c r="B2502" s="2">
        <v>45748</v>
      </c>
      <c r="C2502" s="52">
        <v>3268.125</v>
      </c>
      <c r="D2502" s="48">
        <f>_xlfn.XLOOKUP(expected_production[[#This Row],[Site Name]],Table1[[Site Name ]],Table1[Commisioned Date],"")</f>
        <v>44617</v>
      </c>
      <c r="E2502" s="47">
        <f>IF(ISNUMBER(expected_production[[#This Row],[Commissioned Date]]),MAX(0,(expected_production[[#This Row],[Date]]-expected_production[[#This Row],[Commissioned Date]])/365.25),"")</f>
        <v>3.0965092402464065</v>
      </c>
      <c r="F2502" s="49">
        <f>IF(expected_production[[#This Row],[Age (yrs)]]="",1,(1-DegradationRate)^expected_production[[#This Row],[Age (yrs)]])</f>
        <v>0.97848307902851239</v>
      </c>
      <c r="G2502" s="52">
        <f>IF(expected_production[[#This Row],[Base Expected (kWh)]]="","",expected_production[[#This Row],[Base Expected (kWh)]]*expected_production[[#This Row],[Degradation Factor]])</f>
        <v>3197.8050126500571</v>
      </c>
    </row>
    <row r="2503" spans="1:7" ht="15" hidden="1" customHeight="1" x14ac:dyDescent="0.3">
      <c r="A2503" t="s">
        <v>196</v>
      </c>
      <c r="B2503" s="2">
        <v>45778</v>
      </c>
      <c r="C2503" s="52">
        <v>2929.95</v>
      </c>
      <c r="D2503" s="48">
        <f>_xlfn.XLOOKUP(expected_production[[#This Row],[Site Name]],Table1[[Site Name ]],Table1[Commisioned Date],"")</f>
        <v>44617</v>
      </c>
      <c r="E2503" s="47">
        <f>IF(ISNUMBER(expected_production[[#This Row],[Commissioned Date]]),MAX(0,(expected_production[[#This Row],[Date]]-expected_production[[#This Row],[Commissioned Date]])/365.25),"")</f>
        <v>3.1786447638603694</v>
      </c>
      <c r="F2503" s="49">
        <f>IF(expected_production[[#This Row],[Age (yrs)]]="",1,(1-DegradationRate)^expected_production[[#This Row],[Age (yrs)]])</f>
        <v>0.97791868606421972</v>
      </c>
      <c r="G2503" s="52">
        <f>IF(expected_production[[#This Row],[Base Expected (kWh)]]="","",expected_production[[#This Row],[Base Expected (kWh)]]*expected_production[[#This Row],[Degradation Factor]])</f>
        <v>2865.2528542338605</v>
      </c>
    </row>
    <row r="2504" spans="1:7" ht="15" hidden="1" customHeight="1" x14ac:dyDescent="0.3">
      <c r="A2504" t="s">
        <v>196</v>
      </c>
      <c r="B2504" s="2">
        <v>45809</v>
      </c>
      <c r="C2504" s="52">
        <v>2664.75</v>
      </c>
      <c r="D2504" s="48">
        <f>_xlfn.XLOOKUP(expected_production[[#This Row],[Site Name]],Table1[[Site Name ]],Table1[Commisioned Date],"")</f>
        <v>44617</v>
      </c>
      <c r="E2504" s="47">
        <f>IF(ISNUMBER(expected_production[[#This Row],[Commissioned Date]]),MAX(0,(expected_production[[#This Row],[Date]]-expected_production[[#This Row],[Commissioned Date]])/365.25),"")</f>
        <v>3.2635181382614649</v>
      </c>
      <c r="F2504" s="49">
        <f>IF(expected_production[[#This Row],[Age (yrs)]]="",1,(1-DegradationRate)^expected_production[[#This Row],[Age (yrs)]])</f>
        <v>0.97733582200111457</v>
      </c>
      <c r="G2504" s="52">
        <f>IF(expected_production[[#This Row],[Base Expected (kWh)]]="","",expected_production[[#This Row],[Base Expected (kWh)]]*expected_production[[#This Row],[Degradation Factor]])</f>
        <v>2604.3556316774702</v>
      </c>
    </row>
    <row r="2505" spans="1:7" ht="15" hidden="1" customHeight="1" x14ac:dyDescent="0.3">
      <c r="A2505" t="s">
        <v>196</v>
      </c>
      <c r="B2505" s="2">
        <v>45839</v>
      </c>
      <c r="C2505" s="52">
        <v>2851.125</v>
      </c>
      <c r="D2505" s="48">
        <f>_xlfn.XLOOKUP(expected_production[[#This Row],[Site Name]],Table1[[Site Name ]],Table1[Commisioned Date],"")</f>
        <v>44617</v>
      </c>
      <c r="E2505" s="47">
        <f>IF(ISNUMBER(expected_production[[#This Row],[Commissioned Date]]),MAX(0,(expected_production[[#This Row],[Date]]-expected_production[[#This Row],[Commissioned Date]])/365.25),"")</f>
        <v>3.3456536618754278</v>
      </c>
      <c r="F2505" s="49">
        <f>IF(expected_production[[#This Row],[Age (yrs)]]="",1,(1-DegradationRate)^expected_production[[#This Row],[Age (yrs)]])</f>
        <v>0.9767720907792764</v>
      </c>
      <c r="G2505" s="52">
        <f>IF(expected_production[[#This Row],[Base Expected (kWh)]]="","",expected_production[[#This Row],[Base Expected (kWh)]]*expected_production[[#This Row],[Degradation Factor]])</f>
        <v>2784.8993273230644</v>
      </c>
    </row>
    <row r="2506" spans="1:7" ht="15" hidden="1" customHeight="1" x14ac:dyDescent="0.3">
      <c r="A2506" t="s">
        <v>196</v>
      </c>
      <c r="B2506" s="2">
        <v>45870</v>
      </c>
      <c r="C2506" s="52">
        <v>3237</v>
      </c>
      <c r="D2506" s="48">
        <f>_xlfn.XLOOKUP(expected_production[[#This Row],[Site Name]],Table1[[Site Name ]],Table1[Commisioned Date],"")</f>
        <v>44617</v>
      </c>
      <c r="E2506" s="47">
        <f>IF(ISNUMBER(expected_production[[#This Row],[Commissioned Date]]),MAX(0,(expected_production[[#This Row],[Date]]-expected_production[[#This Row],[Commissioned Date]])/365.25),"")</f>
        <v>3.4305270362765228</v>
      </c>
      <c r="F2506" s="49">
        <f>IF(expected_production[[#This Row],[Age (yrs)]]="",1,(1-DegradationRate)^expected_production[[#This Row],[Age (yrs)]])</f>
        <v>0.97618991011571776</v>
      </c>
      <c r="G2506" s="52">
        <f>IF(expected_production[[#This Row],[Base Expected (kWh)]]="","",expected_production[[#This Row],[Base Expected (kWh)]]*expected_production[[#This Row],[Degradation Factor]])</f>
        <v>3159.9267390445784</v>
      </c>
    </row>
    <row r="2507" spans="1:7" ht="15" hidden="1" customHeight="1" x14ac:dyDescent="0.3">
      <c r="A2507" t="s">
        <v>196</v>
      </c>
      <c r="B2507" s="2">
        <v>45901</v>
      </c>
      <c r="C2507" s="52">
        <v>3327.75</v>
      </c>
      <c r="D2507" s="48">
        <f>_xlfn.XLOOKUP(expected_production[[#This Row],[Site Name]],Table1[[Site Name ]],Table1[Commisioned Date],"")</f>
        <v>44617</v>
      </c>
      <c r="E2507" s="47">
        <f>IF(ISNUMBER(expected_production[[#This Row],[Commissioned Date]]),MAX(0,(expected_production[[#This Row],[Date]]-expected_production[[#This Row],[Commissioned Date]])/365.25),"")</f>
        <v>3.5154004106776182</v>
      </c>
      <c r="F2507" s="49">
        <f>IF(expected_production[[#This Row],[Age (yrs)]]="",1,(1-DegradationRate)^expected_production[[#This Row],[Age (yrs)]])</f>
        <v>0.97560807644643566</v>
      </c>
      <c r="G2507" s="52">
        <f>IF(expected_production[[#This Row],[Base Expected (kWh)]]="","",expected_production[[#This Row],[Base Expected (kWh)]]*expected_production[[#This Row],[Degradation Factor]])</f>
        <v>3246.5797763946262</v>
      </c>
    </row>
    <row r="2508" spans="1:7" ht="15" hidden="1" customHeight="1" x14ac:dyDescent="0.3">
      <c r="A2508" t="s">
        <v>196</v>
      </c>
      <c r="B2508" s="2">
        <v>45931</v>
      </c>
      <c r="C2508" s="52">
        <v>3775.7249999999999</v>
      </c>
      <c r="D2508" s="48">
        <f>_xlfn.XLOOKUP(expected_production[[#This Row],[Site Name]],Table1[[Site Name ]],Table1[Commisioned Date],"")</f>
        <v>44617</v>
      </c>
      <c r="E2508" s="47">
        <f>IF(ISNUMBER(expected_production[[#This Row],[Commissioned Date]]),MAX(0,(expected_production[[#This Row],[Date]]-expected_production[[#This Row],[Commissioned Date]])/365.25),"")</f>
        <v>3.5975359342915811</v>
      </c>
      <c r="F2508" s="49">
        <f>IF(expected_production[[#This Row],[Age (yrs)]]="",1,(1-DegradationRate)^expected_production[[#This Row],[Age (yrs)]])</f>
        <v>0.97504534179516278</v>
      </c>
      <c r="G2508" s="52">
        <f>IF(expected_production[[#This Row],[Base Expected (kWh)]]="","",expected_production[[#This Row],[Base Expected (kWh)]]*expected_production[[#This Row],[Degradation Factor]])</f>
        <v>3681.5030731495408</v>
      </c>
    </row>
    <row r="2509" spans="1:7" ht="15" hidden="1" customHeight="1" x14ac:dyDescent="0.3">
      <c r="A2509" t="s">
        <v>196</v>
      </c>
      <c r="B2509" s="2">
        <v>45962</v>
      </c>
      <c r="C2509" s="52">
        <v>3829.5749999999998</v>
      </c>
      <c r="D2509" s="48">
        <f>_xlfn.XLOOKUP(expected_production[[#This Row],[Site Name]],Table1[[Site Name ]],Table1[Commisioned Date],"")</f>
        <v>44617</v>
      </c>
      <c r="E2509" s="47">
        <f>IF(ISNUMBER(expected_production[[#This Row],[Commissioned Date]]),MAX(0,(expected_production[[#This Row],[Date]]-expected_production[[#This Row],[Commissioned Date]])/365.25),"")</f>
        <v>3.6824093086926761</v>
      </c>
      <c r="F2509" s="49">
        <f>IF(expected_production[[#This Row],[Age (yrs)]]="",1,(1-DegradationRate)^expected_production[[#This Row],[Age (yrs)]])</f>
        <v>0.97446419031730547</v>
      </c>
      <c r="G2509" s="52">
        <f>IF(expected_production[[#This Row],[Base Expected (kWh)]]="","",expected_production[[#This Row],[Base Expected (kWh)]]*expected_production[[#This Row],[Degradation Factor]])</f>
        <v>3731.7837016343951</v>
      </c>
    </row>
    <row r="2510" spans="1:7" ht="15" hidden="1" customHeight="1" x14ac:dyDescent="0.3">
      <c r="A2510" t="s">
        <v>196</v>
      </c>
      <c r="B2510" s="2">
        <v>45992</v>
      </c>
      <c r="C2510" s="52">
        <v>4315.6499999999996</v>
      </c>
      <c r="D2510" s="48">
        <f>_xlfn.XLOOKUP(expected_production[[#This Row],[Site Name]],Table1[[Site Name ]],Table1[Commisioned Date],"")</f>
        <v>44617</v>
      </c>
      <c r="E2510" s="47">
        <f>IF(ISNUMBER(expected_production[[#This Row],[Commissioned Date]]),MAX(0,(expected_production[[#This Row],[Date]]-expected_production[[#This Row],[Commissioned Date]])/365.25),"")</f>
        <v>3.7645448323066395</v>
      </c>
      <c r="F2510" s="49">
        <f>IF(expected_production[[#This Row],[Age (yrs)]]="",1,(1-DegradationRate)^expected_production[[#This Row],[Age (yrs)]])</f>
        <v>0.97390211546413963</v>
      </c>
      <c r="G2510" s="52">
        <f>IF(expected_production[[#This Row],[Base Expected (kWh)]]="","",expected_production[[#This Row],[Base Expected (kWh)]]*expected_production[[#This Row],[Degradation Factor]])</f>
        <v>4203.0206646028137</v>
      </c>
    </row>
    <row r="2511" spans="1:7" ht="15" hidden="1" customHeight="1" x14ac:dyDescent="0.3">
      <c r="A2511" t="s">
        <v>196</v>
      </c>
      <c r="B2511" s="2">
        <v>46023</v>
      </c>
      <c r="C2511" s="52">
        <v>4274.1000000000004</v>
      </c>
      <c r="D2511" s="48">
        <f>_xlfn.XLOOKUP(expected_production[[#This Row],[Site Name]],Table1[[Site Name ]],Table1[Commisioned Date],"")</f>
        <v>44617</v>
      </c>
      <c r="E2511" s="47">
        <f>IF(ISNUMBER(expected_production[[#This Row],[Commissioned Date]]),MAX(0,(expected_production[[#This Row],[Date]]-expected_production[[#This Row],[Commissioned Date]])/365.25),"")</f>
        <v>3.8494182067077345</v>
      </c>
      <c r="F2511" s="49">
        <f>IF(expected_production[[#This Row],[Age (yrs)]]="",1,(1-DegradationRate)^expected_production[[#This Row],[Age (yrs)]])</f>
        <v>0.97332164537784771</v>
      </c>
      <c r="G2511" s="52">
        <f>IF(expected_production[[#This Row],[Base Expected (kWh)]]="","",expected_production[[#This Row],[Base Expected (kWh)]]*expected_production[[#This Row],[Degradation Factor]])</f>
        <v>4160.0740445094589</v>
      </c>
    </row>
    <row r="2512" spans="1:7" ht="15" hidden="1" customHeight="1" x14ac:dyDescent="0.3">
      <c r="A2512" t="s">
        <v>196</v>
      </c>
      <c r="B2512" s="2">
        <v>46054</v>
      </c>
      <c r="C2512" s="52">
        <v>3810.6</v>
      </c>
      <c r="D2512" s="48">
        <f>_xlfn.XLOOKUP(expected_production[[#This Row],[Site Name]],Table1[[Site Name ]],Table1[Commisioned Date],"")</f>
        <v>44617</v>
      </c>
      <c r="E2512" s="47">
        <f>IF(ISNUMBER(expected_production[[#This Row],[Commissioned Date]]),MAX(0,(expected_production[[#This Row],[Date]]-expected_production[[#This Row],[Commissioned Date]])/365.25),"")</f>
        <v>3.9342915811088295</v>
      </c>
      <c r="F2512" s="49">
        <f>IF(expected_production[[#This Row],[Age (yrs)]]="",1,(1-DegradationRate)^expected_production[[#This Row],[Age (yrs)]])</f>
        <v>0.97274152126628544</v>
      </c>
      <c r="G2512" s="52">
        <f>IF(expected_production[[#This Row],[Base Expected (kWh)]]="","",expected_production[[#This Row],[Base Expected (kWh)]]*expected_production[[#This Row],[Degradation Factor]])</f>
        <v>3706.7288409373073</v>
      </c>
    </row>
    <row r="2513" spans="1:7" ht="15" hidden="1" customHeight="1" x14ac:dyDescent="0.3">
      <c r="A2513" t="s">
        <v>196</v>
      </c>
      <c r="B2513" s="2">
        <v>46082</v>
      </c>
      <c r="C2513" s="52">
        <v>3907.2750000000001</v>
      </c>
      <c r="D2513" s="48">
        <f>_xlfn.XLOOKUP(expected_production[[#This Row],[Site Name]],Table1[[Site Name ]],Table1[Commisioned Date],"")</f>
        <v>44617</v>
      </c>
      <c r="E2513" s="47">
        <f>IF(ISNUMBER(expected_production[[#This Row],[Commissioned Date]]),MAX(0,(expected_production[[#This Row],[Date]]-expected_production[[#This Row],[Commissioned Date]])/365.25),"")</f>
        <v>4.0109514031485283</v>
      </c>
      <c r="F2513" s="49">
        <f>IF(expected_production[[#This Row],[Age (yrs)]]="",1,(1-DegradationRate)^expected_production[[#This Row],[Age (yrs)]])</f>
        <v>0.97221783539891149</v>
      </c>
      <c r="G2513" s="52">
        <f>IF(expected_production[[#This Row],[Base Expected (kWh)]]="","",expected_production[[#This Row],[Base Expected (kWh)]]*expected_production[[#This Row],[Degradation Factor]])</f>
        <v>3798.7224428082818</v>
      </c>
    </row>
    <row r="2514" spans="1:7" ht="15" hidden="1" customHeight="1" x14ac:dyDescent="0.3">
      <c r="A2514" t="s">
        <v>196</v>
      </c>
      <c r="B2514" s="2">
        <v>46113</v>
      </c>
      <c r="C2514" s="52">
        <v>3268.125</v>
      </c>
      <c r="D2514" s="48">
        <f>_xlfn.XLOOKUP(expected_production[[#This Row],[Site Name]],Table1[[Site Name ]],Table1[Commisioned Date],"")</f>
        <v>44617</v>
      </c>
      <c r="E2514" s="47">
        <f>IF(ISNUMBER(expected_production[[#This Row],[Commissioned Date]]),MAX(0,(expected_production[[#This Row],[Date]]-expected_production[[#This Row],[Commissioned Date]])/365.25),"")</f>
        <v>4.0958247775496233</v>
      </c>
      <c r="F2514" s="49">
        <f>IF(expected_production[[#This Row],[Age (yrs)]]="",1,(1-DegradationRate)^expected_production[[#This Row],[Age (yrs)]])</f>
        <v>0.97163836918578028</v>
      </c>
      <c r="G2514" s="52">
        <f>IF(expected_production[[#This Row],[Base Expected (kWh)]]="","",expected_production[[#This Row],[Base Expected (kWh)]]*expected_production[[#This Row],[Degradation Factor]])</f>
        <v>3175.4356452952784</v>
      </c>
    </row>
    <row r="2515" spans="1:7" ht="15" hidden="1" customHeight="1" x14ac:dyDescent="0.3">
      <c r="A2515" t="s">
        <v>196</v>
      </c>
      <c r="B2515" s="2">
        <v>46143</v>
      </c>
      <c r="C2515" s="52">
        <v>2929.95</v>
      </c>
      <c r="D2515" s="48">
        <f>_xlfn.XLOOKUP(expected_production[[#This Row],[Site Name]],Table1[[Site Name ]],Table1[Commisioned Date],"")</f>
        <v>44617</v>
      </c>
      <c r="E2515" s="47">
        <f>IF(ISNUMBER(expected_production[[#This Row],[Commissioned Date]]),MAX(0,(expected_production[[#This Row],[Date]]-expected_production[[#This Row],[Commissioned Date]])/365.25),"")</f>
        <v>4.1779603011635862</v>
      </c>
      <c r="F2515" s="49">
        <f>IF(expected_production[[#This Row],[Age (yrs)]]="",1,(1-DegradationRate)^expected_production[[#This Row],[Age (yrs)]])</f>
        <v>0.97107792427757633</v>
      </c>
      <c r="G2515" s="52">
        <f>IF(expected_production[[#This Row],[Base Expected (kWh)]]="","",expected_production[[#This Row],[Base Expected (kWh)]]*expected_production[[#This Row],[Degradation Factor]])</f>
        <v>2845.2097642370845</v>
      </c>
    </row>
    <row r="2516" spans="1:7" ht="15" hidden="1" customHeight="1" x14ac:dyDescent="0.3">
      <c r="A2516" t="s">
        <v>196</v>
      </c>
      <c r="B2516" s="2">
        <v>46174</v>
      </c>
      <c r="C2516" s="52">
        <v>2664.75</v>
      </c>
      <c r="D2516" s="48">
        <f>_xlfn.XLOOKUP(expected_production[[#This Row],[Site Name]],Table1[[Site Name ]],Table1[Commisioned Date],"")</f>
        <v>44617</v>
      </c>
      <c r="E2516" s="47">
        <f>IF(ISNUMBER(expected_production[[#This Row],[Commissioned Date]]),MAX(0,(expected_production[[#This Row],[Date]]-expected_production[[#This Row],[Commissioned Date]])/365.25),"")</f>
        <v>4.2628336755646821</v>
      </c>
      <c r="F2516" s="49">
        <f>IF(expected_production[[#This Row],[Age (yrs)]]="",1,(1-DegradationRate)^expected_production[[#This Row],[Age (yrs)]])</f>
        <v>0.97049913748006233</v>
      </c>
      <c r="G2516" s="52">
        <f>IF(expected_production[[#This Row],[Base Expected (kWh)]]="","",expected_production[[#This Row],[Base Expected (kWh)]]*expected_production[[#This Row],[Degradation Factor]])</f>
        <v>2586.137576599996</v>
      </c>
    </row>
    <row r="2517" spans="1:7" ht="15" hidden="1" customHeight="1" x14ac:dyDescent="0.3">
      <c r="A2517" t="s">
        <v>196</v>
      </c>
      <c r="B2517" s="2">
        <v>46204</v>
      </c>
      <c r="C2517" s="52">
        <v>2851.125</v>
      </c>
      <c r="D2517" s="48">
        <f>_xlfn.XLOOKUP(expected_production[[#This Row],[Site Name]],Table1[[Site Name ]],Table1[Commisioned Date],"")</f>
        <v>44617</v>
      </c>
      <c r="E2517" s="47">
        <f>IF(ISNUMBER(expected_production[[#This Row],[Commissioned Date]]),MAX(0,(expected_production[[#This Row],[Date]]-expected_production[[#This Row],[Commissioned Date]])/365.25),"")</f>
        <v>4.344969199178645</v>
      </c>
      <c r="F2517" s="49">
        <f>IF(expected_production[[#This Row],[Age (yrs)]]="",1,(1-DegradationRate)^expected_production[[#This Row],[Age (yrs)]])</f>
        <v>0.96993934968527529</v>
      </c>
      <c r="G2517" s="52">
        <f>IF(expected_production[[#This Row],[Base Expected (kWh)]]="","",expected_production[[#This Row],[Base Expected (kWh)]]*expected_production[[#This Row],[Degradation Factor]])</f>
        <v>2765.4183283714306</v>
      </c>
    </row>
    <row r="2518" spans="1:7" ht="15" hidden="1" customHeight="1" x14ac:dyDescent="0.3">
      <c r="A2518" t="s">
        <v>196</v>
      </c>
      <c r="B2518" s="2">
        <v>46235</v>
      </c>
      <c r="C2518" s="52">
        <v>3237</v>
      </c>
      <c r="D2518" s="48">
        <f>_xlfn.XLOOKUP(expected_production[[#This Row],[Site Name]],Table1[[Site Name ]],Table1[Commisioned Date],"")</f>
        <v>44617</v>
      </c>
      <c r="E2518" s="47">
        <f>IF(ISNUMBER(expected_production[[#This Row],[Commissioned Date]]),MAX(0,(expected_production[[#This Row],[Date]]-expected_production[[#This Row],[Commissioned Date]])/365.25),"")</f>
        <v>4.42984257357974</v>
      </c>
      <c r="F2518" s="49">
        <f>IF(expected_production[[#This Row],[Age (yrs)]]="",1,(1-DegradationRate)^expected_production[[#This Row],[Age (yrs)]])</f>
        <v>0.96936124150677383</v>
      </c>
      <c r="G2518" s="52">
        <f>IF(expected_production[[#This Row],[Base Expected (kWh)]]="","",expected_production[[#This Row],[Base Expected (kWh)]]*expected_production[[#This Row],[Degradation Factor]])</f>
        <v>3137.8223387574267</v>
      </c>
    </row>
    <row r="2519" spans="1:7" ht="15" hidden="1" customHeight="1" x14ac:dyDescent="0.3">
      <c r="A2519" t="s">
        <v>196</v>
      </c>
      <c r="B2519" s="2">
        <v>46266</v>
      </c>
      <c r="C2519" s="52">
        <v>3327.75</v>
      </c>
      <c r="D2519" s="48">
        <f>_xlfn.XLOOKUP(expected_production[[#This Row],[Site Name]],Table1[[Site Name ]],Table1[Commisioned Date],"")</f>
        <v>44617</v>
      </c>
      <c r="E2519" s="47">
        <f>IF(ISNUMBER(expected_production[[#This Row],[Commissioned Date]]),MAX(0,(expected_production[[#This Row],[Date]]-expected_production[[#This Row],[Commissioned Date]])/365.25),"")</f>
        <v>4.514715947980835</v>
      </c>
      <c r="F2519" s="49">
        <f>IF(expected_production[[#This Row],[Age (yrs)]]="",1,(1-DegradationRate)^expected_production[[#This Row],[Age (yrs)]])</f>
        <v>0.96878347789524566</v>
      </c>
      <c r="G2519" s="52">
        <f>IF(expected_production[[#This Row],[Base Expected (kWh)]]="","",expected_production[[#This Row],[Base Expected (kWh)]]*expected_production[[#This Row],[Degradation Factor]])</f>
        <v>3223.8692185659038</v>
      </c>
    </row>
    <row r="2520" spans="1:7" ht="15" hidden="1" customHeight="1" x14ac:dyDescent="0.3">
      <c r="A2520" t="s">
        <v>196</v>
      </c>
      <c r="B2520" s="2">
        <v>46296</v>
      </c>
      <c r="C2520" s="52">
        <v>3775.7249999999999</v>
      </c>
      <c r="D2520" s="48">
        <f>_xlfn.XLOOKUP(expected_production[[#This Row],[Site Name]],Table1[[Site Name ]],Table1[Commisioned Date],"")</f>
        <v>44617</v>
      </c>
      <c r="E2520" s="47">
        <f>IF(ISNUMBER(expected_production[[#This Row],[Commissioned Date]]),MAX(0,(expected_production[[#This Row],[Date]]-expected_production[[#This Row],[Commissioned Date]])/365.25),"")</f>
        <v>4.5968514715947979</v>
      </c>
      <c r="F2520" s="49">
        <f>IF(expected_production[[#This Row],[Age (yrs)]]="",1,(1-DegradationRate)^expected_production[[#This Row],[Age (yrs)]])</f>
        <v>0.96822467969978798</v>
      </c>
      <c r="G2520" s="52">
        <f>IF(expected_production[[#This Row],[Base Expected (kWh)]]="","",expected_production[[#This Row],[Base Expected (kWh)]]*expected_production[[#This Row],[Degradation Factor]])</f>
        <v>3655.7501287594819</v>
      </c>
    </row>
    <row r="2521" spans="1:7" ht="15" hidden="1" customHeight="1" x14ac:dyDescent="0.3">
      <c r="A2521" t="s">
        <v>196</v>
      </c>
      <c r="B2521" s="2">
        <v>46327</v>
      </c>
      <c r="C2521" s="52">
        <v>3829.5749999999998</v>
      </c>
      <c r="D2521" s="48">
        <f>_xlfn.XLOOKUP(expected_production[[#This Row],[Site Name]],Table1[[Site Name ]],Table1[Commisioned Date],"")</f>
        <v>44617</v>
      </c>
      <c r="E2521" s="47">
        <f>IF(ISNUMBER(expected_production[[#This Row],[Commissioned Date]]),MAX(0,(expected_production[[#This Row],[Date]]-expected_production[[#This Row],[Commissioned Date]])/365.25),"")</f>
        <v>4.6817248459958929</v>
      </c>
      <c r="F2521" s="49">
        <f>IF(expected_production[[#This Row],[Age (yrs)]]="",1,(1-DegradationRate)^expected_production[[#This Row],[Age (yrs)]])</f>
        <v>0.96764759350760177</v>
      </c>
      <c r="G2521" s="52">
        <f>IF(expected_production[[#This Row],[Base Expected (kWh)]]="","",expected_production[[#This Row],[Base Expected (kWh)]]*expected_production[[#This Row],[Degradation Factor]])</f>
        <v>3705.679032906874</v>
      </c>
    </row>
    <row r="2522" spans="1:7" ht="15" hidden="1" customHeight="1" x14ac:dyDescent="0.3">
      <c r="A2522" t="s">
        <v>196</v>
      </c>
      <c r="B2522" s="2">
        <v>46357</v>
      </c>
      <c r="C2522" s="52">
        <v>4315.6499999999996</v>
      </c>
      <c r="D2522" s="48">
        <f>_xlfn.XLOOKUP(expected_production[[#This Row],[Site Name]],Table1[[Site Name ]],Table1[Commisioned Date],"")</f>
        <v>44617</v>
      </c>
      <c r="E2522" s="47">
        <f>IF(ISNUMBER(expected_production[[#This Row],[Commissioned Date]]),MAX(0,(expected_production[[#This Row],[Date]]-expected_production[[#This Row],[Commissioned Date]])/365.25),"")</f>
        <v>4.7638603696098567</v>
      </c>
      <c r="F2522" s="49">
        <f>IF(expected_production[[#This Row],[Age (yrs)]]="",1,(1-DegradationRate)^expected_production[[#This Row],[Age (yrs)]])</f>
        <v>0.96708945049481443</v>
      </c>
      <c r="G2522" s="52">
        <f>IF(expected_production[[#This Row],[Base Expected (kWh)]]="","",expected_production[[#This Row],[Base Expected (kWh)]]*expected_production[[#This Row],[Degradation Factor]])</f>
        <v>4173.6195870279453</v>
      </c>
    </row>
    <row r="2523" spans="1:7" ht="15" hidden="1" customHeight="1" x14ac:dyDescent="0.3">
      <c r="A2523" t="s">
        <v>201</v>
      </c>
      <c r="B2523" s="2">
        <v>45292</v>
      </c>
      <c r="C2523" s="52">
        <v>13441.985000000001</v>
      </c>
      <c r="D2523" s="48">
        <f>_xlfn.XLOOKUP(expected_production[[#This Row],[Site Name]],Table1[[Site Name ]],Table1[Commisioned Date],"")</f>
        <v>44504</v>
      </c>
      <c r="E2523" s="47">
        <f>IF(ISNUMBER(expected_production[[#This Row],[Commissioned Date]]),MAX(0,(expected_production[[#This Row],[Date]]-expected_production[[#This Row],[Commissioned Date]])/365.25),"")</f>
        <v>2.1574264202600957</v>
      </c>
      <c r="F2523" s="49">
        <f>IF(expected_production[[#This Row],[Age (yrs)]]="",1,(1-DegradationRate)^expected_production[[#This Row],[Age (yrs)]])</f>
        <v>0.9849591705798314</v>
      </c>
      <c r="G2523" s="52">
        <f>IF(expected_production[[#This Row],[Base Expected (kWh)]]="","",expected_production[[#This Row],[Base Expected (kWh)]]*expected_production[[#This Row],[Degradation Factor]])</f>
        <v>13239.806396546535</v>
      </c>
    </row>
    <row r="2524" spans="1:7" ht="15" hidden="1" customHeight="1" x14ac:dyDescent="0.3">
      <c r="A2524" t="s">
        <v>201</v>
      </c>
      <c r="B2524" s="2">
        <v>45323</v>
      </c>
      <c r="C2524" s="52">
        <v>12055.125</v>
      </c>
      <c r="D2524" s="48">
        <f>_xlfn.XLOOKUP(expected_production[[#This Row],[Site Name]],Table1[[Site Name ]],Table1[Commisioned Date],"")</f>
        <v>44504</v>
      </c>
      <c r="E2524" s="47">
        <f>IF(ISNUMBER(expected_production[[#This Row],[Commissioned Date]]),MAX(0,(expected_production[[#This Row],[Date]]-expected_production[[#This Row],[Commissioned Date]])/365.25),"")</f>
        <v>2.2422997946611911</v>
      </c>
      <c r="F2524" s="49">
        <f>IF(expected_production[[#This Row],[Age (yrs)]]="",1,(1-DegradationRate)^expected_production[[#This Row],[Age (yrs)]])</f>
        <v>0.98437211021137949</v>
      </c>
      <c r="G2524" s="52">
        <f>IF(expected_production[[#This Row],[Base Expected (kWh)]]="","",expected_production[[#This Row],[Base Expected (kWh)]]*expected_production[[#This Row],[Degradation Factor]])</f>
        <v>11866.728835111957</v>
      </c>
    </row>
    <row r="2525" spans="1:7" ht="15" hidden="1" customHeight="1" x14ac:dyDescent="0.3">
      <c r="A2525" t="s">
        <v>201</v>
      </c>
      <c r="B2525" s="2">
        <v>45352</v>
      </c>
      <c r="C2525" s="52">
        <v>12858.46</v>
      </c>
      <c r="D2525" s="48">
        <f>_xlfn.XLOOKUP(expected_production[[#This Row],[Site Name]],Table1[[Site Name ]],Table1[Commisioned Date],"")</f>
        <v>44504</v>
      </c>
      <c r="E2525" s="47">
        <f>IF(ISNUMBER(expected_production[[#This Row],[Commissioned Date]]),MAX(0,(expected_production[[#This Row],[Date]]-expected_production[[#This Row],[Commissioned Date]])/365.25),"")</f>
        <v>2.321697467488022</v>
      </c>
      <c r="F2525" s="49">
        <f>IF(expected_production[[#This Row],[Age (yrs)]]="",1,(1-DegradationRate)^expected_production[[#This Row],[Age (yrs)]])</f>
        <v>0.98382324147882594</v>
      </c>
      <c r="G2525" s="52">
        <f>IF(expected_production[[#This Row],[Base Expected (kWh)]]="","",expected_production[[#This Row],[Base Expected (kWh)]]*expected_production[[#This Row],[Degradation Factor]])</f>
        <v>12650.451797625823</v>
      </c>
    </row>
    <row r="2526" spans="1:7" ht="15" hidden="1" customHeight="1" x14ac:dyDescent="0.3">
      <c r="A2526" t="s">
        <v>201</v>
      </c>
      <c r="B2526" s="2">
        <v>45383</v>
      </c>
      <c r="C2526" s="52">
        <v>11531.27</v>
      </c>
      <c r="D2526" s="48">
        <f>_xlfn.XLOOKUP(expected_production[[#This Row],[Site Name]],Table1[[Site Name ]],Table1[Commisioned Date],"")</f>
        <v>44504</v>
      </c>
      <c r="E2526" s="47">
        <f>IF(ISNUMBER(expected_production[[#This Row],[Commissioned Date]]),MAX(0,(expected_production[[#This Row],[Date]]-expected_production[[#This Row],[Commissioned Date]])/365.25),"")</f>
        <v>2.406570841889117</v>
      </c>
      <c r="F2526" s="49">
        <f>IF(expected_production[[#This Row],[Age (yrs)]]="",1,(1-DegradationRate)^expected_production[[#This Row],[Age (yrs)]])</f>
        <v>0.98323685815260731</v>
      </c>
      <c r="G2526" s="52">
        <f>IF(expected_production[[#This Row],[Base Expected (kWh)]]="","",expected_production[[#This Row],[Base Expected (kWh)]]*expected_production[[#This Row],[Degradation Factor]])</f>
        <v>11337.969685309417</v>
      </c>
    </row>
    <row r="2527" spans="1:7" ht="15" hidden="1" customHeight="1" x14ac:dyDescent="0.3">
      <c r="A2527" t="s">
        <v>201</v>
      </c>
      <c r="B2527" s="2">
        <v>45413</v>
      </c>
      <c r="C2527" s="52">
        <v>11785.93</v>
      </c>
      <c r="D2527" s="48">
        <f>_xlfn.XLOOKUP(expected_production[[#This Row],[Site Name]],Table1[[Site Name ]],Table1[Commisioned Date],"")</f>
        <v>44504</v>
      </c>
      <c r="E2527" s="47">
        <f>IF(ISNUMBER(expected_production[[#This Row],[Commissioned Date]]),MAX(0,(expected_production[[#This Row],[Date]]-expected_production[[#This Row],[Commissioned Date]])/365.25),"")</f>
        <v>2.4887063655030799</v>
      </c>
      <c r="F2527" s="49">
        <f>IF(expected_production[[#This Row],[Age (yrs)]]="",1,(1-DegradationRate)^expected_production[[#This Row],[Age (yrs)]])</f>
        <v>0.98266972318945034</v>
      </c>
      <c r="G2527" s="52">
        <f>IF(expected_production[[#This Row],[Base Expected (kWh)]]="","",expected_production[[#This Row],[Base Expected (kWh)]]*expected_production[[#This Row],[Degradation Factor]])</f>
        <v>11581.676570630239</v>
      </c>
    </row>
    <row r="2528" spans="1:7" ht="15" hidden="1" customHeight="1" x14ac:dyDescent="0.3">
      <c r="A2528" t="s">
        <v>201</v>
      </c>
      <c r="B2528" s="2">
        <v>45444</v>
      </c>
      <c r="C2528" s="52">
        <v>11018.635</v>
      </c>
      <c r="D2528" s="48">
        <f>_xlfn.XLOOKUP(expected_production[[#This Row],[Site Name]],Table1[[Site Name ]],Table1[Commisioned Date],"")</f>
        <v>44504</v>
      </c>
      <c r="E2528" s="47">
        <f>IF(ISNUMBER(expected_production[[#This Row],[Commissioned Date]]),MAX(0,(expected_production[[#This Row],[Date]]-expected_production[[#This Row],[Commissioned Date]])/365.25),"")</f>
        <v>2.5735797399041753</v>
      </c>
      <c r="F2528" s="49">
        <f>IF(expected_production[[#This Row],[Age (yrs)]]="",1,(1-DegradationRate)^expected_production[[#This Row],[Age (yrs)]])</f>
        <v>0.98208402738906253</v>
      </c>
      <c r="G2528" s="52">
        <f>IF(expected_production[[#This Row],[Base Expected (kWh)]]="","",expected_production[[#This Row],[Base Expected (kWh)]]*expected_production[[#This Row],[Degradation Factor]])</f>
        <v>10821.225437130082</v>
      </c>
    </row>
    <row r="2529" spans="1:7" ht="15" hidden="1" customHeight="1" x14ac:dyDescent="0.3">
      <c r="A2529" t="s">
        <v>201</v>
      </c>
      <c r="B2529" s="2">
        <v>45474</v>
      </c>
      <c r="C2529" s="52">
        <v>12024.27</v>
      </c>
      <c r="D2529" s="48">
        <f>_xlfn.XLOOKUP(expected_production[[#This Row],[Site Name]],Table1[[Site Name ]],Table1[Commisioned Date],"")</f>
        <v>44504</v>
      </c>
      <c r="E2529" s="47">
        <f>IF(ISNUMBER(expected_production[[#This Row],[Commissioned Date]]),MAX(0,(expected_production[[#This Row],[Date]]-expected_production[[#This Row],[Commissioned Date]])/365.25),"")</f>
        <v>2.6557152635181382</v>
      </c>
      <c r="F2529" s="49">
        <f>IF(expected_production[[#This Row],[Age (yrs)]]="",1,(1-DegradationRate)^expected_production[[#This Row],[Age (yrs)]])</f>
        <v>0.98151755738331348</v>
      </c>
      <c r="G2529" s="52">
        <f>IF(expected_production[[#This Row],[Base Expected (kWh)]]="","",expected_production[[#This Row],[Base Expected (kWh)]]*expected_production[[#This Row],[Degradation Factor]])</f>
        <v>11802.032119717454</v>
      </c>
    </row>
    <row r="2530" spans="1:7" ht="15" hidden="1" customHeight="1" x14ac:dyDescent="0.3">
      <c r="A2530" t="s">
        <v>201</v>
      </c>
      <c r="B2530" s="2">
        <v>45505</v>
      </c>
      <c r="C2530" s="52">
        <v>13262.635</v>
      </c>
      <c r="D2530" s="48">
        <f>_xlfn.XLOOKUP(expected_production[[#This Row],[Site Name]],Table1[[Site Name ]],Table1[Commisioned Date],"")</f>
        <v>44504</v>
      </c>
      <c r="E2530" s="47">
        <f>IF(ISNUMBER(expected_production[[#This Row],[Commissioned Date]]),MAX(0,(expected_production[[#This Row],[Date]]-expected_production[[#This Row],[Commissioned Date]])/365.25),"")</f>
        <v>2.7405886379192332</v>
      </c>
      <c r="F2530" s="49">
        <f>IF(expected_production[[#This Row],[Age (yrs)]]="",1,(1-DegradationRate)^expected_production[[#This Row],[Age (yrs)]])</f>
        <v>0.98093254830264243</v>
      </c>
      <c r="G2530" s="52">
        <f>IF(expected_production[[#This Row],[Base Expected (kWh)]]="","",expected_production[[#This Row],[Base Expected (kWh)]]*expected_production[[#This Row],[Degradation Factor]])</f>
        <v>13009.750347757816</v>
      </c>
    </row>
    <row r="2531" spans="1:7" ht="15" hidden="1" customHeight="1" x14ac:dyDescent="0.3">
      <c r="A2531" t="s">
        <v>201</v>
      </c>
      <c r="B2531" s="2">
        <v>45536</v>
      </c>
      <c r="C2531" s="52">
        <v>13540.33</v>
      </c>
      <c r="D2531" s="48">
        <f>_xlfn.XLOOKUP(expected_production[[#This Row],[Site Name]],Table1[[Site Name ]],Table1[Commisioned Date],"")</f>
        <v>44504</v>
      </c>
      <c r="E2531" s="47">
        <f>IF(ISNUMBER(expected_production[[#This Row],[Commissioned Date]]),MAX(0,(expected_production[[#This Row],[Date]]-expected_production[[#This Row],[Commissioned Date]])/365.25),"")</f>
        <v>2.8254620123203287</v>
      </c>
      <c r="F2531" s="49">
        <f>IF(expected_production[[#This Row],[Age (yrs)]]="",1,(1-DegradationRate)^expected_production[[#This Row],[Age (yrs)]])</f>
        <v>0.9803478879020554</v>
      </c>
      <c r="G2531" s="52">
        <f>IF(expected_production[[#This Row],[Base Expected (kWh)]]="","",expected_production[[#This Row],[Base Expected (kWh)]]*expected_production[[#This Row],[Degradation Factor]])</f>
        <v>13274.233916996838</v>
      </c>
    </row>
    <row r="2532" spans="1:7" ht="15" hidden="1" customHeight="1" x14ac:dyDescent="0.3">
      <c r="A2532" t="s">
        <v>201</v>
      </c>
      <c r="B2532" s="2">
        <v>45566</v>
      </c>
      <c r="C2532" s="52">
        <v>13925.295</v>
      </c>
      <c r="D2532" s="48">
        <f>_xlfn.XLOOKUP(expected_production[[#This Row],[Site Name]],Table1[[Site Name ]],Table1[Commisioned Date],"")</f>
        <v>44504</v>
      </c>
      <c r="E2532" s="47">
        <f>IF(ISNUMBER(expected_production[[#This Row],[Commissioned Date]]),MAX(0,(expected_production[[#This Row],[Date]]-expected_production[[#This Row],[Commissioned Date]])/365.25),"")</f>
        <v>2.9075975359342916</v>
      </c>
      <c r="F2532" s="49">
        <f>IF(expected_production[[#This Row],[Age (yrs)]]="",1,(1-DegradationRate)^expected_production[[#This Row],[Age (yrs)]])</f>
        <v>0.9797824193085255</v>
      </c>
      <c r="G2532" s="52">
        <f>IF(expected_production[[#This Row],[Base Expected (kWh)]]="","",expected_production[[#This Row],[Base Expected (kWh)]]*expected_production[[#This Row],[Degradation Factor]])</f>
        <v>13643.759224684914</v>
      </c>
    </row>
    <row r="2533" spans="1:7" ht="15" hidden="1" customHeight="1" x14ac:dyDescent="0.3">
      <c r="A2533" t="s">
        <v>201</v>
      </c>
      <c r="B2533" s="2">
        <v>45597</v>
      </c>
      <c r="C2533" s="52">
        <v>13508.37</v>
      </c>
      <c r="D2533" s="48">
        <f>_xlfn.XLOOKUP(expected_production[[#This Row],[Site Name]],Table1[[Site Name ]],Table1[Commisioned Date],"")</f>
        <v>44504</v>
      </c>
      <c r="E2533" s="47">
        <f>IF(ISNUMBER(expected_production[[#This Row],[Commissioned Date]]),MAX(0,(expected_production[[#This Row],[Date]]-expected_production[[#This Row],[Commissioned Date]])/365.25),"")</f>
        <v>2.9924709103353866</v>
      </c>
      <c r="F2533" s="49">
        <f>IF(expected_production[[#This Row],[Age (yrs)]]="",1,(1-DegradationRate)^expected_production[[#This Row],[Age (yrs)]])</f>
        <v>0.97919844441366433</v>
      </c>
      <c r="G2533" s="52">
        <f>IF(expected_production[[#This Row],[Base Expected (kWh)]]="","",expected_production[[#This Row],[Base Expected (kWh)]]*expected_production[[#This Row],[Degradation Factor]])</f>
        <v>13227.374890564211</v>
      </c>
    </row>
    <row r="2534" spans="1:7" ht="15" hidden="1" customHeight="1" x14ac:dyDescent="0.3">
      <c r="A2534" t="s">
        <v>201</v>
      </c>
      <c r="B2534" s="2">
        <v>45627</v>
      </c>
      <c r="C2534" s="52">
        <v>14234.525</v>
      </c>
      <c r="D2534" s="48">
        <f>_xlfn.XLOOKUP(expected_production[[#This Row],[Site Name]],Table1[[Site Name ]],Table1[Commisioned Date],"")</f>
        <v>44504</v>
      </c>
      <c r="E2534" s="47">
        <f>IF(ISNUMBER(expected_production[[#This Row],[Commissioned Date]]),MAX(0,(expected_production[[#This Row],[Date]]-expected_production[[#This Row],[Commissioned Date]])/365.25),"")</f>
        <v>3.07460643394935</v>
      </c>
      <c r="F2534" s="49">
        <f>IF(expected_production[[#This Row],[Age (yrs)]]="",1,(1-DegradationRate)^expected_production[[#This Row],[Age (yrs)]])</f>
        <v>0.97863363882374843</v>
      </c>
      <c r="G2534" s="52">
        <f>IF(expected_production[[#This Row],[Base Expected (kWh)]]="","",expected_production[[#This Row],[Base Expected (kWh)]]*expected_production[[#This Row],[Degradation Factor]])</f>
        <v>13930.384997677616</v>
      </c>
    </row>
    <row r="2535" spans="1:7" ht="15" hidden="1" customHeight="1" x14ac:dyDescent="0.3">
      <c r="A2535" t="s">
        <v>201</v>
      </c>
      <c r="B2535" s="2">
        <v>45658</v>
      </c>
      <c r="C2535" s="52">
        <v>13441.985000000001</v>
      </c>
      <c r="D2535" s="48">
        <f>_xlfn.XLOOKUP(expected_production[[#This Row],[Site Name]],Table1[[Site Name ]],Table1[Commisioned Date],"")</f>
        <v>44504</v>
      </c>
      <c r="E2535" s="47">
        <f>IF(ISNUMBER(expected_production[[#This Row],[Commissioned Date]]),MAX(0,(expected_production[[#This Row],[Date]]-expected_production[[#This Row],[Commissioned Date]])/365.25),"")</f>
        <v>3.159479808350445</v>
      </c>
      <c r="F2535" s="49">
        <f>IF(expected_production[[#This Row],[Age (yrs)]]="",1,(1-DegradationRate)^expected_production[[#This Row],[Age (yrs)]])</f>
        <v>0.97805034863086748</v>
      </c>
      <c r="G2535" s="52">
        <f>IF(expected_production[[#This Row],[Base Expected (kWh)]]="","",expected_production[[#This Row],[Base Expected (kWh)]]*expected_production[[#This Row],[Degradation Factor]])</f>
        <v>13146.938115540892</v>
      </c>
    </row>
    <row r="2536" spans="1:7" ht="15" hidden="1" customHeight="1" x14ac:dyDescent="0.3">
      <c r="A2536" t="s">
        <v>201</v>
      </c>
      <c r="B2536" s="2">
        <v>45689</v>
      </c>
      <c r="C2536" s="52">
        <v>12055.125</v>
      </c>
      <c r="D2536" s="48">
        <f>_xlfn.XLOOKUP(expected_production[[#This Row],[Site Name]],Table1[[Site Name ]],Table1[Commisioned Date],"")</f>
        <v>44504</v>
      </c>
      <c r="E2536" s="47">
        <f>IF(ISNUMBER(expected_production[[#This Row],[Commissioned Date]]),MAX(0,(expected_production[[#This Row],[Date]]-expected_production[[#This Row],[Commissioned Date]])/365.25),"")</f>
        <v>3.2443531827515399</v>
      </c>
      <c r="F2536" s="49">
        <f>IF(expected_production[[#This Row],[Age (yrs)]]="",1,(1-DegradationRate)^expected_production[[#This Row],[Age (yrs)]])</f>
        <v>0.97746740609357052</v>
      </c>
      <c r="G2536" s="52">
        <f>IF(expected_production[[#This Row],[Base Expected (kWh)]]="","",expected_production[[#This Row],[Base Expected (kWh)]]*expected_production[[#This Row],[Degradation Factor]])</f>
        <v>11783.491763883754</v>
      </c>
    </row>
    <row r="2537" spans="1:7" ht="15" hidden="1" customHeight="1" x14ac:dyDescent="0.3">
      <c r="A2537" t="s">
        <v>201</v>
      </c>
      <c r="B2537" s="2">
        <v>45717</v>
      </c>
      <c r="C2537" s="52">
        <v>12858.46</v>
      </c>
      <c r="D2537" s="48">
        <f>_xlfn.XLOOKUP(expected_production[[#This Row],[Site Name]],Table1[[Site Name ]],Table1[Commisioned Date],"")</f>
        <v>44504</v>
      </c>
      <c r="E2537" s="47">
        <f>IF(ISNUMBER(expected_production[[#This Row],[Commissioned Date]]),MAX(0,(expected_production[[#This Row],[Date]]-expected_production[[#This Row],[Commissioned Date]])/365.25),"")</f>
        <v>3.3210130047912387</v>
      </c>
      <c r="F2537" s="49">
        <f>IF(expected_production[[#This Row],[Age (yrs)]]="",1,(1-DegradationRate)^expected_production[[#This Row],[Age (yrs)]])</f>
        <v>0.97694117599523622</v>
      </c>
      <c r="G2537" s="52">
        <f>IF(expected_production[[#This Row],[Base Expected (kWh)]]="","",expected_production[[#This Row],[Base Expected (kWh)]]*expected_production[[#This Row],[Degradation Factor]])</f>
        <v>12561.959033887704</v>
      </c>
    </row>
    <row r="2538" spans="1:7" ht="15" hidden="1" customHeight="1" x14ac:dyDescent="0.3">
      <c r="A2538" t="s">
        <v>201</v>
      </c>
      <c r="B2538" s="2">
        <v>45748</v>
      </c>
      <c r="C2538" s="52">
        <v>11531.27</v>
      </c>
      <c r="D2538" s="48">
        <f>_xlfn.XLOOKUP(expected_production[[#This Row],[Site Name]],Table1[[Site Name ]],Table1[Commisioned Date],"")</f>
        <v>44504</v>
      </c>
      <c r="E2538" s="47">
        <f>IF(ISNUMBER(expected_production[[#This Row],[Commissioned Date]]),MAX(0,(expected_production[[#This Row],[Date]]-expected_production[[#This Row],[Commissioned Date]])/365.25),"")</f>
        <v>3.4058863791923342</v>
      </c>
      <c r="F2538" s="49">
        <f>IF(expected_production[[#This Row],[Age (yrs)]]="",1,(1-DegradationRate)^expected_production[[#This Row],[Age (yrs)]])</f>
        <v>0.97635889455264813</v>
      </c>
      <c r="G2538" s="52">
        <f>IF(expected_production[[#This Row],[Base Expected (kWh)]]="","",expected_production[[#This Row],[Base Expected (kWh)]]*expected_production[[#This Row],[Degradation Factor]])</f>
        <v>11258.658029988115</v>
      </c>
    </row>
    <row r="2539" spans="1:7" ht="15" hidden="1" customHeight="1" x14ac:dyDescent="0.3">
      <c r="A2539" t="s">
        <v>201</v>
      </c>
      <c r="B2539" s="2">
        <v>45778</v>
      </c>
      <c r="C2539" s="52">
        <v>11785.93</v>
      </c>
      <c r="D2539" s="48">
        <f>_xlfn.XLOOKUP(expected_production[[#This Row],[Site Name]],Table1[[Site Name ]],Table1[Commisioned Date],"")</f>
        <v>44504</v>
      </c>
      <c r="E2539" s="47">
        <f>IF(ISNUMBER(expected_production[[#This Row],[Commissioned Date]]),MAX(0,(expected_production[[#This Row],[Date]]-expected_production[[#This Row],[Commissioned Date]])/365.25),"")</f>
        <v>3.4880219028062971</v>
      </c>
      <c r="F2539" s="49">
        <f>IF(expected_production[[#This Row],[Age (yrs)]]="",1,(1-DegradationRate)^expected_production[[#This Row],[Age (yrs)]])</f>
        <v>0.9757957268264803</v>
      </c>
      <c r="G2539" s="52">
        <f>IF(expected_production[[#This Row],[Base Expected (kWh)]]="","",expected_production[[#This Row],[Base Expected (kWh)]]*expected_production[[#This Row],[Degradation Factor]])</f>
        <v>11500.660130676019</v>
      </c>
    </row>
    <row r="2540" spans="1:7" ht="15" hidden="1" customHeight="1" x14ac:dyDescent="0.3">
      <c r="A2540" t="s">
        <v>201</v>
      </c>
      <c r="B2540" s="2">
        <v>45809</v>
      </c>
      <c r="C2540" s="52">
        <v>11018.635</v>
      </c>
      <c r="D2540" s="48">
        <f>_xlfn.XLOOKUP(expected_production[[#This Row],[Site Name]],Table1[[Site Name ]],Table1[Commisioned Date],"")</f>
        <v>44504</v>
      </c>
      <c r="E2540" s="47">
        <f>IF(ISNUMBER(expected_production[[#This Row],[Commissioned Date]]),MAX(0,(expected_production[[#This Row],[Date]]-expected_production[[#This Row],[Commissioned Date]])/365.25),"")</f>
        <v>3.5728952772073921</v>
      </c>
      <c r="F2540" s="49">
        <f>IF(expected_production[[#This Row],[Age (yrs)]]="",1,(1-DegradationRate)^expected_production[[#This Row],[Age (yrs)]])</f>
        <v>0.97521412810032471</v>
      </c>
      <c r="G2540" s="52">
        <f>IF(expected_production[[#This Row],[Base Expected (kWh)]]="","",expected_production[[#This Row],[Base Expected (kWh)]]*expected_production[[#This Row],[Degradation Factor]])</f>
        <v>10745.528524380721</v>
      </c>
    </row>
    <row r="2541" spans="1:7" ht="15" hidden="1" customHeight="1" x14ac:dyDescent="0.3">
      <c r="A2541" t="s">
        <v>201</v>
      </c>
      <c r="B2541" s="2">
        <v>45839</v>
      </c>
      <c r="C2541" s="52">
        <v>12024.27</v>
      </c>
      <c r="D2541" s="48">
        <f>_xlfn.XLOOKUP(expected_production[[#This Row],[Site Name]],Table1[[Site Name ]],Table1[Commisioned Date],"")</f>
        <v>44504</v>
      </c>
      <c r="E2541" s="47">
        <f>IF(ISNUMBER(expected_production[[#This Row],[Commissioned Date]]),MAX(0,(expected_production[[#This Row],[Date]]-expected_production[[#This Row],[Commissioned Date]])/365.25),"")</f>
        <v>3.6550308008213555</v>
      </c>
      <c r="F2541" s="49">
        <f>IF(expected_production[[#This Row],[Age (yrs)]]="",1,(1-DegradationRate)^expected_production[[#This Row],[Age (yrs)]])</f>
        <v>0.97465162068003786</v>
      </c>
      <c r="G2541" s="52">
        <f>IF(expected_production[[#This Row],[Base Expected (kWh)]]="","",expected_production[[#This Row],[Base Expected (kWh)]]*expected_production[[#This Row],[Degradation Factor]])</f>
        <v>11719.47424299436</v>
      </c>
    </row>
    <row r="2542" spans="1:7" ht="15" hidden="1" customHeight="1" x14ac:dyDescent="0.3">
      <c r="A2542" t="s">
        <v>201</v>
      </c>
      <c r="B2542" s="2">
        <v>45870</v>
      </c>
      <c r="C2542" s="52">
        <v>13262.635</v>
      </c>
      <c r="D2542" s="48">
        <f>_xlfn.XLOOKUP(expected_production[[#This Row],[Site Name]],Table1[[Site Name ]],Table1[Commisioned Date],"")</f>
        <v>44504</v>
      </c>
      <c r="E2542" s="47">
        <f>IF(ISNUMBER(expected_production[[#This Row],[Commissioned Date]]),MAX(0,(expected_production[[#This Row],[Date]]-expected_production[[#This Row],[Commissioned Date]])/365.25),"")</f>
        <v>3.7399041752224504</v>
      </c>
      <c r="F2542" s="49">
        <f>IF(expected_production[[#This Row],[Age (yrs)]]="",1,(1-DegradationRate)^expected_production[[#This Row],[Age (yrs)]])</f>
        <v>0.97407070386983974</v>
      </c>
      <c r="G2542" s="52">
        <f>IF(expected_production[[#This Row],[Base Expected (kWh)]]="","",expected_production[[#This Row],[Base Expected (kWh)]]*expected_production[[#This Row],[Degradation Factor]])</f>
        <v>12918.744209618771</v>
      </c>
    </row>
    <row r="2543" spans="1:7" ht="15" hidden="1" customHeight="1" x14ac:dyDescent="0.3">
      <c r="A2543" t="s">
        <v>201</v>
      </c>
      <c r="B2543" s="2">
        <v>45901</v>
      </c>
      <c r="C2543" s="52">
        <v>13540.33</v>
      </c>
      <c r="D2543" s="48">
        <f>_xlfn.XLOOKUP(expected_production[[#This Row],[Site Name]],Table1[[Site Name ]],Table1[Commisioned Date],"")</f>
        <v>44504</v>
      </c>
      <c r="E2543" s="47">
        <f>IF(ISNUMBER(expected_production[[#This Row],[Commissioned Date]]),MAX(0,(expected_production[[#This Row],[Date]]-expected_production[[#This Row],[Commissioned Date]])/365.25),"")</f>
        <v>3.8247775496235454</v>
      </c>
      <c r="F2543" s="49">
        <f>IF(expected_production[[#This Row],[Age (yrs)]]="",1,(1-DegradationRate)^expected_production[[#This Row],[Age (yrs)]])</f>
        <v>0.97349013330062995</v>
      </c>
      <c r="G2543" s="52">
        <f>IF(expected_production[[#This Row],[Base Expected (kWh)]]="","",expected_production[[#This Row],[Base Expected (kWh)]]*expected_production[[#This Row],[Degradation Factor]])</f>
        <v>13181.377656634519</v>
      </c>
    </row>
    <row r="2544" spans="1:7" ht="15" hidden="1" customHeight="1" x14ac:dyDescent="0.3">
      <c r="A2544" t="s">
        <v>201</v>
      </c>
      <c r="B2544" s="2">
        <v>45931</v>
      </c>
      <c r="C2544" s="52">
        <v>13925.295</v>
      </c>
      <c r="D2544" s="48">
        <f>_xlfn.XLOOKUP(expected_production[[#This Row],[Site Name]],Table1[[Site Name ]],Table1[Commisioned Date],"")</f>
        <v>44504</v>
      </c>
      <c r="E2544" s="47">
        <f>IF(ISNUMBER(expected_production[[#This Row],[Commissioned Date]]),MAX(0,(expected_production[[#This Row],[Date]]-expected_production[[#This Row],[Commissioned Date]])/365.25),"")</f>
        <v>3.9069130732375084</v>
      </c>
      <c r="F2544" s="49">
        <f>IF(expected_production[[#This Row],[Age (yrs)]]="",1,(1-DegradationRate)^expected_production[[#This Row],[Age (yrs)]])</f>
        <v>0.97292862028745775</v>
      </c>
      <c r="G2544" s="52">
        <f>IF(expected_production[[#This Row],[Base Expected (kWh)]]="","",expected_production[[#This Row],[Base Expected (kWh)]]*expected_production[[#This Row],[Degradation Factor]])</f>
        <v>13548.318051445834</v>
      </c>
    </row>
    <row r="2545" spans="1:7" ht="15" hidden="1" customHeight="1" x14ac:dyDescent="0.3">
      <c r="A2545" t="s">
        <v>201</v>
      </c>
      <c r="B2545" s="2">
        <v>45962</v>
      </c>
      <c r="C2545" s="52">
        <v>13508.37</v>
      </c>
      <c r="D2545" s="48">
        <f>_xlfn.XLOOKUP(expected_production[[#This Row],[Site Name]],Table1[[Site Name ]],Table1[Commisioned Date],"")</f>
        <v>44504</v>
      </c>
      <c r="E2545" s="47">
        <f>IF(ISNUMBER(expected_production[[#This Row],[Commissioned Date]]),MAX(0,(expected_production[[#This Row],[Date]]-expected_production[[#This Row],[Commissioned Date]])/365.25),"")</f>
        <v>3.9917864476386038</v>
      </c>
      <c r="F2545" s="49">
        <f>IF(expected_production[[#This Row],[Age (yrs)]]="",1,(1-DegradationRate)^expected_production[[#This Row],[Age (yrs)]])</f>
        <v>0.97234873042870651</v>
      </c>
      <c r="G2545" s="52">
        <f>IF(expected_production[[#This Row],[Base Expected (kWh)]]="","",expected_production[[#This Row],[Base Expected (kWh)]]*expected_production[[#This Row],[Degradation Factor]])</f>
        <v>13134.846419661228</v>
      </c>
    </row>
    <row r="2546" spans="1:7" ht="15" hidden="1" customHeight="1" x14ac:dyDescent="0.3">
      <c r="A2546" t="s">
        <v>201</v>
      </c>
      <c r="B2546" s="2">
        <v>45992</v>
      </c>
      <c r="C2546" s="52">
        <v>14234.525</v>
      </c>
      <c r="D2546" s="48">
        <f>_xlfn.XLOOKUP(expected_production[[#This Row],[Site Name]],Table1[[Site Name ]],Table1[Commisioned Date],"")</f>
        <v>44504</v>
      </c>
      <c r="E2546" s="47">
        <f>IF(ISNUMBER(expected_production[[#This Row],[Commissioned Date]]),MAX(0,(expected_production[[#This Row],[Date]]-expected_production[[#This Row],[Commissioned Date]])/365.25),"")</f>
        <v>4.0739219712525667</v>
      </c>
      <c r="F2546" s="49">
        <f>IF(expected_production[[#This Row],[Age (yrs)]]="",1,(1-DegradationRate)^expected_production[[#This Row],[Age (yrs)]])</f>
        <v>0.97178787578128856</v>
      </c>
      <c r="G2546" s="52">
        <f>IF(expected_production[[#This Row],[Base Expected (kWh)]]="","",expected_production[[#This Row],[Base Expected (kWh)]]*expected_production[[#This Row],[Degradation Factor]])</f>
        <v>13832.938812505647</v>
      </c>
    </row>
    <row r="2547" spans="1:7" ht="15" hidden="1" customHeight="1" x14ac:dyDescent="0.3">
      <c r="A2547" t="s">
        <v>201</v>
      </c>
      <c r="B2547" s="2">
        <v>46023</v>
      </c>
      <c r="C2547" s="52">
        <v>13441.985000000001</v>
      </c>
      <c r="D2547" s="48">
        <f>_xlfn.XLOOKUP(expected_production[[#This Row],[Site Name]],Table1[[Site Name ]],Table1[Commisioned Date],"")</f>
        <v>44504</v>
      </c>
      <c r="E2547" s="47">
        <f>IF(ISNUMBER(expected_production[[#This Row],[Commissioned Date]]),MAX(0,(expected_production[[#This Row],[Date]]-expected_production[[#This Row],[Commissioned Date]])/365.25),"")</f>
        <v>4.1587953456536617</v>
      </c>
      <c r="F2547" s="49">
        <f>IF(expected_production[[#This Row],[Age (yrs)]]="",1,(1-DegradationRate)^expected_production[[#This Row],[Age (yrs)]])</f>
        <v>0.97120866583487286</v>
      </c>
      <c r="G2547" s="52">
        <f>IF(expected_production[[#This Row],[Base Expected (kWh)]]="","",expected_production[[#This Row],[Base Expected (kWh)]]*expected_production[[#This Row],[Degradation Factor]])</f>
        <v>13054.972318022374</v>
      </c>
    </row>
    <row r="2548" spans="1:7" ht="15" hidden="1" customHeight="1" x14ac:dyDescent="0.3">
      <c r="A2548" t="s">
        <v>201</v>
      </c>
      <c r="B2548" s="2">
        <v>46054</v>
      </c>
      <c r="C2548" s="52">
        <v>12055.125</v>
      </c>
      <c r="D2548" s="48">
        <f>_xlfn.XLOOKUP(expected_production[[#This Row],[Site Name]],Table1[[Site Name ]],Table1[Commisioned Date],"")</f>
        <v>44504</v>
      </c>
      <c r="E2548" s="47">
        <f>IF(ISNUMBER(expected_production[[#This Row],[Commissioned Date]]),MAX(0,(expected_production[[#This Row],[Date]]-expected_production[[#This Row],[Commissioned Date]])/365.25),"")</f>
        <v>4.2436687200547567</v>
      </c>
      <c r="F2548" s="49">
        <f>IF(expected_production[[#This Row],[Age (yrs)]]="",1,(1-DegradationRate)^expected_production[[#This Row],[Age (yrs)]])</f>
        <v>0.97062980111211183</v>
      </c>
      <c r="G2548" s="52">
        <f>IF(expected_production[[#This Row],[Base Expected (kWh)]]="","",expected_production[[#This Row],[Base Expected (kWh)]]*expected_production[[#This Row],[Degradation Factor]])</f>
        <v>11701.063581131648</v>
      </c>
    </row>
    <row r="2549" spans="1:7" ht="15" hidden="1" customHeight="1" x14ac:dyDescent="0.3">
      <c r="A2549" t="s">
        <v>201</v>
      </c>
      <c r="B2549" s="2">
        <v>46082</v>
      </c>
      <c r="C2549" s="52">
        <v>12858.46</v>
      </c>
      <c r="D2549" s="48">
        <f>_xlfn.XLOOKUP(expected_production[[#This Row],[Site Name]],Table1[[Site Name ]],Table1[Commisioned Date],"")</f>
        <v>44504</v>
      </c>
      <c r="E2549" s="47">
        <f>IF(ISNUMBER(expected_production[[#This Row],[Commissioned Date]]),MAX(0,(expected_production[[#This Row],[Date]]-expected_production[[#This Row],[Commissioned Date]])/365.25),"")</f>
        <v>4.3203285420944555</v>
      </c>
      <c r="F2549" s="49">
        <f>IF(expected_production[[#This Row],[Age (yrs)]]="",1,(1-DegradationRate)^expected_production[[#This Row],[Age (yrs)]])</f>
        <v>0.97010725211201077</v>
      </c>
      <c r="G2549" s="52">
        <f>IF(expected_production[[#This Row],[Base Expected (kWh)]]="","",expected_production[[#This Row],[Base Expected (kWh)]]*expected_production[[#This Row],[Degradation Factor]])</f>
        <v>12474.085296992205</v>
      </c>
    </row>
    <row r="2550" spans="1:7" ht="15" hidden="1" customHeight="1" x14ac:dyDescent="0.3">
      <c r="A2550" t="s">
        <v>201</v>
      </c>
      <c r="B2550" s="2">
        <v>46113</v>
      </c>
      <c r="C2550" s="52">
        <v>11531.27</v>
      </c>
      <c r="D2550" s="48">
        <f>_xlfn.XLOOKUP(expected_production[[#This Row],[Site Name]],Table1[[Site Name ]],Table1[Commisioned Date],"")</f>
        <v>44504</v>
      </c>
      <c r="E2550" s="47">
        <f>IF(ISNUMBER(expected_production[[#This Row],[Commissioned Date]]),MAX(0,(expected_production[[#This Row],[Date]]-expected_production[[#This Row],[Commissioned Date]])/365.25),"")</f>
        <v>4.4052019164955514</v>
      </c>
      <c r="F2550" s="49">
        <f>IF(expected_production[[#This Row],[Age (yrs)]]="",1,(1-DegradationRate)^expected_production[[#This Row],[Age (yrs)]])</f>
        <v>0.96952904385945204</v>
      </c>
      <c r="G2550" s="52">
        <f>IF(expected_production[[#This Row],[Base Expected (kWh)]]="","",expected_production[[#This Row],[Base Expected (kWh)]]*expected_production[[#This Row],[Degradation Factor]])</f>
        <v>11179.901177585183</v>
      </c>
    </row>
    <row r="2551" spans="1:7" ht="15" hidden="1" customHeight="1" x14ac:dyDescent="0.3">
      <c r="A2551" t="s">
        <v>201</v>
      </c>
      <c r="B2551" s="2">
        <v>46143</v>
      </c>
      <c r="C2551" s="52">
        <v>11785.93</v>
      </c>
      <c r="D2551" s="48">
        <f>_xlfn.XLOOKUP(expected_production[[#This Row],[Site Name]],Table1[[Site Name ]],Table1[Commisioned Date],"")</f>
        <v>44504</v>
      </c>
      <c r="E2551" s="47">
        <f>IF(ISNUMBER(expected_production[[#This Row],[Commissioned Date]]),MAX(0,(expected_production[[#This Row],[Date]]-expected_production[[#This Row],[Commissioned Date]])/365.25),"")</f>
        <v>4.4873374401095143</v>
      </c>
      <c r="F2551" s="49">
        <f>IF(expected_production[[#This Row],[Age (yrs)]]="",1,(1-DegradationRate)^expected_production[[#This Row],[Age (yrs)]])</f>
        <v>0.96896981561855589</v>
      </c>
      <c r="G2551" s="52">
        <f>IF(expected_production[[#This Row],[Base Expected (kWh)]]="","",expected_production[[#This Row],[Base Expected (kWh)]]*expected_production[[#This Row],[Degradation Factor]])</f>
        <v>11420.210418993207</v>
      </c>
    </row>
    <row r="2552" spans="1:7" ht="15" hidden="1" customHeight="1" x14ac:dyDescent="0.3">
      <c r="A2552" t="s">
        <v>201</v>
      </c>
      <c r="B2552" s="2">
        <v>46174</v>
      </c>
      <c r="C2552" s="52">
        <v>11018.635</v>
      </c>
      <c r="D2552" s="48">
        <f>_xlfn.XLOOKUP(expected_production[[#This Row],[Site Name]],Table1[[Site Name ]],Table1[Commisioned Date],"")</f>
        <v>44504</v>
      </c>
      <c r="E2552" s="47">
        <f>IF(ISNUMBER(expected_production[[#This Row],[Commissioned Date]]),MAX(0,(expected_production[[#This Row],[Date]]-expected_production[[#This Row],[Commissioned Date]])/365.25),"")</f>
        <v>4.5722108145106093</v>
      </c>
      <c r="F2552" s="49">
        <f>IF(expected_production[[#This Row],[Age (yrs)]]="",1,(1-DegradationRate)^expected_production[[#This Row],[Age (yrs)]])</f>
        <v>0.96839228530667421</v>
      </c>
      <c r="G2552" s="52">
        <f>IF(expected_production[[#This Row],[Base Expected (kWh)]]="","",expected_production[[#This Row],[Base Expected (kWh)]]*expected_production[[#This Row],[Degradation Factor]])</f>
        <v>10670.361128610106</v>
      </c>
    </row>
    <row r="2553" spans="1:7" ht="15" hidden="1" customHeight="1" x14ac:dyDescent="0.3">
      <c r="A2553" t="s">
        <v>201</v>
      </c>
      <c r="B2553" s="2">
        <v>46204</v>
      </c>
      <c r="C2553" s="52">
        <v>12024.27</v>
      </c>
      <c r="D2553" s="48">
        <f>_xlfn.XLOOKUP(expected_production[[#This Row],[Site Name]],Table1[[Site Name ]],Table1[Commisioned Date],"")</f>
        <v>44504</v>
      </c>
      <c r="E2553" s="47">
        <f>IF(ISNUMBER(expected_production[[#This Row],[Commissioned Date]]),MAX(0,(expected_production[[#This Row],[Date]]-expected_production[[#This Row],[Commissioned Date]])/365.25),"")</f>
        <v>4.6543463381245722</v>
      </c>
      <c r="F2553" s="49">
        <f>IF(expected_production[[#This Row],[Age (yrs)]]="",1,(1-DegradationRate)^expected_production[[#This Row],[Age (yrs)]])</f>
        <v>0.96783371275267038</v>
      </c>
      <c r="G2553" s="52">
        <f>IF(expected_production[[#This Row],[Base Expected (kWh)]]="","",expected_production[[#This Row],[Base Expected (kWh)]]*expected_production[[#This Row],[Degradation Factor]])</f>
        <v>11637.493877240553</v>
      </c>
    </row>
    <row r="2554" spans="1:7" ht="15" hidden="1" customHeight="1" x14ac:dyDescent="0.3">
      <c r="A2554" t="s">
        <v>201</v>
      </c>
      <c r="B2554" s="2">
        <v>46235</v>
      </c>
      <c r="C2554" s="52">
        <v>13262.635</v>
      </c>
      <c r="D2554" s="48">
        <f>_xlfn.XLOOKUP(expected_production[[#This Row],[Site Name]],Table1[[Site Name ]],Table1[Commisioned Date],"")</f>
        <v>44504</v>
      </c>
      <c r="E2554" s="47">
        <f>IF(ISNUMBER(expected_production[[#This Row],[Commissioned Date]]),MAX(0,(expected_production[[#This Row],[Date]]-expected_production[[#This Row],[Commissioned Date]])/365.25),"")</f>
        <v>4.7392197125256672</v>
      </c>
      <c r="F2554" s="49">
        <f>IF(expected_production[[#This Row],[Age (yrs)]]="",1,(1-DegradationRate)^expected_production[[#This Row],[Age (yrs)]])</f>
        <v>0.96725685958659013</v>
      </c>
      <c r="G2554" s="52">
        <f>IF(expected_production[[#This Row],[Base Expected (kWh)]]="","",expected_production[[#This Row],[Base Expected (kWh)]]*expected_production[[#This Row],[Degradation Factor]])</f>
        <v>12828.374679943196</v>
      </c>
    </row>
    <row r="2555" spans="1:7" ht="15" hidden="1" customHeight="1" x14ac:dyDescent="0.3">
      <c r="A2555" t="s">
        <v>201</v>
      </c>
      <c r="B2555" s="2">
        <v>46266</v>
      </c>
      <c r="C2555" s="52">
        <v>13540.33</v>
      </c>
      <c r="D2555" s="48">
        <f>_xlfn.XLOOKUP(expected_production[[#This Row],[Site Name]],Table1[[Site Name ]],Table1[Commisioned Date],"")</f>
        <v>44504</v>
      </c>
      <c r="E2555" s="47">
        <f>IF(ISNUMBER(expected_production[[#This Row],[Commissioned Date]]),MAX(0,(expected_production[[#This Row],[Date]]-expected_production[[#This Row],[Commissioned Date]])/365.25),"")</f>
        <v>4.8240930869267622</v>
      </c>
      <c r="F2555" s="49">
        <f>IF(expected_production[[#This Row],[Age (yrs)]]="",1,(1-DegradationRate)^expected_production[[#This Row],[Age (yrs)]])</f>
        <v>0.96668035023946441</v>
      </c>
      <c r="G2555" s="52">
        <f>IF(expected_production[[#This Row],[Base Expected (kWh)]]="","",expected_production[[#This Row],[Base Expected (kWh)]]*expected_production[[#This Row],[Degradation Factor]])</f>
        <v>13089.170946757928</v>
      </c>
    </row>
    <row r="2556" spans="1:7" ht="15" hidden="1" customHeight="1" x14ac:dyDescent="0.3">
      <c r="A2556" t="s">
        <v>201</v>
      </c>
      <c r="B2556" s="2">
        <v>46296</v>
      </c>
      <c r="C2556" s="52">
        <v>13925.295</v>
      </c>
      <c r="D2556" s="48">
        <f>_xlfn.XLOOKUP(expected_production[[#This Row],[Site Name]],Table1[[Site Name ]],Table1[Commisioned Date],"")</f>
        <v>44504</v>
      </c>
      <c r="E2556" s="47">
        <f>IF(ISNUMBER(expected_production[[#This Row],[Commissioned Date]]),MAX(0,(expected_production[[#This Row],[Date]]-expected_production[[#This Row],[Commissioned Date]])/365.25),"")</f>
        <v>4.9062286105407251</v>
      </c>
      <c r="F2556" s="49">
        <f>IF(expected_production[[#This Row],[Age (yrs)]]="",1,(1-DegradationRate)^expected_production[[#This Row],[Age (yrs)]])</f>
        <v>0.96612276513647333</v>
      </c>
      <c r="G2556" s="52">
        <f>IF(expected_production[[#This Row],[Base Expected (kWh)]]="","",expected_production[[#This Row],[Base Expected (kWh)]]*expected_production[[#This Row],[Degradation Factor]])</f>
        <v>13453.544510741107</v>
      </c>
    </row>
    <row r="2557" spans="1:7" ht="15" hidden="1" customHeight="1" x14ac:dyDescent="0.3">
      <c r="A2557" t="s">
        <v>201</v>
      </c>
      <c r="B2557" s="2">
        <v>46327</v>
      </c>
      <c r="C2557" s="52">
        <v>13508.37</v>
      </c>
      <c r="D2557" s="48">
        <f>_xlfn.XLOOKUP(expected_production[[#This Row],[Site Name]],Table1[[Site Name ]],Table1[Commisioned Date],"")</f>
        <v>44504</v>
      </c>
      <c r="E2557" s="47">
        <f>IF(ISNUMBER(expected_production[[#This Row],[Commissioned Date]]),MAX(0,(expected_production[[#This Row],[Date]]-expected_production[[#This Row],[Commissioned Date]])/365.25),"")</f>
        <v>4.991101984941821</v>
      </c>
      <c r="F2557" s="49">
        <f>IF(expected_production[[#This Row],[Age (yrs)]]="",1,(1-DegradationRate)^expected_production[[#This Row],[Age (yrs)]])</f>
        <v>0.96554693173808293</v>
      </c>
      <c r="G2557" s="52">
        <f>IF(expected_production[[#This Row],[Base Expected (kWh)]]="","",expected_production[[#This Row],[Base Expected (kWh)]]*expected_production[[#This Row],[Degradation Factor]])</f>
        <v>13042.965206282768</v>
      </c>
    </row>
    <row r="2558" spans="1:7" ht="15" hidden="1" customHeight="1" x14ac:dyDescent="0.3">
      <c r="A2558" t="s">
        <v>201</v>
      </c>
      <c r="B2558" s="2">
        <v>46357</v>
      </c>
      <c r="C2558" s="52">
        <v>14234.525</v>
      </c>
      <c r="D2558" s="48">
        <f>_xlfn.XLOOKUP(expected_production[[#This Row],[Site Name]],Table1[[Site Name ]],Table1[Commisioned Date],"")</f>
        <v>44504</v>
      </c>
      <c r="E2558" s="47">
        <f>IF(ISNUMBER(expected_production[[#This Row],[Commissioned Date]]),MAX(0,(expected_production[[#This Row],[Date]]-expected_production[[#This Row],[Commissioned Date]])/365.25),"")</f>
        <v>5.0732375085557839</v>
      </c>
      <c r="F2558" s="49">
        <f>IF(expected_production[[#This Row],[Age (yrs)]]="",1,(1-DegradationRate)^expected_production[[#This Row],[Age (yrs)]])</f>
        <v>0.96499000039542915</v>
      </c>
      <c r="G2558" s="52">
        <f>IF(expected_production[[#This Row],[Base Expected (kWh)]]="","",expected_production[[#This Row],[Base Expected (kWh)]]*expected_production[[#This Row],[Degradation Factor]])</f>
        <v>13736.174285378745</v>
      </c>
    </row>
    <row r="2559" spans="1:7" ht="15" hidden="1" customHeight="1" x14ac:dyDescent="0.3">
      <c r="A2559" t="s">
        <v>211</v>
      </c>
      <c r="B2559" s="2">
        <v>45292</v>
      </c>
      <c r="C2559" s="52">
        <v>7299.9</v>
      </c>
      <c r="D2559" s="48">
        <f>_xlfn.XLOOKUP(expected_production[[#This Row],[Site Name]],Table1[[Site Name ]],Table1[Commisioned Date],"")</f>
        <v>45861</v>
      </c>
      <c r="E2559" s="47">
        <f>IF(ISNUMBER(expected_production[[#This Row],[Commissioned Date]]),MAX(0,(expected_production[[#This Row],[Date]]-expected_production[[#This Row],[Commissioned Date]])/365.25),"")</f>
        <v>0</v>
      </c>
      <c r="F2559" s="49">
        <f>IF(expected_production[[#This Row],[Age (yrs)]]="",1,(1-DegradationRate)^expected_production[[#This Row],[Age (yrs)]])</f>
        <v>1</v>
      </c>
      <c r="G2559" s="52">
        <f>IF(expected_production[[#This Row],[Base Expected (kWh)]]="","",expected_production[[#This Row],[Base Expected (kWh)]]*expected_production[[#This Row],[Degradation Factor]])</f>
        <v>7299.9</v>
      </c>
    </row>
    <row r="2560" spans="1:7" ht="15" hidden="1" customHeight="1" x14ac:dyDescent="0.3">
      <c r="A2560" t="s">
        <v>211</v>
      </c>
      <c r="B2560" s="2">
        <v>45323</v>
      </c>
      <c r="C2560" s="52">
        <v>6223.5</v>
      </c>
      <c r="D2560" s="48">
        <f>_xlfn.XLOOKUP(expected_production[[#This Row],[Site Name]],Table1[[Site Name ]],Table1[Commisioned Date],"")</f>
        <v>45861</v>
      </c>
      <c r="E2560" s="47">
        <f>IF(ISNUMBER(expected_production[[#This Row],[Commissioned Date]]),MAX(0,(expected_production[[#This Row],[Date]]-expected_production[[#This Row],[Commissioned Date]])/365.25),"")</f>
        <v>0</v>
      </c>
      <c r="F2560" s="49">
        <f>IF(expected_production[[#This Row],[Age (yrs)]]="",1,(1-DegradationRate)^expected_production[[#This Row],[Age (yrs)]])</f>
        <v>1</v>
      </c>
      <c r="G2560" s="52">
        <f>IF(expected_production[[#This Row],[Base Expected (kWh)]]="","",expected_production[[#This Row],[Base Expected (kWh)]]*expected_production[[#This Row],[Degradation Factor]])</f>
        <v>6223.5</v>
      </c>
    </row>
    <row r="2561" spans="1:7" ht="15" hidden="1" customHeight="1" x14ac:dyDescent="0.3">
      <c r="A2561" t="s">
        <v>211</v>
      </c>
      <c r="B2561" s="2">
        <v>45352</v>
      </c>
      <c r="C2561" s="52">
        <v>6048.9</v>
      </c>
      <c r="D2561" s="48">
        <f>_xlfn.XLOOKUP(expected_production[[#This Row],[Site Name]],Table1[[Site Name ]],Table1[Commisioned Date],"")</f>
        <v>45861</v>
      </c>
      <c r="E2561" s="47">
        <f>IF(ISNUMBER(expected_production[[#This Row],[Commissioned Date]]),MAX(0,(expected_production[[#This Row],[Date]]-expected_production[[#This Row],[Commissioned Date]])/365.25),"")</f>
        <v>0</v>
      </c>
      <c r="F2561" s="49">
        <f>IF(expected_production[[#This Row],[Age (yrs)]]="",1,(1-DegradationRate)^expected_production[[#This Row],[Age (yrs)]])</f>
        <v>1</v>
      </c>
      <c r="G2561" s="52">
        <f>IF(expected_production[[#This Row],[Base Expected (kWh)]]="","",expected_production[[#This Row],[Base Expected (kWh)]]*expected_production[[#This Row],[Degradation Factor]])</f>
        <v>6048.9</v>
      </c>
    </row>
    <row r="2562" spans="1:7" ht="15" hidden="1" customHeight="1" x14ac:dyDescent="0.3">
      <c r="A2562" t="s">
        <v>211</v>
      </c>
      <c r="B2562" s="2">
        <v>45383</v>
      </c>
      <c r="C2562" s="52">
        <v>5130.8999999999996</v>
      </c>
      <c r="D2562" s="48">
        <f>_xlfn.XLOOKUP(expected_production[[#This Row],[Site Name]],Table1[[Site Name ]],Table1[Commisioned Date],"")</f>
        <v>45861</v>
      </c>
      <c r="E2562" s="47">
        <f>IF(ISNUMBER(expected_production[[#This Row],[Commissioned Date]]),MAX(0,(expected_production[[#This Row],[Date]]-expected_production[[#This Row],[Commissioned Date]])/365.25),"")</f>
        <v>0</v>
      </c>
      <c r="F2562" s="49">
        <f>IF(expected_production[[#This Row],[Age (yrs)]]="",1,(1-DegradationRate)^expected_production[[#This Row],[Age (yrs)]])</f>
        <v>1</v>
      </c>
      <c r="G2562" s="52">
        <f>IF(expected_production[[#This Row],[Base Expected (kWh)]]="","",expected_production[[#This Row],[Base Expected (kWh)]]*expected_production[[#This Row],[Degradation Factor]])</f>
        <v>5130.8999999999996</v>
      </c>
    </row>
    <row r="2563" spans="1:7" ht="15" hidden="1" customHeight="1" x14ac:dyDescent="0.3">
      <c r="A2563" t="s">
        <v>211</v>
      </c>
      <c r="B2563" s="2">
        <v>45413</v>
      </c>
      <c r="C2563" s="52">
        <v>4621.5</v>
      </c>
      <c r="D2563" s="48">
        <f>_xlfn.XLOOKUP(expected_production[[#This Row],[Site Name]],Table1[[Site Name ]],Table1[Commisioned Date],"")</f>
        <v>45861</v>
      </c>
      <c r="E2563" s="47">
        <f>IF(ISNUMBER(expected_production[[#This Row],[Commissioned Date]]),MAX(0,(expected_production[[#This Row],[Date]]-expected_production[[#This Row],[Commissioned Date]])/365.25),"")</f>
        <v>0</v>
      </c>
      <c r="F2563" s="49">
        <f>IF(expected_production[[#This Row],[Age (yrs)]]="",1,(1-DegradationRate)^expected_production[[#This Row],[Age (yrs)]])</f>
        <v>1</v>
      </c>
      <c r="G2563" s="52">
        <f>IF(expected_production[[#This Row],[Base Expected (kWh)]]="","",expected_production[[#This Row],[Base Expected (kWh)]]*expected_production[[#This Row],[Degradation Factor]])</f>
        <v>4621.5</v>
      </c>
    </row>
    <row r="2564" spans="1:7" ht="15" hidden="1" customHeight="1" x14ac:dyDescent="0.3">
      <c r="A2564" t="s">
        <v>211</v>
      </c>
      <c r="B2564" s="2">
        <v>45444</v>
      </c>
      <c r="C2564" s="52">
        <v>3931.2</v>
      </c>
      <c r="D2564" s="48">
        <f>_xlfn.XLOOKUP(expected_production[[#This Row],[Site Name]],Table1[[Site Name ]],Table1[Commisioned Date],"")</f>
        <v>45861</v>
      </c>
      <c r="E2564" s="47">
        <f>IF(ISNUMBER(expected_production[[#This Row],[Commissioned Date]]),MAX(0,(expected_production[[#This Row],[Date]]-expected_production[[#This Row],[Commissioned Date]])/365.25),"")</f>
        <v>0</v>
      </c>
      <c r="F2564" s="49">
        <f>IF(expected_production[[#This Row],[Age (yrs)]]="",1,(1-DegradationRate)^expected_production[[#This Row],[Age (yrs)]])</f>
        <v>1</v>
      </c>
      <c r="G2564" s="52">
        <f>IF(expected_production[[#This Row],[Base Expected (kWh)]]="","",expected_production[[#This Row],[Base Expected (kWh)]]*expected_production[[#This Row],[Degradation Factor]])</f>
        <v>3931.2</v>
      </c>
    </row>
    <row r="2565" spans="1:7" ht="15" hidden="1" customHeight="1" x14ac:dyDescent="0.3">
      <c r="A2565" t="s">
        <v>211</v>
      </c>
      <c r="B2565" s="2">
        <v>45474</v>
      </c>
      <c r="C2565" s="52">
        <v>4065.3</v>
      </c>
      <c r="D2565" s="48">
        <f>_xlfn.XLOOKUP(expected_production[[#This Row],[Site Name]],Table1[[Site Name ]],Table1[Commisioned Date],"")</f>
        <v>45861</v>
      </c>
      <c r="E2565" s="47">
        <f>IF(ISNUMBER(expected_production[[#This Row],[Commissioned Date]]),MAX(0,(expected_production[[#This Row],[Date]]-expected_production[[#This Row],[Commissioned Date]])/365.25),"")</f>
        <v>0</v>
      </c>
      <c r="F2565" s="49">
        <f>IF(expected_production[[#This Row],[Age (yrs)]]="",1,(1-DegradationRate)^expected_production[[#This Row],[Age (yrs)]])</f>
        <v>1</v>
      </c>
      <c r="G2565" s="52">
        <f>IF(expected_production[[#This Row],[Base Expected (kWh)]]="","",expected_production[[#This Row],[Base Expected (kWh)]]*expected_production[[#This Row],[Degradation Factor]])</f>
        <v>4065.3</v>
      </c>
    </row>
    <row r="2566" spans="1:7" ht="15" hidden="1" customHeight="1" x14ac:dyDescent="0.3">
      <c r="A2566" t="s">
        <v>211</v>
      </c>
      <c r="B2566" s="2">
        <v>45505</v>
      </c>
      <c r="C2566" s="52">
        <v>4723.2</v>
      </c>
      <c r="D2566" s="48">
        <f>_xlfn.XLOOKUP(expected_production[[#This Row],[Site Name]],Table1[[Site Name ]],Table1[Commisioned Date],"")</f>
        <v>45861</v>
      </c>
      <c r="E2566" s="47">
        <f>IF(ISNUMBER(expected_production[[#This Row],[Commissioned Date]]),MAX(0,(expected_production[[#This Row],[Date]]-expected_production[[#This Row],[Commissioned Date]])/365.25),"")</f>
        <v>0</v>
      </c>
      <c r="F2566" s="49">
        <f>IF(expected_production[[#This Row],[Age (yrs)]]="",1,(1-DegradationRate)^expected_production[[#This Row],[Age (yrs)]])</f>
        <v>1</v>
      </c>
      <c r="G2566" s="52">
        <f>IF(expected_production[[#This Row],[Base Expected (kWh)]]="","",expected_production[[#This Row],[Base Expected (kWh)]]*expected_production[[#This Row],[Degradation Factor]])</f>
        <v>4723.2</v>
      </c>
    </row>
    <row r="2567" spans="1:7" ht="15" hidden="1" customHeight="1" x14ac:dyDescent="0.3">
      <c r="A2567" t="s">
        <v>211</v>
      </c>
      <c r="B2567" s="2">
        <v>45536</v>
      </c>
      <c r="C2567" s="52">
        <v>5251.5</v>
      </c>
      <c r="D2567" s="48">
        <f>_xlfn.XLOOKUP(expected_production[[#This Row],[Site Name]],Table1[[Site Name ]],Table1[Commisioned Date],"")</f>
        <v>45861</v>
      </c>
      <c r="E2567" s="47">
        <f>IF(ISNUMBER(expected_production[[#This Row],[Commissioned Date]]),MAX(0,(expected_production[[#This Row],[Date]]-expected_production[[#This Row],[Commissioned Date]])/365.25),"")</f>
        <v>0</v>
      </c>
      <c r="F2567" s="49">
        <f>IF(expected_production[[#This Row],[Age (yrs)]]="",1,(1-DegradationRate)^expected_production[[#This Row],[Age (yrs)]])</f>
        <v>1</v>
      </c>
      <c r="G2567" s="52">
        <f>IF(expected_production[[#This Row],[Base Expected (kWh)]]="","",expected_production[[#This Row],[Base Expected (kWh)]]*expected_production[[#This Row],[Degradation Factor]])</f>
        <v>5251.5</v>
      </c>
    </row>
    <row r="2568" spans="1:7" ht="15" hidden="1" customHeight="1" x14ac:dyDescent="0.3">
      <c r="A2568" t="s">
        <v>211</v>
      </c>
      <c r="B2568" s="2">
        <v>45566</v>
      </c>
      <c r="C2568" s="52">
        <v>6489.9</v>
      </c>
      <c r="D2568" s="48">
        <f>_xlfn.XLOOKUP(expected_production[[#This Row],[Site Name]],Table1[[Site Name ]],Table1[Commisioned Date],"")</f>
        <v>45861</v>
      </c>
      <c r="E2568" s="47">
        <f>IF(ISNUMBER(expected_production[[#This Row],[Commissioned Date]]),MAX(0,(expected_production[[#This Row],[Date]]-expected_production[[#This Row],[Commissioned Date]])/365.25),"")</f>
        <v>0</v>
      </c>
      <c r="F2568" s="49">
        <f>IF(expected_production[[#This Row],[Age (yrs)]]="",1,(1-DegradationRate)^expected_production[[#This Row],[Age (yrs)]])</f>
        <v>1</v>
      </c>
      <c r="G2568" s="52">
        <f>IF(expected_production[[#This Row],[Base Expected (kWh)]]="","",expected_production[[#This Row],[Base Expected (kWh)]]*expected_production[[#This Row],[Degradation Factor]])</f>
        <v>6489.9</v>
      </c>
    </row>
    <row r="2569" spans="1:7" ht="15" hidden="1" customHeight="1" x14ac:dyDescent="0.3">
      <c r="A2569" t="s">
        <v>211</v>
      </c>
      <c r="B2569" s="2">
        <v>45597</v>
      </c>
      <c r="C2569" s="52">
        <v>6813.9</v>
      </c>
      <c r="D2569" s="48">
        <f>_xlfn.XLOOKUP(expected_production[[#This Row],[Site Name]],Table1[[Site Name ]],Table1[Commisioned Date],"")</f>
        <v>45861</v>
      </c>
      <c r="E2569" s="47">
        <f>IF(ISNUMBER(expected_production[[#This Row],[Commissioned Date]]),MAX(0,(expected_production[[#This Row],[Date]]-expected_production[[#This Row],[Commissioned Date]])/365.25),"")</f>
        <v>0</v>
      </c>
      <c r="F2569" s="49">
        <f>IF(expected_production[[#This Row],[Age (yrs)]]="",1,(1-DegradationRate)^expected_production[[#This Row],[Age (yrs)]])</f>
        <v>1</v>
      </c>
      <c r="G2569" s="52">
        <f>IF(expected_production[[#This Row],[Base Expected (kWh)]]="","",expected_production[[#This Row],[Base Expected (kWh)]]*expected_production[[#This Row],[Degradation Factor]])</f>
        <v>6813.9</v>
      </c>
    </row>
    <row r="2570" spans="1:7" ht="15" hidden="1" customHeight="1" x14ac:dyDescent="0.3">
      <c r="A2570" t="s">
        <v>211</v>
      </c>
      <c r="B2570" s="2">
        <v>45627</v>
      </c>
      <c r="C2570" s="52">
        <v>7296.3</v>
      </c>
      <c r="D2570" s="48">
        <f>_xlfn.XLOOKUP(expected_production[[#This Row],[Site Name]],Table1[[Site Name ]],Table1[Commisioned Date],"")</f>
        <v>45861</v>
      </c>
      <c r="E2570" s="47">
        <f>IF(ISNUMBER(expected_production[[#This Row],[Commissioned Date]]),MAX(0,(expected_production[[#This Row],[Date]]-expected_production[[#This Row],[Commissioned Date]])/365.25),"")</f>
        <v>0</v>
      </c>
      <c r="F2570" s="49">
        <f>IF(expected_production[[#This Row],[Age (yrs)]]="",1,(1-DegradationRate)^expected_production[[#This Row],[Age (yrs)]])</f>
        <v>1</v>
      </c>
      <c r="G2570" s="52">
        <f>IF(expected_production[[#This Row],[Base Expected (kWh)]]="","",expected_production[[#This Row],[Base Expected (kWh)]]*expected_production[[#This Row],[Degradation Factor]])</f>
        <v>7296.3</v>
      </c>
    </row>
    <row r="2571" spans="1:7" ht="15" hidden="1" customHeight="1" x14ac:dyDescent="0.3">
      <c r="A2571" t="s">
        <v>211</v>
      </c>
      <c r="B2571" s="2">
        <v>45658</v>
      </c>
      <c r="C2571" s="52">
        <v>7299.9</v>
      </c>
      <c r="D2571" s="48">
        <f>_xlfn.XLOOKUP(expected_production[[#This Row],[Site Name]],Table1[[Site Name ]],Table1[Commisioned Date],"")</f>
        <v>45861</v>
      </c>
      <c r="E2571" s="47">
        <f>IF(ISNUMBER(expected_production[[#This Row],[Commissioned Date]]),MAX(0,(expected_production[[#This Row],[Date]]-expected_production[[#This Row],[Commissioned Date]])/365.25),"")</f>
        <v>0</v>
      </c>
      <c r="F2571" s="49">
        <f>IF(expected_production[[#This Row],[Age (yrs)]]="",1,(1-DegradationRate)^expected_production[[#This Row],[Age (yrs)]])</f>
        <v>1</v>
      </c>
      <c r="G2571" s="52">
        <f>IF(expected_production[[#This Row],[Base Expected (kWh)]]="","",expected_production[[#This Row],[Base Expected (kWh)]]*expected_production[[#This Row],[Degradation Factor]])</f>
        <v>7299.9</v>
      </c>
    </row>
    <row r="2572" spans="1:7" ht="15" hidden="1" customHeight="1" x14ac:dyDescent="0.3">
      <c r="A2572" t="s">
        <v>211</v>
      </c>
      <c r="B2572" s="2">
        <v>45689</v>
      </c>
      <c r="C2572" s="52">
        <v>6223.5</v>
      </c>
      <c r="D2572" s="48">
        <f>_xlfn.XLOOKUP(expected_production[[#This Row],[Site Name]],Table1[[Site Name ]],Table1[Commisioned Date],"")</f>
        <v>45861</v>
      </c>
      <c r="E2572" s="47">
        <f>IF(ISNUMBER(expected_production[[#This Row],[Commissioned Date]]),MAX(0,(expected_production[[#This Row],[Date]]-expected_production[[#This Row],[Commissioned Date]])/365.25),"")</f>
        <v>0</v>
      </c>
      <c r="F2572" s="49">
        <f>IF(expected_production[[#This Row],[Age (yrs)]]="",1,(1-DegradationRate)^expected_production[[#This Row],[Age (yrs)]])</f>
        <v>1</v>
      </c>
      <c r="G2572" s="52">
        <f>IF(expected_production[[#This Row],[Base Expected (kWh)]]="","",expected_production[[#This Row],[Base Expected (kWh)]]*expected_production[[#This Row],[Degradation Factor]])</f>
        <v>6223.5</v>
      </c>
    </row>
    <row r="2573" spans="1:7" ht="15" hidden="1" customHeight="1" x14ac:dyDescent="0.3">
      <c r="A2573" t="s">
        <v>211</v>
      </c>
      <c r="B2573" s="2">
        <v>45717</v>
      </c>
      <c r="C2573" s="52">
        <v>6048.9</v>
      </c>
      <c r="D2573" s="48">
        <f>_xlfn.XLOOKUP(expected_production[[#This Row],[Site Name]],Table1[[Site Name ]],Table1[Commisioned Date],"")</f>
        <v>45861</v>
      </c>
      <c r="E2573" s="47">
        <f>IF(ISNUMBER(expected_production[[#This Row],[Commissioned Date]]),MAX(0,(expected_production[[#This Row],[Date]]-expected_production[[#This Row],[Commissioned Date]])/365.25),"")</f>
        <v>0</v>
      </c>
      <c r="F2573" s="49">
        <f>IF(expected_production[[#This Row],[Age (yrs)]]="",1,(1-DegradationRate)^expected_production[[#This Row],[Age (yrs)]])</f>
        <v>1</v>
      </c>
      <c r="G2573" s="52">
        <f>IF(expected_production[[#This Row],[Base Expected (kWh)]]="","",expected_production[[#This Row],[Base Expected (kWh)]]*expected_production[[#This Row],[Degradation Factor]])</f>
        <v>6048.9</v>
      </c>
    </row>
    <row r="2574" spans="1:7" ht="15" hidden="1" customHeight="1" x14ac:dyDescent="0.3">
      <c r="A2574" t="s">
        <v>211</v>
      </c>
      <c r="B2574" s="2">
        <v>45748</v>
      </c>
      <c r="C2574" s="52">
        <v>5130.8999999999996</v>
      </c>
      <c r="D2574" s="48">
        <f>_xlfn.XLOOKUP(expected_production[[#This Row],[Site Name]],Table1[[Site Name ]],Table1[Commisioned Date],"")</f>
        <v>45861</v>
      </c>
      <c r="E2574" s="47">
        <f>IF(ISNUMBER(expected_production[[#This Row],[Commissioned Date]]),MAX(0,(expected_production[[#This Row],[Date]]-expected_production[[#This Row],[Commissioned Date]])/365.25),"")</f>
        <v>0</v>
      </c>
      <c r="F2574" s="49">
        <f>IF(expected_production[[#This Row],[Age (yrs)]]="",1,(1-DegradationRate)^expected_production[[#This Row],[Age (yrs)]])</f>
        <v>1</v>
      </c>
      <c r="G2574" s="52">
        <f>IF(expected_production[[#This Row],[Base Expected (kWh)]]="","",expected_production[[#This Row],[Base Expected (kWh)]]*expected_production[[#This Row],[Degradation Factor]])</f>
        <v>5130.8999999999996</v>
      </c>
    </row>
    <row r="2575" spans="1:7" ht="15" hidden="1" customHeight="1" x14ac:dyDescent="0.3">
      <c r="A2575" t="s">
        <v>211</v>
      </c>
      <c r="B2575" s="2">
        <v>45778</v>
      </c>
      <c r="C2575" s="52">
        <v>4621.5</v>
      </c>
      <c r="D2575" s="48">
        <f>_xlfn.XLOOKUP(expected_production[[#This Row],[Site Name]],Table1[[Site Name ]],Table1[Commisioned Date],"")</f>
        <v>45861</v>
      </c>
      <c r="E2575" s="47">
        <f>IF(ISNUMBER(expected_production[[#This Row],[Commissioned Date]]),MAX(0,(expected_production[[#This Row],[Date]]-expected_production[[#This Row],[Commissioned Date]])/365.25),"")</f>
        <v>0</v>
      </c>
      <c r="F2575" s="49">
        <f>IF(expected_production[[#This Row],[Age (yrs)]]="",1,(1-DegradationRate)^expected_production[[#This Row],[Age (yrs)]])</f>
        <v>1</v>
      </c>
      <c r="G2575" s="52">
        <f>IF(expected_production[[#This Row],[Base Expected (kWh)]]="","",expected_production[[#This Row],[Base Expected (kWh)]]*expected_production[[#This Row],[Degradation Factor]])</f>
        <v>4621.5</v>
      </c>
    </row>
    <row r="2576" spans="1:7" ht="15" hidden="1" customHeight="1" x14ac:dyDescent="0.3">
      <c r="A2576" t="s">
        <v>211</v>
      </c>
      <c r="B2576" s="2">
        <v>45809</v>
      </c>
      <c r="C2576" s="52">
        <v>3931.2</v>
      </c>
      <c r="D2576" s="48">
        <f>_xlfn.XLOOKUP(expected_production[[#This Row],[Site Name]],Table1[[Site Name ]],Table1[Commisioned Date],"")</f>
        <v>45861</v>
      </c>
      <c r="E2576" s="47">
        <f>IF(ISNUMBER(expected_production[[#This Row],[Commissioned Date]]),MAX(0,(expected_production[[#This Row],[Date]]-expected_production[[#This Row],[Commissioned Date]])/365.25),"")</f>
        <v>0</v>
      </c>
      <c r="F2576" s="49">
        <f>IF(expected_production[[#This Row],[Age (yrs)]]="",1,(1-DegradationRate)^expected_production[[#This Row],[Age (yrs)]])</f>
        <v>1</v>
      </c>
      <c r="G2576" s="52">
        <f>IF(expected_production[[#This Row],[Base Expected (kWh)]]="","",expected_production[[#This Row],[Base Expected (kWh)]]*expected_production[[#This Row],[Degradation Factor]])</f>
        <v>3931.2</v>
      </c>
    </row>
    <row r="2577" spans="1:7" ht="15" hidden="1" customHeight="1" x14ac:dyDescent="0.3">
      <c r="A2577" t="s">
        <v>211</v>
      </c>
      <c r="B2577" s="2">
        <v>45839</v>
      </c>
      <c r="C2577" s="52">
        <v>4065.3</v>
      </c>
      <c r="D2577" s="48">
        <f>_xlfn.XLOOKUP(expected_production[[#This Row],[Site Name]],Table1[[Site Name ]],Table1[Commisioned Date],"")</f>
        <v>45861</v>
      </c>
      <c r="E2577" s="47">
        <f>IF(ISNUMBER(expected_production[[#This Row],[Commissioned Date]]),MAX(0,(expected_production[[#This Row],[Date]]-expected_production[[#This Row],[Commissioned Date]])/365.25),"")</f>
        <v>0</v>
      </c>
      <c r="F2577" s="49">
        <f>IF(expected_production[[#This Row],[Age (yrs)]]="",1,(1-DegradationRate)^expected_production[[#This Row],[Age (yrs)]])</f>
        <v>1</v>
      </c>
      <c r="G2577" s="52">
        <f>IF(expected_production[[#This Row],[Base Expected (kWh)]]="","",expected_production[[#This Row],[Base Expected (kWh)]]*expected_production[[#This Row],[Degradation Factor]])</f>
        <v>4065.3</v>
      </c>
    </row>
    <row r="2578" spans="1:7" ht="15" hidden="1" customHeight="1" x14ac:dyDescent="0.3">
      <c r="A2578" t="s">
        <v>211</v>
      </c>
      <c r="B2578" s="2">
        <v>45870</v>
      </c>
      <c r="C2578" s="52">
        <v>4723.2</v>
      </c>
      <c r="D2578" s="48">
        <f>_xlfn.XLOOKUP(expected_production[[#This Row],[Site Name]],Table1[[Site Name ]],Table1[Commisioned Date],"")</f>
        <v>45861</v>
      </c>
      <c r="E2578" s="47">
        <f>IF(ISNUMBER(expected_production[[#This Row],[Commissioned Date]]),MAX(0,(expected_production[[#This Row],[Date]]-expected_production[[#This Row],[Commissioned Date]])/365.25),"")</f>
        <v>2.4640657084188913E-2</v>
      </c>
      <c r="F2578" s="49">
        <f>IF(expected_production[[#This Row],[Age (yrs)]]="",1,(1-DegradationRate)^expected_production[[#This Row],[Age (yrs)]])</f>
        <v>0.99982692385159477</v>
      </c>
      <c r="G2578" s="52">
        <f>IF(expected_production[[#This Row],[Base Expected (kWh)]]="","",expected_production[[#This Row],[Base Expected (kWh)]]*expected_production[[#This Row],[Degradation Factor]])</f>
        <v>4722.3825267358525</v>
      </c>
    </row>
    <row r="2579" spans="1:7" ht="15" hidden="1" customHeight="1" x14ac:dyDescent="0.3">
      <c r="A2579" t="s">
        <v>211</v>
      </c>
      <c r="B2579" s="2">
        <v>45901</v>
      </c>
      <c r="C2579" s="52">
        <v>5251.5</v>
      </c>
      <c r="D2579" s="48">
        <f>_xlfn.XLOOKUP(expected_production[[#This Row],[Site Name]],Table1[[Site Name ]],Table1[Commisioned Date],"")</f>
        <v>45861</v>
      </c>
      <c r="E2579" s="47">
        <f>IF(ISNUMBER(expected_production[[#This Row],[Commissioned Date]]),MAX(0,(expected_production[[#This Row],[Date]]-expected_production[[#This Row],[Commissioned Date]])/365.25),"")</f>
        <v>0.10951403148528405</v>
      </c>
      <c r="F2579" s="49">
        <f>IF(expected_production[[#This Row],[Age (yrs)]]="",1,(1-DegradationRate)^expected_production[[#This Row],[Age (yrs)]])</f>
        <v>0.99923100192930947</v>
      </c>
      <c r="G2579" s="52">
        <f>IF(expected_production[[#This Row],[Base Expected (kWh)]]="","",expected_production[[#This Row],[Base Expected (kWh)]]*expected_production[[#This Row],[Degradation Factor]])</f>
        <v>5247.4616066317685</v>
      </c>
    </row>
    <row r="2580" spans="1:7" ht="15" hidden="1" customHeight="1" x14ac:dyDescent="0.3">
      <c r="A2580" t="s">
        <v>211</v>
      </c>
      <c r="B2580" s="2">
        <v>45931</v>
      </c>
      <c r="C2580" s="52">
        <v>6489.9</v>
      </c>
      <c r="D2580" s="48">
        <f>_xlfn.XLOOKUP(expected_production[[#This Row],[Site Name]],Table1[[Site Name ]],Table1[Commisioned Date],"")</f>
        <v>45861</v>
      </c>
      <c r="E2580" s="47">
        <f>IF(ISNUMBER(expected_production[[#This Row],[Commissioned Date]]),MAX(0,(expected_production[[#This Row],[Date]]-expected_production[[#This Row],[Commissioned Date]])/365.25),"")</f>
        <v>0.19164955509924708</v>
      </c>
      <c r="F2580" s="49">
        <f>IF(expected_production[[#This Row],[Age (yrs)]]="",1,(1-DegradationRate)^expected_production[[#This Row],[Age (yrs)]])</f>
        <v>0.99865464147987593</v>
      </c>
      <c r="G2580" s="52">
        <f>IF(expected_production[[#This Row],[Base Expected (kWh)]]="","",expected_production[[#This Row],[Base Expected (kWh)]]*expected_production[[#This Row],[Degradation Factor]])</f>
        <v>6481.1687577402463</v>
      </c>
    </row>
    <row r="2581" spans="1:7" ht="15" hidden="1" customHeight="1" x14ac:dyDescent="0.3">
      <c r="A2581" t="s">
        <v>211</v>
      </c>
      <c r="B2581" s="2">
        <v>45962</v>
      </c>
      <c r="C2581" s="52">
        <v>6813.9</v>
      </c>
      <c r="D2581" s="48">
        <f>_xlfn.XLOOKUP(expected_production[[#This Row],[Site Name]],Table1[[Site Name ]],Table1[Commisioned Date],"")</f>
        <v>45861</v>
      </c>
      <c r="E2581" s="47">
        <f>IF(ISNUMBER(expected_production[[#This Row],[Commissioned Date]]),MAX(0,(expected_production[[#This Row],[Date]]-expected_production[[#This Row],[Commissioned Date]])/365.25),"")</f>
        <v>0.27652292950034224</v>
      </c>
      <c r="F2581" s="49">
        <f>IF(expected_production[[#This Row],[Age (yrs)]]="",1,(1-DegradationRate)^expected_production[[#This Row],[Age (yrs)]])</f>
        <v>0.99805941826728506</v>
      </c>
      <c r="G2581" s="52">
        <f>IF(expected_production[[#This Row],[Base Expected (kWh)]]="","",expected_production[[#This Row],[Base Expected (kWh)]]*expected_production[[#This Row],[Degradation Factor]])</f>
        <v>6800.6770701314535</v>
      </c>
    </row>
    <row r="2582" spans="1:7" ht="15" hidden="1" customHeight="1" x14ac:dyDescent="0.3">
      <c r="A2582" t="s">
        <v>211</v>
      </c>
      <c r="B2582" s="2">
        <v>45992</v>
      </c>
      <c r="C2582" s="52">
        <v>7296.3</v>
      </c>
      <c r="D2582" s="48">
        <f>_xlfn.XLOOKUP(expected_production[[#This Row],[Site Name]],Table1[[Site Name ]],Table1[Commisioned Date],"")</f>
        <v>45861</v>
      </c>
      <c r="E2582" s="47">
        <f>IF(ISNUMBER(expected_production[[#This Row],[Commissioned Date]]),MAX(0,(expected_production[[#This Row],[Date]]-expected_production[[#This Row],[Commissioned Date]])/365.25),"")</f>
        <v>0.35865845311430528</v>
      </c>
      <c r="F2582" s="49">
        <f>IF(expected_production[[#This Row],[Age (yrs)]]="",1,(1-DegradationRate)^expected_production[[#This Row],[Age (yrs)]])</f>
        <v>0.99748373359200648</v>
      </c>
      <c r="G2582" s="52">
        <f>IF(expected_production[[#This Row],[Base Expected (kWh)]]="","",expected_production[[#This Row],[Base Expected (kWh)]]*expected_production[[#This Row],[Degradation Factor]])</f>
        <v>7277.9405654073571</v>
      </c>
    </row>
    <row r="2583" spans="1:7" ht="15" hidden="1" customHeight="1" x14ac:dyDescent="0.3">
      <c r="A2583" t="s">
        <v>211</v>
      </c>
      <c r="B2583" s="2">
        <v>46023</v>
      </c>
      <c r="C2583" s="52">
        <v>7299.9</v>
      </c>
      <c r="D2583" s="48">
        <f>_xlfn.XLOOKUP(expected_production[[#This Row],[Site Name]],Table1[[Site Name ]],Table1[Commisioned Date],"")</f>
        <v>45861</v>
      </c>
      <c r="E2583" s="47">
        <f>IF(ISNUMBER(expected_production[[#This Row],[Commissioned Date]]),MAX(0,(expected_production[[#This Row],[Date]]-expected_production[[#This Row],[Commissioned Date]])/365.25),"")</f>
        <v>0.44353182751540043</v>
      </c>
      <c r="F2583" s="49">
        <f>IF(expected_production[[#This Row],[Age (yrs)]]="",1,(1-DegradationRate)^expected_production[[#This Row],[Age (yrs)]])</f>
        <v>0.99688920826988314</v>
      </c>
      <c r="G2583" s="52">
        <f>IF(expected_production[[#This Row],[Base Expected (kWh)]]="","",expected_production[[#This Row],[Base Expected (kWh)]]*expected_production[[#This Row],[Degradation Factor]])</f>
        <v>7277.1915314493199</v>
      </c>
    </row>
    <row r="2584" spans="1:7" ht="15" hidden="1" customHeight="1" x14ac:dyDescent="0.3">
      <c r="A2584" t="s">
        <v>211</v>
      </c>
      <c r="B2584" s="2">
        <v>46054</v>
      </c>
      <c r="C2584" s="52">
        <v>6223.5</v>
      </c>
      <c r="D2584" s="48">
        <f>_xlfn.XLOOKUP(expected_production[[#This Row],[Site Name]],Table1[[Site Name ]],Table1[Commisioned Date],"")</f>
        <v>45861</v>
      </c>
      <c r="E2584" s="47">
        <f>IF(ISNUMBER(expected_production[[#This Row],[Commissioned Date]]),MAX(0,(expected_production[[#This Row],[Date]]-expected_production[[#This Row],[Commissioned Date]])/365.25),"")</f>
        <v>0.52840520191649554</v>
      </c>
      <c r="F2584" s="49">
        <f>IF(expected_production[[#This Row],[Age (yrs)]]="",1,(1-DegradationRate)^expected_production[[#This Row],[Age (yrs)]])</f>
        <v>0.99629503729976254</v>
      </c>
      <c r="G2584" s="52">
        <f>IF(expected_production[[#This Row],[Base Expected (kWh)]]="","",expected_production[[#This Row],[Base Expected (kWh)]]*expected_production[[#This Row],[Degradation Factor]])</f>
        <v>6200.442164635072</v>
      </c>
    </row>
    <row r="2585" spans="1:7" ht="15" hidden="1" customHeight="1" x14ac:dyDescent="0.3">
      <c r="A2585" t="s">
        <v>211</v>
      </c>
      <c r="B2585" s="2">
        <v>46082</v>
      </c>
      <c r="C2585" s="52">
        <v>6048.9</v>
      </c>
      <c r="D2585" s="48">
        <f>_xlfn.XLOOKUP(expected_production[[#This Row],[Site Name]],Table1[[Site Name ]],Table1[Commisioned Date],"")</f>
        <v>45861</v>
      </c>
      <c r="E2585" s="47">
        <f>IF(ISNUMBER(expected_production[[#This Row],[Commissioned Date]]),MAX(0,(expected_production[[#This Row],[Date]]-expected_production[[#This Row],[Commissioned Date]])/365.25),"")</f>
        <v>0.60506502395619444</v>
      </c>
      <c r="F2585" s="49">
        <f>IF(expected_production[[#This Row],[Age (yrs)]]="",1,(1-DegradationRate)^expected_production[[#This Row],[Age (yrs)]])</f>
        <v>0.99575867114353067</v>
      </c>
      <c r="G2585" s="52">
        <f>IF(expected_production[[#This Row],[Base Expected (kWh)]]="","",expected_production[[#This Row],[Base Expected (kWh)]]*expected_production[[#This Row],[Degradation Factor]])</f>
        <v>6023.2446258801019</v>
      </c>
    </row>
    <row r="2586" spans="1:7" ht="15" hidden="1" customHeight="1" x14ac:dyDescent="0.3">
      <c r="A2586" t="s">
        <v>211</v>
      </c>
      <c r="B2586" s="2">
        <v>46113</v>
      </c>
      <c r="C2586" s="52">
        <v>5130.8999999999996</v>
      </c>
      <c r="D2586" s="48">
        <f>_xlfn.XLOOKUP(expected_production[[#This Row],[Site Name]],Table1[[Site Name ]],Table1[Commisioned Date],"")</f>
        <v>45861</v>
      </c>
      <c r="E2586" s="47">
        <f>IF(ISNUMBER(expected_production[[#This Row],[Commissioned Date]]),MAX(0,(expected_production[[#This Row],[Date]]-expected_production[[#This Row],[Commissioned Date]])/365.25),"")</f>
        <v>0.68993839835728954</v>
      </c>
      <c r="F2586" s="49">
        <f>IF(expected_production[[#This Row],[Age (yrs)]]="",1,(1-DegradationRate)^expected_production[[#This Row],[Age (yrs)]])</f>
        <v>0.99516517400189131</v>
      </c>
      <c r="G2586" s="52">
        <f>IF(expected_production[[#This Row],[Base Expected (kWh)]]="","",expected_production[[#This Row],[Base Expected (kWh)]]*expected_production[[#This Row],[Degradation Factor]])</f>
        <v>5106.0929912863039</v>
      </c>
    </row>
    <row r="2587" spans="1:7" ht="15" hidden="1" customHeight="1" x14ac:dyDescent="0.3">
      <c r="A2587" t="s">
        <v>211</v>
      </c>
      <c r="B2587" s="2">
        <v>46143</v>
      </c>
      <c r="C2587" s="52">
        <v>4621.5</v>
      </c>
      <c r="D2587" s="48">
        <f>_xlfn.XLOOKUP(expected_production[[#This Row],[Site Name]],Table1[[Site Name ]],Table1[Commisioned Date],"")</f>
        <v>45861</v>
      </c>
      <c r="E2587" s="47">
        <f>IF(ISNUMBER(expected_production[[#This Row],[Commissioned Date]]),MAX(0,(expected_production[[#This Row],[Date]]-expected_production[[#This Row],[Commissioned Date]])/365.25),"")</f>
        <v>0.77207392197125257</v>
      </c>
      <c r="F2587" s="49">
        <f>IF(expected_production[[#This Row],[Age (yrs)]]="",1,(1-DegradationRate)^expected_production[[#This Row],[Age (yrs)]])</f>
        <v>0.99459115873831261</v>
      </c>
      <c r="G2587" s="52">
        <f>IF(expected_production[[#This Row],[Base Expected (kWh)]]="","",expected_production[[#This Row],[Base Expected (kWh)]]*expected_production[[#This Row],[Degradation Factor]])</f>
        <v>4596.5030401091117</v>
      </c>
    </row>
    <row r="2588" spans="1:7" ht="15" hidden="1" customHeight="1" x14ac:dyDescent="0.3">
      <c r="A2588" t="s">
        <v>211</v>
      </c>
      <c r="B2588" s="2">
        <v>46174</v>
      </c>
      <c r="C2588" s="52">
        <v>3931.2</v>
      </c>
      <c r="D2588" s="48">
        <f>_xlfn.XLOOKUP(expected_production[[#This Row],[Site Name]],Table1[[Site Name ]],Table1[Commisioned Date],"")</f>
        <v>45861</v>
      </c>
      <c r="E2588" s="47">
        <f>IF(ISNUMBER(expected_production[[#This Row],[Commissioned Date]]),MAX(0,(expected_production[[#This Row],[Date]]-expected_production[[#This Row],[Commissioned Date]])/365.25),"")</f>
        <v>0.85694729637234768</v>
      </c>
      <c r="F2588" s="49">
        <f>IF(expected_production[[#This Row],[Age (yrs)]]="",1,(1-DegradationRate)^expected_production[[#This Row],[Age (yrs)]])</f>
        <v>0.99399835746334797</v>
      </c>
      <c r="G2588" s="52">
        <f>IF(expected_production[[#This Row],[Base Expected (kWh)]]="","",expected_production[[#This Row],[Base Expected (kWh)]]*expected_production[[#This Row],[Degradation Factor]])</f>
        <v>3907.6063428599132</v>
      </c>
    </row>
    <row r="2589" spans="1:7" ht="15" hidden="1" customHeight="1" x14ac:dyDescent="0.3">
      <c r="A2589" t="s">
        <v>211</v>
      </c>
      <c r="B2589" s="2">
        <v>46204</v>
      </c>
      <c r="C2589" s="52">
        <v>4065.3</v>
      </c>
      <c r="D2589" s="48">
        <f>_xlfn.XLOOKUP(expected_production[[#This Row],[Site Name]],Table1[[Site Name ]],Table1[Commisioned Date],"")</f>
        <v>45861</v>
      </c>
      <c r="E2589" s="47">
        <f>IF(ISNUMBER(expected_production[[#This Row],[Commissioned Date]]),MAX(0,(expected_production[[#This Row],[Date]]-expected_production[[#This Row],[Commissioned Date]])/365.25),"")</f>
        <v>0.93908281998631071</v>
      </c>
      <c r="F2589" s="49">
        <f>IF(expected_production[[#This Row],[Age (yrs)]]="",1,(1-DegradationRate)^expected_production[[#This Row],[Age (yrs)]])</f>
        <v>0.99342501522422844</v>
      </c>
      <c r="G2589" s="52">
        <f>IF(expected_production[[#This Row],[Base Expected (kWh)]]="","",expected_production[[#This Row],[Base Expected (kWh)]]*expected_production[[#This Row],[Degradation Factor]])</f>
        <v>4038.5707143910558</v>
      </c>
    </row>
    <row r="2590" spans="1:7" ht="15" hidden="1" customHeight="1" x14ac:dyDescent="0.3">
      <c r="A2590" t="s">
        <v>211</v>
      </c>
      <c r="B2590" s="2">
        <v>46235</v>
      </c>
      <c r="C2590" s="52">
        <v>4723.2</v>
      </c>
      <c r="D2590" s="48">
        <f>_xlfn.XLOOKUP(expected_production[[#This Row],[Site Name]],Table1[[Site Name ]],Table1[Commisioned Date],"")</f>
        <v>45861</v>
      </c>
      <c r="E2590" s="47">
        <f>IF(ISNUMBER(expected_production[[#This Row],[Commissioned Date]]),MAX(0,(expected_production[[#This Row],[Date]]-expected_production[[#This Row],[Commissioned Date]])/365.25),"")</f>
        <v>1.0239561943874058</v>
      </c>
      <c r="F2590" s="49">
        <f>IF(expected_production[[#This Row],[Age (yrs)]]="",1,(1-DegradationRate)^expected_production[[#This Row],[Age (yrs)]])</f>
        <v>0.99283290900004495</v>
      </c>
      <c r="G2590" s="52">
        <f>IF(expected_production[[#This Row],[Base Expected (kWh)]]="","",expected_production[[#This Row],[Base Expected (kWh)]]*expected_production[[#This Row],[Degradation Factor]])</f>
        <v>4689.3483957890121</v>
      </c>
    </row>
    <row r="2591" spans="1:7" ht="15" hidden="1" customHeight="1" x14ac:dyDescent="0.3">
      <c r="A2591" t="s">
        <v>211</v>
      </c>
      <c r="B2591" s="2">
        <v>46266</v>
      </c>
      <c r="C2591" s="52">
        <v>5251.5</v>
      </c>
      <c r="D2591" s="48">
        <f>_xlfn.XLOOKUP(expected_production[[#This Row],[Site Name]],Table1[[Site Name ]],Table1[Commisioned Date],"")</f>
        <v>45861</v>
      </c>
      <c r="E2591" s="47">
        <f>IF(ISNUMBER(expected_production[[#This Row],[Commissioned Date]]),MAX(0,(expected_production[[#This Row],[Date]]-expected_production[[#This Row],[Commissioned Date]])/365.25),"")</f>
        <v>1.108829568788501</v>
      </c>
      <c r="F2591" s="49">
        <f>IF(expected_production[[#This Row],[Age (yrs)]]="",1,(1-DegradationRate)^expected_production[[#This Row],[Age (yrs)]])</f>
        <v>0.99224115568602123</v>
      </c>
      <c r="G2591" s="52">
        <f>IF(expected_production[[#This Row],[Base Expected (kWh)]]="","",expected_production[[#This Row],[Base Expected (kWh)]]*expected_production[[#This Row],[Degradation Factor]])</f>
        <v>5210.7544290851401</v>
      </c>
    </row>
    <row r="2592" spans="1:7" ht="15" hidden="1" customHeight="1" x14ac:dyDescent="0.3">
      <c r="A2592" t="s">
        <v>211</v>
      </c>
      <c r="B2592" s="2">
        <v>46296</v>
      </c>
      <c r="C2592" s="52">
        <v>6489.9</v>
      </c>
      <c r="D2592" s="48">
        <f>_xlfn.XLOOKUP(expected_production[[#This Row],[Site Name]],Table1[[Site Name ]],Table1[Commisioned Date],"")</f>
        <v>45861</v>
      </c>
      <c r="E2592" s="47">
        <f>IF(ISNUMBER(expected_production[[#This Row],[Commissioned Date]]),MAX(0,(expected_production[[#This Row],[Date]]-expected_production[[#This Row],[Commissioned Date]])/365.25),"")</f>
        <v>1.1909650924024642</v>
      </c>
      <c r="F2592" s="49">
        <f>IF(expected_production[[#This Row],[Age (yrs)]]="",1,(1-DegradationRate)^expected_production[[#This Row],[Age (yrs)]])</f>
        <v>0.99166882700793424</v>
      </c>
      <c r="G2592" s="52">
        <f>IF(expected_production[[#This Row],[Base Expected (kWh)]]="","",expected_production[[#This Row],[Base Expected (kWh)]]*expected_production[[#This Row],[Degradation Factor]])</f>
        <v>6435.8315203987922</v>
      </c>
    </row>
    <row r="2593" spans="1:7" ht="15" hidden="1" customHeight="1" x14ac:dyDescent="0.3">
      <c r="A2593" t="s">
        <v>211</v>
      </c>
      <c r="B2593" s="2">
        <v>46327</v>
      </c>
      <c r="C2593" s="52">
        <v>6813.9</v>
      </c>
      <c r="D2593" s="48">
        <f>_xlfn.XLOOKUP(expected_production[[#This Row],[Site Name]],Table1[[Site Name ]],Table1[Commisioned Date],"")</f>
        <v>45861</v>
      </c>
      <c r="E2593" s="47">
        <f>IF(ISNUMBER(expected_production[[#This Row],[Commissioned Date]]),MAX(0,(expected_production[[#This Row],[Date]]-expected_production[[#This Row],[Commissioned Date]])/365.25),"")</f>
        <v>1.2758384668035592</v>
      </c>
      <c r="F2593" s="49">
        <f>IF(expected_production[[#This Row],[Age (yrs)]]="",1,(1-DegradationRate)^expected_production[[#This Row],[Age (yrs)]])</f>
        <v>0.99107776751597298</v>
      </c>
      <c r="G2593" s="52">
        <f>IF(expected_production[[#This Row],[Base Expected (kWh)]]="","",expected_production[[#This Row],[Base Expected (kWh)]]*expected_production[[#This Row],[Degradation Factor]])</f>
        <v>6753.1048000770879</v>
      </c>
    </row>
    <row r="2594" spans="1:7" ht="15" hidden="1" customHeight="1" x14ac:dyDescent="0.3">
      <c r="A2594" t="s">
        <v>211</v>
      </c>
      <c r="B2594" s="2">
        <v>46357</v>
      </c>
      <c r="C2594" s="52">
        <v>7296.3</v>
      </c>
      <c r="D2594" s="48">
        <f>_xlfn.XLOOKUP(expected_production[[#This Row],[Site Name]],Table1[[Site Name ]],Table1[Commisioned Date],"")</f>
        <v>45861</v>
      </c>
      <c r="E2594" s="47">
        <f>IF(ISNUMBER(expected_production[[#This Row],[Commissioned Date]]),MAX(0,(expected_production[[#This Row],[Date]]-expected_production[[#This Row],[Commissioned Date]])/365.25),"")</f>
        <v>1.3579739904175223</v>
      </c>
      <c r="F2594" s="49">
        <f>IF(expected_production[[#This Row],[Age (yrs)]]="",1,(1-DegradationRate)^expected_production[[#This Row],[Age (yrs)]])</f>
        <v>0.99050610988484844</v>
      </c>
      <c r="G2594" s="52">
        <f>IF(expected_production[[#This Row],[Base Expected (kWh)]]="","",expected_production[[#This Row],[Base Expected (kWh)]]*expected_production[[#This Row],[Degradation Factor]])</f>
        <v>7227.0297295528198</v>
      </c>
    </row>
    <row r="2595" spans="1:7" ht="15" hidden="1" customHeight="1" x14ac:dyDescent="0.3">
      <c r="A2595" t="s">
        <v>202</v>
      </c>
      <c r="B2595" s="2">
        <v>45292</v>
      </c>
      <c r="C2595" s="52">
        <v>28027.8</v>
      </c>
      <c r="D2595" s="48">
        <f>_xlfn.XLOOKUP(expected_production[[#This Row],[Site Name]],Table1[[Site Name ]],Table1[Commisioned Date],"")</f>
        <v>45059</v>
      </c>
      <c r="E2595" s="47">
        <f>IF(ISNUMBER(expected_production[[#This Row],[Commissioned Date]]),MAX(0,(expected_production[[#This Row],[Date]]-expected_production[[#This Row],[Commissioned Date]])/365.25),"")</f>
        <v>0.63791923340177958</v>
      </c>
      <c r="F2595" s="49">
        <f>IF(expected_production[[#This Row],[Age (yrs)]]="",1,(1-DegradationRate)^expected_production[[#This Row],[Age (yrs)]])</f>
        <v>0.99552888833824049</v>
      </c>
      <c r="G2595" s="52">
        <f>IF(expected_production[[#This Row],[Base Expected (kWh)]]="","",expected_production[[#This Row],[Base Expected (kWh)]]*expected_production[[#This Row],[Degradation Factor]])</f>
        <v>27902.484576566538</v>
      </c>
    </row>
    <row r="2596" spans="1:7" ht="15" hidden="1" customHeight="1" x14ac:dyDescent="0.3">
      <c r="A2596" t="s">
        <v>202</v>
      </c>
      <c r="B2596" s="2">
        <v>45323</v>
      </c>
      <c r="C2596" s="52">
        <v>23853.599999999999</v>
      </c>
      <c r="D2596" s="48">
        <f>_xlfn.XLOOKUP(expected_production[[#This Row],[Site Name]],Table1[[Site Name ]],Table1[Commisioned Date],"")</f>
        <v>45059</v>
      </c>
      <c r="E2596" s="47">
        <f>IF(ISNUMBER(expected_production[[#This Row],[Commissioned Date]]),MAX(0,(expected_production[[#This Row],[Date]]-expected_production[[#This Row],[Commissioned Date]])/365.25),"")</f>
        <v>0.7227926078028748</v>
      </c>
      <c r="F2596" s="49">
        <f>IF(expected_production[[#This Row],[Age (yrs)]]="",1,(1-DegradationRate)^expected_production[[#This Row],[Age (yrs)]])</f>
        <v>0.99493552815291597</v>
      </c>
      <c r="G2596" s="52">
        <f>IF(expected_production[[#This Row],[Base Expected (kWh)]]="","",expected_production[[#This Row],[Base Expected (kWh)]]*expected_production[[#This Row],[Degradation Factor]])</f>
        <v>23732.794114348395</v>
      </c>
    </row>
    <row r="2597" spans="1:7" ht="15" hidden="1" customHeight="1" x14ac:dyDescent="0.3">
      <c r="A2597" t="s">
        <v>202</v>
      </c>
      <c r="B2597" s="2">
        <v>45352</v>
      </c>
      <c r="C2597" s="52">
        <v>24144.3</v>
      </c>
      <c r="D2597" s="48">
        <f>_xlfn.XLOOKUP(expected_production[[#This Row],[Site Name]],Table1[[Site Name ]],Table1[Commisioned Date],"")</f>
        <v>45059</v>
      </c>
      <c r="E2597" s="47">
        <f>IF(ISNUMBER(expected_production[[#This Row],[Commissioned Date]]),MAX(0,(expected_production[[#This Row],[Date]]-expected_production[[#This Row],[Commissioned Date]])/365.25),"")</f>
        <v>0.80219028062970565</v>
      </c>
      <c r="F2597" s="49">
        <f>IF(expected_production[[#This Row],[Age (yrs)]]="",1,(1-DegradationRate)^expected_production[[#This Row],[Age (yrs)]])</f>
        <v>0.99438076944262244</v>
      </c>
      <c r="G2597" s="52">
        <f>IF(expected_production[[#This Row],[Base Expected (kWh)]]="","",expected_production[[#This Row],[Base Expected (kWh)]]*expected_production[[#This Row],[Degradation Factor]])</f>
        <v>24008.627611653508</v>
      </c>
    </row>
    <row r="2598" spans="1:7" ht="15" hidden="1" customHeight="1" x14ac:dyDescent="0.3">
      <c r="A2598" t="s">
        <v>202</v>
      </c>
      <c r="B2598" s="2">
        <v>45383</v>
      </c>
      <c r="C2598" s="52">
        <v>20043</v>
      </c>
      <c r="D2598" s="48">
        <f>_xlfn.XLOOKUP(expected_production[[#This Row],[Site Name]],Table1[[Site Name ]],Table1[Commisioned Date],"")</f>
        <v>45059</v>
      </c>
      <c r="E2598" s="47">
        <f>IF(ISNUMBER(expected_production[[#This Row],[Commissioned Date]]),MAX(0,(expected_production[[#This Row],[Date]]-expected_production[[#This Row],[Commissioned Date]])/365.25),"")</f>
        <v>0.88706365503080087</v>
      </c>
      <c r="F2598" s="49">
        <f>IF(expected_production[[#This Row],[Age (yrs)]]="",1,(1-DegradationRate)^expected_production[[#This Row],[Age (yrs)]])</f>
        <v>0.99378809356495457</v>
      </c>
      <c r="G2598" s="52">
        <f>IF(expected_production[[#This Row],[Base Expected (kWh)]]="","",expected_production[[#This Row],[Base Expected (kWh)]]*expected_production[[#This Row],[Degradation Factor]])</f>
        <v>19918.494759322384</v>
      </c>
    </row>
    <row r="2599" spans="1:7" ht="15" hidden="1" customHeight="1" x14ac:dyDescent="0.3">
      <c r="A2599" t="s">
        <v>202</v>
      </c>
      <c r="B2599" s="2">
        <v>45413</v>
      </c>
      <c r="C2599" s="52">
        <v>19021.5</v>
      </c>
      <c r="D2599" s="48">
        <f>_xlfn.XLOOKUP(expected_production[[#This Row],[Site Name]],Table1[[Site Name ]],Table1[Commisioned Date],"")</f>
        <v>45059</v>
      </c>
      <c r="E2599" s="47">
        <f>IF(ISNUMBER(expected_production[[#This Row],[Commissioned Date]]),MAX(0,(expected_production[[#This Row],[Date]]-expected_production[[#This Row],[Commissioned Date]])/365.25),"")</f>
        <v>0.9691991786447639</v>
      </c>
      <c r="F2599" s="49">
        <f>IF(expected_production[[#This Row],[Age (yrs)]]="",1,(1-DegradationRate)^expected_production[[#This Row],[Age (yrs)]])</f>
        <v>0.99321487260689489</v>
      </c>
      <c r="G2599" s="52">
        <f>IF(expected_production[[#This Row],[Base Expected (kWh)]]="","",expected_production[[#This Row],[Base Expected (kWh)]]*expected_production[[#This Row],[Degradation Factor]])</f>
        <v>18892.436699292051</v>
      </c>
    </row>
    <row r="2600" spans="1:7" ht="15" hidden="1" customHeight="1" x14ac:dyDescent="0.3">
      <c r="A2600" t="s">
        <v>202</v>
      </c>
      <c r="B2600" s="2">
        <v>45444</v>
      </c>
      <c r="C2600" s="52">
        <v>17054.099999999999</v>
      </c>
      <c r="D2600" s="48">
        <f>_xlfn.XLOOKUP(expected_production[[#This Row],[Site Name]],Table1[[Site Name ]],Table1[Commisioned Date],"")</f>
        <v>45059</v>
      </c>
      <c r="E2600" s="47">
        <f>IF(ISNUMBER(expected_production[[#This Row],[Commissioned Date]]),MAX(0,(expected_production[[#This Row],[Date]]-expected_production[[#This Row],[Commissioned Date]])/365.25),"")</f>
        <v>1.054072553045859</v>
      </c>
      <c r="F2600" s="49">
        <f>IF(expected_production[[#This Row],[Age (yrs)]]="",1,(1-DegradationRate)^expected_production[[#This Row],[Age (yrs)]])</f>
        <v>0.99262289163298179</v>
      </c>
      <c r="G2600" s="52">
        <f>IF(expected_production[[#This Row],[Base Expected (kWh)]]="","",expected_production[[#This Row],[Base Expected (kWh)]]*expected_production[[#This Row],[Degradation Factor]])</f>
        <v>16928.290056198035</v>
      </c>
    </row>
    <row r="2601" spans="1:7" ht="15" hidden="1" customHeight="1" x14ac:dyDescent="0.3">
      <c r="A2601" t="s">
        <v>202</v>
      </c>
      <c r="B2601" s="2">
        <v>45474</v>
      </c>
      <c r="C2601" s="52">
        <v>18900</v>
      </c>
      <c r="D2601" s="48">
        <f>_xlfn.XLOOKUP(expected_production[[#This Row],[Site Name]],Table1[[Site Name ]],Table1[Commisioned Date],"")</f>
        <v>45059</v>
      </c>
      <c r="E2601" s="47">
        <f>IF(ISNUMBER(expected_production[[#This Row],[Commissioned Date]]),MAX(0,(expected_production[[#This Row],[Date]]-expected_production[[#This Row],[Commissioned Date]])/365.25),"")</f>
        <v>1.1362080766598219</v>
      </c>
      <c r="F2601" s="49">
        <f>IF(expected_production[[#This Row],[Age (yrs)]]="",1,(1-DegradationRate)^expected_production[[#This Row],[Age (yrs)]])</f>
        <v>0.99205034276806958</v>
      </c>
      <c r="G2601" s="52">
        <f>IF(expected_production[[#This Row],[Base Expected (kWh)]]="","",expected_production[[#This Row],[Base Expected (kWh)]]*expected_production[[#This Row],[Degradation Factor]])</f>
        <v>18749.751478316513</v>
      </c>
    </row>
    <row r="2602" spans="1:7" ht="15" hidden="1" customHeight="1" x14ac:dyDescent="0.3">
      <c r="A2602" t="s">
        <v>202</v>
      </c>
      <c r="B2602" s="2">
        <v>45505</v>
      </c>
      <c r="C2602" s="52">
        <v>22066.2</v>
      </c>
      <c r="D2602" s="48">
        <f>_xlfn.XLOOKUP(expected_production[[#This Row],[Site Name]],Table1[[Site Name ]],Table1[Commisioned Date],"")</f>
        <v>45059</v>
      </c>
      <c r="E2602" s="47">
        <f>IF(ISNUMBER(expected_production[[#This Row],[Commissioned Date]]),MAX(0,(expected_production[[#This Row],[Date]]-expected_production[[#This Row],[Commissioned Date]])/365.25),"")</f>
        <v>1.2210814510609171</v>
      </c>
      <c r="F2602" s="49">
        <f>IF(expected_production[[#This Row],[Age (yrs)]]="",1,(1-DegradationRate)^expected_production[[#This Row],[Age (yrs)]])</f>
        <v>0.99145905588314687</v>
      </c>
      <c r="G2602" s="52">
        <f>IF(expected_production[[#This Row],[Base Expected (kWh)]]="","",expected_production[[#This Row],[Base Expected (kWh)]]*expected_production[[#This Row],[Degradation Factor]])</f>
        <v>21877.733818928697</v>
      </c>
    </row>
    <row r="2603" spans="1:7" ht="15" hidden="1" customHeight="1" x14ac:dyDescent="0.3">
      <c r="A2603" t="s">
        <v>202</v>
      </c>
      <c r="B2603" s="2">
        <v>45536</v>
      </c>
      <c r="C2603" s="52">
        <v>24526.799999999999</v>
      </c>
      <c r="D2603" s="48">
        <f>_xlfn.XLOOKUP(expected_production[[#This Row],[Site Name]],Table1[[Site Name ]],Table1[Commisioned Date],"")</f>
        <v>45059</v>
      </c>
      <c r="E2603" s="47">
        <f>IF(ISNUMBER(expected_production[[#This Row],[Commissioned Date]]),MAX(0,(expected_production[[#This Row],[Date]]-expected_production[[#This Row],[Commissioned Date]])/365.25),"")</f>
        <v>1.3059548254620124</v>
      </c>
      <c r="F2603" s="49">
        <f>IF(expected_production[[#This Row],[Age (yrs)]]="",1,(1-DegradationRate)^expected_production[[#This Row],[Age (yrs)]])</f>
        <v>0.990868121420037</v>
      </c>
      <c r="G2603" s="52">
        <f>IF(expected_production[[#This Row],[Base Expected (kWh)]]="","",expected_production[[#This Row],[Base Expected (kWh)]]*expected_production[[#This Row],[Degradation Factor]])</f>
        <v>24302.824240444963</v>
      </c>
    </row>
    <row r="2604" spans="1:7" ht="15" hidden="1" customHeight="1" x14ac:dyDescent="0.3">
      <c r="A2604" t="s">
        <v>202</v>
      </c>
      <c r="B2604" s="2">
        <v>45566</v>
      </c>
      <c r="C2604" s="52">
        <v>27256.5</v>
      </c>
      <c r="D2604" s="48">
        <f>_xlfn.XLOOKUP(expected_production[[#This Row],[Site Name]],Table1[[Site Name ]],Table1[Commisioned Date],"")</f>
        <v>45059</v>
      </c>
      <c r="E2604" s="47">
        <f>IF(ISNUMBER(expected_production[[#This Row],[Commissioned Date]]),MAX(0,(expected_production[[#This Row],[Date]]-expected_production[[#This Row],[Commissioned Date]])/365.25),"")</f>
        <v>1.3880903490759753</v>
      </c>
      <c r="F2604" s="49">
        <f>IF(expected_production[[#This Row],[Age (yrs)]]="",1,(1-DegradationRate)^expected_production[[#This Row],[Age (yrs)]])</f>
        <v>0.99029658471362136</v>
      </c>
      <c r="G2604" s="52">
        <f>IF(expected_production[[#This Row],[Base Expected (kWh)]]="","",expected_production[[#This Row],[Base Expected (kWh)]]*expected_production[[#This Row],[Degradation Factor]])</f>
        <v>26992.018861246819</v>
      </c>
    </row>
    <row r="2605" spans="1:7" ht="15" hidden="1" customHeight="1" x14ac:dyDescent="0.3">
      <c r="A2605" t="s">
        <v>202</v>
      </c>
      <c r="B2605" s="2">
        <v>45597</v>
      </c>
      <c r="C2605" s="52">
        <v>26973.9</v>
      </c>
      <c r="D2605" s="48">
        <f>_xlfn.XLOOKUP(expected_production[[#This Row],[Site Name]],Table1[[Site Name ]],Table1[Commisioned Date],"")</f>
        <v>45059</v>
      </c>
      <c r="E2605" s="47">
        <f>IF(ISNUMBER(expected_production[[#This Row],[Commissioned Date]]),MAX(0,(expected_production[[#This Row],[Date]]-expected_production[[#This Row],[Commissioned Date]])/365.25),"")</f>
        <v>1.4729637234770705</v>
      </c>
      <c r="F2605" s="49">
        <f>IF(expected_production[[#This Row],[Age (yrs)]]="",1,(1-DegradationRate)^expected_production[[#This Row],[Age (yrs)]])</f>
        <v>0.9897063431124834</v>
      </c>
      <c r="G2605" s="52">
        <f>IF(expected_production[[#This Row],[Base Expected (kWh)]]="","",expected_production[[#This Row],[Base Expected (kWh)]]*expected_production[[#This Row],[Degradation Factor]])</f>
        <v>26696.239928481817</v>
      </c>
    </row>
    <row r="2606" spans="1:7" ht="15" hidden="1" customHeight="1" x14ac:dyDescent="0.3">
      <c r="A2606" t="s">
        <v>202</v>
      </c>
      <c r="B2606" s="2">
        <v>45627</v>
      </c>
      <c r="C2606" s="52">
        <v>29028.6</v>
      </c>
      <c r="D2606" s="48">
        <f>_xlfn.XLOOKUP(expected_production[[#This Row],[Site Name]],Table1[[Site Name ]],Table1[Commisioned Date],"")</f>
        <v>45059</v>
      </c>
      <c r="E2606" s="47">
        <f>IF(ISNUMBER(expected_production[[#This Row],[Commissioned Date]]),MAX(0,(expected_production[[#This Row],[Date]]-expected_production[[#This Row],[Commissioned Date]])/365.25),"")</f>
        <v>1.5550992470910336</v>
      </c>
      <c r="F2606" s="49">
        <f>IF(expected_production[[#This Row],[Age (yrs)]]="",1,(1-DegradationRate)^expected_production[[#This Row],[Age (yrs)]])</f>
        <v>0.98913547652445499</v>
      </c>
      <c r="G2606" s="52">
        <f>IF(expected_production[[#This Row],[Base Expected (kWh)]]="","",expected_production[[#This Row],[Base Expected (kWh)]]*expected_production[[#This Row],[Degradation Factor]])</f>
        <v>28713.218093837793</v>
      </c>
    </row>
    <row r="2607" spans="1:7" ht="15" hidden="1" customHeight="1" x14ac:dyDescent="0.3">
      <c r="A2607" t="s">
        <v>202</v>
      </c>
      <c r="B2607" s="2">
        <v>45658</v>
      </c>
      <c r="C2607" s="52">
        <v>28027.8</v>
      </c>
      <c r="D2607" s="48">
        <f>_xlfn.XLOOKUP(expected_production[[#This Row],[Site Name]],Table1[[Site Name ]],Table1[Commisioned Date],"")</f>
        <v>45059</v>
      </c>
      <c r="E2607" s="47">
        <f>IF(ISNUMBER(expected_production[[#This Row],[Commissioned Date]]),MAX(0,(expected_production[[#This Row],[Date]]-expected_production[[#This Row],[Commissioned Date]])/365.25),"")</f>
        <v>1.6399726214921286</v>
      </c>
      <c r="F2607" s="49">
        <f>IF(expected_production[[#This Row],[Age (yrs)]]="",1,(1-DegradationRate)^expected_production[[#This Row],[Age (yrs)]])</f>
        <v>0.98854592697291832</v>
      </c>
      <c r="G2607" s="52">
        <f>IF(expected_production[[#This Row],[Base Expected (kWh)]]="","",expected_production[[#This Row],[Base Expected (kWh)]]*expected_production[[#This Row],[Degradation Factor]])</f>
        <v>27706.76753201156</v>
      </c>
    </row>
    <row r="2608" spans="1:7" ht="15" hidden="1" customHeight="1" x14ac:dyDescent="0.3">
      <c r="A2608" t="s">
        <v>202</v>
      </c>
      <c r="B2608" s="2">
        <v>45689</v>
      </c>
      <c r="C2608" s="52">
        <v>23853.599999999999</v>
      </c>
      <c r="D2608" s="48">
        <f>_xlfn.XLOOKUP(expected_production[[#This Row],[Site Name]],Table1[[Site Name ]],Table1[Commisioned Date],"")</f>
        <v>45059</v>
      </c>
      <c r="E2608" s="47">
        <f>IF(ISNUMBER(expected_production[[#This Row],[Commissioned Date]]),MAX(0,(expected_production[[#This Row],[Date]]-expected_production[[#This Row],[Commissioned Date]])/365.25),"")</f>
        <v>1.7248459958932238</v>
      </c>
      <c r="F2608" s="49">
        <f>IF(expected_production[[#This Row],[Age (yrs)]]="",1,(1-DegradationRate)^expected_production[[#This Row],[Age (yrs)]])</f>
        <v>0.98795672880770025</v>
      </c>
      <c r="G2608" s="52">
        <f>IF(expected_production[[#This Row],[Base Expected (kWh)]]="","",expected_production[[#This Row],[Base Expected (kWh)]]*expected_production[[#This Row],[Degradation Factor]])</f>
        <v>23566.324626287358</v>
      </c>
    </row>
    <row r="2609" spans="1:7" ht="15" hidden="1" customHeight="1" x14ac:dyDescent="0.3">
      <c r="A2609" t="s">
        <v>202</v>
      </c>
      <c r="B2609" s="2">
        <v>45717</v>
      </c>
      <c r="C2609" s="52">
        <v>24144.3</v>
      </c>
      <c r="D2609" s="48">
        <f>_xlfn.XLOOKUP(expected_production[[#This Row],[Site Name]],Table1[[Site Name ]],Table1[Commisioned Date],"")</f>
        <v>45059</v>
      </c>
      <c r="E2609" s="47">
        <f>IF(ISNUMBER(expected_production[[#This Row],[Commissioned Date]]),MAX(0,(expected_production[[#This Row],[Date]]-expected_production[[#This Row],[Commissioned Date]])/365.25),"")</f>
        <v>1.8015058179329226</v>
      </c>
      <c r="F2609" s="49">
        <f>IF(expected_production[[#This Row],[Age (yrs)]]="",1,(1-DegradationRate)^expected_production[[#This Row],[Age (yrs)]])</f>
        <v>0.98742485166958849</v>
      </c>
      <c r="G2609" s="52">
        <f>IF(expected_production[[#This Row],[Base Expected (kWh)]]="","",expected_production[[#This Row],[Base Expected (kWh)]]*expected_production[[#This Row],[Degradation Factor]])</f>
        <v>23840.681846166044</v>
      </c>
    </row>
    <row r="2610" spans="1:7" ht="15" hidden="1" customHeight="1" x14ac:dyDescent="0.3">
      <c r="A2610" t="s">
        <v>202</v>
      </c>
      <c r="B2610" s="2">
        <v>45748</v>
      </c>
      <c r="C2610" s="52">
        <v>20043</v>
      </c>
      <c r="D2610" s="48">
        <f>_xlfn.XLOOKUP(expected_production[[#This Row],[Site Name]],Table1[[Site Name ]],Table1[Commisioned Date],"")</f>
        <v>45059</v>
      </c>
      <c r="E2610" s="47">
        <f>IF(ISNUMBER(expected_production[[#This Row],[Commissioned Date]]),MAX(0,(expected_production[[#This Row],[Date]]-expected_production[[#This Row],[Commissioned Date]])/365.25),"")</f>
        <v>1.8863791923340179</v>
      </c>
      <c r="F2610" s="49">
        <f>IF(expected_production[[#This Row],[Age (yrs)]]="",1,(1-DegradationRate)^expected_production[[#This Row],[Age (yrs)]])</f>
        <v>0.98683632169336777</v>
      </c>
      <c r="G2610" s="52">
        <f>IF(expected_production[[#This Row],[Base Expected (kWh)]]="","",expected_production[[#This Row],[Base Expected (kWh)]]*expected_production[[#This Row],[Degradation Factor]])</f>
        <v>19779.160395700172</v>
      </c>
    </row>
    <row r="2611" spans="1:7" ht="15" hidden="1" customHeight="1" x14ac:dyDescent="0.3">
      <c r="A2611" t="s">
        <v>202</v>
      </c>
      <c r="B2611" s="2">
        <v>45778</v>
      </c>
      <c r="C2611" s="52">
        <v>19021.5</v>
      </c>
      <c r="D2611" s="48">
        <f>_xlfn.XLOOKUP(expected_production[[#This Row],[Site Name]],Table1[[Site Name ]],Table1[Commisioned Date],"")</f>
        <v>45059</v>
      </c>
      <c r="E2611" s="47">
        <f>IF(ISNUMBER(expected_production[[#This Row],[Commissioned Date]]),MAX(0,(expected_production[[#This Row],[Date]]-expected_production[[#This Row],[Commissioned Date]])/365.25),"")</f>
        <v>1.9685147159479808</v>
      </c>
      <c r="F2611" s="49">
        <f>IF(expected_production[[#This Row],[Age (yrs)]]="",1,(1-DegradationRate)^expected_production[[#This Row],[Age (yrs)]])</f>
        <v>0.98626711054520444</v>
      </c>
      <c r="G2611" s="52">
        <f>IF(expected_production[[#This Row],[Base Expected (kWh)]]="","",expected_production[[#This Row],[Base Expected (kWh)]]*expected_production[[#This Row],[Degradation Factor]])</f>
        <v>18760.279843235607</v>
      </c>
    </row>
    <row r="2612" spans="1:7" ht="15" hidden="1" customHeight="1" x14ac:dyDescent="0.3">
      <c r="A2612" t="s">
        <v>202</v>
      </c>
      <c r="B2612" s="2">
        <v>45809</v>
      </c>
      <c r="C2612" s="52">
        <v>17054.099999999999</v>
      </c>
      <c r="D2612" s="48">
        <f>_xlfn.XLOOKUP(expected_production[[#This Row],[Site Name]],Table1[[Site Name ]],Table1[Commisioned Date],"")</f>
        <v>45059</v>
      </c>
      <c r="E2612" s="47">
        <f>IF(ISNUMBER(expected_production[[#This Row],[Commissioned Date]]),MAX(0,(expected_production[[#This Row],[Date]]-expected_production[[#This Row],[Commissioned Date]])/365.25),"")</f>
        <v>2.0533880903490758</v>
      </c>
      <c r="F2612" s="49">
        <f>IF(expected_production[[#This Row],[Age (yrs)]]="",1,(1-DegradationRate)^expected_production[[#This Row],[Age (yrs)]])</f>
        <v>0.98567927061173</v>
      </c>
      <c r="G2612" s="52">
        <f>IF(expected_production[[#This Row],[Base Expected (kWh)]]="","",expected_production[[#This Row],[Base Expected (kWh)]]*expected_production[[#This Row],[Degradation Factor]])</f>
        <v>16809.872848939503</v>
      </c>
    </row>
    <row r="2613" spans="1:7" ht="15" hidden="1" customHeight="1" x14ac:dyDescent="0.3">
      <c r="A2613" t="s">
        <v>202</v>
      </c>
      <c r="B2613" s="2">
        <v>45839</v>
      </c>
      <c r="C2613" s="52">
        <v>18900</v>
      </c>
      <c r="D2613" s="48">
        <f>_xlfn.XLOOKUP(expected_production[[#This Row],[Site Name]],Table1[[Site Name ]],Table1[Commisioned Date],"")</f>
        <v>45059</v>
      </c>
      <c r="E2613" s="47">
        <f>IF(ISNUMBER(expected_production[[#This Row],[Commissioned Date]]),MAX(0,(expected_production[[#This Row],[Date]]-expected_production[[#This Row],[Commissioned Date]])/365.25),"")</f>
        <v>2.1355236139630391</v>
      </c>
      <c r="F2613" s="49">
        <f>IF(expected_production[[#This Row],[Age (yrs)]]="",1,(1-DegradationRate)^expected_production[[#This Row],[Age (yrs)]])</f>
        <v>0.98511072685527112</v>
      </c>
      <c r="G2613" s="52">
        <f>IF(expected_production[[#This Row],[Base Expected (kWh)]]="","",expected_production[[#This Row],[Base Expected (kWh)]]*expected_production[[#This Row],[Degradation Factor]])</f>
        <v>18618.592737564624</v>
      </c>
    </row>
    <row r="2614" spans="1:7" ht="15" hidden="1" customHeight="1" x14ac:dyDescent="0.3">
      <c r="A2614" t="s">
        <v>202</v>
      </c>
      <c r="B2614" s="2">
        <v>45870</v>
      </c>
      <c r="C2614" s="52">
        <v>22066.2</v>
      </c>
      <c r="D2614" s="48">
        <f>_xlfn.XLOOKUP(expected_production[[#This Row],[Site Name]],Table1[[Site Name ]],Table1[Commisioned Date],"")</f>
        <v>45059</v>
      </c>
      <c r="E2614" s="47">
        <f>IF(ISNUMBER(expected_production[[#This Row],[Commissioned Date]]),MAX(0,(expected_production[[#This Row],[Date]]-expected_production[[#This Row],[Commissioned Date]])/365.25),"")</f>
        <v>2.2203969883641341</v>
      </c>
      <c r="F2614" s="49">
        <f>IF(expected_production[[#This Row],[Age (yrs)]]="",1,(1-DegradationRate)^expected_production[[#This Row],[Age (yrs)]])</f>
        <v>0.98452357615547803</v>
      </c>
      <c r="G2614" s="52">
        <f>IF(expected_production[[#This Row],[Base Expected (kWh)]]="","",expected_production[[#This Row],[Base Expected (kWh)]]*expected_production[[#This Row],[Degradation Factor]])</f>
        <v>21724.694136162008</v>
      </c>
    </row>
    <row r="2615" spans="1:7" ht="15" hidden="1" customHeight="1" x14ac:dyDescent="0.3">
      <c r="A2615" t="s">
        <v>202</v>
      </c>
      <c r="B2615" s="2">
        <v>45901</v>
      </c>
      <c r="C2615" s="52">
        <v>24526.799999999999</v>
      </c>
      <c r="D2615" s="48">
        <f>_xlfn.XLOOKUP(expected_production[[#This Row],[Site Name]],Table1[[Site Name ]],Table1[Commisioned Date],"")</f>
        <v>45059</v>
      </c>
      <c r="E2615" s="47">
        <f>IF(ISNUMBER(expected_production[[#This Row],[Commissioned Date]]),MAX(0,(expected_production[[#This Row],[Date]]-expected_production[[#This Row],[Commissioned Date]])/365.25),"")</f>
        <v>2.3052703627652291</v>
      </c>
      <c r="F2615" s="49">
        <f>IF(expected_production[[#This Row],[Age (yrs)]]="",1,(1-DegradationRate)^expected_production[[#This Row],[Age (yrs)]])</f>
        <v>0.98393677541222779</v>
      </c>
      <c r="G2615" s="52">
        <f>IF(expected_production[[#This Row],[Base Expected (kWh)]]="","",expected_production[[#This Row],[Base Expected (kWh)]]*expected_production[[#This Row],[Degradation Factor]])</f>
        <v>24132.820503180628</v>
      </c>
    </row>
    <row r="2616" spans="1:7" ht="15" hidden="1" customHeight="1" x14ac:dyDescent="0.3">
      <c r="A2616" t="s">
        <v>202</v>
      </c>
      <c r="B2616" s="2">
        <v>45931</v>
      </c>
      <c r="C2616" s="52">
        <v>27256.5</v>
      </c>
      <c r="D2616" s="48">
        <f>_xlfn.XLOOKUP(expected_production[[#This Row],[Site Name]],Table1[[Site Name ]],Table1[Commisioned Date],"")</f>
        <v>45059</v>
      </c>
      <c r="E2616" s="47">
        <f>IF(ISNUMBER(expected_production[[#This Row],[Commissioned Date]]),MAX(0,(expected_production[[#This Row],[Date]]-expected_production[[#This Row],[Commissioned Date]])/365.25),"")</f>
        <v>2.3874058863791925</v>
      </c>
      <c r="F2616" s="49">
        <f>IF(expected_production[[#This Row],[Age (yrs)]]="",1,(1-DegradationRate)^expected_production[[#This Row],[Age (yrs)]])</f>
        <v>0.98336923673398835</v>
      </c>
      <c r="G2616" s="52">
        <f>IF(expected_production[[#This Row],[Base Expected (kWh)]]="","",expected_production[[#This Row],[Base Expected (kWh)]]*expected_production[[#This Row],[Degradation Factor]])</f>
        <v>26803.203601039953</v>
      </c>
    </row>
    <row r="2617" spans="1:7" ht="15" hidden="1" customHeight="1" x14ac:dyDescent="0.3">
      <c r="A2617" t="s">
        <v>202</v>
      </c>
      <c r="B2617" s="2">
        <v>45962</v>
      </c>
      <c r="C2617" s="52">
        <v>26973.9</v>
      </c>
      <c r="D2617" s="48">
        <f>_xlfn.XLOOKUP(expected_production[[#This Row],[Site Name]],Table1[[Site Name ]],Table1[Commisioned Date],"")</f>
        <v>45059</v>
      </c>
      <c r="E2617" s="47">
        <f>IF(ISNUMBER(expected_production[[#This Row],[Commissioned Date]]),MAX(0,(expected_production[[#This Row],[Date]]-expected_production[[#This Row],[Commissioned Date]])/365.25),"")</f>
        <v>2.4722792607802875</v>
      </c>
      <c r="F2617" s="49">
        <f>IF(expected_production[[#This Row],[Age (yrs)]]="",1,(1-DegradationRate)^expected_production[[#This Row],[Age (yrs)]])</f>
        <v>0.98278312400598411</v>
      </c>
      <c r="G2617" s="52">
        <f>IF(expected_production[[#This Row],[Base Expected (kWh)]]="","",expected_production[[#This Row],[Base Expected (kWh)]]*expected_production[[#This Row],[Degradation Factor]])</f>
        <v>26509.493708625017</v>
      </c>
    </row>
    <row r="2618" spans="1:7" ht="15" hidden="1" customHeight="1" x14ac:dyDescent="0.3">
      <c r="A2618" t="s">
        <v>202</v>
      </c>
      <c r="B2618" s="2">
        <v>45992</v>
      </c>
      <c r="C2618" s="52">
        <v>29028.6</v>
      </c>
      <c r="D2618" s="48">
        <f>_xlfn.XLOOKUP(expected_production[[#This Row],[Site Name]],Table1[[Site Name ]],Table1[Commisioned Date],"")</f>
        <v>45059</v>
      </c>
      <c r="E2618" s="47">
        <f>IF(ISNUMBER(expected_production[[#This Row],[Commissioned Date]]),MAX(0,(expected_production[[#This Row],[Date]]-expected_production[[#This Row],[Commissioned Date]])/365.25),"")</f>
        <v>2.5544147843942504</v>
      </c>
      <c r="F2618" s="49">
        <f>IF(expected_production[[#This Row],[Age (yrs)]]="",1,(1-DegradationRate)^expected_production[[#This Row],[Age (yrs)]])</f>
        <v>0.98221625075850261</v>
      </c>
      <c r="G2618" s="52">
        <f>IF(expected_production[[#This Row],[Base Expected (kWh)]]="","",expected_production[[#This Row],[Base Expected (kWh)]]*expected_production[[#This Row],[Degradation Factor]])</f>
        <v>28512.362656768266</v>
      </c>
    </row>
    <row r="2619" spans="1:7" ht="15" hidden="1" customHeight="1" x14ac:dyDescent="0.3">
      <c r="A2619" t="s">
        <v>202</v>
      </c>
      <c r="B2619" s="2">
        <v>46023</v>
      </c>
      <c r="C2619" s="52">
        <v>28027.8</v>
      </c>
      <c r="D2619" s="48">
        <f>_xlfn.XLOOKUP(expected_production[[#This Row],[Site Name]],Table1[[Site Name ]],Table1[Commisioned Date],"")</f>
        <v>45059</v>
      </c>
      <c r="E2619" s="47">
        <f>IF(ISNUMBER(expected_production[[#This Row],[Commissioned Date]]),MAX(0,(expected_production[[#This Row],[Date]]-expected_production[[#This Row],[Commissioned Date]])/365.25),"")</f>
        <v>2.6392881587953458</v>
      </c>
      <c r="F2619" s="49">
        <f>IF(expected_production[[#This Row],[Age (yrs)]]="",1,(1-DegradationRate)^expected_production[[#This Row],[Age (yrs)]])</f>
        <v>0.98163082523905676</v>
      </c>
      <c r="G2619" s="52">
        <f>IF(expected_production[[#This Row],[Base Expected (kWh)]]="","",expected_production[[#This Row],[Base Expected (kWh)]]*expected_production[[#This Row],[Degradation Factor]])</f>
        <v>27512.952443635233</v>
      </c>
    </row>
    <row r="2620" spans="1:7" ht="15" hidden="1" customHeight="1" x14ac:dyDescent="0.3">
      <c r="A2620" t="s">
        <v>202</v>
      </c>
      <c r="B2620" s="2">
        <v>46054</v>
      </c>
      <c r="C2620" s="52">
        <v>23853.599999999999</v>
      </c>
      <c r="D2620" s="48">
        <f>_xlfn.XLOOKUP(expected_production[[#This Row],[Site Name]],Table1[[Site Name ]],Table1[Commisioned Date],"")</f>
        <v>45059</v>
      </c>
      <c r="E2620" s="47">
        <f>IF(ISNUMBER(expected_production[[#This Row],[Commissioned Date]]),MAX(0,(expected_production[[#This Row],[Date]]-expected_production[[#This Row],[Commissioned Date]])/365.25),"")</f>
        <v>2.7241615331964408</v>
      </c>
      <c r="F2620" s="49">
        <f>IF(expected_production[[#This Row],[Age (yrs)]]="",1,(1-DegradationRate)^expected_production[[#This Row],[Age (yrs)]])</f>
        <v>0.98104574864790284</v>
      </c>
      <c r="G2620" s="52">
        <f>IF(expected_production[[#This Row],[Base Expected (kWh)]]="","",expected_production[[#This Row],[Base Expected (kWh)]]*expected_production[[#This Row],[Degradation Factor]])</f>
        <v>23401.472869947615</v>
      </c>
    </row>
    <row r="2621" spans="1:7" ht="15" hidden="1" customHeight="1" x14ac:dyDescent="0.3">
      <c r="A2621" t="s">
        <v>202</v>
      </c>
      <c r="B2621" s="2">
        <v>46082</v>
      </c>
      <c r="C2621" s="52">
        <v>24144.3</v>
      </c>
      <c r="D2621" s="48">
        <f>_xlfn.XLOOKUP(expected_production[[#This Row],[Site Name]],Table1[[Site Name ]],Table1[Commisioned Date],"")</f>
        <v>45059</v>
      </c>
      <c r="E2621" s="47">
        <f>IF(ISNUMBER(expected_production[[#This Row],[Commissioned Date]]),MAX(0,(expected_production[[#This Row],[Date]]-expected_production[[#This Row],[Commissioned Date]])/365.25),"")</f>
        <v>2.8008213552361396</v>
      </c>
      <c r="F2621" s="49">
        <f>IF(expected_production[[#This Row],[Age (yrs)]]="",1,(1-DegradationRate)^expected_production[[#This Row],[Age (yrs)]])</f>
        <v>0.98051759211034151</v>
      </c>
      <c r="G2621" s="52">
        <f>IF(expected_production[[#This Row],[Base Expected (kWh)]]="","",expected_production[[#This Row],[Base Expected (kWh)]]*expected_production[[#This Row],[Degradation Factor]])</f>
        <v>23673.910899189719</v>
      </c>
    </row>
    <row r="2622" spans="1:7" ht="15" hidden="1" customHeight="1" x14ac:dyDescent="0.3">
      <c r="A2622" t="s">
        <v>202</v>
      </c>
      <c r="B2622" s="2">
        <v>46113</v>
      </c>
      <c r="C2622" s="52">
        <v>20043</v>
      </c>
      <c r="D2622" s="48">
        <f>_xlfn.XLOOKUP(expected_production[[#This Row],[Site Name]],Table1[[Site Name ]],Table1[Commisioned Date],"")</f>
        <v>45059</v>
      </c>
      <c r="E2622" s="47">
        <f>IF(ISNUMBER(expected_production[[#This Row],[Commissioned Date]]),MAX(0,(expected_production[[#This Row],[Date]]-expected_production[[#This Row],[Commissioned Date]])/365.25),"")</f>
        <v>2.8856947296372346</v>
      </c>
      <c r="F2622" s="49">
        <f>IF(expected_production[[#This Row],[Age (yrs)]]="",1,(1-DegradationRate)^expected_production[[#This Row],[Age (yrs)]])</f>
        <v>0.97993317903405219</v>
      </c>
      <c r="G2622" s="52">
        <f>IF(expected_production[[#This Row],[Base Expected (kWh)]]="","",expected_production[[#This Row],[Base Expected (kWh)]]*expected_production[[#This Row],[Degradation Factor]])</f>
        <v>19640.800707379509</v>
      </c>
    </row>
    <row r="2623" spans="1:7" ht="15" hidden="1" customHeight="1" x14ac:dyDescent="0.3">
      <c r="A2623" t="s">
        <v>202</v>
      </c>
      <c r="B2623" s="2">
        <v>46143</v>
      </c>
      <c r="C2623" s="52">
        <v>19021.5</v>
      </c>
      <c r="D2623" s="48">
        <f>_xlfn.XLOOKUP(expected_production[[#This Row],[Site Name]],Table1[[Site Name ]],Table1[Commisioned Date],"")</f>
        <v>45059</v>
      </c>
      <c r="E2623" s="47">
        <f>IF(ISNUMBER(expected_production[[#This Row],[Commissioned Date]]),MAX(0,(expected_production[[#This Row],[Date]]-expected_production[[#This Row],[Commissioned Date]])/365.25),"")</f>
        <v>2.967830253251198</v>
      </c>
      <c r="F2623" s="49">
        <f>IF(expected_production[[#This Row],[Age (yrs)]]="",1,(1-DegradationRate)^expected_production[[#This Row],[Age (yrs)]])</f>
        <v>0.97936794964626062</v>
      </c>
      <c r="G2623" s="52">
        <f>IF(expected_production[[#This Row],[Base Expected (kWh)]]="","",expected_production[[#This Row],[Base Expected (kWh)]]*expected_production[[#This Row],[Degradation Factor]])</f>
        <v>18629.047454196345</v>
      </c>
    </row>
    <row r="2624" spans="1:7" ht="15" hidden="1" customHeight="1" x14ac:dyDescent="0.3">
      <c r="A2624" t="s">
        <v>202</v>
      </c>
      <c r="B2624" s="2">
        <v>46174</v>
      </c>
      <c r="C2624" s="52">
        <v>17054.099999999999</v>
      </c>
      <c r="D2624" s="48">
        <f>_xlfn.XLOOKUP(expected_production[[#This Row],[Site Name]],Table1[[Site Name ]],Table1[Commisioned Date],"")</f>
        <v>45059</v>
      </c>
      <c r="E2624" s="47">
        <f>IF(ISNUMBER(expected_production[[#This Row],[Commissioned Date]]),MAX(0,(expected_production[[#This Row],[Date]]-expected_production[[#This Row],[Commissioned Date]])/365.25),"")</f>
        <v>3.052703627652293</v>
      </c>
      <c r="F2624" s="49">
        <f>IF(expected_production[[#This Row],[Age (yrs)]]="",1,(1-DegradationRate)^expected_production[[#This Row],[Age (yrs)]])</f>
        <v>0.978784221785713</v>
      </c>
      <c r="G2624" s="52">
        <f>IF(expected_production[[#This Row],[Base Expected (kWh)]]="","",expected_production[[#This Row],[Base Expected (kWh)]]*expected_production[[#This Row],[Degradation Factor]])</f>
        <v>16692.283996755727</v>
      </c>
    </row>
    <row r="2625" spans="1:7" ht="15" hidden="1" customHeight="1" x14ac:dyDescent="0.3">
      <c r="A2625" t="s">
        <v>202</v>
      </c>
      <c r="B2625" s="2">
        <v>46204</v>
      </c>
      <c r="C2625" s="52">
        <v>18900</v>
      </c>
      <c r="D2625" s="48">
        <f>_xlfn.XLOOKUP(expected_production[[#This Row],[Site Name]],Table1[[Site Name ]],Table1[Commisioned Date],"")</f>
        <v>45059</v>
      </c>
      <c r="E2625" s="47">
        <f>IF(ISNUMBER(expected_production[[#This Row],[Commissioned Date]]),MAX(0,(expected_production[[#This Row],[Date]]-expected_production[[#This Row],[Commissioned Date]])/365.25),"")</f>
        <v>3.1348391512662559</v>
      </c>
      <c r="F2625" s="49">
        <f>IF(expected_production[[#This Row],[Age (yrs)]]="",1,(1-DegradationRate)^expected_production[[#This Row],[Age (yrs)]])</f>
        <v>0.97821965512107012</v>
      </c>
      <c r="G2625" s="52">
        <f>IF(expected_production[[#This Row],[Base Expected (kWh)]]="","",expected_production[[#This Row],[Base Expected (kWh)]]*expected_production[[#This Row],[Degradation Factor]])</f>
        <v>18488.351481788224</v>
      </c>
    </row>
    <row r="2626" spans="1:7" ht="15" hidden="1" customHeight="1" x14ac:dyDescent="0.3">
      <c r="A2626" t="s">
        <v>202</v>
      </c>
      <c r="B2626" s="2">
        <v>46235</v>
      </c>
      <c r="C2626" s="52">
        <v>22066.2</v>
      </c>
      <c r="D2626" s="48">
        <f>_xlfn.XLOOKUP(expected_production[[#This Row],[Site Name]],Table1[[Site Name ]],Table1[Commisioned Date],"")</f>
        <v>45059</v>
      </c>
      <c r="E2626" s="47">
        <f>IF(ISNUMBER(expected_production[[#This Row],[Commissioned Date]]),MAX(0,(expected_production[[#This Row],[Date]]-expected_production[[#This Row],[Commissioned Date]])/365.25),"")</f>
        <v>3.2197125256673513</v>
      </c>
      <c r="F2626" s="49">
        <f>IF(expected_production[[#This Row],[Age (yrs)]]="",1,(1-DegradationRate)^expected_production[[#This Row],[Age (yrs)]])</f>
        <v>0.97763661167285887</v>
      </c>
      <c r="G2626" s="52">
        <f>IF(expected_production[[#This Row],[Base Expected (kWh)]]="","",expected_production[[#This Row],[Base Expected (kWh)]]*expected_production[[#This Row],[Degradation Factor]])</f>
        <v>21572.72500049564</v>
      </c>
    </row>
    <row r="2627" spans="1:7" ht="15" hidden="1" customHeight="1" x14ac:dyDescent="0.3">
      <c r="A2627" t="s">
        <v>202</v>
      </c>
      <c r="B2627" s="2">
        <v>46266</v>
      </c>
      <c r="C2627" s="52">
        <v>24526.799999999999</v>
      </c>
      <c r="D2627" s="48">
        <f>_xlfn.XLOOKUP(expected_production[[#This Row],[Site Name]],Table1[[Site Name ]],Table1[Commisioned Date],"")</f>
        <v>45059</v>
      </c>
      <c r="E2627" s="47">
        <f>IF(ISNUMBER(expected_production[[#This Row],[Commissioned Date]]),MAX(0,(expected_production[[#This Row],[Date]]-expected_production[[#This Row],[Commissioned Date]])/365.25),"")</f>
        <v>3.3045859000684463</v>
      </c>
      <c r="F2627" s="49">
        <f>IF(expected_production[[#This Row],[Age (yrs)]]="",1,(1-DegradationRate)^expected_production[[#This Row],[Age (yrs)]])</f>
        <v>0.97705391573316536</v>
      </c>
      <c r="G2627" s="52">
        <f>IF(expected_production[[#This Row],[Base Expected (kWh)]]="","",expected_production[[#This Row],[Base Expected (kWh)]]*expected_production[[#This Row],[Degradation Factor]])</f>
        <v>23964.005980404199</v>
      </c>
    </row>
    <row r="2628" spans="1:7" ht="15" hidden="1" customHeight="1" x14ac:dyDescent="0.3">
      <c r="A2628" t="s">
        <v>202</v>
      </c>
      <c r="B2628" s="2">
        <v>46296</v>
      </c>
      <c r="C2628" s="52">
        <v>27256.5</v>
      </c>
      <c r="D2628" s="48">
        <f>_xlfn.XLOOKUP(expected_production[[#This Row],[Site Name]],Table1[[Site Name ]],Table1[Commisioned Date],"")</f>
        <v>45059</v>
      </c>
      <c r="E2628" s="47">
        <f>IF(ISNUMBER(expected_production[[#This Row],[Commissioned Date]]),MAX(0,(expected_production[[#This Row],[Date]]-expected_production[[#This Row],[Commissioned Date]])/365.25),"")</f>
        <v>3.3867214236824092</v>
      </c>
      <c r="F2628" s="49">
        <f>IF(expected_production[[#This Row],[Age (yrs)]]="",1,(1-DegradationRate)^expected_production[[#This Row],[Age (yrs)]])</f>
        <v>0.97649034711599325</v>
      </c>
      <c r="G2628" s="52">
        <f>IF(expected_production[[#This Row],[Base Expected (kWh)]]="","",expected_production[[#This Row],[Base Expected (kWh)]]*expected_production[[#This Row],[Degradation Factor]])</f>
        <v>26615.709146167072</v>
      </c>
    </row>
    <row r="2629" spans="1:7" ht="15" hidden="1" customHeight="1" x14ac:dyDescent="0.3">
      <c r="A2629" t="s">
        <v>202</v>
      </c>
      <c r="B2629" s="2">
        <v>46327</v>
      </c>
      <c r="C2629" s="52">
        <v>26973.9</v>
      </c>
      <c r="D2629" s="48">
        <f>_xlfn.XLOOKUP(expected_production[[#This Row],[Site Name]],Table1[[Site Name ]],Table1[Commisioned Date],"")</f>
        <v>45059</v>
      </c>
      <c r="E2629" s="47">
        <f>IF(ISNUMBER(expected_production[[#This Row],[Commissioned Date]]),MAX(0,(expected_production[[#This Row],[Date]]-expected_production[[#This Row],[Commissioned Date]])/365.25),"")</f>
        <v>3.4715947980835042</v>
      </c>
      <c r="F2629" s="49">
        <f>IF(expected_production[[#This Row],[Age (yrs)]]="",1,(1-DegradationRate)^expected_production[[#This Row],[Age (yrs)]])</f>
        <v>0.97590833437872404</v>
      </c>
      <c r="G2629" s="52">
        <f>IF(expected_production[[#This Row],[Base Expected (kWh)]]="","",expected_production[[#This Row],[Base Expected (kWh)]]*expected_production[[#This Row],[Degradation Factor]])</f>
        <v>26324.053820698267</v>
      </c>
    </row>
    <row r="2630" spans="1:7" ht="15" hidden="1" customHeight="1" x14ac:dyDescent="0.3">
      <c r="A2630" t="s">
        <v>202</v>
      </c>
      <c r="B2630" s="2">
        <v>46357</v>
      </c>
      <c r="C2630" s="52">
        <v>29028.6</v>
      </c>
      <c r="D2630" s="48">
        <f>_xlfn.XLOOKUP(expected_production[[#This Row],[Site Name]],Table1[[Site Name ]],Table1[Commisioned Date],"")</f>
        <v>45059</v>
      </c>
      <c r="E2630" s="47">
        <f>IF(ISNUMBER(expected_production[[#This Row],[Commissioned Date]]),MAX(0,(expected_production[[#This Row],[Date]]-expected_production[[#This Row],[Commissioned Date]])/365.25),"")</f>
        <v>3.5537303216974676</v>
      </c>
      <c r="F2630" s="49">
        <f>IF(expected_production[[#This Row],[Age (yrs)]]="",1,(1-DegradationRate)^expected_production[[#This Row],[Age (yrs)]])</f>
        <v>0.97534542653747158</v>
      </c>
      <c r="G2630" s="52">
        <f>IF(expected_production[[#This Row],[Base Expected (kWh)]]="","",expected_production[[#This Row],[Base Expected (kWh)]]*expected_production[[#This Row],[Degradation Factor]])</f>
        <v>28312.912248785648</v>
      </c>
    </row>
    <row r="2631" spans="1:7" ht="15" hidden="1" customHeight="1" x14ac:dyDescent="0.3">
      <c r="A2631" t="s">
        <v>206</v>
      </c>
      <c r="B2631" s="2">
        <v>45292</v>
      </c>
      <c r="C2631" s="52"/>
      <c r="D2631" s="48">
        <f>_xlfn.XLOOKUP(expected_production[[#This Row],[Site Name]],Table1[[Site Name ]],Table1[Commisioned Date],"")</f>
        <v>45188</v>
      </c>
      <c r="E2631" s="47">
        <f>IF(ISNUMBER(expected_production[[#This Row],[Commissioned Date]]),MAX(0,(expected_production[[#This Row],[Date]]-expected_production[[#This Row],[Commissioned Date]])/365.25),"")</f>
        <v>0.28473648186173856</v>
      </c>
      <c r="F2631" s="49">
        <f>IF(expected_production[[#This Row],[Age (yrs)]]="",1,(1-DegradationRate)^expected_production[[#This Row],[Age (yrs)]])</f>
        <v>0.99800183485172089</v>
      </c>
      <c r="G2631" s="52" t="str">
        <f>IF(expected_production[[#This Row],[Base Expected (kWh)]]="","",expected_production[[#This Row],[Base Expected (kWh)]]*expected_production[[#This Row],[Degradation Factor]])</f>
        <v/>
      </c>
    </row>
    <row r="2632" spans="1:7" ht="15" hidden="1" customHeight="1" x14ac:dyDescent="0.3">
      <c r="A2632" t="s">
        <v>206</v>
      </c>
      <c r="B2632" s="2">
        <v>45323</v>
      </c>
      <c r="C2632" s="52"/>
      <c r="D2632" s="48">
        <f>_xlfn.XLOOKUP(expected_production[[#This Row],[Site Name]],Table1[[Site Name ]],Table1[Commisioned Date],"")</f>
        <v>45188</v>
      </c>
      <c r="E2632" s="47">
        <f>IF(ISNUMBER(expected_production[[#This Row],[Commissioned Date]]),MAX(0,(expected_production[[#This Row],[Date]]-expected_production[[#This Row],[Commissioned Date]])/365.25),"")</f>
        <v>0.36960985626283366</v>
      </c>
      <c r="F2632" s="49">
        <f>IF(expected_production[[#This Row],[Age (yrs)]]="",1,(1-DegradationRate)^expected_production[[#This Row],[Age (yrs)]])</f>
        <v>0.99740700072825283</v>
      </c>
      <c r="G2632" s="52" t="str">
        <f>IF(expected_production[[#This Row],[Base Expected (kWh)]]="","",expected_production[[#This Row],[Base Expected (kWh)]]*expected_production[[#This Row],[Degradation Factor]])</f>
        <v/>
      </c>
    </row>
    <row r="2633" spans="1:7" ht="15" hidden="1" customHeight="1" x14ac:dyDescent="0.3">
      <c r="A2633" t="s">
        <v>206</v>
      </c>
      <c r="B2633" s="2">
        <v>45352</v>
      </c>
      <c r="C2633" s="52"/>
      <c r="D2633" s="48">
        <f>_xlfn.XLOOKUP(expected_production[[#This Row],[Site Name]],Table1[[Site Name ]],Table1[Commisioned Date],"")</f>
        <v>45188</v>
      </c>
      <c r="E2633" s="47">
        <f>IF(ISNUMBER(expected_production[[#This Row],[Commissioned Date]]),MAX(0,(expected_production[[#This Row],[Date]]-expected_production[[#This Row],[Commissioned Date]])/365.25),"")</f>
        <v>0.44900752908966463</v>
      </c>
      <c r="F2633" s="49">
        <f>IF(expected_production[[#This Row],[Age (yrs)]]="",1,(1-DegradationRate)^expected_production[[#This Row],[Age (yrs)]])</f>
        <v>0.99685086396792522</v>
      </c>
      <c r="G2633" s="52" t="str">
        <f>IF(expected_production[[#This Row],[Base Expected (kWh)]]="","",expected_production[[#This Row],[Base Expected (kWh)]]*expected_production[[#This Row],[Degradation Factor]])</f>
        <v/>
      </c>
    </row>
    <row r="2634" spans="1:7" ht="15" hidden="1" customHeight="1" x14ac:dyDescent="0.3">
      <c r="A2634" t="s">
        <v>206</v>
      </c>
      <c r="B2634" s="2">
        <v>45383</v>
      </c>
      <c r="C2634" s="52"/>
      <c r="D2634" s="48">
        <f>_xlfn.XLOOKUP(expected_production[[#This Row],[Site Name]],Table1[[Site Name ]],Table1[Commisioned Date],"")</f>
        <v>45188</v>
      </c>
      <c r="E2634" s="47">
        <f>IF(ISNUMBER(expected_production[[#This Row],[Commissioned Date]]),MAX(0,(expected_production[[#This Row],[Date]]-expected_production[[#This Row],[Commissioned Date]])/365.25),"")</f>
        <v>0.53388090349075978</v>
      </c>
      <c r="F2634" s="49">
        <f>IF(expected_production[[#This Row],[Age (yrs)]]="",1,(1-DegradationRate)^expected_production[[#This Row],[Age (yrs)]])</f>
        <v>0.99625671585197029</v>
      </c>
      <c r="G2634" s="52" t="str">
        <f>IF(expected_production[[#This Row],[Base Expected (kWh)]]="","",expected_production[[#This Row],[Base Expected (kWh)]]*expected_production[[#This Row],[Degradation Factor]])</f>
        <v/>
      </c>
    </row>
    <row r="2635" spans="1:7" ht="15" hidden="1" customHeight="1" x14ac:dyDescent="0.3">
      <c r="A2635" t="s">
        <v>206</v>
      </c>
      <c r="B2635" s="2">
        <v>45413</v>
      </c>
      <c r="C2635" s="52"/>
      <c r="D2635" s="48">
        <f>_xlfn.XLOOKUP(expected_production[[#This Row],[Site Name]],Table1[[Site Name ]],Table1[Commisioned Date],"")</f>
        <v>45188</v>
      </c>
      <c r="E2635" s="47">
        <f>IF(ISNUMBER(expected_production[[#This Row],[Commissioned Date]]),MAX(0,(expected_production[[#This Row],[Date]]-expected_production[[#This Row],[Commissioned Date]])/365.25),"")</f>
        <v>0.61601642710472282</v>
      </c>
      <c r="F2635" s="49">
        <f>IF(expected_production[[#This Row],[Age (yrs)]]="",1,(1-DegradationRate)^expected_production[[#This Row],[Age (yrs)]])</f>
        <v>0.99568207098267481</v>
      </c>
      <c r="G2635" s="52" t="str">
        <f>IF(expected_production[[#This Row],[Base Expected (kWh)]]="","",expected_production[[#This Row],[Base Expected (kWh)]]*expected_production[[#This Row],[Degradation Factor]])</f>
        <v/>
      </c>
    </row>
    <row r="2636" spans="1:7" ht="15" hidden="1" customHeight="1" x14ac:dyDescent="0.3">
      <c r="A2636" t="s">
        <v>206</v>
      </c>
      <c r="B2636" s="2">
        <v>45444</v>
      </c>
      <c r="C2636" s="52"/>
      <c r="D2636" s="48">
        <f>_xlfn.XLOOKUP(expected_production[[#This Row],[Site Name]],Table1[[Site Name ]],Table1[Commisioned Date],"")</f>
        <v>45188</v>
      </c>
      <c r="E2636" s="47">
        <f>IF(ISNUMBER(expected_production[[#This Row],[Commissioned Date]]),MAX(0,(expected_production[[#This Row],[Date]]-expected_production[[#This Row],[Commissioned Date]])/365.25),"")</f>
        <v>0.70088980150581792</v>
      </c>
      <c r="F2636" s="49">
        <f>IF(expected_production[[#This Row],[Age (yrs)]]="",1,(1-DegradationRate)^expected_production[[#This Row],[Age (yrs)]])</f>
        <v>0.99508861949665228</v>
      </c>
      <c r="G2636" s="52" t="str">
        <f>IF(expected_production[[#This Row],[Base Expected (kWh)]]="","",expected_production[[#This Row],[Base Expected (kWh)]]*expected_production[[#This Row],[Degradation Factor]])</f>
        <v/>
      </c>
    </row>
    <row r="2637" spans="1:7" ht="15" hidden="1" customHeight="1" x14ac:dyDescent="0.3">
      <c r="A2637" t="s">
        <v>206</v>
      </c>
      <c r="B2637" s="2">
        <v>45474</v>
      </c>
      <c r="C2637" s="52"/>
      <c r="D2637" s="48">
        <f>_xlfn.XLOOKUP(expected_production[[#This Row],[Site Name]],Table1[[Site Name ]],Table1[Commisioned Date],"")</f>
        <v>45188</v>
      </c>
      <c r="E2637" s="47">
        <f>IF(ISNUMBER(expected_production[[#This Row],[Commissioned Date]]),MAX(0,(expected_production[[#This Row],[Date]]-expected_production[[#This Row],[Commissioned Date]])/365.25),"")</f>
        <v>0.78302532511978096</v>
      </c>
      <c r="F2637" s="49">
        <f>IF(expected_production[[#This Row],[Age (yrs)]]="",1,(1-DegradationRate)^expected_production[[#This Row],[Age (yrs)]])</f>
        <v>0.99451464839001935</v>
      </c>
      <c r="G2637" s="52" t="str">
        <f>IF(expected_production[[#This Row],[Base Expected (kWh)]]="","",expected_production[[#This Row],[Base Expected (kWh)]]*expected_production[[#This Row],[Degradation Factor]])</f>
        <v/>
      </c>
    </row>
    <row r="2638" spans="1:7" ht="15" hidden="1" customHeight="1" x14ac:dyDescent="0.3">
      <c r="A2638" t="s">
        <v>206</v>
      </c>
      <c r="B2638" s="2">
        <v>45505</v>
      </c>
      <c r="C2638" s="52"/>
      <c r="D2638" s="48">
        <f>_xlfn.XLOOKUP(expected_production[[#This Row],[Site Name]],Table1[[Site Name ]],Table1[Commisioned Date],"")</f>
        <v>45188</v>
      </c>
      <c r="E2638" s="47">
        <f>IF(ISNUMBER(expected_production[[#This Row],[Commissioned Date]]),MAX(0,(expected_production[[#This Row],[Date]]-expected_production[[#This Row],[Commissioned Date]])/365.25),"")</f>
        <v>0.86789869952087606</v>
      </c>
      <c r="F2638" s="49">
        <f>IF(expected_production[[#This Row],[Age (yrs)]]="",1,(1-DegradationRate)^expected_production[[#This Row],[Age (yrs)]])</f>
        <v>0.99392189271714115</v>
      </c>
      <c r="G2638" s="52" t="str">
        <f>IF(expected_production[[#This Row],[Base Expected (kWh)]]="","",expected_production[[#This Row],[Base Expected (kWh)]]*expected_production[[#This Row],[Degradation Factor]])</f>
        <v/>
      </c>
    </row>
    <row r="2639" spans="1:7" ht="15" hidden="1" customHeight="1" x14ac:dyDescent="0.3">
      <c r="A2639" t="s">
        <v>206</v>
      </c>
      <c r="B2639" s="2">
        <v>45536</v>
      </c>
      <c r="C2639" s="52"/>
      <c r="D2639" s="48">
        <f>_xlfn.XLOOKUP(expected_production[[#This Row],[Site Name]],Table1[[Site Name ]],Table1[Commisioned Date],"")</f>
        <v>45188</v>
      </c>
      <c r="E2639" s="47">
        <f>IF(ISNUMBER(expected_production[[#This Row],[Commissioned Date]]),MAX(0,(expected_production[[#This Row],[Date]]-expected_production[[#This Row],[Commissioned Date]])/365.25),"")</f>
        <v>0.95277207392197127</v>
      </c>
      <c r="F2639" s="49">
        <f>IF(expected_production[[#This Row],[Age (yrs)]]="",1,(1-DegradationRate)^expected_production[[#This Row],[Age (yrs)]])</f>
        <v>0.99332949034151019</v>
      </c>
      <c r="G2639" s="52" t="str">
        <f>IF(expected_production[[#This Row],[Base Expected (kWh)]]="","",expected_production[[#This Row],[Base Expected (kWh)]]*expected_production[[#This Row],[Degradation Factor]])</f>
        <v/>
      </c>
    </row>
    <row r="2640" spans="1:7" ht="15" hidden="1" customHeight="1" x14ac:dyDescent="0.3">
      <c r="A2640" t="s">
        <v>206</v>
      </c>
      <c r="B2640" s="2">
        <v>45566</v>
      </c>
      <c r="C2640" s="52"/>
      <c r="D2640" s="48">
        <f>_xlfn.XLOOKUP(expected_production[[#This Row],[Site Name]],Table1[[Site Name ]],Table1[Commisioned Date],"")</f>
        <v>45188</v>
      </c>
      <c r="E2640" s="47">
        <f>IF(ISNUMBER(expected_production[[#This Row],[Commissioned Date]]),MAX(0,(expected_production[[#This Row],[Date]]-expected_production[[#This Row],[Commissioned Date]])/365.25),"")</f>
        <v>1.0349075975359343</v>
      </c>
      <c r="F2640" s="49">
        <f>IF(expected_production[[#This Row],[Age (yrs)]]="",1,(1-DegradationRate)^expected_production[[#This Row],[Age (yrs)]])</f>
        <v>0.99275653390762908</v>
      </c>
      <c r="G2640" s="52" t="str">
        <f>IF(expected_production[[#This Row],[Base Expected (kWh)]]="","",expected_production[[#This Row],[Base Expected (kWh)]]*expected_production[[#This Row],[Degradation Factor]])</f>
        <v/>
      </c>
    </row>
    <row r="2641" spans="1:7" ht="15" hidden="1" customHeight="1" x14ac:dyDescent="0.3">
      <c r="A2641" t="s">
        <v>206</v>
      </c>
      <c r="B2641" s="2">
        <v>45597</v>
      </c>
      <c r="C2641" s="52"/>
      <c r="D2641" s="48">
        <f>_xlfn.XLOOKUP(expected_production[[#This Row],[Site Name]],Table1[[Site Name ]],Table1[Commisioned Date],"")</f>
        <v>45188</v>
      </c>
      <c r="E2641" s="47">
        <f>IF(ISNUMBER(expected_production[[#This Row],[Commissioned Date]]),MAX(0,(expected_production[[#This Row],[Date]]-expected_production[[#This Row],[Commissioned Date]])/365.25),"")</f>
        <v>1.1197809719370295</v>
      </c>
      <c r="F2641" s="49">
        <f>IF(expected_production[[#This Row],[Age (yrs)]]="",1,(1-DegradationRate)^expected_production[[#This Row],[Age (yrs)]])</f>
        <v>0.99216482611507595</v>
      </c>
      <c r="G2641" s="52" t="str">
        <f>IF(expected_production[[#This Row],[Base Expected (kWh)]]="","",expected_production[[#This Row],[Base Expected (kWh)]]*expected_production[[#This Row],[Degradation Factor]])</f>
        <v/>
      </c>
    </row>
    <row r="2642" spans="1:7" ht="15" hidden="1" customHeight="1" x14ac:dyDescent="0.3">
      <c r="A2642" t="s">
        <v>206</v>
      </c>
      <c r="B2642" s="2">
        <v>45627</v>
      </c>
      <c r="C2642" s="52"/>
      <c r="D2642" s="48">
        <f>_xlfn.XLOOKUP(expected_production[[#This Row],[Site Name]],Table1[[Site Name ]],Table1[Commisioned Date],"")</f>
        <v>45188</v>
      </c>
      <c r="E2642" s="47">
        <f>IF(ISNUMBER(expected_production[[#This Row],[Commissioned Date]]),MAX(0,(expected_production[[#This Row],[Date]]-expected_production[[#This Row],[Commissioned Date]])/365.25),"")</f>
        <v>1.2019164955509924</v>
      </c>
      <c r="F2642" s="49">
        <f>IF(expected_production[[#This Row],[Age (yrs)]]="",1,(1-DegradationRate)^expected_production[[#This Row],[Age (yrs)]])</f>
        <v>0.99159254146419162</v>
      </c>
      <c r="G2642" s="52" t="str">
        <f>IF(expected_production[[#This Row],[Base Expected (kWh)]]="","",expected_production[[#This Row],[Base Expected (kWh)]]*expected_production[[#This Row],[Degradation Factor]])</f>
        <v/>
      </c>
    </row>
    <row r="2643" spans="1:7" ht="15" hidden="1" customHeight="1" x14ac:dyDescent="0.3">
      <c r="A2643" t="s">
        <v>206</v>
      </c>
      <c r="B2643" s="2">
        <v>45658</v>
      </c>
      <c r="C2643" s="52"/>
      <c r="D2643" s="48">
        <f>_xlfn.XLOOKUP(expected_production[[#This Row],[Site Name]],Table1[[Site Name ]],Table1[Commisioned Date],"")</f>
        <v>45188</v>
      </c>
      <c r="E2643" s="47">
        <f>IF(ISNUMBER(expected_production[[#This Row],[Commissioned Date]]),MAX(0,(expected_production[[#This Row],[Date]]-expected_production[[#This Row],[Commissioned Date]])/365.25),"")</f>
        <v>1.2867898699520877</v>
      </c>
      <c r="F2643" s="49">
        <f>IF(expected_production[[#This Row],[Age (yrs)]]="",1,(1-DegradationRate)^expected_production[[#This Row],[Age (yrs)]])</f>
        <v>0.99100152744032766</v>
      </c>
      <c r="G2643" s="52" t="str">
        <f>IF(expected_production[[#This Row],[Base Expected (kWh)]]="","",expected_production[[#This Row],[Base Expected (kWh)]]*expected_production[[#This Row],[Degradation Factor]])</f>
        <v/>
      </c>
    </row>
    <row r="2644" spans="1:7" ht="15" hidden="1" customHeight="1" x14ac:dyDescent="0.3">
      <c r="A2644" t="s">
        <v>206</v>
      </c>
      <c r="B2644" s="2">
        <v>45689</v>
      </c>
      <c r="C2644" s="52"/>
      <c r="D2644" s="48">
        <f>_xlfn.XLOOKUP(expected_production[[#This Row],[Site Name]],Table1[[Site Name ]],Table1[Commisioned Date],"")</f>
        <v>45188</v>
      </c>
      <c r="E2644" s="47">
        <f>IF(ISNUMBER(expected_production[[#This Row],[Commissioned Date]]),MAX(0,(expected_production[[#This Row],[Date]]-expected_production[[#This Row],[Commissioned Date]])/365.25),"")</f>
        <v>1.3716632443531827</v>
      </c>
      <c r="F2644" s="49">
        <f>IF(expected_production[[#This Row],[Age (yrs)]]="",1,(1-DegradationRate)^expected_production[[#This Row],[Age (yrs)]])</f>
        <v>0.99041086567564451</v>
      </c>
      <c r="G2644" s="52" t="str">
        <f>IF(expected_production[[#This Row],[Base Expected (kWh)]]="","",expected_production[[#This Row],[Base Expected (kWh)]]*expected_production[[#This Row],[Degradation Factor]])</f>
        <v/>
      </c>
    </row>
    <row r="2645" spans="1:7" ht="15" hidden="1" customHeight="1" x14ac:dyDescent="0.3">
      <c r="A2645" t="s">
        <v>206</v>
      </c>
      <c r="B2645" s="2">
        <v>45717</v>
      </c>
      <c r="C2645" s="52"/>
      <c r="D2645" s="48">
        <f>_xlfn.XLOOKUP(expected_production[[#This Row],[Site Name]],Table1[[Site Name ]],Table1[Commisioned Date],"")</f>
        <v>45188</v>
      </c>
      <c r="E2645" s="47">
        <f>IF(ISNUMBER(expected_production[[#This Row],[Commissioned Date]]),MAX(0,(expected_production[[#This Row],[Date]]-expected_production[[#This Row],[Commissioned Date]])/365.25),"")</f>
        <v>1.4483230663928817</v>
      </c>
      <c r="F2645" s="49">
        <f>IF(expected_production[[#This Row],[Age (yrs)]]="",1,(1-DegradationRate)^expected_production[[#This Row],[Age (yrs)]])</f>
        <v>0.98987766732653659</v>
      </c>
      <c r="G2645" s="52" t="str">
        <f>IF(expected_production[[#This Row],[Base Expected (kWh)]]="","",expected_production[[#This Row],[Base Expected (kWh)]]*expected_production[[#This Row],[Degradation Factor]])</f>
        <v/>
      </c>
    </row>
    <row r="2646" spans="1:7" ht="15" hidden="1" customHeight="1" x14ac:dyDescent="0.3">
      <c r="A2646" t="s">
        <v>206</v>
      </c>
      <c r="B2646" s="2">
        <v>45748</v>
      </c>
      <c r="C2646" s="52"/>
      <c r="D2646" s="48">
        <f>_xlfn.XLOOKUP(expected_production[[#This Row],[Site Name]],Table1[[Site Name ]],Table1[Commisioned Date],"")</f>
        <v>45188</v>
      </c>
      <c r="E2646" s="47">
        <f>IF(ISNUMBER(expected_production[[#This Row],[Commissioned Date]]),MAX(0,(expected_production[[#This Row],[Date]]-expected_production[[#This Row],[Commissioned Date]])/365.25),"")</f>
        <v>1.5331964407939767</v>
      </c>
      <c r="F2646" s="49">
        <f>IF(expected_production[[#This Row],[Age (yrs)]]="",1,(1-DegradationRate)^expected_production[[#This Row],[Age (yrs)]])</f>
        <v>0.98928767541066776</v>
      </c>
      <c r="G2646" s="52" t="str">
        <f>IF(expected_production[[#This Row],[Base Expected (kWh)]]="","",expected_production[[#This Row],[Base Expected (kWh)]]*expected_production[[#This Row],[Degradation Factor]])</f>
        <v/>
      </c>
    </row>
    <row r="2647" spans="1:7" ht="15" hidden="1" customHeight="1" x14ac:dyDescent="0.3">
      <c r="A2647" t="s">
        <v>206</v>
      </c>
      <c r="B2647" s="2">
        <v>45778</v>
      </c>
      <c r="C2647" s="52"/>
      <c r="D2647" s="48">
        <f>_xlfn.XLOOKUP(expected_production[[#This Row],[Site Name]],Table1[[Site Name ]],Table1[Commisioned Date],"")</f>
        <v>45188</v>
      </c>
      <c r="E2647" s="47">
        <f>IF(ISNUMBER(expected_production[[#This Row],[Commissioned Date]]),MAX(0,(expected_production[[#This Row],[Date]]-expected_production[[#This Row],[Commissioned Date]])/365.25),"")</f>
        <v>1.6153319644079398</v>
      </c>
      <c r="F2647" s="49">
        <f>IF(expected_production[[#This Row],[Age (yrs)]]="",1,(1-DegradationRate)^expected_production[[#This Row],[Age (yrs)]])</f>
        <v>0.98871705031184887</v>
      </c>
      <c r="G2647" s="52" t="str">
        <f>IF(expected_production[[#This Row],[Base Expected (kWh)]]="","",expected_production[[#This Row],[Base Expected (kWh)]]*expected_production[[#This Row],[Degradation Factor]])</f>
        <v/>
      </c>
    </row>
    <row r="2648" spans="1:7" ht="15" hidden="1" customHeight="1" x14ac:dyDescent="0.3">
      <c r="A2648" t="s">
        <v>206</v>
      </c>
      <c r="B2648" s="2">
        <v>45809</v>
      </c>
      <c r="C2648" s="52"/>
      <c r="D2648" s="48">
        <f>_xlfn.XLOOKUP(expected_production[[#This Row],[Site Name]],Table1[[Site Name ]],Table1[Commisioned Date],"")</f>
        <v>45188</v>
      </c>
      <c r="E2648" s="47">
        <f>IF(ISNUMBER(expected_production[[#This Row],[Commissioned Date]]),MAX(0,(expected_production[[#This Row],[Date]]-expected_production[[#This Row],[Commissioned Date]])/365.25),"")</f>
        <v>1.700205338809035</v>
      </c>
      <c r="F2648" s="49">
        <f>IF(expected_production[[#This Row],[Age (yrs)]]="",1,(1-DegradationRate)^expected_production[[#This Row],[Age (yrs)]])</f>
        <v>0.98812775015282905</v>
      </c>
      <c r="G2648" s="52" t="str">
        <f>IF(expected_production[[#This Row],[Base Expected (kWh)]]="","",expected_production[[#This Row],[Base Expected (kWh)]]*expected_production[[#This Row],[Degradation Factor]])</f>
        <v/>
      </c>
    </row>
    <row r="2649" spans="1:7" ht="15" hidden="1" customHeight="1" x14ac:dyDescent="0.3">
      <c r="A2649" t="s">
        <v>206</v>
      </c>
      <c r="B2649" s="2">
        <v>45839</v>
      </c>
      <c r="C2649" s="52"/>
      <c r="D2649" s="48">
        <f>_xlfn.XLOOKUP(expected_production[[#This Row],[Site Name]],Table1[[Site Name ]],Table1[Commisioned Date],"")</f>
        <v>45188</v>
      </c>
      <c r="E2649" s="47">
        <f>IF(ISNUMBER(expected_production[[#This Row],[Commissioned Date]]),MAX(0,(expected_production[[#This Row],[Date]]-expected_production[[#This Row],[Commissioned Date]])/365.25),"")</f>
        <v>1.7823408624229979</v>
      </c>
      <c r="F2649" s="49">
        <f>IF(expected_production[[#This Row],[Age (yrs)]]="",1,(1-DegradationRate)^expected_production[[#This Row],[Age (yrs)]])</f>
        <v>0.98755779410355082</v>
      </c>
      <c r="G2649" s="52" t="str">
        <f>IF(expected_production[[#This Row],[Base Expected (kWh)]]="","",expected_production[[#This Row],[Base Expected (kWh)]]*expected_production[[#This Row],[Degradation Factor]])</f>
        <v/>
      </c>
    </row>
    <row r="2650" spans="1:7" ht="15" hidden="1" customHeight="1" x14ac:dyDescent="0.3">
      <c r="A2650" t="s">
        <v>206</v>
      </c>
      <c r="B2650" s="2">
        <v>45870</v>
      </c>
      <c r="C2650" s="52"/>
      <c r="D2650" s="48">
        <f>_xlfn.XLOOKUP(expected_production[[#This Row],[Site Name]],Table1[[Site Name ]],Table1[Commisioned Date],"")</f>
        <v>45188</v>
      </c>
      <c r="E2650" s="47">
        <f>IF(ISNUMBER(expected_production[[#This Row],[Commissioned Date]]),MAX(0,(expected_production[[#This Row],[Date]]-expected_production[[#This Row],[Commissioned Date]])/365.25),"")</f>
        <v>1.8672142368240932</v>
      </c>
      <c r="F2650" s="49">
        <f>IF(expected_production[[#This Row],[Age (yrs)]]="",1,(1-DegradationRate)^expected_production[[#This Row],[Age (yrs)]])</f>
        <v>0.98696918489030527</v>
      </c>
      <c r="G2650" s="52" t="str">
        <f>IF(expected_production[[#This Row],[Base Expected (kWh)]]="","",expected_production[[#This Row],[Base Expected (kWh)]]*expected_production[[#This Row],[Degradation Factor]])</f>
        <v/>
      </c>
    </row>
    <row r="2651" spans="1:7" ht="15" hidden="1" customHeight="1" x14ac:dyDescent="0.3">
      <c r="A2651" t="s">
        <v>206</v>
      </c>
      <c r="B2651" s="2">
        <v>45901</v>
      </c>
      <c r="C2651" s="52"/>
      <c r="D2651" s="48">
        <f>_xlfn.XLOOKUP(expected_production[[#This Row],[Site Name]],Table1[[Site Name ]],Table1[Commisioned Date],"")</f>
        <v>45188</v>
      </c>
      <c r="E2651" s="47">
        <f>IF(ISNUMBER(expected_production[[#This Row],[Commissioned Date]]),MAX(0,(expected_production[[#This Row],[Date]]-expected_production[[#This Row],[Commissioned Date]])/365.25),"")</f>
        <v>1.9520876112251881</v>
      </c>
      <c r="F2651" s="49">
        <f>IF(expected_production[[#This Row],[Age (yrs)]]="",1,(1-DegradationRate)^expected_production[[#This Row],[Age (yrs)]])</f>
        <v>0.9863809265029132</v>
      </c>
      <c r="G2651" s="52" t="str">
        <f>IF(expected_production[[#This Row],[Base Expected (kWh)]]="","",expected_production[[#This Row],[Base Expected (kWh)]]*expected_production[[#This Row],[Degradation Factor]])</f>
        <v/>
      </c>
    </row>
    <row r="2652" spans="1:7" ht="15" hidden="1" customHeight="1" x14ac:dyDescent="0.3">
      <c r="A2652" t="s">
        <v>206</v>
      </c>
      <c r="B2652" s="2">
        <v>45931</v>
      </c>
      <c r="C2652" s="52"/>
      <c r="D2652" s="48">
        <f>_xlfn.XLOOKUP(expected_production[[#This Row],[Site Name]],Table1[[Site Name ]],Table1[Commisioned Date],"")</f>
        <v>45188</v>
      </c>
      <c r="E2652" s="47">
        <f>IF(ISNUMBER(expected_production[[#This Row],[Commissioned Date]]),MAX(0,(expected_production[[#This Row],[Date]]-expected_production[[#This Row],[Commissioned Date]])/365.25),"")</f>
        <v>2.0342231348391513</v>
      </c>
      <c r="F2652" s="49">
        <f>IF(expected_production[[#This Row],[Age (yrs)]]="",1,(1-DegradationRate)^expected_production[[#This Row],[Age (yrs)]])</f>
        <v>0.98581197802852216</v>
      </c>
      <c r="G2652" s="52" t="str">
        <f>IF(expected_production[[#This Row],[Base Expected (kWh)]]="","",expected_production[[#This Row],[Base Expected (kWh)]]*expected_production[[#This Row],[Degradation Factor]])</f>
        <v/>
      </c>
    </row>
    <row r="2653" spans="1:7" ht="15" hidden="1" customHeight="1" x14ac:dyDescent="0.3">
      <c r="A2653" t="s">
        <v>206</v>
      </c>
      <c r="B2653" s="2">
        <v>45962</v>
      </c>
      <c r="C2653" s="52"/>
      <c r="D2653" s="48">
        <f>_xlfn.XLOOKUP(expected_production[[#This Row],[Site Name]],Table1[[Site Name ]],Table1[Commisioned Date],"")</f>
        <v>45188</v>
      </c>
      <c r="E2653" s="47">
        <f>IF(ISNUMBER(expected_production[[#This Row],[Commissioned Date]]),MAX(0,(expected_production[[#This Row],[Date]]-expected_production[[#This Row],[Commissioned Date]])/365.25),"")</f>
        <v>2.1190965092402463</v>
      </c>
      <c r="F2653" s="49">
        <f>IF(expected_production[[#This Row],[Age (yrs)]]="",1,(1-DegradationRate)^expected_production[[#This Row],[Age (yrs)]])</f>
        <v>0.98522440936544242</v>
      </c>
      <c r="G2653" s="52" t="str">
        <f>IF(expected_production[[#This Row],[Base Expected (kWh)]]="","",expected_production[[#This Row],[Base Expected (kWh)]]*expected_production[[#This Row],[Degradation Factor]])</f>
        <v/>
      </c>
    </row>
    <row r="2654" spans="1:7" ht="15" hidden="1" customHeight="1" x14ac:dyDescent="0.3">
      <c r="A2654" t="s">
        <v>206</v>
      </c>
      <c r="B2654" s="2">
        <v>45992</v>
      </c>
      <c r="C2654" s="52"/>
      <c r="D2654" s="48">
        <f>_xlfn.XLOOKUP(expected_production[[#This Row],[Site Name]],Table1[[Site Name ]],Table1[Commisioned Date],"")</f>
        <v>45188</v>
      </c>
      <c r="E2654" s="47">
        <f>IF(ISNUMBER(expected_production[[#This Row],[Commissioned Date]]),MAX(0,(expected_production[[#This Row],[Date]]-expected_production[[#This Row],[Commissioned Date]])/365.25),"")</f>
        <v>2.2012320328542097</v>
      </c>
      <c r="F2654" s="49">
        <f>IF(expected_production[[#This Row],[Age (yrs)]]="",1,(1-DegradationRate)^expected_production[[#This Row],[Age (yrs)]])</f>
        <v>0.98465612797477453</v>
      </c>
      <c r="G2654" s="52" t="str">
        <f>IF(expected_production[[#This Row],[Base Expected (kWh)]]="","",expected_production[[#This Row],[Base Expected (kWh)]]*expected_production[[#This Row],[Degradation Factor]])</f>
        <v/>
      </c>
    </row>
    <row r="2655" spans="1:7" ht="15" hidden="1" customHeight="1" x14ac:dyDescent="0.3">
      <c r="A2655" t="s">
        <v>206</v>
      </c>
      <c r="B2655" s="2">
        <v>46023</v>
      </c>
      <c r="C2655" s="52"/>
      <c r="D2655" s="48">
        <f>_xlfn.XLOOKUP(expected_production[[#This Row],[Site Name]],Table1[[Site Name ]],Table1[Commisioned Date],"")</f>
        <v>45188</v>
      </c>
      <c r="E2655" s="47">
        <f>IF(ISNUMBER(expected_production[[#This Row],[Commissioned Date]]),MAX(0,(expected_production[[#This Row],[Date]]-expected_production[[#This Row],[Commissioned Date]])/365.25),"")</f>
        <v>2.2861054072553046</v>
      </c>
      <c r="F2655" s="49">
        <f>IF(expected_production[[#This Row],[Age (yrs)]]="",1,(1-DegradationRate)^expected_production[[#This Row],[Age (yrs)]])</f>
        <v>0.98406924822731567</v>
      </c>
      <c r="G2655" s="52" t="str">
        <f>IF(expected_production[[#This Row],[Base Expected (kWh)]]="","",expected_production[[#This Row],[Base Expected (kWh)]]*expected_production[[#This Row],[Degradation Factor]])</f>
        <v/>
      </c>
    </row>
    <row r="2656" spans="1:7" ht="15" hidden="1" customHeight="1" x14ac:dyDescent="0.3">
      <c r="A2656" t="s">
        <v>206</v>
      </c>
      <c r="B2656" s="2">
        <v>46054</v>
      </c>
      <c r="C2656" s="52"/>
      <c r="D2656" s="48">
        <f>_xlfn.XLOOKUP(expected_production[[#This Row],[Site Name]],Table1[[Site Name ]],Table1[Commisioned Date],"")</f>
        <v>45188</v>
      </c>
      <c r="E2656" s="47">
        <f>IF(ISNUMBER(expected_production[[#This Row],[Commissioned Date]]),MAX(0,(expected_production[[#This Row],[Date]]-expected_production[[#This Row],[Commissioned Date]])/365.25),"")</f>
        <v>2.3709787816563996</v>
      </c>
      <c r="F2656" s="49">
        <f>IF(expected_production[[#This Row],[Age (yrs)]]="",1,(1-DegradationRate)^expected_production[[#This Row],[Age (yrs)]])</f>
        <v>0.98348271827490508</v>
      </c>
      <c r="G2656" s="52" t="str">
        <f>IF(expected_production[[#This Row],[Base Expected (kWh)]]="","",expected_production[[#This Row],[Base Expected (kWh)]]*expected_production[[#This Row],[Degradation Factor]])</f>
        <v/>
      </c>
    </row>
    <row r="2657" spans="1:7" ht="15" hidden="1" customHeight="1" x14ac:dyDescent="0.3">
      <c r="A2657" t="s">
        <v>206</v>
      </c>
      <c r="B2657" s="2">
        <v>46082</v>
      </c>
      <c r="C2657" s="52"/>
      <c r="D2657" s="48">
        <f>_xlfn.XLOOKUP(expected_production[[#This Row],[Site Name]],Table1[[Site Name ]],Table1[Commisioned Date],"")</f>
        <v>45188</v>
      </c>
      <c r="E2657" s="47">
        <f>IF(ISNUMBER(expected_production[[#This Row],[Commissioned Date]]),MAX(0,(expected_production[[#This Row],[Date]]-expected_production[[#This Row],[Commissioned Date]])/365.25),"")</f>
        <v>2.4476386036960984</v>
      </c>
      <c r="F2657" s="49">
        <f>IF(expected_production[[#This Row],[Age (yrs)]]="",1,(1-DegradationRate)^expected_production[[#This Row],[Age (yrs)]])</f>
        <v>0.9829532497685165</v>
      </c>
      <c r="G2657" s="52" t="str">
        <f>IF(expected_production[[#This Row],[Base Expected (kWh)]]="","",expected_production[[#This Row],[Base Expected (kWh)]]*expected_production[[#This Row],[Degradation Factor]])</f>
        <v/>
      </c>
    </row>
    <row r="2658" spans="1:7" ht="15" hidden="1" customHeight="1" x14ac:dyDescent="0.3">
      <c r="A2658" t="s">
        <v>206</v>
      </c>
      <c r="B2658" s="2">
        <v>46113</v>
      </c>
      <c r="C2658" s="52"/>
      <c r="D2658" s="48">
        <f>_xlfn.XLOOKUP(expected_production[[#This Row],[Site Name]],Table1[[Site Name ]],Table1[Commisioned Date],"")</f>
        <v>45188</v>
      </c>
      <c r="E2658" s="47">
        <f>IF(ISNUMBER(expected_production[[#This Row],[Commissioned Date]]),MAX(0,(expected_production[[#This Row],[Date]]-expected_production[[#This Row],[Commissioned Date]])/365.25),"")</f>
        <v>2.5325119780971939</v>
      </c>
      <c r="F2658" s="49">
        <f>IF(expected_production[[#This Row],[Age (yrs)]]="",1,(1-DegradationRate)^expected_production[[#This Row],[Age (yrs)]])</f>
        <v>0.98236738497917664</v>
      </c>
      <c r="G2658" s="52" t="str">
        <f>IF(expected_production[[#This Row],[Base Expected (kWh)]]="","",expected_production[[#This Row],[Base Expected (kWh)]]*expected_production[[#This Row],[Degradation Factor]])</f>
        <v/>
      </c>
    </row>
    <row r="2659" spans="1:7" ht="15" hidden="1" customHeight="1" x14ac:dyDescent="0.3">
      <c r="A2659" t="s">
        <v>206</v>
      </c>
      <c r="B2659" s="2">
        <v>46143</v>
      </c>
      <c r="C2659" s="52"/>
      <c r="D2659" s="48">
        <f>_xlfn.XLOOKUP(expected_production[[#This Row],[Site Name]],Table1[[Site Name ]],Table1[Commisioned Date],"")</f>
        <v>45188</v>
      </c>
      <c r="E2659" s="47">
        <f>IF(ISNUMBER(expected_production[[#This Row],[Commissioned Date]]),MAX(0,(expected_production[[#This Row],[Date]]-expected_production[[#This Row],[Commissioned Date]])/365.25),"")</f>
        <v>2.6146475017111568</v>
      </c>
      <c r="F2659" s="49">
        <f>IF(expected_production[[#This Row],[Age (yrs)]]="",1,(1-DegradationRate)^expected_production[[#This Row],[Age (yrs)]])</f>
        <v>0.98180075153163315</v>
      </c>
      <c r="G2659" s="52" t="str">
        <f>IF(expected_production[[#This Row],[Base Expected (kWh)]]="","",expected_production[[#This Row],[Base Expected (kWh)]]*expected_production[[#This Row],[Degradation Factor]])</f>
        <v/>
      </c>
    </row>
    <row r="2660" spans="1:7" ht="15" hidden="1" customHeight="1" x14ac:dyDescent="0.3">
      <c r="A2660" t="s">
        <v>206</v>
      </c>
      <c r="B2660" s="2">
        <v>46174</v>
      </c>
      <c r="C2660" s="52"/>
      <c r="D2660" s="48">
        <f>_xlfn.XLOOKUP(expected_production[[#This Row],[Site Name]],Table1[[Site Name ]],Table1[Commisioned Date],"")</f>
        <v>45188</v>
      </c>
      <c r="E2660" s="47">
        <f>IF(ISNUMBER(expected_production[[#This Row],[Commissioned Date]]),MAX(0,(expected_production[[#This Row],[Date]]-expected_production[[#This Row],[Commissioned Date]])/365.25),"")</f>
        <v>2.6995208761122518</v>
      </c>
      <c r="F2660" s="49">
        <f>IF(expected_production[[#This Row],[Age (yrs)]]="",1,(1-DegradationRate)^expected_production[[#This Row],[Age (yrs)]])</f>
        <v>0.98121557366014722</v>
      </c>
      <c r="G2660" s="52" t="str">
        <f>IF(expected_production[[#This Row],[Base Expected (kWh)]]="","",expected_production[[#This Row],[Base Expected (kWh)]]*expected_production[[#This Row],[Degradation Factor]])</f>
        <v/>
      </c>
    </row>
    <row r="2661" spans="1:7" ht="15" hidden="1" customHeight="1" x14ac:dyDescent="0.3">
      <c r="A2661" t="s">
        <v>206</v>
      </c>
      <c r="B2661" s="2">
        <v>46204</v>
      </c>
      <c r="C2661" s="52"/>
      <c r="D2661" s="48">
        <f>_xlfn.XLOOKUP(expected_production[[#This Row],[Site Name]],Table1[[Site Name ]],Table1[Commisioned Date],"")</f>
        <v>45188</v>
      </c>
      <c r="E2661" s="47">
        <f>IF(ISNUMBER(expected_production[[#This Row],[Commissioned Date]]),MAX(0,(expected_production[[#This Row],[Date]]-expected_production[[#This Row],[Commissioned Date]])/365.25),"")</f>
        <v>2.7816563997262147</v>
      </c>
      <c r="F2661" s="49">
        <f>IF(expected_production[[#This Row],[Age (yrs)]]="",1,(1-DegradationRate)^expected_production[[#This Row],[Age (yrs)]])</f>
        <v>0.98064960458199202</v>
      </c>
      <c r="G2661" s="52" t="str">
        <f>IF(expected_production[[#This Row],[Base Expected (kWh)]]="","",expected_production[[#This Row],[Base Expected (kWh)]]*expected_production[[#This Row],[Degradation Factor]])</f>
        <v/>
      </c>
    </row>
    <row r="2662" spans="1:7" ht="15" hidden="1" customHeight="1" x14ac:dyDescent="0.3">
      <c r="A2662" t="s">
        <v>206</v>
      </c>
      <c r="B2662" s="2">
        <v>46235</v>
      </c>
      <c r="C2662" s="52"/>
      <c r="D2662" s="48">
        <f>_xlfn.XLOOKUP(expected_production[[#This Row],[Site Name]],Table1[[Site Name ]],Table1[Commisioned Date],"")</f>
        <v>45188</v>
      </c>
      <c r="E2662" s="47">
        <f>IF(ISNUMBER(expected_production[[#This Row],[Commissioned Date]]),MAX(0,(expected_production[[#This Row],[Date]]-expected_production[[#This Row],[Commissioned Date]])/365.25),"")</f>
        <v>2.8665297741273101</v>
      </c>
      <c r="F2662" s="49">
        <f>IF(expected_production[[#This Row],[Age (yrs)]]="",1,(1-DegradationRate)^expected_production[[#This Row],[Age (yrs)]])</f>
        <v>0.98006511282295883</v>
      </c>
      <c r="G2662" s="52" t="str">
        <f>IF(expected_production[[#This Row],[Base Expected (kWh)]]="","",expected_production[[#This Row],[Base Expected (kWh)]]*expected_production[[#This Row],[Degradation Factor]])</f>
        <v/>
      </c>
    </row>
    <row r="2663" spans="1:7" ht="15" hidden="1" customHeight="1" x14ac:dyDescent="0.3">
      <c r="A2663" t="s">
        <v>206</v>
      </c>
      <c r="B2663" s="2">
        <v>46266</v>
      </c>
      <c r="C2663" s="52"/>
      <c r="D2663" s="48">
        <f>_xlfn.XLOOKUP(expected_production[[#This Row],[Site Name]],Table1[[Site Name ]],Table1[Commisioned Date],"")</f>
        <v>45188</v>
      </c>
      <c r="E2663" s="47">
        <f>IF(ISNUMBER(expected_production[[#This Row],[Commissioned Date]]),MAX(0,(expected_production[[#This Row],[Date]]-expected_production[[#This Row],[Commissioned Date]])/365.25),"")</f>
        <v>2.9514031485284051</v>
      </c>
      <c r="F2663" s="49">
        <f>IF(expected_production[[#This Row],[Age (yrs)]]="",1,(1-DegradationRate)^expected_production[[#This Row],[Age (yrs)]])</f>
        <v>0.97948096943567309</v>
      </c>
      <c r="G2663" s="52" t="str">
        <f>IF(expected_production[[#This Row],[Base Expected (kWh)]]="","",expected_production[[#This Row],[Base Expected (kWh)]]*expected_production[[#This Row],[Degradation Factor]])</f>
        <v/>
      </c>
    </row>
    <row r="2664" spans="1:7" ht="15" hidden="1" customHeight="1" x14ac:dyDescent="0.3">
      <c r="A2664" t="s">
        <v>206</v>
      </c>
      <c r="B2664" s="2">
        <v>46296</v>
      </c>
      <c r="C2664" s="52"/>
      <c r="D2664" s="48">
        <f>_xlfn.XLOOKUP(expected_production[[#This Row],[Site Name]],Table1[[Site Name ]],Table1[Commisioned Date],"")</f>
        <v>45188</v>
      </c>
      <c r="E2664" s="47">
        <f>IF(ISNUMBER(expected_production[[#This Row],[Commissioned Date]]),MAX(0,(expected_production[[#This Row],[Date]]-expected_production[[#This Row],[Commissioned Date]])/365.25),"")</f>
        <v>3.0335386721423681</v>
      </c>
      <c r="F2664" s="49">
        <f>IF(expected_production[[#This Row],[Age (yrs)]]="",1,(1-DegradationRate)^expected_production[[#This Row],[Age (yrs)]])</f>
        <v>0.9789160008841914</v>
      </c>
      <c r="G2664" s="52" t="str">
        <f>IF(expected_production[[#This Row],[Base Expected (kWh)]]="","",expected_production[[#This Row],[Base Expected (kWh)]]*expected_production[[#This Row],[Degradation Factor]])</f>
        <v/>
      </c>
    </row>
    <row r="2665" spans="1:7" ht="15" hidden="1" customHeight="1" x14ac:dyDescent="0.3">
      <c r="A2665" t="s">
        <v>206</v>
      </c>
      <c r="B2665" s="2">
        <v>46327</v>
      </c>
      <c r="C2665" s="52"/>
      <c r="D2665" s="48">
        <f>_xlfn.XLOOKUP(expected_production[[#This Row],[Site Name]],Table1[[Site Name ]],Table1[Commisioned Date],"")</f>
        <v>45188</v>
      </c>
      <c r="E2665" s="47">
        <f>IF(ISNUMBER(expected_production[[#This Row],[Commissioned Date]]),MAX(0,(expected_production[[#This Row],[Date]]-expected_production[[#This Row],[Commissioned Date]])/365.25),"")</f>
        <v>3.1184120465434635</v>
      </c>
      <c r="F2665" s="49">
        <f>IF(expected_production[[#This Row],[Age (yrs)]]="",1,(1-DegradationRate)^expected_production[[#This Row],[Age (yrs)]])</f>
        <v>0.97833254239644085</v>
      </c>
      <c r="G2665" s="52" t="str">
        <f>IF(expected_production[[#This Row],[Base Expected (kWh)]]="","",expected_production[[#This Row],[Base Expected (kWh)]]*expected_production[[#This Row],[Degradation Factor]])</f>
        <v/>
      </c>
    </row>
    <row r="2666" spans="1:7" ht="15" hidden="1" customHeight="1" x14ac:dyDescent="0.3">
      <c r="A2666" t="s">
        <v>206</v>
      </c>
      <c r="B2666" s="2">
        <v>46357</v>
      </c>
      <c r="C2666" s="52"/>
      <c r="D2666" s="48">
        <f>_xlfn.XLOOKUP(expected_production[[#This Row],[Site Name]],Table1[[Site Name ]],Table1[Commisioned Date],"")</f>
        <v>45188</v>
      </c>
      <c r="E2666" s="47">
        <f>IF(ISNUMBER(expected_production[[#This Row],[Commissioned Date]]),MAX(0,(expected_production[[#This Row],[Date]]-expected_production[[#This Row],[Commissioned Date]])/365.25),"")</f>
        <v>3.2005475701574264</v>
      </c>
      <c r="F2666" s="49">
        <f>IF(expected_production[[#This Row],[Age (yrs)]]="",1,(1-DegradationRate)^expected_production[[#This Row],[Age (yrs)]])</f>
        <v>0.97776823626228127</v>
      </c>
      <c r="G2666" s="52" t="str">
        <f>IF(expected_production[[#This Row],[Base Expected (kWh)]]="","",expected_production[[#This Row],[Base Expected (kWh)]]*expected_production[[#This Row],[Degradation Factor]])</f>
        <v/>
      </c>
    </row>
    <row r="2667" spans="1:7" hidden="1" x14ac:dyDescent="0.3">
      <c r="A2667" t="s">
        <v>271</v>
      </c>
      <c r="B2667" s="2">
        <v>45292</v>
      </c>
      <c r="C2667" s="52" cm="1">
        <f t="array" ref="C2667">IFERROR(INDEX('Expected Production'!$C$2:$N$199,MATCH(A2667,'Expected Production'!$A$2:$A$199,0),MONTH(B2667)),"")</f>
        <v>17370.900000000001</v>
      </c>
      <c r="D2667" s="48">
        <f>_xlfn.XLOOKUP(expected_production[[#This Row],[Site Name]],Table1[[Site Name ]],Table1[Commisioned Date],"")</f>
        <v>46162</v>
      </c>
      <c r="E2667" s="47">
        <f>IF(ISNUMBER(expected_production[[#This Row],[Commissioned Date]]),MAX(0,(expected_production[[#This Row],[Date]]-expected_production[[#This Row],[Commissioned Date]])/365.25),"")</f>
        <v>0</v>
      </c>
      <c r="F2667" s="49">
        <f>IF(expected_production[[#This Row],[Age (yrs)]]="",1,(1-DegradationRate)^expected_production[[#This Row],[Age (yrs)]])</f>
        <v>1</v>
      </c>
      <c r="G2667" s="52">
        <f>IF(expected_production[[#This Row],[Base Expected (kWh)]]="","",expected_production[[#This Row],[Base Expected (kWh)]]*expected_production[[#This Row],[Degradation Factor]])</f>
        <v>17370.900000000001</v>
      </c>
    </row>
    <row r="2668" spans="1:7" hidden="1" x14ac:dyDescent="0.3">
      <c r="A2668" t="s">
        <v>271</v>
      </c>
      <c r="B2668" s="2">
        <v>45323</v>
      </c>
      <c r="C2668" s="52" cm="1">
        <f t="array" ref="C2668">IFERROR(INDEX('Expected Production'!$C$2:$N$199,MATCH(A2668,'Expected Production'!$A$2:$A$199,0),MONTH(B2668)),"")</f>
        <v>15077.7</v>
      </c>
      <c r="D2668" s="48">
        <f>_xlfn.XLOOKUP(expected_production[[#This Row],[Site Name]],Table1[[Site Name ]],Table1[Commisioned Date],"")</f>
        <v>46162</v>
      </c>
      <c r="E2668" s="47">
        <f>IF(ISNUMBER(expected_production[[#This Row],[Commissioned Date]]),MAX(0,(expected_production[[#This Row],[Date]]-expected_production[[#This Row],[Commissioned Date]])/365.25),"")</f>
        <v>0</v>
      </c>
      <c r="F2668" s="49">
        <f>IF(expected_production[[#This Row],[Age (yrs)]]="",1,(1-DegradationRate)^expected_production[[#This Row],[Age (yrs)]])</f>
        <v>1</v>
      </c>
      <c r="G2668" s="52">
        <f>IF(expected_production[[#This Row],[Base Expected (kWh)]]="","",expected_production[[#This Row],[Base Expected (kWh)]]*expected_production[[#This Row],[Degradation Factor]])</f>
        <v>15077.7</v>
      </c>
    </row>
    <row r="2669" spans="1:7" hidden="1" x14ac:dyDescent="0.3">
      <c r="A2669" t="s">
        <v>271</v>
      </c>
      <c r="B2669" s="2">
        <v>45352</v>
      </c>
      <c r="C2669" s="52" cm="1">
        <f t="array" ref="C2669">IFERROR(INDEX('Expected Production'!$C$2:$N$199,MATCH(A2669,'Expected Production'!$A$2:$A$199,0),MONTH(B2669)),"")</f>
        <v>14634</v>
      </c>
      <c r="D2669" s="48">
        <f>_xlfn.XLOOKUP(expected_production[[#This Row],[Site Name]],Table1[[Site Name ]],Table1[Commisioned Date],"")</f>
        <v>46162</v>
      </c>
      <c r="E2669" s="47">
        <f>IF(ISNUMBER(expected_production[[#This Row],[Commissioned Date]]),MAX(0,(expected_production[[#This Row],[Date]]-expected_production[[#This Row],[Commissioned Date]])/365.25),"")</f>
        <v>0</v>
      </c>
      <c r="F2669" s="49">
        <f>IF(expected_production[[#This Row],[Age (yrs)]]="",1,(1-DegradationRate)^expected_production[[#This Row],[Age (yrs)]])</f>
        <v>1</v>
      </c>
      <c r="G2669" s="52">
        <f>IF(expected_production[[#This Row],[Base Expected (kWh)]]="","",expected_production[[#This Row],[Base Expected (kWh)]]*expected_production[[#This Row],[Degradation Factor]])</f>
        <v>14634</v>
      </c>
    </row>
    <row r="2670" spans="1:7" hidden="1" x14ac:dyDescent="0.3">
      <c r="A2670" t="s">
        <v>271</v>
      </c>
      <c r="B2670" s="2">
        <v>45383</v>
      </c>
      <c r="C2670" s="52" cm="1">
        <f t="array" ref="C2670">IFERROR(INDEX('Expected Production'!$C$2:$N$199,MATCH(A2670,'Expected Production'!$A$2:$A$199,0),MONTH(B2670)),"")</f>
        <v>12420</v>
      </c>
      <c r="D2670" s="48">
        <f>_xlfn.XLOOKUP(expected_production[[#This Row],[Site Name]],Table1[[Site Name ]],Table1[Commisioned Date],"")</f>
        <v>46162</v>
      </c>
      <c r="E2670" s="47">
        <f>IF(ISNUMBER(expected_production[[#This Row],[Commissioned Date]]),MAX(0,(expected_production[[#This Row],[Date]]-expected_production[[#This Row],[Commissioned Date]])/365.25),"")</f>
        <v>0</v>
      </c>
      <c r="F2670" s="49">
        <f>IF(expected_production[[#This Row],[Age (yrs)]]="",1,(1-DegradationRate)^expected_production[[#This Row],[Age (yrs)]])</f>
        <v>1</v>
      </c>
      <c r="G2670" s="52">
        <f>IF(expected_production[[#This Row],[Base Expected (kWh)]]="","",expected_production[[#This Row],[Base Expected (kWh)]]*expected_production[[#This Row],[Degradation Factor]])</f>
        <v>12420</v>
      </c>
    </row>
    <row r="2671" spans="1:7" hidden="1" x14ac:dyDescent="0.3">
      <c r="A2671" t="s">
        <v>271</v>
      </c>
      <c r="B2671" s="2">
        <v>45413</v>
      </c>
      <c r="C2671" s="52" cm="1">
        <f t="array" ref="C2671">IFERROR(INDEX('Expected Production'!$C$2:$N$199,MATCH(A2671,'Expected Production'!$A$2:$A$199,0),MONTH(B2671)),"")</f>
        <v>11402.1</v>
      </c>
      <c r="D2671" s="48">
        <f>_xlfn.XLOOKUP(expected_production[[#This Row],[Site Name]],Table1[[Site Name ]],Table1[Commisioned Date],"")</f>
        <v>46162</v>
      </c>
      <c r="E2671" s="47">
        <f>IF(ISNUMBER(expected_production[[#This Row],[Commissioned Date]]),MAX(0,(expected_production[[#This Row],[Date]]-expected_production[[#This Row],[Commissioned Date]])/365.25),"")</f>
        <v>0</v>
      </c>
      <c r="F2671" s="49">
        <f>IF(expected_production[[#This Row],[Age (yrs)]]="",1,(1-DegradationRate)^expected_production[[#This Row],[Age (yrs)]])</f>
        <v>1</v>
      </c>
      <c r="G2671" s="52">
        <f>IF(expected_production[[#This Row],[Base Expected (kWh)]]="","",expected_production[[#This Row],[Base Expected (kWh)]]*expected_production[[#This Row],[Degradation Factor]])</f>
        <v>11402.1</v>
      </c>
    </row>
    <row r="2672" spans="1:7" hidden="1" x14ac:dyDescent="0.3">
      <c r="A2672" t="s">
        <v>271</v>
      </c>
      <c r="B2672" s="2">
        <v>45444</v>
      </c>
      <c r="C2672" s="52" cm="1">
        <f t="array" ref="C2672">IFERROR(INDEX('Expected Production'!$C$2:$N$199,MATCH(A2672,'Expected Production'!$A$2:$A$199,0),MONTH(B2672)),"")</f>
        <v>9989.1</v>
      </c>
      <c r="D2672" s="48">
        <f>_xlfn.XLOOKUP(expected_production[[#This Row],[Site Name]],Table1[[Site Name ]],Table1[Commisioned Date],"")</f>
        <v>46162</v>
      </c>
      <c r="E2672" s="47">
        <f>IF(ISNUMBER(expected_production[[#This Row],[Commissioned Date]]),MAX(0,(expected_production[[#This Row],[Date]]-expected_production[[#This Row],[Commissioned Date]])/365.25),"")</f>
        <v>0</v>
      </c>
      <c r="F2672" s="49">
        <f>IF(expected_production[[#This Row],[Age (yrs)]]="",1,(1-DegradationRate)^expected_production[[#This Row],[Age (yrs)]])</f>
        <v>1</v>
      </c>
      <c r="G2672" s="52">
        <f>IF(expected_production[[#This Row],[Base Expected (kWh)]]="","",expected_production[[#This Row],[Base Expected (kWh)]]*expected_production[[#This Row],[Degradation Factor]])</f>
        <v>9989.1</v>
      </c>
    </row>
    <row r="2673" spans="1:7" hidden="1" x14ac:dyDescent="0.3">
      <c r="A2673" t="s">
        <v>271</v>
      </c>
      <c r="B2673" s="2">
        <v>45474</v>
      </c>
      <c r="C2673" s="52" cm="1">
        <f t="array" ref="C2673">IFERROR(INDEX('Expected Production'!$C$2:$N$199,MATCH(A2673,'Expected Production'!$A$2:$A$199,0),MONTH(B2673)),"")</f>
        <v>10986.300000000001</v>
      </c>
      <c r="D2673" s="48">
        <f>_xlfn.XLOOKUP(expected_production[[#This Row],[Site Name]],Table1[[Site Name ]],Table1[Commisioned Date],"")</f>
        <v>46162</v>
      </c>
      <c r="E2673" s="47">
        <f>IF(ISNUMBER(expected_production[[#This Row],[Commissioned Date]]),MAX(0,(expected_production[[#This Row],[Date]]-expected_production[[#This Row],[Commissioned Date]])/365.25),"")</f>
        <v>0</v>
      </c>
      <c r="F2673" s="49">
        <f>IF(expected_production[[#This Row],[Age (yrs)]]="",1,(1-DegradationRate)^expected_production[[#This Row],[Age (yrs)]])</f>
        <v>1</v>
      </c>
      <c r="G2673" s="52">
        <f>IF(expected_production[[#This Row],[Base Expected (kWh)]]="","",expected_production[[#This Row],[Base Expected (kWh)]]*expected_production[[#This Row],[Degradation Factor]])</f>
        <v>10986.300000000001</v>
      </c>
    </row>
    <row r="2674" spans="1:7" hidden="1" x14ac:dyDescent="0.3">
      <c r="A2674" t="s">
        <v>271</v>
      </c>
      <c r="B2674" s="2">
        <v>45505</v>
      </c>
      <c r="C2674" s="52" cm="1">
        <f t="array" ref="C2674">IFERROR(INDEX('Expected Production'!$C$2:$N$199,MATCH(A2674,'Expected Production'!$A$2:$A$199,0),MONTH(B2674)),"")</f>
        <v>13108.77</v>
      </c>
      <c r="D2674" s="48">
        <f>_xlfn.XLOOKUP(expected_production[[#This Row],[Site Name]],Table1[[Site Name ]],Table1[Commisioned Date],"")</f>
        <v>46162</v>
      </c>
      <c r="E2674" s="47">
        <f>IF(ISNUMBER(expected_production[[#This Row],[Commissioned Date]]),MAX(0,(expected_production[[#This Row],[Date]]-expected_production[[#This Row],[Commissioned Date]])/365.25),"")</f>
        <v>0</v>
      </c>
      <c r="F2674" s="49">
        <f>IF(expected_production[[#This Row],[Age (yrs)]]="",1,(1-DegradationRate)^expected_production[[#This Row],[Age (yrs)]])</f>
        <v>1</v>
      </c>
      <c r="G2674" s="52">
        <f>IF(expected_production[[#This Row],[Base Expected (kWh)]]="","",expected_production[[#This Row],[Base Expected (kWh)]]*expected_production[[#This Row],[Degradation Factor]])</f>
        <v>13108.77</v>
      </c>
    </row>
    <row r="2675" spans="1:7" hidden="1" x14ac:dyDescent="0.3">
      <c r="A2675" t="s">
        <v>271</v>
      </c>
      <c r="B2675" s="2">
        <v>45536</v>
      </c>
      <c r="C2675" s="52" cm="1">
        <f t="array" ref="C2675">IFERROR(INDEX('Expected Production'!$C$2:$N$199,MATCH(A2675,'Expected Production'!$A$2:$A$199,0),MONTH(B2675)),"")</f>
        <v>14833.17</v>
      </c>
      <c r="D2675" s="48">
        <f>_xlfn.XLOOKUP(expected_production[[#This Row],[Site Name]],Table1[[Site Name ]],Table1[Commisioned Date],"")</f>
        <v>46162</v>
      </c>
      <c r="E2675" s="47">
        <f>IF(ISNUMBER(expected_production[[#This Row],[Commissioned Date]]),MAX(0,(expected_production[[#This Row],[Date]]-expected_production[[#This Row],[Commissioned Date]])/365.25),"")</f>
        <v>0</v>
      </c>
      <c r="F2675" s="49">
        <f>IF(expected_production[[#This Row],[Age (yrs)]]="",1,(1-DegradationRate)^expected_production[[#This Row],[Age (yrs)]])</f>
        <v>1</v>
      </c>
      <c r="G2675" s="52">
        <f>IF(expected_production[[#This Row],[Base Expected (kWh)]]="","",expected_production[[#This Row],[Base Expected (kWh)]]*expected_production[[#This Row],[Degradation Factor]])</f>
        <v>14833.17</v>
      </c>
    </row>
    <row r="2676" spans="1:7" hidden="1" x14ac:dyDescent="0.3">
      <c r="A2676" t="s">
        <v>271</v>
      </c>
      <c r="B2676" s="2">
        <v>45566</v>
      </c>
      <c r="C2676" s="52" cm="1">
        <f t="array" ref="C2676">IFERROR(INDEX('Expected Production'!$C$2:$N$199,MATCH(A2676,'Expected Production'!$A$2:$A$199,0),MONTH(B2676)),"")</f>
        <v>17053.2</v>
      </c>
      <c r="D2676" s="48">
        <f>_xlfn.XLOOKUP(expected_production[[#This Row],[Site Name]],Table1[[Site Name ]],Table1[Commisioned Date],"")</f>
        <v>46162</v>
      </c>
      <c r="E2676" s="47">
        <f>IF(ISNUMBER(expected_production[[#This Row],[Commissioned Date]]),MAX(0,(expected_production[[#This Row],[Date]]-expected_production[[#This Row],[Commissioned Date]])/365.25),"")</f>
        <v>0</v>
      </c>
      <c r="F2676" s="49">
        <f>IF(expected_production[[#This Row],[Age (yrs)]]="",1,(1-DegradationRate)^expected_production[[#This Row],[Age (yrs)]])</f>
        <v>1</v>
      </c>
      <c r="G2676" s="52">
        <f>IF(expected_production[[#This Row],[Base Expected (kWh)]]="","",expected_production[[#This Row],[Base Expected (kWh)]]*expected_production[[#This Row],[Degradation Factor]])</f>
        <v>17053.2</v>
      </c>
    </row>
    <row r="2677" spans="1:7" hidden="1" x14ac:dyDescent="0.3">
      <c r="A2677" t="s">
        <v>271</v>
      </c>
      <c r="B2677" s="2">
        <v>45597</v>
      </c>
      <c r="C2677" s="52" cm="1">
        <f t="array" ref="C2677">IFERROR(INDEX('Expected Production'!$C$2:$N$199,MATCH(A2677,'Expected Production'!$A$2:$A$199,0),MONTH(B2677)),"")</f>
        <v>17239.5</v>
      </c>
      <c r="D2677" s="48">
        <f>_xlfn.XLOOKUP(expected_production[[#This Row],[Site Name]],Table1[[Site Name ]],Table1[Commisioned Date],"")</f>
        <v>46162</v>
      </c>
      <c r="E2677" s="47">
        <f>IF(ISNUMBER(expected_production[[#This Row],[Commissioned Date]]),MAX(0,(expected_production[[#This Row],[Date]]-expected_production[[#This Row],[Commissioned Date]])/365.25),"")</f>
        <v>0</v>
      </c>
      <c r="F2677" s="49">
        <f>IF(expected_production[[#This Row],[Age (yrs)]]="",1,(1-DegradationRate)^expected_production[[#This Row],[Age (yrs)]])</f>
        <v>1</v>
      </c>
      <c r="G2677" s="52">
        <f>IF(expected_production[[#This Row],[Base Expected (kWh)]]="","",expected_production[[#This Row],[Base Expected (kWh)]]*expected_production[[#This Row],[Degradation Factor]])</f>
        <v>17239.5</v>
      </c>
    </row>
    <row r="2678" spans="1:7" hidden="1" x14ac:dyDescent="0.3">
      <c r="A2678" t="s">
        <v>271</v>
      </c>
      <c r="B2678" s="2">
        <v>45627</v>
      </c>
      <c r="C2678" s="52" cm="1">
        <f t="array" ref="C2678">IFERROR(INDEX('Expected Production'!$C$2:$N$199,MATCH(A2678,'Expected Production'!$A$2:$A$199,0),MONTH(B2678)),"")</f>
        <v>17465.400000000001</v>
      </c>
      <c r="D2678" s="48">
        <f>_xlfn.XLOOKUP(expected_production[[#This Row],[Site Name]],Table1[[Site Name ]],Table1[Commisioned Date],"")</f>
        <v>46162</v>
      </c>
      <c r="E2678" s="47">
        <f>IF(ISNUMBER(expected_production[[#This Row],[Commissioned Date]]),MAX(0,(expected_production[[#This Row],[Date]]-expected_production[[#This Row],[Commissioned Date]])/365.25),"")</f>
        <v>0</v>
      </c>
      <c r="F2678" s="49">
        <f>IF(expected_production[[#This Row],[Age (yrs)]]="",1,(1-DegradationRate)^expected_production[[#This Row],[Age (yrs)]])</f>
        <v>1</v>
      </c>
      <c r="G2678" s="52">
        <f>IF(expected_production[[#This Row],[Base Expected (kWh)]]="","",expected_production[[#This Row],[Base Expected (kWh)]]*expected_production[[#This Row],[Degradation Factor]])</f>
        <v>17465.400000000001</v>
      </c>
    </row>
    <row r="2679" spans="1:7" hidden="1" x14ac:dyDescent="0.3">
      <c r="A2679" t="s">
        <v>271</v>
      </c>
      <c r="B2679" s="2">
        <v>45658</v>
      </c>
      <c r="C2679" s="52" cm="1">
        <f t="array" ref="C2679">IFERROR(INDEX('Expected Production'!$C$2:$N$199,MATCH(A2679,'Expected Production'!$A$2:$A$199,0),MONTH(B2679)),"")</f>
        <v>17370.900000000001</v>
      </c>
      <c r="D2679" s="48">
        <f>_xlfn.XLOOKUP(expected_production[[#This Row],[Site Name]],Table1[[Site Name ]],Table1[Commisioned Date],"")</f>
        <v>46162</v>
      </c>
      <c r="E2679" s="47">
        <f>IF(ISNUMBER(expected_production[[#This Row],[Commissioned Date]]),MAX(0,(expected_production[[#This Row],[Date]]-expected_production[[#This Row],[Commissioned Date]])/365.25),"")</f>
        <v>0</v>
      </c>
      <c r="F2679" s="49">
        <f>IF(expected_production[[#This Row],[Age (yrs)]]="",1,(1-DegradationRate)^expected_production[[#This Row],[Age (yrs)]])</f>
        <v>1</v>
      </c>
      <c r="G2679" s="52">
        <f>IF(expected_production[[#This Row],[Base Expected (kWh)]]="","",expected_production[[#This Row],[Base Expected (kWh)]]*expected_production[[#This Row],[Degradation Factor]])</f>
        <v>17370.900000000001</v>
      </c>
    </row>
    <row r="2680" spans="1:7" hidden="1" x14ac:dyDescent="0.3">
      <c r="A2680" t="s">
        <v>271</v>
      </c>
      <c r="B2680" s="2">
        <v>45689</v>
      </c>
      <c r="C2680" s="52" cm="1">
        <f t="array" ref="C2680">IFERROR(INDEX('Expected Production'!$C$2:$N$199,MATCH(A2680,'Expected Production'!$A$2:$A$199,0),MONTH(B2680)),"")</f>
        <v>15077.7</v>
      </c>
      <c r="D2680" s="48">
        <f>_xlfn.XLOOKUP(expected_production[[#This Row],[Site Name]],Table1[[Site Name ]],Table1[Commisioned Date],"")</f>
        <v>46162</v>
      </c>
      <c r="E2680" s="47">
        <f>IF(ISNUMBER(expected_production[[#This Row],[Commissioned Date]]),MAX(0,(expected_production[[#This Row],[Date]]-expected_production[[#This Row],[Commissioned Date]])/365.25),"")</f>
        <v>0</v>
      </c>
      <c r="F2680" s="49">
        <f>IF(expected_production[[#This Row],[Age (yrs)]]="",1,(1-DegradationRate)^expected_production[[#This Row],[Age (yrs)]])</f>
        <v>1</v>
      </c>
      <c r="G2680" s="52">
        <f>IF(expected_production[[#This Row],[Base Expected (kWh)]]="","",expected_production[[#This Row],[Base Expected (kWh)]]*expected_production[[#This Row],[Degradation Factor]])</f>
        <v>15077.7</v>
      </c>
    </row>
    <row r="2681" spans="1:7" hidden="1" x14ac:dyDescent="0.3">
      <c r="A2681" t="s">
        <v>271</v>
      </c>
      <c r="B2681" s="2">
        <v>45717</v>
      </c>
      <c r="C2681" s="52" cm="1">
        <f t="array" ref="C2681">IFERROR(INDEX('Expected Production'!$C$2:$N$199,MATCH(A2681,'Expected Production'!$A$2:$A$199,0),MONTH(B2681)),"")</f>
        <v>14634</v>
      </c>
      <c r="D2681" s="48">
        <f>_xlfn.XLOOKUP(expected_production[[#This Row],[Site Name]],Table1[[Site Name ]],Table1[Commisioned Date],"")</f>
        <v>46162</v>
      </c>
      <c r="E2681" s="47">
        <f>IF(ISNUMBER(expected_production[[#This Row],[Commissioned Date]]),MAX(0,(expected_production[[#This Row],[Date]]-expected_production[[#This Row],[Commissioned Date]])/365.25),"")</f>
        <v>0</v>
      </c>
      <c r="F2681" s="49">
        <f>IF(expected_production[[#This Row],[Age (yrs)]]="",1,(1-DegradationRate)^expected_production[[#This Row],[Age (yrs)]])</f>
        <v>1</v>
      </c>
      <c r="G2681" s="52">
        <f>IF(expected_production[[#This Row],[Base Expected (kWh)]]="","",expected_production[[#This Row],[Base Expected (kWh)]]*expected_production[[#This Row],[Degradation Factor]])</f>
        <v>14634</v>
      </c>
    </row>
    <row r="2682" spans="1:7" hidden="1" x14ac:dyDescent="0.3">
      <c r="A2682" t="s">
        <v>271</v>
      </c>
      <c r="B2682" s="2">
        <v>45748</v>
      </c>
      <c r="C2682" s="52" cm="1">
        <f t="array" ref="C2682">IFERROR(INDEX('Expected Production'!$C$2:$N$199,MATCH(A2682,'Expected Production'!$A$2:$A$199,0),MONTH(B2682)),"")</f>
        <v>12420</v>
      </c>
      <c r="D2682" s="48">
        <f>_xlfn.XLOOKUP(expected_production[[#This Row],[Site Name]],Table1[[Site Name ]],Table1[Commisioned Date],"")</f>
        <v>46162</v>
      </c>
      <c r="E2682" s="47">
        <f>IF(ISNUMBER(expected_production[[#This Row],[Commissioned Date]]),MAX(0,(expected_production[[#This Row],[Date]]-expected_production[[#This Row],[Commissioned Date]])/365.25),"")</f>
        <v>0</v>
      </c>
      <c r="F2682" s="49">
        <f>IF(expected_production[[#This Row],[Age (yrs)]]="",1,(1-DegradationRate)^expected_production[[#This Row],[Age (yrs)]])</f>
        <v>1</v>
      </c>
      <c r="G2682" s="52">
        <f>IF(expected_production[[#This Row],[Base Expected (kWh)]]="","",expected_production[[#This Row],[Base Expected (kWh)]]*expected_production[[#This Row],[Degradation Factor]])</f>
        <v>12420</v>
      </c>
    </row>
    <row r="2683" spans="1:7" hidden="1" x14ac:dyDescent="0.3">
      <c r="A2683" t="s">
        <v>271</v>
      </c>
      <c r="B2683" s="2">
        <v>45778</v>
      </c>
      <c r="C2683" s="52" cm="1">
        <f t="array" ref="C2683">IFERROR(INDEX('Expected Production'!$C$2:$N$199,MATCH(A2683,'Expected Production'!$A$2:$A$199,0),MONTH(B2683)),"")</f>
        <v>11402.1</v>
      </c>
      <c r="D2683" s="48">
        <f>_xlfn.XLOOKUP(expected_production[[#This Row],[Site Name]],Table1[[Site Name ]],Table1[Commisioned Date],"")</f>
        <v>46162</v>
      </c>
      <c r="E2683" s="47">
        <f>IF(ISNUMBER(expected_production[[#This Row],[Commissioned Date]]),MAX(0,(expected_production[[#This Row],[Date]]-expected_production[[#This Row],[Commissioned Date]])/365.25),"")</f>
        <v>0</v>
      </c>
      <c r="F2683" s="49">
        <f>IF(expected_production[[#This Row],[Age (yrs)]]="",1,(1-DegradationRate)^expected_production[[#This Row],[Age (yrs)]])</f>
        <v>1</v>
      </c>
      <c r="G2683" s="52">
        <f>IF(expected_production[[#This Row],[Base Expected (kWh)]]="","",expected_production[[#This Row],[Base Expected (kWh)]]*expected_production[[#This Row],[Degradation Factor]])</f>
        <v>11402.1</v>
      </c>
    </row>
    <row r="2684" spans="1:7" hidden="1" x14ac:dyDescent="0.3">
      <c r="A2684" t="s">
        <v>271</v>
      </c>
      <c r="B2684" s="2">
        <v>45809</v>
      </c>
      <c r="C2684" s="52" cm="1">
        <f t="array" ref="C2684">IFERROR(INDEX('Expected Production'!$C$2:$N$199,MATCH(A2684,'Expected Production'!$A$2:$A$199,0),MONTH(B2684)),"")</f>
        <v>9989.1</v>
      </c>
      <c r="D2684" s="48">
        <f>_xlfn.XLOOKUP(expected_production[[#This Row],[Site Name]],Table1[[Site Name ]],Table1[Commisioned Date],"")</f>
        <v>46162</v>
      </c>
      <c r="E2684" s="47">
        <f>IF(ISNUMBER(expected_production[[#This Row],[Commissioned Date]]),MAX(0,(expected_production[[#This Row],[Date]]-expected_production[[#This Row],[Commissioned Date]])/365.25),"")</f>
        <v>0</v>
      </c>
      <c r="F2684" s="49">
        <f>IF(expected_production[[#This Row],[Age (yrs)]]="",1,(1-DegradationRate)^expected_production[[#This Row],[Age (yrs)]])</f>
        <v>1</v>
      </c>
      <c r="G2684" s="52">
        <f>IF(expected_production[[#This Row],[Base Expected (kWh)]]="","",expected_production[[#This Row],[Base Expected (kWh)]]*expected_production[[#This Row],[Degradation Factor]])</f>
        <v>9989.1</v>
      </c>
    </row>
    <row r="2685" spans="1:7" hidden="1" x14ac:dyDescent="0.3">
      <c r="A2685" t="s">
        <v>271</v>
      </c>
      <c r="B2685" s="2">
        <v>45839</v>
      </c>
      <c r="C2685" s="52" cm="1">
        <f t="array" ref="C2685">IFERROR(INDEX('Expected Production'!$C$2:$N$199,MATCH(A2685,'Expected Production'!$A$2:$A$199,0),MONTH(B2685)),"")</f>
        <v>10986.300000000001</v>
      </c>
      <c r="D2685" s="48">
        <f>_xlfn.XLOOKUP(expected_production[[#This Row],[Site Name]],Table1[[Site Name ]],Table1[Commisioned Date],"")</f>
        <v>46162</v>
      </c>
      <c r="E2685" s="47">
        <f>IF(ISNUMBER(expected_production[[#This Row],[Commissioned Date]]),MAX(0,(expected_production[[#This Row],[Date]]-expected_production[[#This Row],[Commissioned Date]])/365.25),"")</f>
        <v>0</v>
      </c>
      <c r="F2685" s="49">
        <f>IF(expected_production[[#This Row],[Age (yrs)]]="",1,(1-DegradationRate)^expected_production[[#This Row],[Age (yrs)]])</f>
        <v>1</v>
      </c>
      <c r="G2685" s="52">
        <f>IF(expected_production[[#This Row],[Base Expected (kWh)]]="","",expected_production[[#This Row],[Base Expected (kWh)]]*expected_production[[#This Row],[Degradation Factor]])</f>
        <v>10986.300000000001</v>
      </c>
    </row>
    <row r="2686" spans="1:7" hidden="1" x14ac:dyDescent="0.3">
      <c r="A2686" t="s">
        <v>271</v>
      </c>
      <c r="B2686" s="2">
        <v>45870</v>
      </c>
      <c r="C2686" s="52" cm="1">
        <f t="array" ref="C2686">IFERROR(INDEX('Expected Production'!$C$2:$N$199,MATCH(A2686,'Expected Production'!$A$2:$A$199,0),MONTH(B2686)),"")</f>
        <v>13108.77</v>
      </c>
      <c r="D2686" s="48">
        <f>_xlfn.XLOOKUP(expected_production[[#This Row],[Site Name]],Table1[[Site Name ]],Table1[Commisioned Date],"")</f>
        <v>46162</v>
      </c>
      <c r="E2686" s="47">
        <f>IF(ISNUMBER(expected_production[[#This Row],[Commissioned Date]]),MAX(0,(expected_production[[#This Row],[Date]]-expected_production[[#This Row],[Commissioned Date]])/365.25),"")</f>
        <v>0</v>
      </c>
      <c r="F2686" s="49">
        <f>IF(expected_production[[#This Row],[Age (yrs)]]="",1,(1-DegradationRate)^expected_production[[#This Row],[Age (yrs)]])</f>
        <v>1</v>
      </c>
      <c r="G2686" s="52">
        <f>IF(expected_production[[#This Row],[Base Expected (kWh)]]="","",expected_production[[#This Row],[Base Expected (kWh)]]*expected_production[[#This Row],[Degradation Factor]])</f>
        <v>13108.77</v>
      </c>
    </row>
    <row r="2687" spans="1:7" hidden="1" x14ac:dyDescent="0.3">
      <c r="A2687" t="s">
        <v>271</v>
      </c>
      <c r="B2687" s="2">
        <v>45901</v>
      </c>
      <c r="C2687" s="52" cm="1">
        <f t="array" ref="C2687">IFERROR(INDEX('Expected Production'!$C$2:$N$199,MATCH(A2687,'Expected Production'!$A$2:$A$199,0),MONTH(B2687)),"")</f>
        <v>14833.17</v>
      </c>
      <c r="D2687" s="48">
        <f>_xlfn.XLOOKUP(expected_production[[#This Row],[Site Name]],Table1[[Site Name ]],Table1[Commisioned Date],"")</f>
        <v>46162</v>
      </c>
      <c r="E2687" s="47">
        <f>IF(ISNUMBER(expected_production[[#This Row],[Commissioned Date]]),MAX(0,(expected_production[[#This Row],[Date]]-expected_production[[#This Row],[Commissioned Date]])/365.25),"")</f>
        <v>0</v>
      </c>
      <c r="F2687" s="49">
        <f>IF(expected_production[[#This Row],[Age (yrs)]]="",1,(1-DegradationRate)^expected_production[[#This Row],[Age (yrs)]])</f>
        <v>1</v>
      </c>
      <c r="G2687" s="52">
        <f>IF(expected_production[[#This Row],[Base Expected (kWh)]]="","",expected_production[[#This Row],[Base Expected (kWh)]]*expected_production[[#This Row],[Degradation Factor]])</f>
        <v>14833.17</v>
      </c>
    </row>
    <row r="2688" spans="1:7" hidden="1" x14ac:dyDescent="0.3">
      <c r="A2688" t="s">
        <v>271</v>
      </c>
      <c r="B2688" s="2">
        <v>45931</v>
      </c>
      <c r="C2688" s="52" cm="1">
        <f t="array" ref="C2688">IFERROR(INDEX('Expected Production'!$C$2:$N$199,MATCH(A2688,'Expected Production'!$A$2:$A$199,0),MONTH(B2688)),"")</f>
        <v>17053.2</v>
      </c>
      <c r="D2688" s="48">
        <f>_xlfn.XLOOKUP(expected_production[[#This Row],[Site Name]],Table1[[Site Name ]],Table1[Commisioned Date],"")</f>
        <v>46162</v>
      </c>
      <c r="E2688" s="47">
        <f>IF(ISNUMBER(expected_production[[#This Row],[Commissioned Date]]),MAX(0,(expected_production[[#This Row],[Date]]-expected_production[[#This Row],[Commissioned Date]])/365.25),"")</f>
        <v>0</v>
      </c>
      <c r="F2688" s="49">
        <f>IF(expected_production[[#This Row],[Age (yrs)]]="",1,(1-DegradationRate)^expected_production[[#This Row],[Age (yrs)]])</f>
        <v>1</v>
      </c>
      <c r="G2688" s="52">
        <f>IF(expected_production[[#This Row],[Base Expected (kWh)]]="","",expected_production[[#This Row],[Base Expected (kWh)]]*expected_production[[#This Row],[Degradation Factor]])</f>
        <v>17053.2</v>
      </c>
    </row>
    <row r="2689" spans="1:7" hidden="1" x14ac:dyDescent="0.3">
      <c r="A2689" t="s">
        <v>271</v>
      </c>
      <c r="B2689" s="2">
        <v>45962</v>
      </c>
      <c r="C2689" s="52" cm="1">
        <f t="array" ref="C2689">IFERROR(INDEX('Expected Production'!$C$2:$N$199,MATCH(A2689,'Expected Production'!$A$2:$A$199,0),MONTH(B2689)),"")</f>
        <v>17239.5</v>
      </c>
      <c r="D2689" s="48">
        <f>_xlfn.XLOOKUP(expected_production[[#This Row],[Site Name]],Table1[[Site Name ]],Table1[Commisioned Date],"")</f>
        <v>46162</v>
      </c>
      <c r="E2689" s="47">
        <f>IF(ISNUMBER(expected_production[[#This Row],[Commissioned Date]]),MAX(0,(expected_production[[#This Row],[Date]]-expected_production[[#This Row],[Commissioned Date]])/365.25),"")</f>
        <v>0</v>
      </c>
      <c r="F2689" s="49">
        <f>IF(expected_production[[#This Row],[Age (yrs)]]="",1,(1-DegradationRate)^expected_production[[#This Row],[Age (yrs)]])</f>
        <v>1</v>
      </c>
      <c r="G2689" s="52">
        <f>IF(expected_production[[#This Row],[Base Expected (kWh)]]="","",expected_production[[#This Row],[Base Expected (kWh)]]*expected_production[[#This Row],[Degradation Factor]])</f>
        <v>17239.5</v>
      </c>
    </row>
    <row r="2690" spans="1:7" hidden="1" x14ac:dyDescent="0.3">
      <c r="A2690" t="s">
        <v>271</v>
      </c>
      <c r="B2690" s="2">
        <v>45992</v>
      </c>
      <c r="C2690" s="52" cm="1">
        <f t="array" ref="C2690">IFERROR(INDEX('Expected Production'!$C$2:$N$199,MATCH(A2690,'Expected Production'!$A$2:$A$199,0),MONTH(B2690)),"")</f>
        <v>17465.400000000001</v>
      </c>
      <c r="D2690" s="48">
        <f>_xlfn.XLOOKUP(expected_production[[#This Row],[Site Name]],Table1[[Site Name ]],Table1[Commisioned Date],"")</f>
        <v>46162</v>
      </c>
      <c r="E2690" s="47">
        <f>IF(ISNUMBER(expected_production[[#This Row],[Commissioned Date]]),MAX(0,(expected_production[[#This Row],[Date]]-expected_production[[#This Row],[Commissioned Date]])/365.25),"")</f>
        <v>0</v>
      </c>
      <c r="F2690" s="49">
        <f>IF(expected_production[[#This Row],[Age (yrs)]]="",1,(1-DegradationRate)^expected_production[[#This Row],[Age (yrs)]])</f>
        <v>1</v>
      </c>
      <c r="G2690" s="52">
        <f>IF(expected_production[[#This Row],[Base Expected (kWh)]]="","",expected_production[[#This Row],[Base Expected (kWh)]]*expected_production[[#This Row],[Degradation Factor]])</f>
        <v>17465.400000000001</v>
      </c>
    </row>
    <row r="2691" spans="1:7" hidden="1" x14ac:dyDescent="0.3">
      <c r="A2691" t="s">
        <v>271</v>
      </c>
      <c r="B2691" s="2">
        <v>46023</v>
      </c>
      <c r="C2691" s="52" cm="1">
        <f t="array" ref="C2691">IFERROR(INDEX('Expected Production'!$C$2:$N$199,MATCH(A2691,'Expected Production'!$A$2:$A$199,0),MONTH(B2691)),"")</f>
        <v>17370.900000000001</v>
      </c>
      <c r="D2691" s="48">
        <f>_xlfn.XLOOKUP(expected_production[[#This Row],[Site Name]],Table1[[Site Name ]],Table1[Commisioned Date],"")</f>
        <v>46162</v>
      </c>
      <c r="E2691" s="47">
        <f>IF(ISNUMBER(expected_production[[#This Row],[Commissioned Date]]),MAX(0,(expected_production[[#This Row],[Date]]-expected_production[[#This Row],[Commissioned Date]])/365.25),"")</f>
        <v>0</v>
      </c>
      <c r="F2691" s="49">
        <f>IF(expected_production[[#This Row],[Age (yrs)]]="",1,(1-DegradationRate)^expected_production[[#This Row],[Age (yrs)]])</f>
        <v>1</v>
      </c>
      <c r="G2691" s="52">
        <f>IF(expected_production[[#This Row],[Base Expected (kWh)]]="","",expected_production[[#This Row],[Base Expected (kWh)]]*expected_production[[#This Row],[Degradation Factor]])</f>
        <v>17370.900000000001</v>
      </c>
    </row>
    <row r="2692" spans="1:7" hidden="1" x14ac:dyDescent="0.3">
      <c r="A2692" t="s">
        <v>271</v>
      </c>
      <c r="B2692" s="2">
        <v>46054</v>
      </c>
      <c r="C2692" s="52" cm="1">
        <f t="array" ref="C2692">IFERROR(INDEX('Expected Production'!$C$2:$N$199,MATCH(A2692,'Expected Production'!$A$2:$A$199,0),MONTH(B2692)),"")</f>
        <v>15077.7</v>
      </c>
      <c r="D2692" s="48">
        <f>_xlfn.XLOOKUP(expected_production[[#This Row],[Site Name]],Table1[[Site Name ]],Table1[Commisioned Date],"")</f>
        <v>46162</v>
      </c>
      <c r="E2692" s="47">
        <f>IF(ISNUMBER(expected_production[[#This Row],[Commissioned Date]]),MAX(0,(expected_production[[#This Row],[Date]]-expected_production[[#This Row],[Commissioned Date]])/365.25),"")</f>
        <v>0</v>
      </c>
      <c r="F2692" s="49">
        <f>IF(expected_production[[#This Row],[Age (yrs)]]="",1,(1-DegradationRate)^expected_production[[#This Row],[Age (yrs)]])</f>
        <v>1</v>
      </c>
      <c r="G2692" s="52">
        <f>IF(expected_production[[#This Row],[Base Expected (kWh)]]="","",expected_production[[#This Row],[Base Expected (kWh)]]*expected_production[[#This Row],[Degradation Factor]])</f>
        <v>15077.7</v>
      </c>
    </row>
    <row r="2693" spans="1:7" hidden="1" x14ac:dyDescent="0.3">
      <c r="A2693" t="s">
        <v>271</v>
      </c>
      <c r="B2693" s="2">
        <v>46082</v>
      </c>
      <c r="C2693" s="52" cm="1">
        <f t="array" ref="C2693">IFERROR(INDEX('Expected Production'!$C$2:$N$199,MATCH(A2693,'Expected Production'!$A$2:$A$199,0),MONTH(B2693)),"")</f>
        <v>14634</v>
      </c>
      <c r="D2693" s="48">
        <f>_xlfn.XLOOKUP(expected_production[[#This Row],[Site Name]],Table1[[Site Name ]],Table1[Commisioned Date],"")</f>
        <v>46162</v>
      </c>
      <c r="E2693" s="47">
        <f>IF(ISNUMBER(expected_production[[#This Row],[Commissioned Date]]),MAX(0,(expected_production[[#This Row],[Date]]-expected_production[[#This Row],[Commissioned Date]])/365.25),"")</f>
        <v>0</v>
      </c>
      <c r="F2693" s="49">
        <f>IF(expected_production[[#This Row],[Age (yrs)]]="",1,(1-DegradationRate)^expected_production[[#This Row],[Age (yrs)]])</f>
        <v>1</v>
      </c>
      <c r="G2693" s="52">
        <f>IF(expected_production[[#This Row],[Base Expected (kWh)]]="","",expected_production[[#This Row],[Base Expected (kWh)]]*expected_production[[#This Row],[Degradation Factor]])</f>
        <v>14634</v>
      </c>
    </row>
    <row r="2694" spans="1:7" hidden="1" x14ac:dyDescent="0.3">
      <c r="A2694" t="s">
        <v>271</v>
      </c>
      <c r="B2694" s="2">
        <v>46113</v>
      </c>
      <c r="C2694" s="52" cm="1">
        <f t="array" ref="C2694">IFERROR(INDEX('Expected Production'!$C$2:$N$199,MATCH(A2694,'Expected Production'!$A$2:$A$199,0),MONTH(B2694)),"")</f>
        <v>12420</v>
      </c>
      <c r="D2694" s="48">
        <f>_xlfn.XLOOKUP(expected_production[[#This Row],[Site Name]],Table1[[Site Name ]],Table1[Commisioned Date],"")</f>
        <v>46162</v>
      </c>
      <c r="E2694" s="47">
        <f>IF(ISNUMBER(expected_production[[#This Row],[Commissioned Date]]),MAX(0,(expected_production[[#This Row],[Date]]-expected_production[[#This Row],[Commissioned Date]])/365.25),"")</f>
        <v>0</v>
      </c>
      <c r="F2694" s="49">
        <f>IF(expected_production[[#This Row],[Age (yrs)]]="",1,(1-DegradationRate)^expected_production[[#This Row],[Age (yrs)]])</f>
        <v>1</v>
      </c>
      <c r="G2694" s="52">
        <f>IF(expected_production[[#This Row],[Base Expected (kWh)]]="","",expected_production[[#This Row],[Base Expected (kWh)]]*expected_production[[#This Row],[Degradation Factor]])</f>
        <v>12420</v>
      </c>
    </row>
    <row r="2695" spans="1:7" hidden="1" x14ac:dyDescent="0.3">
      <c r="A2695" t="s">
        <v>271</v>
      </c>
      <c r="B2695" s="2">
        <v>46143</v>
      </c>
      <c r="C2695" s="52" cm="1">
        <f t="array" ref="C2695">IFERROR(INDEX('Expected Production'!$C$2:$N$199,MATCH(A2695,'Expected Production'!$A$2:$A$199,0),MONTH(B2695)),"")</f>
        <v>11402.1</v>
      </c>
      <c r="D2695" s="48">
        <f>_xlfn.XLOOKUP(expected_production[[#This Row],[Site Name]],Table1[[Site Name ]],Table1[Commisioned Date],"")</f>
        <v>46162</v>
      </c>
      <c r="E2695" s="47">
        <f>IF(ISNUMBER(expected_production[[#This Row],[Commissioned Date]]),MAX(0,(expected_production[[#This Row],[Date]]-expected_production[[#This Row],[Commissioned Date]])/365.25),"")</f>
        <v>0</v>
      </c>
      <c r="F2695" s="49">
        <f>IF(expected_production[[#This Row],[Age (yrs)]]="",1,(1-DegradationRate)^expected_production[[#This Row],[Age (yrs)]])</f>
        <v>1</v>
      </c>
      <c r="G2695" s="52">
        <f>IF(expected_production[[#This Row],[Base Expected (kWh)]]="","",expected_production[[#This Row],[Base Expected (kWh)]]*expected_production[[#This Row],[Degradation Factor]])</f>
        <v>11402.1</v>
      </c>
    </row>
    <row r="2696" spans="1:7" hidden="1" x14ac:dyDescent="0.3">
      <c r="A2696" t="s">
        <v>271</v>
      </c>
      <c r="B2696" s="2">
        <v>46174</v>
      </c>
      <c r="C2696" s="52" cm="1">
        <f t="array" ref="C2696">IFERROR(INDEX('Expected Production'!$C$2:$N$199,MATCH(A2696,'Expected Production'!$A$2:$A$199,0),MONTH(B2696)),"")</f>
        <v>9989.1</v>
      </c>
      <c r="D2696" s="48">
        <f>_xlfn.XLOOKUP(expected_production[[#This Row],[Site Name]],Table1[[Site Name ]],Table1[Commisioned Date],"")</f>
        <v>46162</v>
      </c>
      <c r="E2696" s="47">
        <f>IF(ISNUMBER(expected_production[[#This Row],[Commissioned Date]]),MAX(0,(expected_production[[#This Row],[Date]]-expected_production[[#This Row],[Commissioned Date]])/365.25),"")</f>
        <v>3.2854209445585217E-2</v>
      </c>
      <c r="F2696" s="49">
        <f>IF(expected_production[[#This Row],[Age (yrs)]]="",1,(1-DegradationRate)^expected_production[[#This Row],[Age (yrs)]])</f>
        <v>0.99976923845912757</v>
      </c>
      <c r="G2696" s="52">
        <f>IF(expected_production[[#This Row],[Base Expected (kWh)]]="","",expected_production[[#This Row],[Base Expected (kWh)]]*expected_production[[#This Row],[Degradation Factor]])</f>
        <v>9986.794899892071</v>
      </c>
    </row>
    <row r="2697" spans="1:7" hidden="1" x14ac:dyDescent="0.3">
      <c r="A2697" t="s">
        <v>271</v>
      </c>
      <c r="B2697" s="2">
        <v>46204</v>
      </c>
      <c r="C2697" s="52" cm="1">
        <f t="array" ref="C2697">IFERROR(INDEX('Expected Production'!$C$2:$N$199,MATCH(A2697,'Expected Production'!$A$2:$A$199,0),MONTH(B2697)),"")</f>
        <v>10986.300000000001</v>
      </c>
      <c r="D2697" s="48">
        <f>_xlfn.XLOOKUP(expected_production[[#This Row],[Site Name]],Table1[[Site Name ]],Table1[Commisioned Date],"")</f>
        <v>46162</v>
      </c>
      <c r="E2697" s="47">
        <f>IF(ISNUMBER(expected_production[[#This Row],[Commissioned Date]]),MAX(0,(expected_production[[#This Row],[Date]]-expected_production[[#This Row],[Commissioned Date]])/365.25),"")</f>
        <v>0.11498973305954825</v>
      </c>
      <c r="F2697" s="49">
        <f>IF(expected_production[[#This Row],[Age (yrs)]]="",1,(1-DegradationRate)^expected_production[[#This Row],[Age (yrs)]])</f>
        <v>0.99919256755270491</v>
      </c>
      <c r="G2697" s="52">
        <f>IF(expected_production[[#This Row],[Base Expected (kWh)]]="","",expected_production[[#This Row],[Base Expected (kWh)]]*expected_production[[#This Row],[Degradation Factor]])</f>
        <v>10977.429304904283</v>
      </c>
    </row>
    <row r="2698" spans="1:7" hidden="1" x14ac:dyDescent="0.3">
      <c r="A2698" t="s">
        <v>271</v>
      </c>
      <c r="B2698" s="2">
        <v>46235</v>
      </c>
      <c r="C2698" s="52" cm="1">
        <f t="array" ref="C2698">IFERROR(INDEX('Expected Production'!$C$2:$N$199,MATCH(A2698,'Expected Production'!$A$2:$A$199,0),MONTH(B2698)),"")</f>
        <v>13108.77</v>
      </c>
      <c r="D2698" s="48">
        <f>_xlfn.XLOOKUP(expected_production[[#This Row],[Site Name]],Table1[[Site Name ]],Table1[Commisioned Date],"")</f>
        <v>46162</v>
      </c>
      <c r="E2698" s="47">
        <f>IF(ISNUMBER(expected_production[[#This Row],[Commissioned Date]]),MAX(0,(expected_production[[#This Row],[Date]]-expected_production[[#This Row],[Commissioned Date]])/365.25),"")</f>
        <v>0.1998631074606434</v>
      </c>
      <c r="F2698" s="49">
        <f>IF(expected_production[[#This Row],[Age (yrs)]]="",1,(1-DegradationRate)^expected_production[[#This Row],[Age (yrs)]])</f>
        <v>0.99859702372268344</v>
      </c>
      <c r="G2698" s="52">
        <f>IF(expected_production[[#This Row],[Base Expected (kWh)]]="","",expected_production[[#This Row],[Base Expected (kWh)]]*expected_production[[#This Row],[Degradation Factor]])</f>
        <v>13090.378706665202</v>
      </c>
    </row>
    <row r="2699" spans="1:7" hidden="1" x14ac:dyDescent="0.3">
      <c r="A2699" t="s">
        <v>271</v>
      </c>
      <c r="B2699" s="2">
        <v>46266</v>
      </c>
      <c r="C2699" s="52" cm="1">
        <f t="array" ref="C2699">IFERROR(INDEX('Expected Production'!$C$2:$N$199,MATCH(A2699,'Expected Production'!$A$2:$A$199,0),MONTH(B2699)),"")</f>
        <v>14833.17</v>
      </c>
      <c r="D2699" s="48">
        <f>_xlfn.XLOOKUP(expected_production[[#This Row],[Site Name]],Table1[[Site Name ]],Table1[Commisioned Date],"")</f>
        <v>46162</v>
      </c>
      <c r="E2699" s="47">
        <f>IF(ISNUMBER(expected_production[[#This Row],[Commissioned Date]]),MAX(0,(expected_production[[#This Row],[Date]]-expected_production[[#This Row],[Commissioned Date]])/365.25),"")</f>
        <v>0.28473648186173856</v>
      </c>
      <c r="F2699" s="49">
        <f>IF(expected_production[[#This Row],[Age (yrs)]]="",1,(1-DegradationRate)^expected_production[[#This Row],[Age (yrs)]])</f>
        <v>0.99800183485172089</v>
      </c>
      <c r="G2699" s="52">
        <f>IF(expected_production[[#This Row],[Base Expected (kWh)]]="","",expected_production[[#This Row],[Base Expected (kWh)]]*expected_production[[#This Row],[Degradation Factor]])</f>
        <v>14803.530876667501</v>
      </c>
    </row>
    <row r="2700" spans="1:7" hidden="1" x14ac:dyDescent="0.3">
      <c r="A2700" t="s">
        <v>271</v>
      </c>
      <c r="B2700" s="2">
        <v>46296</v>
      </c>
      <c r="C2700" s="52" cm="1">
        <f t="array" ref="C2700">IFERROR(INDEX('Expected Production'!$C$2:$N$199,MATCH(A2700,'Expected Production'!$A$2:$A$199,0),MONTH(B2700)),"")</f>
        <v>17053.2</v>
      </c>
      <c r="D2700" s="48">
        <f>_xlfn.XLOOKUP(expected_production[[#This Row],[Site Name]],Table1[[Site Name ]],Table1[Commisioned Date],"")</f>
        <v>46162</v>
      </c>
      <c r="E2700" s="47">
        <f>IF(ISNUMBER(expected_production[[#This Row],[Commissioned Date]]),MAX(0,(expected_production[[#This Row],[Date]]-expected_production[[#This Row],[Commissioned Date]])/365.25),"")</f>
        <v>0.36687200547570159</v>
      </c>
      <c r="F2700" s="49">
        <f>IF(expected_production[[#This Row],[Age (yrs)]]="",1,(1-DegradationRate)^expected_production[[#This Row],[Age (yrs)]])</f>
        <v>0.99742618339078737</v>
      </c>
      <c r="G2700" s="52">
        <f>IF(expected_production[[#This Row],[Base Expected (kWh)]]="","",expected_production[[#This Row],[Base Expected (kWh)]]*expected_production[[#This Row],[Degradation Factor]])</f>
        <v>17009.308190599775</v>
      </c>
    </row>
    <row r="2701" spans="1:7" hidden="1" x14ac:dyDescent="0.3">
      <c r="A2701" t="s">
        <v>271</v>
      </c>
      <c r="B2701" s="2">
        <v>46327</v>
      </c>
      <c r="C2701" s="52" cm="1">
        <f t="array" ref="C2701">IFERROR(INDEX('Expected Production'!$C$2:$N$199,MATCH(A2701,'Expected Production'!$A$2:$A$199,0),MONTH(B2701)),"")</f>
        <v>17239.5</v>
      </c>
      <c r="D2701" s="48">
        <f>_xlfn.XLOOKUP(expected_production[[#This Row],[Site Name]],Table1[[Site Name ]],Table1[Commisioned Date],"")</f>
        <v>46162</v>
      </c>
      <c r="E2701" s="47">
        <f>IF(ISNUMBER(expected_production[[#This Row],[Commissioned Date]]),MAX(0,(expected_production[[#This Row],[Date]]-expected_production[[#This Row],[Commissioned Date]])/365.25),"")</f>
        <v>0.45174537987679669</v>
      </c>
      <c r="F2701" s="49">
        <f>IF(expected_production[[#This Row],[Age (yrs)]]="",1,(1-DegradationRate)^expected_production[[#This Row],[Age (yrs)]])</f>
        <v>0.99683169237002733</v>
      </c>
      <c r="G2701" s="52">
        <f>IF(expected_production[[#This Row],[Base Expected (kWh)]]="","",expected_production[[#This Row],[Base Expected (kWh)]]*expected_production[[#This Row],[Degradation Factor]])</f>
        <v>17184.879960613085</v>
      </c>
    </row>
    <row r="2702" spans="1:7" hidden="1" x14ac:dyDescent="0.3">
      <c r="A2702" t="s">
        <v>271</v>
      </c>
      <c r="B2702" s="2">
        <v>46357</v>
      </c>
      <c r="C2702" s="52" cm="1">
        <f t="array" ref="C2702">IFERROR(INDEX('Expected Production'!$C$2:$N$199,MATCH(A2702,'Expected Production'!$A$2:$A$199,0),MONTH(B2702)),"")</f>
        <v>17465.400000000001</v>
      </c>
      <c r="D2702" s="48">
        <f>_xlfn.XLOOKUP(expected_production[[#This Row],[Site Name]],Table1[[Site Name ]],Table1[Commisioned Date],"")</f>
        <v>46162</v>
      </c>
      <c r="E2702" s="47">
        <f>IF(ISNUMBER(expected_production[[#This Row],[Commissioned Date]]),MAX(0,(expected_production[[#This Row],[Date]]-expected_production[[#This Row],[Commissioned Date]])/365.25),"")</f>
        <v>0.53388090349075978</v>
      </c>
      <c r="F2702" s="49">
        <f>IF(expected_production[[#This Row],[Age (yrs)]]="",1,(1-DegradationRate)^expected_production[[#This Row],[Age (yrs)]])</f>
        <v>0.99625671585197029</v>
      </c>
      <c r="G2702" s="52">
        <f>IF(expected_production[[#This Row],[Base Expected (kWh)]]="","",expected_production[[#This Row],[Base Expected (kWh)]]*expected_production[[#This Row],[Degradation Factor]])</f>
        <v>17400.022045041002</v>
      </c>
    </row>
    <row r="2703" spans="1:7" hidden="1" x14ac:dyDescent="0.3">
      <c r="A2703" t="s">
        <v>251</v>
      </c>
      <c r="B2703" s="2">
        <v>45292</v>
      </c>
      <c r="C2703" s="52" cm="1">
        <f t="array" ref="C2703">IFERROR(INDEX('Expected Production'!$C$2:$N$199,MATCH(A2703,'Expected Production'!$A$2:$A$199,0),MONTH(B2703)),"")</f>
        <v>26451</v>
      </c>
      <c r="D2703" s="48">
        <f>_xlfn.XLOOKUP(expected_production[[#This Row],[Site Name]],Table1[[Site Name ]],Table1[Commisioned Date],"")</f>
        <v>46129</v>
      </c>
      <c r="E2703" s="47">
        <f>IF(ISNUMBER(expected_production[[#This Row],[Commissioned Date]]),MAX(0,(expected_production[[#This Row],[Date]]-expected_production[[#This Row],[Commissioned Date]])/365.25),"")</f>
        <v>0</v>
      </c>
      <c r="F2703" s="49">
        <f>IF(expected_production[[#This Row],[Age (yrs)]]="",1,(1-DegradationRate)^expected_production[[#This Row],[Age (yrs)]])</f>
        <v>1</v>
      </c>
      <c r="G2703" s="52">
        <f>IF(expected_production[[#This Row],[Base Expected (kWh)]]="","",expected_production[[#This Row],[Base Expected (kWh)]]*expected_production[[#This Row],[Degradation Factor]])</f>
        <v>26451</v>
      </c>
    </row>
    <row r="2704" spans="1:7" hidden="1" x14ac:dyDescent="0.3">
      <c r="A2704" t="s">
        <v>251</v>
      </c>
      <c r="B2704" s="2">
        <v>45323</v>
      </c>
      <c r="C2704" s="52" cm="1">
        <f t="array" ref="C2704">IFERROR(INDEX('Expected Production'!$C$2:$N$199,MATCH(A2704,'Expected Production'!$A$2:$A$199,0),MONTH(B2704)),"")</f>
        <v>23215.5</v>
      </c>
      <c r="D2704" s="48">
        <f>_xlfn.XLOOKUP(expected_production[[#This Row],[Site Name]],Table1[[Site Name ]],Table1[Commisioned Date],"")</f>
        <v>46129</v>
      </c>
      <c r="E2704" s="47">
        <f>IF(ISNUMBER(expected_production[[#This Row],[Commissioned Date]]),MAX(0,(expected_production[[#This Row],[Date]]-expected_production[[#This Row],[Commissioned Date]])/365.25),"")</f>
        <v>0</v>
      </c>
      <c r="F2704" s="49">
        <f>IF(expected_production[[#This Row],[Age (yrs)]]="",1,(1-DegradationRate)^expected_production[[#This Row],[Age (yrs)]])</f>
        <v>1</v>
      </c>
      <c r="G2704" s="52">
        <f>IF(expected_production[[#This Row],[Base Expected (kWh)]]="","",expected_production[[#This Row],[Base Expected (kWh)]]*expected_production[[#This Row],[Degradation Factor]])</f>
        <v>23215.5</v>
      </c>
    </row>
    <row r="2705" spans="1:7" hidden="1" x14ac:dyDescent="0.3">
      <c r="A2705" t="s">
        <v>251</v>
      </c>
      <c r="B2705" s="2">
        <v>45352</v>
      </c>
      <c r="C2705" s="52" cm="1">
        <f t="array" ref="C2705">IFERROR(INDEX('Expected Production'!$C$2:$N$199,MATCH(A2705,'Expected Production'!$A$2:$A$199,0),MONTH(B2705)),"")</f>
        <v>23034.600000000002</v>
      </c>
      <c r="D2705" s="48">
        <f>_xlfn.XLOOKUP(expected_production[[#This Row],[Site Name]],Table1[[Site Name ]],Table1[Commisioned Date],"")</f>
        <v>46129</v>
      </c>
      <c r="E2705" s="47">
        <f>IF(ISNUMBER(expected_production[[#This Row],[Commissioned Date]]),MAX(0,(expected_production[[#This Row],[Date]]-expected_production[[#This Row],[Commissioned Date]])/365.25),"")</f>
        <v>0</v>
      </c>
      <c r="F2705" s="49">
        <f>IF(expected_production[[#This Row],[Age (yrs)]]="",1,(1-DegradationRate)^expected_production[[#This Row],[Age (yrs)]])</f>
        <v>1</v>
      </c>
      <c r="G2705" s="52">
        <f>IF(expected_production[[#This Row],[Base Expected (kWh)]]="","",expected_production[[#This Row],[Base Expected (kWh)]]*expected_production[[#This Row],[Degradation Factor]])</f>
        <v>23034.600000000002</v>
      </c>
    </row>
    <row r="2706" spans="1:7" hidden="1" x14ac:dyDescent="0.3">
      <c r="A2706" t="s">
        <v>251</v>
      </c>
      <c r="B2706" s="2">
        <v>45383</v>
      </c>
      <c r="C2706" s="52" cm="1">
        <f t="array" ref="C2706">IFERROR(INDEX('Expected Production'!$C$2:$N$199,MATCH(A2706,'Expected Production'!$A$2:$A$199,0),MONTH(B2706)),"")</f>
        <v>19930.5</v>
      </c>
      <c r="D2706" s="48">
        <f>_xlfn.XLOOKUP(expected_production[[#This Row],[Site Name]],Table1[[Site Name ]],Table1[Commisioned Date],"")</f>
        <v>46129</v>
      </c>
      <c r="E2706" s="47">
        <f>IF(ISNUMBER(expected_production[[#This Row],[Commissioned Date]]),MAX(0,(expected_production[[#This Row],[Date]]-expected_production[[#This Row],[Commissioned Date]])/365.25),"")</f>
        <v>0</v>
      </c>
      <c r="F2706" s="49">
        <f>IF(expected_production[[#This Row],[Age (yrs)]]="",1,(1-DegradationRate)^expected_production[[#This Row],[Age (yrs)]])</f>
        <v>1</v>
      </c>
      <c r="G2706" s="52">
        <f>IF(expected_production[[#This Row],[Base Expected (kWh)]]="","",expected_production[[#This Row],[Base Expected (kWh)]]*expected_production[[#This Row],[Degradation Factor]])</f>
        <v>19930.5</v>
      </c>
    </row>
    <row r="2707" spans="1:7" hidden="1" x14ac:dyDescent="0.3">
      <c r="A2707" t="s">
        <v>251</v>
      </c>
      <c r="B2707" s="2">
        <v>45413</v>
      </c>
      <c r="C2707" s="52" cm="1">
        <f t="array" ref="C2707">IFERROR(INDEX('Expected Production'!$C$2:$N$199,MATCH(A2707,'Expected Production'!$A$2:$A$199,0),MONTH(B2707)),"")</f>
        <v>18754.2</v>
      </c>
      <c r="D2707" s="48">
        <f>_xlfn.XLOOKUP(expected_production[[#This Row],[Site Name]],Table1[[Site Name ]],Table1[Commisioned Date],"")</f>
        <v>46129</v>
      </c>
      <c r="E2707" s="47">
        <f>IF(ISNUMBER(expected_production[[#This Row],[Commissioned Date]]),MAX(0,(expected_production[[#This Row],[Date]]-expected_production[[#This Row],[Commissioned Date]])/365.25),"")</f>
        <v>0</v>
      </c>
      <c r="F2707" s="49">
        <f>IF(expected_production[[#This Row],[Age (yrs)]]="",1,(1-DegradationRate)^expected_production[[#This Row],[Age (yrs)]])</f>
        <v>1</v>
      </c>
      <c r="G2707" s="52">
        <f>IF(expected_production[[#This Row],[Base Expected (kWh)]]="","",expected_production[[#This Row],[Base Expected (kWh)]]*expected_production[[#This Row],[Degradation Factor]])</f>
        <v>18754.2</v>
      </c>
    </row>
    <row r="2708" spans="1:7" hidden="1" x14ac:dyDescent="0.3">
      <c r="A2708" t="s">
        <v>251</v>
      </c>
      <c r="B2708" s="2">
        <v>45444</v>
      </c>
      <c r="C2708" s="52" cm="1">
        <f t="array" ref="C2708">IFERROR(INDEX('Expected Production'!$C$2:$N$199,MATCH(A2708,'Expected Production'!$A$2:$A$199,0),MONTH(B2708)),"")</f>
        <v>16767.900000000001</v>
      </c>
      <c r="D2708" s="48">
        <f>_xlfn.XLOOKUP(expected_production[[#This Row],[Site Name]],Table1[[Site Name ]],Table1[Commisioned Date],"")</f>
        <v>46129</v>
      </c>
      <c r="E2708" s="47">
        <f>IF(ISNUMBER(expected_production[[#This Row],[Commissioned Date]]),MAX(0,(expected_production[[#This Row],[Date]]-expected_production[[#This Row],[Commissioned Date]])/365.25),"")</f>
        <v>0</v>
      </c>
      <c r="F2708" s="49">
        <f>IF(expected_production[[#This Row],[Age (yrs)]]="",1,(1-DegradationRate)^expected_production[[#This Row],[Age (yrs)]])</f>
        <v>1</v>
      </c>
      <c r="G2708" s="52">
        <f>IF(expected_production[[#This Row],[Base Expected (kWh)]]="","",expected_production[[#This Row],[Base Expected (kWh)]]*expected_production[[#This Row],[Degradation Factor]])</f>
        <v>16767.900000000001</v>
      </c>
    </row>
    <row r="2709" spans="1:7" hidden="1" x14ac:dyDescent="0.3">
      <c r="A2709" t="s">
        <v>251</v>
      </c>
      <c r="B2709" s="2">
        <v>45474</v>
      </c>
      <c r="C2709" s="52" cm="1">
        <f t="array" ref="C2709">IFERROR(INDEX('Expected Production'!$C$2:$N$199,MATCH(A2709,'Expected Production'!$A$2:$A$199,0),MONTH(B2709)),"")</f>
        <v>18261</v>
      </c>
      <c r="D2709" s="48">
        <f>_xlfn.XLOOKUP(expected_production[[#This Row],[Site Name]],Table1[[Site Name ]],Table1[Commisioned Date],"")</f>
        <v>46129</v>
      </c>
      <c r="E2709" s="47">
        <f>IF(ISNUMBER(expected_production[[#This Row],[Commissioned Date]]),MAX(0,(expected_production[[#This Row],[Date]]-expected_production[[#This Row],[Commissioned Date]])/365.25),"")</f>
        <v>0</v>
      </c>
      <c r="F2709" s="49">
        <f>IF(expected_production[[#This Row],[Age (yrs)]]="",1,(1-DegradationRate)^expected_production[[#This Row],[Age (yrs)]])</f>
        <v>1</v>
      </c>
      <c r="G2709" s="52">
        <f>IF(expected_production[[#This Row],[Base Expected (kWh)]]="","",expected_production[[#This Row],[Base Expected (kWh)]]*expected_production[[#This Row],[Degradation Factor]])</f>
        <v>18261</v>
      </c>
    </row>
    <row r="2710" spans="1:7" hidden="1" x14ac:dyDescent="0.3">
      <c r="A2710" t="s">
        <v>251</v>
      </c>
      <c r="B2710" s="2">
        <v>45505</v>
      </c>
      <c r="C2710" s="52" cm="1">
        <f t="array" ref="C2710">IFERROR(INDEX('Expected Production'!$C$2:$N$199,MATCH(A2710,'Expected Production'!$A$2:$A$199,0),MONTH(B2710)),"")</f>
        <v>21311.100000000002</v>
      </c>
      <c r="D2710" s="48">
        <f>_xlfn.XLOOKUP(expected_production[[#This Row],[Site Name]],Table1[[Site Name ]],Table1[Commisioned Date],"")</f>
        <v>46129</v>
      </c>
      <c r="E2710" s="47">
        <f>IF(ISNUMBER(expected_production[[#This Row],[Commissioned Date]]),MAX(0,(expected_production[[#This Row],[Date]]-expected_production[[#This Row],[Commissioned Date]])/365.25),"")</f>
        <v>0</v>
      </c>
      <c r="F2710" s="49">
        <f>IF(expected_production[[#This Row],[Age (yrs)]]="",1,(1-DegradationRate)^expected_production[[#This Row],[Age (yrs)]])</f>
        <v>1</v>
      </c>
      <c r="G2710" s="52">
        <f>IF(expected_production[[#This Row],[Base Expected (kWh)]]="","",expected_production[[#This Row],[Base Expected (kWh)]]*expected_production[[#This Row],[Degradation Factor]])</f>
        <v>21311.100000000002</v>
      </c>
    </row>
    <row r="2711" spans="1:7" hidden="1" x14ac:dyDescent="0.3">
      <c r="A2711" t="s">
        <v>251</v>
      </c>
      <c r="B2711" s="2">
        <v>45536</v>
      </c>
      <c r="C2711" s="52" cm="1">
        <f t="array" ref="C2711">IFERROR(INDEX('Expected Production'!$C$2:$N$199,MATCH(A2711,'Expected Production'!$A$2:$A$199,0),MONTH(B2711)),"")</f>
        <v>23659.200000000001</v>
      </c>
      <c r="D2711" s="48">
        <f>_xlfn.XLOOKUP(expected_production[[#This Row],[Site Name]],Table1[[Site Name ]],Table1[Commisioned Date],"")</f>
        <v>46129</v>
      </c>
      <c r="E2711" s="47">
        <f>IF(ISNUMBER(expected_production[[#This Row],[Commissioned Date]]),MAX(0,(expected_production[[#This Row],[Date]]-expected_production[[#This Row],[Commissioned Date]])/365.25),"")</f>
        <v>0</v>
      </c>
      <c r="F2711" s="49">
        <f>IF(expected_production[[#This Row],[Age (yrs)]]="",1,(1-DegradationRate)^expected_production[[#This Row],[Age (yrs)]])</f>
        <v>1</v>
      </c>
      <c r="G2711" s="52">
        <f>IF(expected_production[[#This Row],[Base Expected (kWh)]]="","",expected_production[[#This Row],[Base Expected (kWh)]]*expected_production[[#This Row],[Degradation Factor]])</f>
        <v>23659.200000000001</v>
      </c>
    </row>
    <row r="2712" spans="1:7" hidden="1" x14ac:dyDescent="0.3">
      <c r="A2712" t="s">
        <v>251</v>
      </c>
      <c r="B2712" s="2">
        <v>45566</v>
      </c>
      <c r="C2712" s="52" cm="1">
        <f t="array" ref="C2712">IFERROR(INDEX('Expected Production'!$C$2:$N$199,MATCH(A2712,'Expected Production'!$A$2:$A$199,0),MONTH(B2712)),"")</f>
        <v>26865.9</v>
      </c>
      <c r="D2712" s="48">
        <f>_xlfn.XLOOKUP(expected_production[[#This Row],[Site Name]],Table1[[Site Name ]],Table1[Commisioned Date],"")</f>
        <v>46129</v>
      </c>
      <c r="E2712" s="47">
        <f>IF(ISNUMBER(expected_production[[#This Row],[Commissioned Date]]),MAX(0,(expected_production[[#This Row],[Date]]-expected_production[[#This Row],[Commissioned Date]])/365.25),"")</f>
        <v>0</v>
      </c>
      <c r="F2712" s="49">
        <f>IF(expected_production[[#This Row],[Age (yrs)]]="",1,(1-DegradationRate)^expected_production[[#This Row],[Age (yrs)]])</f>
        <v>1</v>
      </c>
      <c r="G2712" s="52">
        <f>IF(expected_production[[#This Row],[Base Expected (kWh)]]="","",expected_production[[#This Row],[Base Expected (kWh)]]*expected_production[[#This Row],[Degradation Factor]])</f>
        <v>26865.9</v>
      </c>
    </row>
    <row r="2713" spans="1:7" hidden="1" x14ac:dyDescent="0.3">
      <c r="A2713" t="s">
        <v>251</v>
      </c>
      <c r="B2713" s="2">
        <v>45597</v>
      </c>
      <c r="C2713" s="52" cm="1">
        <f t="array" ref="C2713">IFERROR(INDEX('Expected Production'!$C$2:$N$199,MATCH(A2713,'Expected Production'!$A$2:$A$199,0),MONTH(B2713)),"")</f>
        <v>27153.9</v>
      </c>
      <c r="D2713" s="48">
        <f>_xlfn.XLOOKUP(expected_production[[#This Row],[Site Name]],Table1[[Site Name ]],Table1[Commisioned Date],"")</f>
        <v>46129</v>
      </c>
      <c r="E2713" s="47">
        <f>IF(ISNUMBER(expected_production[[#This Row],[Commissioned Date]]),MAX(0,(expected_production[[#This Row],[Date]]-expected_production[[#This Row],[Commissioned Date]])/365.25),"")</f>
        <v>0</v>
      </c>
      <c r="F2713" s="49">
        <f>IF(expected_production[[#This Row],[Age (yrs)]]="",1,(1-DegradationRate)^expected_production[[#This Row],[Age (yrs)]])</f>
        <v>1</v>
      </c>
      <c r="G2713" s="52">
        <f>IF(expected_production[[#This Row],[Base Expected (kWh)]]="","",expected_production[[#This Row],[Base Expected (kWh)]]*expected_production[[#This Row],[Degradation Factor]])</f>
        <v>27153.9</v>
      </c>
    </row>
    <row r="2714" spans="1:7" hidden="1" x14ac:dyDescent="0.3">
      <c r="A2714" t="s">
        <v>251</v>
      </c>
      <c r="B2714" s="2">
        <v>45627</v>
      </c>
      <c r="C2714" s="52" cm="1">
        <f t="array" ref="C2714">IFERROR(INDEX('Expected Production'!$C$2:$N$199,MATCH(A2714,'Expected Production'!$A$2:$A$199,0),MONTH(B2714)),"")</f>
        <v>27402.3</v>
      </c>
      <c r="D2714" s="48">
        <f>_xlfn.XLOOKUP(expected_production[[#This Row],[Site Name]],Table1[[Site Name ]],Table1[Commisioned Date],"")</f>
        <v>46129</v>
      </c>
      <c r="E2714" s="47">
        <f>IF(ISNUMBER(expected_production[[#This Row],[Commissioned Date]]),MAX(0,(expected_production[[#This Row],[Date]]-expected_production[[#This Row],[Commissioned Date]])/365.25),"")</f>
        <v>0</v>
      </c>
      <c r="F2714" s="49">
        <f>IF(expected_production[[#This Row],[Age (yrs)]]="",1,(1-DegradationRate)^expected_production[[#This Row],[Age (yrs)]])</f>
        <v>1</v>
      </c>
      <c r="G2714" s="52">
        <f>IF(expected_production[[#This Row],[Base Expected (kWh)]]="","",expected_production[[#This Row],[Base Expected (kWh)]]*expected_production[[#This Row],[Degradation Factor]])</f>
        <v>27402.3</v>
      </c>
    </row>
    <row r="2715" spans="1:7" hidden="1" x14ac:dyDescent="0.3">
      <c r="A2715" t="s">
        <v>251</v>
      </c>
      <c r="B2715" s="2">
        <v>45658</v>
      </c>
      <c r="C2715" s="52" cm="1">
        <f t="array" ref="C2715">IFERROR(INDEX('Expected Production'!$C$2:$N$199,MATCH(A2715,'Expected Production'!$A$2:$A$199,0),MONTH(B2715)),"")</f>
        <v>26451</v>
      </c>
      <c r="D2715" s="48">
        <f>_xlfn.XLOOKUP(expected_production[[#This Row],[Site Name]],Table1[[Site Name ]],Table1[Commisioned Date],"")</f>
        <v>46129</v>
      </c>
      <c r="E2715" s="47">
        <f>IF(ISNUMBER(expected_production[[#This Row],[Commissioned Date]]),MAX(0,(expected_production[[#This Row],[Date]]-expected_production[[#This Row],[Commissioned Date]])/365.25),"")</f>
        <v>0</v>
      </c>
      <c r="F2715" s="49">
        <f>IF(expected_production[[#This Row],[Age (yrs)]]="",1,(1-DegradationRate)^expected_production[[#This Row],[Age (yrs)]])</f>
        <v>1</v>
      </c>
      <c r="G2715" s="52">
        <f>IF(expected_production[[#This Row],[Base Expected (kWh)]]="","",expected_production[[#This Row],[Base Expected (kWh)]]*expected_production[[#This Row],[Degradation Factor]])</f>
        <v>26451</v>
      </c>
    </row>
    <row r="2716" spans="1:7" hidden="1" x14ac:dyDescent="0.3">
      <c r="A2716" t="s">
        <v>251</v>
      </c>
      <c r="B2716" s="2">
        <v>45689</v>
      </c>
      <c r="C2716" s="52" cm="1">
        <f t="array" ref="C2716">IFERROR(INDEX('Expected Production'!$C$2:$N$199,MATCH(A2716,'Expected Production'!$A$2:$A$199,0),MONTH(B2716)),"")</f>
        <v>23215.5</v>
      </c>
      <c r="D2716" s="48">
        <f>_xlfn.XLOOKUP(expected_production[[#This Row],[Site Name]],Table1[[Site Name ]],Table1[Commisioned Date],"")</f>
        <v>46129</v>
      </c>
      <c r="E2716" s="47">
        <f>IF(ISNUMBER(expected_production[[#This Row],[Commissioned Date]]),MAX(0,(expected_production[[#This Row],[Date]]-expected_production[[#This Row],[Commissioned Date]])/365.25),"")</f>
        <v>0</v>
      </c>
      <c r="F2716" s="49">
        <f>IF(expected_production[[#This Row],[Age (yrs)]]="",1,(1-DegradationRate)^expected_production[[#This Row],[Age (yrs)]])</f>
        <v>1</v>
      </c>
      <c r="G2716" s="52">
        <f>IF(expected_production[[#This Row],[Base Expected (kWh)]]="","",expected_production[[#This Row],[Base Expected (kWh)]]*expected_production[[#This Row],[Degradation Factor]])</f>
        <v>23215.5</v>
      </c>
    </row>
    <row r="2717" spans="1:7" hidden="1" x14ac:dyDescent="0.3">
      <c r="A2717" t="s">
        <v>251</v>
      </c>
      <c r="B2717" s="2">
        <v>45717</v>
      </c>
      <c r="C2717" s="52" cm="1">
        <f t="array" ref="C2717">IFERROR(INDEX('Expected Production'!$C$2:$N$199,MATCH(A2717,'Expected Production'!$A$2:$A$199,0),MONTH(B2717)),"")</f>
        <v>23034.600000000002</v>
      </c>
      <c r="D2717" s="48">
        <f>_xlfn.XLOOKUP(expected_production[[#This Row],[Site Name]],Table1[[Site Name ]],Table1[Commisioned Date],"")</f>
        <v>46129</v>
      </c>
      <c r="E2717" s="47">
        <f>IF(ISNUMBER(expected_production[[#This Row],[Commissioned Date]]),MAX(0,(expected_production[[#This Row],[Date]]-expected_production[[#This Row],[Commissioned Date]])/365.25),"")</f>
        <v>0</v>
      </c>
      <c r="F2717" s="49">
        <f>IF(expected_production[[#This Row],[Age (yrs)]]="",1,(1-DegradationRate)^expected_production[[#This Row],[Age (yrs)]])</f>
        <v>1</v>
      </c>
      <c r="G2717" s="52">
        <f>IF(expected_production[[#This Row],[Base Expected (kWh)]]="","",expected_production[[#This Row],[Base Expected (kWh)]]*expected_production[[#This Row],[Degradation Factor]])</f>
        <v>23034.600000000002</v>
      </c>
    </row>
    <row r="2718" spans="1:7" hidden="1" x14ac:dyDescent="0.3">
      <c r="A2718" t="s">
        <v>251</v>
      </c>
      <c r="B2718" s="2">
        <v>45748</v>
      </c>
      <c r="C2718" s="52" cm="1">
        <f t="array" ref="C2718">IFERROR(INDEX('Expected Production'!$C$2:$N$199,MATCH(A2718,'Expected Production'!$A$2:$A$199,0),MONTH(B2718)),"")</f>
        <v>19930.5</v>
      </c>
      <c r="D2718" s="48">
        <f>_xlfn.XLOOKUP(expected_production[[#This Row],[Site Name]],Table1[[Site Name ]],Table1[Commisioned Date],"")</f>
        <v>46129</v>
      </c>
      <c r="E2718" s="47">
        <f>IF(ISNUMBER(expected_production[[#This Row],[Commissioned Date]]),MAX(0,(expected_production[[#This Row],[Date]]-expected_production[[#This Row],[Commissioned Date]])/365.25),"")</f>
        <v>0</v>
      </c>
      <c r="F2718" s="49">
        <f>IF(expected_production[[#This Row],[Age (yrs)]]="",1,(1-DegradationRate)^expected_production[[#This Row],[Age (yrs)]])</f>
        <v>1</v>
      </c>
      <c r="G2718" s="52">
        <f>IF(expected_production[[#This Row],[Base Expected (kWh)]]="","",expected_production[[#This Row],[Base Expected (kWh)]]*expected_production[[#This Row],[Degradation Factor]])</f>
        <v>19930.5</v>
      </c>
    </row>
    <row r="2719" spans="1:7" hidden="1" x14ac:dyDescent="0.3">
      <c r="A2719" t="s">
        <v>251</v>
      </c>
      <c r="B2719" s="2">
        <v>45778</v>
      </c>
      <c r="C2719" s="52" cm="1">
        <f t="array" ref="C2719">IFERROR(INDEX('Expected Production'!$C$2:$N$199,MATCH(A2719,'Expected Production'!$A$2:$A$199,0),MONTH(B2719)),"")</f>
        <v>18754.2</v>
      </c>
      <c r="D2719" s="48">
        <f>_xlfn.XLOOKUP(expected_production[[#This Row],[Site Name]],Table1[[Site Name ]],Table1[Commisioned Date],"")</f>
        <v>46129</v>
      </c>
      <c r="E2719" s="47">
        <f>IF(ISNUMBER(expected_production[[#This Row],[Commissioned Date]]),MAX(0,(expected_production[[#This Row],[Date]]-expected_production[[#This Row],[Commissioned Date]])/365.25),"")</f>
        <v>0</v>
      </c>
      <c r="F2719" s="49">
        <f>IF(expected_production[[#This Row],[Age (yrs)]]="",1,(1-DegradationRate)^expected_production[[#This Row],[Age (yrs)]])</f>
        <v>1</v>
      </c>
      <c r="G2719" s="52">
        <f>IF(expected_production[[#This Row],[Base Expected (kWh)]]="","",expected_production[[#This Row],[Base Expected (kWh)]]*expected_production[[#This Row],[Degradation Factor]])</f>
        <v>18754.2</v>
      </c>
    </row>
    <row r="2720" spans="1:7" hidden="1" x14ac:dyDescent="0.3">
      <c r="A2720" t="s">
        <v>251</v>
      </c>
      <c r="B2720" s="2">
        <v>45809</v>
      </c>
      <c r="C2720" s="52" cm="1">
        <f t="array" ref="C2720">IFERROR(INDEX('Expected Production'!$C$2:$N$199,MATCH(A2720,'Expected Production'!$A$2:$A$199,0),MONTH(B2720)),"")</f>
        <v>16767.900000000001</v>
      </c>
      <c r="D2720" s="48">
        <f>_xlfn.XLOOKUP(expected_production[[#This Row],[Site Name]],Table1[[Site Name ]],Table1[Commisioned Date],"")</f>
        <v>46129</v>
      </c>
      <c r="E2720" s="47">
        <f>IF(ISNUMBER(expected_production[[#This Row],[Commissioned Date]]),MAX(0,(expected_production[[#This Row],[Date]]-expected_production[[#This Row],[Commissioned Date]])/365.25),"")</f>
        <v>0</v>
      </c>
      <c r="F2720" s="49">
        <f>IF(expected_production[[#This Row],[Age (yrs)]]="",1,(1-DegradationRate)^expected_production[[#This Row],[Age (yrs)]])</f>
        <v>1</v>
      </c>
      <c r="G2720" s="52">
        <f>IF(expected_production[[#This Row],[Base Expected (kWh)]]="","",expected_production[[#This Row],[Base Expected (kWh)]]*expected_production[[#This Row],[Degradation Factor]])</f>
        <v>16767.900000000001</v>
      </c>
    </row>
    <row r="2721" spans="1:7" hidden="1" x14ac:dyDescent="0.3">
      <c r="A2721" t="s">
        <v>251</v>
      </c>
      <c r="B2721" s="2">
        <v>45839</v>
      </c>
      <c r="C2721" s="52" cm="1">
        <f t="array" ref="C2721">IFERROR(INDEX('Expected Production'!$C$2:$N$199,MATCH(A2721,'Expected Production'!$A$2:$A$199,0),MONTH(B2721)),"")</f>
        <v>18261</v>
      </c>
      <c r="D2721" s="48">
        <f>_xlfn.XLOOKUP(expected_production[[#This Row],[Site Name]],Table1[[Site Name ]],Table1[Commisioned Date],"")</f>
        <v>46129</v>
      </c>
      <c r="E2721" s="47">
        <f>IF(ISNUMBER(expected_production[[#This Row],[Commissioned Date]]),MAX(0,(expected_production[[#This Row],[Date]]-expected_production[[#This Row],[Commissioned Date]])/365.25),"")</f>
        <v>0</v>
      </c>
      <c r="F2721" s="49">
        <f>IF(expected_production[[#This Row],[Age (yrs)]]="",1,(1-DegradationRate)^expected_production[[#This Row],[Age (yrs)]])</f>
        <v>1</v>
      </c>
      <c r="G2721" s="52">
        <f>IF(expected_production[[#This Row],[Base Expected (kWh)]]="","",expected_production[[#This Row],[Base Expected (kWh)]]*expected_production[[#This Row],[Degradation Factor]])</f>
        <v>18261</v>
      </c>
    </row>
    <row r="2722" spans="1:7" hidden="1" x14ac:dyDescent="0.3">
      <c r="A2722" t="s">
        <v>251</v>
      </c>
      <c r="B2722" s="2">
        <v>45870</v>
      </c>
      <c r="C2722" s="52" cm="1">
        <f t="array" ref="C2722">IFERROR(INDEX('Expected Production'!$C$2:$N$199,MATCH(A2722,'Expected Production'!$A$2:$A$199,0),MONTH(B2722)),"")</f>
        <v>21311.100000000002</v>
      </c>
      <c r="D2722" s="48">
        <f>_xlfn.XLOOKUP(expected_production[[#This Row],[Site Name]],Table1[[Site Name ]],Table1[Commisioned Date],"")</f>
        <v>46129</v>
      </c>
      <c r="E2722" s="47">
        <f>IF(ISNUMBER(expected_production[[#This Row],[Commissioned Date]]),MAX(0,(expected_production[[#This Row],[Date]]-expected_production[[#This Row],[Commissioned Date]])/365.25),"")</f>
        <v>0</v>
      </c>
      <c r="F2722" s="49">
        <f>IF(expected_production[[#This Row],[Age (yrs)]]="",1,(1-DegradationRate)^expected_production[[#This Row],[Age (yrs)]])</f>
        <v>1</v>
      </c>
      <c r="G2722" s="52">
        <f>IF(expected_production[[#This Row],[Base Expected (kWh)]]="","",expected_production[[#This Row],[Base Expected (kWh)]]*expected_production[[#This Row],[Degradation Factor]])</f>
        <v>21311.100000000002</v>
      </c>
    </row>
    <row r="2723" spans="1:7" hidden="1" x14ac:dyDescent="0.3">
      <c r="A2723" t="s">
        <v>251</v>
      </c>
      <c r="B2723" s="2">
        <v>45901</v>
      </c>
      <c r="C2723" s="52" cm="1">
        <f t="array" ref="C2723">IFERROR(INDEX('Expected Production'!$C$2:$N$199,MATCH(A2723,'Expected Production'!$A$2:$A$199,0),MONTH(B2723)),"")</f>
        <v>23659.200000000001</v>
      </c>
      <c r="D2723" s="48">
        <f>_xlfn.XLOOKUP(expected_production[[#This Row],[Site Name]],Table1[[Site Name ]],Table1[Commisioned Date],"")</f>
        <v>46129</v>
      </c>
      <c r="E2723" s="47">
        <f>IF(ISNUMBER(expected_production[[#This Row],[Commissioned Date]]),MAX(0,(expected_production[[#This Row],[Date]]-expected_production[[#This Row],[Commissioned Date]])/365.25),"")</f>
        <v>0</v>
      </c>
      <c r="F2723" s="49">
        <f>IF(expected_production[[#This Row],[Age (yrs)]]="",1,(1-DegradationRate)^expected_production[[#This Row],[Age (yrs)]])</f>
        <v>1</v>
      </c>
      <c r="G2723" s="52">
        <f>IF(expected_production[[#This Row],[Base Expected (kWh)]]="","",expected_production[[#This Row],[Base Expected (kWh)]]*expected_production[[#This Row],[Degradation Factor]])</f>
        <v>23659.200000000001</v>
      </c>
    </row>
    <row r="2724" spans="1:7" hidden="1" x14ac:dyDescent="0.3">
      <c r="A2724" t="s">
        <v>251</v>
      </c>
      <c r="B2724" s="2">
        <v>45931</v>
      </c>
      <c r="C2724" s="52" cm="1">
        <f t="array" ref="C2724">IFERROR(INDEX('Expected Production'!$C$2:$N$199,MATCH(A2724,'Expected Production'!$A$2:$A$199,0),MONTH(B2724)),"")</f>
        <v>26865.9</v>
      </c>
      <c r="D2724" s="48">
        <f>_xlfn.XLOOKUP(expected_production[[#This Row],[Site Name]],Table1[[Site Name ]],Table1[Commisioned Date],"")</f>
        <v>46129</v>
      </c>
      <c r="E2724" s="47">
        <f>IF(ISNUMBER(expected_production[[#This Row],[Commissioned Date]]),MAX(0,(expected_production[[#This Row],[Date]]-expected_production[[#This Row],[Commissioned Date]])/365.25),"")</f>
        <v>0</v>
      </c>
      <c r="F2724" s="49">
        <f>IF(expected_production[[#This Row],[Age (yrs)]]="",1,(1-DegradationRate)^expected_production[[#This Row],[Age (yrs)]])</f>
        <v>1</v>
      </c>
      <c r="G2724" s="52">
        <f>IF(expected_production[[#This Row],[Base Expected (kWh)]]="","",expected_production[[#This Row],[Base Expected (kWh)]]*expected_production[[#This Row],[Degradation Factor]])</f>
        <v>26865.9</v>
      </c>
    </row>
    <row r="2725" spans="1:7" hidden="1" x14ac:dyDescent="0.3">
      <c r="A2725" t="s">
        <v>251</v>
      </c>
      <c r="B2725" s="2">
        <v>45962</v>
      </c>
      <c r="C2725" s="52" cm="1">
        <f t="array" ref="C2725">IFERROR(INDEX('Expected Production'!$C$2:$N$199,MATCH(A2725,'Expected Production'!$A$2:$A$199,0),MONTH(B2725)),"")</f>
        <v>27153.9</v>
      </c>
      <c r="D2725" s="48">
        <f>_xlfn.XLOOKUP(expected_production[[#This Row],[Site Name]],Table1[[Site Name ]],Table1[Commisioned Date],"")</f>
        <v>46129</v>
      </c>
      <c r="E2725" s="47">
        <f>IF(ISNUMBER(expected_production[[#This Row],[Commissioned Date]]),MAX(0,(expected_production[[#This Row],[Date]]-expected_production[[#This Row],[Commissioned Date]])/365.25),"")</f>
        <v>0</v>
      </c>
      <c r="F2725" s="49">
        <f>IF(expected_production[[#This Row],[Age (yrs)]]="",1,(1-DegradationRate)^expected_production[[#This Row],[Age (yrs)]])</f>
        <v>1</v>
      </c>
      <c r="G2725" s="52">
        <f>IF(expected_production[[#This Row],[Base Expected (kWh)]]="","",expected_production[[#This Row],[Base Expected (kWh)]]*expected_production[[#This Row],[Degradation Factor]])</f>
        <v>27153.9</v>
      </c>
    </row>
    <row r="2726" spans="1:7" hidden="1" x14ac:dyDescent="0.3">
      <c r="A2726" t="s">
        <v>251</v>
      </c>
      <c r="B2726" s="2">
        <v>45992</v>
      </c>
      <c r="C2726" s="52" cm="1">
        <f t="array" ref="C2726">IFERROR(INDEX('Expected Production'!$C$2:$N$199,MATCH(A2726,'Expected Production'!$A$2:$A$199,0),MONTH(B2726)),"")</f>
        <v>27402.3</v>
      </c>
      <c r="D2726" s="48">
        <f>_xlfn.XLOOKUP(expected_production[[#This Row],[Site Name]],Table1[[Site Name ]],Table1[Commisioned Date],"")</f>
        <v>46129</v>
      </c>
      <c r="E2726" s="47">
        <f>IF(ISNUMBER(expected_production[[#This Row],[Commissioned Date]]),MAX(0,(expected_production[[#This Row],[Date]]-expected_production[[#This Row],[Commissioned Date]])/365.25),"")</f>
        <v>0</v>
      </c>
      <c r="F2726" s="49">
        <f>IF(expected_production[[#This Row],[Age (yrs)]]="",1,(1-DegradationRate)^expected_production[[#This Row],[Age (yrs)]])</f>
        <v>1</v>
      </c>
      <c r="G2726" s="52">
        <f>IF(expected_production[[#This Row],[Base Expected (kWh)]]="","",expected_production[[#This Row],[Base Expected (kWh)]]*expected_production[[#This Row],[Degradation Factor]])</f>
        <v>27402.3</v>
      </c>
    </row>
    <row r="2727" spans="1:7" hidden="1" x14ac:dyDescent="0.3">
      <c r="A2727" t="s">
        <v>251</v>
      </c>
      <c r="B2727" s="2">
        <v>46023</v>
      </c>
      <c r="C2727" s="52" cm="1">
        <f t="array" ref="C2727">IFERROR(INDEX('Expected Production'!$C$2:$N$199,MATCH(A2727,'Expected Production'!$A$2:$A$199,0),MONTH(B2727)),"")</f>
        <v>26451</v>
      </c>
      <c r="D2727" s="48">
        <f>_xlfn.XLOOKUP(expected_production[[#This Row],[Site Name]],Table1[[Site Name ]],Table1[Commisioned Date],"")</f>
        <v>46129</v>
      </c>
      <c r="E2727" s="47">
        <f>IF(ISNUMBER(expected_production[[#This Row],[Commissioned Date]]),MAX(0,(expected_production[[#This Row],[Date]]-expected_production[[#This Row],[Commissioned Date]])/365.25),"")</f>
        <v>0</v>
      </c>
      <c r="F2727" s="49">
        <f>IF(expected_production[[#This Row],[Age (yrs)]]="",1,(1-DegradationRate)^expected_production[[#This Row],[Age (yrs)]])</f>
        <v>1</v>
      </c>
      <c r="G2727" s="52">
        <f>IF(expected_production[[#This Row],[Base Expected (kWh)]]="","",expected_production[[#This Row],[Base Expected (kWh)]]*expected_production[[#This Row],[Degradation Factor]])</f>
        <v>26451</v>
      </c>
    </row>
    <row r="2728" spans="1:7" hidden="1" x14ac:dyDescent="0.3">
      <c r="A2728" t="s">
        <v>251</v>
      </c>
      <c r="B2728" s="2">
        <v>46054</v>
      </c>
      <c r="C2728" s="52" cm="1">
        <f t="array" ref="C2728">IFERROR(INDEX('Expected Production'!$C$2:$N$199,MATCH(A2728,'Expected Production'!$A$2:$A$199,0),MONTH(B2728)),"")</f>
        <v>23215.5</v>
      </c>
      <c r="D2728" s="48">
        <f>_xlfn.XLOOKUP(expected_production[[#This Row],[Site Name]],Table1[[Site Name ]],Table1[Commisioned Date],"")</f>
        <v>46129</v>
      </c>
      <c r="E2728" s="47">
        <f>IF(ISNUMBER(expected_production[[#This Row],[Commissioned Date]]),MAX(0,(expected_production[[#This Row],[Date]]-expected_production[[#This Row],[Commissioned Date]])/365.25),"")</f>
        <v>0</v>
      </c>
      <c r="F2728" s="49">
        <f>IF(expected_production[[#This Row],[Age (yrs)]]="",1,(1-DegradationRate)^expected_production[[#This Row],[Age (yrs)]])</f>
        <v>1</v>
      </c>
      <c r="G2728" s="52">
        <f>IF(expected_production[[#This Row],[Base Expected (kWh)]]="","",expected_production[[#This Row],[Base Expected (kWh)]]*expected_production[[#This Row],[Degradation Factor]])</f>
        <v>23215.5</v>
      </c>
    </row>
    <row r="2729" spans="1:7" hidden="1" x14ac:dyDescent="0.3">
      <c r="A2729" t="s">
        <v>251</v>
      </c>
      <c r="B2729" s="2">
        <v>46082</v>
      </c>
      <c r="C2729" s="52" cm="1">
        <f t="array" ref="C2729">IFERROR(INDEX('Expected Production'!$C$2:$N$199,MATCH(A2729,'Expected Production'!$A$2:$A$199,0),MONTH(B2729)),"")</f>
        <v>23034.600000000002</v>
      </c>
      <c r="D2729" s="48">
        <f>_xlfn.XLOOKUP(expected_production[[#This Row],[Site Name]],Table1[[Site Name ]],Table1[Commisioned Date],"")</f>
        <v>46129</v>
      </c>
      <c r="E2729" s="47">
        <f>IF(ISNUMBER(expected_production[[#This Row],[Commissioned Date]]),MAX(0,(expected_production[[#This Row],[Date]]-expected_production[[#This Row],[Commissioned Date]])/365.25),"")</f>
        <v>0</v>
      </c>
      <c r="F2729" s="49">
        <f>IF(expected_production[[#This Row],[Age (yrs)]]="",1,(1-DegradationRate)^expected_production[[#This Row],[Age (yrs)]])</f>
        <v>1</v>
      </c>
      <c r="G2729" s="52">
        <f>IF(expected_production[[#This Row],[Base Expected (kWh)]]="","",expected_production[[#This Row],[Base Expected (kWh)]]*expected_production[[#This Row],[Degradation Factor]])</f>
        <v>23034.600000000002</v>
      </c>
    </row>
    <row r="2730" spans="1:7" hidden="1" x14ac:dyDescent="0.3">
      <c r="A2730" t="s">
        <v>251</v>
      </c>
      <c r="B2730" s="2">
        <v>46113</v>
      </c>
      <c r="C2730" s="52" cm="1">
        <f t="array" ref="C2730">IFERROR(INDEX('Expected Production'!$C$2:$N$199,MATCH(A2730,'Expected Production'!$A$2:$A$199,0),MONTH(B2730)),"")</f>
        <v>19930.5</v>
      </c>
      <c r="D2730" s="48">
        <f>_xlfn.XLOOKUP(expected_production[[#This Row],[Site Name]],Table1[[Site Name ]],Table1[Commisioned Date],"")</f>
        <v>46129</v>
      </c>
      <c r="E2730" s="47">
        <f>IF(ISNUMBER(expected_production[[#This Row],[Commissioned Date]]),MAX(0,(expected_production[[#This Row],[Date]]-expected_production[[#This Row],[Commissioned Date]])/365.25),"")</f>
        <v>0</v>
      </c>
      <c r="F2730" s="49">
        <f>IF(expected_production[[#This Row],[Age (yrs)]]="",1,(1-DegradationRate)^expected_production[[#This Row],[Age (yrs)]])</f>
        <v>1</v>
      </c>
      <c r="G2730" s="52">
        <f>IF(expected_production[[#This Row],[Base Expected (kWh)]]="","",expected_production[[#This Row],[Base Expected (kWh)]]*expected_production[[#This Row],[Degradation Factor]])</f>
        <v>19930.5</v>
      </c>
    </row>
    <row r="2731" spans="1:7" hidden="1" x14ac:dyDescent="0.3">
      <c r="A2731" t="s">
        <v>251</v>
      </c>
      <c r="B2731" s="2">
        <v>46143</v>
      </c>
      <c r="C2731" s="52" cm="1">
        <f t="array" ref="C2731">IFERROR(INDEX('Expected Production'!$C$2:$N$199,MATCH(A2731,'Expected Production'!$A$2:$A$199,0),MONTH(B2731)),"")</f>
        <v>18754.2</v>
      </c>
      <c r="D2731" s="48">
        <f>_xlfn.XLOOKUP(expected_production[[#This Row],[Site Name]],Table1[[Site Name ]],Table1[Commisioned Date],"")</f>
        <v>46129</v>
      </c>
      <c r="E2731" s="47">
        <f>IF(ISNUMBER(expected_production[[#This Row],[Commissioned Date]]),MAX(0,(expected_production[[#This Row],[Date]]-expected_production[[#This Row],[Commissioned Date]])/365.25),"")</f>
        <v>3.8329911019849415E-2</v>
      </c>
      <c r="F2731" s="49">
        <f>IF(expected_production[[#This Row],[Age (yrs)]]="",1,(1-DegradationRate)^expected_production[[#This Row],[Age (yrs)]])</f>
        <v>0.99973078337981713</v>
      </c>
      <c r="G2731" s="52">
        <f>IF(expected_production[[#This Row],[Base Expected (kWh)]]="","",expected_production[[#This Row],[Base Expected (kWh)]]*expected_production[[#This Row],[Degradation Factor]])</f>
        <v>18749.151057661766</v>
      </c>
    </row>
    <row r="2732" spans="1:7" hidden="1" x14ac:dyDescent="0.3">
      <c r="A2732" t="s">
        <v>251</v>
      </c>
      <c r="B2732" s="2">
        <v>46174</v>
      </c>
      <c r="C2732" s="52" cm="1">
        <f t="array" ref="C2732">IFERROR(INDEX('Expected Production'!$C$2:$N$199,MATCH(A2732,'Expected Production'!$A$2:$A$199,0),MONTH(B2732)),"")</f>
        <v>16767.900000000001</v>
      </c>
      <c r="D2732" s="48">
        <f>_xlfn.XLOOKUP(expected_production[[#This Row],[Site Name]],Table1[[Site Name ]],Table1[Commisioned Date],"")</f>
        <v>46129</v>
      </c>
      <c r="E2732" s="47">
        <f>IF(ISNUMBER(expected_production[[#This Row],[Commissioned Date]]),MAX(0,(expected_production[[#This Row],[Date]]-expected_production[[#This Row],[Commissioned Date]])/365.25),"")</f>
        <v>0.12320328542094455</v>
      </c>
      <c r="F2732" s="49">
        <f>IF(expected_production[[#This Row],[Age (yrs)]]="",1,(1-DegradationRate)^expected_production[[#This Row],[Age (yrs)]])</f>
        <v>0.9991349187596642</v>
      </c>
      <c r="G2732" s="52">
        <f>IF(expected_production[[#This Row],[Base Expected (kWh)]]="","",expected_production[[#This Row],[Base Expected (kWh)]]*expected_production[[#This Row],[Degradation Factor]])</f>
        <v>16753.394404270173</v>
      </c>
    </row>
    <row r="2733" spans="1:7" hidden="1" x14ac:dyDescent="0.3">
      <c r="A2733" t="s">
        <v>251</v>
      </c>
      <c r="B2733" s="2">
        <v>46204</v>
      </c>
      <c r="C2733" s="52" cm="1">
        <f t="array" ref="C2733">IFERROR(INDEX('Expected Production'!$C$2:$N$199,MATCH(A2733,'Expected Production'!$A$2:$A$199,0),MONTH(B2733)),"")</f>
        <v>18261</v>
      </c>
      <c r="D2733" s="48">
        <f>_xlfn.XLOOKUP(expected_production[[#This Row],[Site Name]],Table1[[Site Name ]],Table1[Commisioned Date],"")</f>
        <v>46129</v>
      </c>
      <c r="E2733" s="47">
        <f>IF(ISNUMBER(expected_production[[#This Row],[Commissioned Date]]),MAX(0,(expected_production[[#This Row],[Date]]-expected_production[[#This Row],[Commissioned Date]])/365.25),"")</f>
        <v>0.20533880903490759</v>
      </c>
      <c r="F2733" s="49">
        <f>IF(expected_production[[#This Row],[Age (yrs)]]="",1,(1-DegradationRate)^expected_production[[#This Row],[Age (yrs)]])</f>
        <v>0.99855861373138821</v>
      </c>
      <c r="G2733" s="52">
        <f>IF(expected_production[[#This Row],[Base Expected (kWh)]]="","",expected_production[[#This Row],[Base Expected (kWh)]]*expected_production[[#This Row],[Degradation Factor]])</f>
        <v>18234.678845348881</v>
      </c>
    </row>
    <row r="2734" spans="1:7" hidden="1" x14ac:dyDescent="0.3">
      <c r="A2734" t="s">
        <v>251</v>
      </c>
      <c r="B2734" s="2">
        <v>46235</v>
      </c>
      <c r="C2734" s="52" cm="1">
        <f t="array" ref="C2734">IFERROR(INDEX('Expected Production'!$C$2:$N$199,MATCH(A2734,'Expected Production'!$A$2:$A$199,0),MONTH(B2734)),"")</f>
        <v>21311.100000000002</v>
      </c>
      <c r="D2734" s="48">
        <f>_xlfn.XLOOKUP(expected_production[[#This Row],[Site Name]],Table1[[Site Name ]],Table1[Commisioned Date],"")</f>
        <v>46129</v>
      </c>
      <c r="E2734" s="47">
        <f>IF(ISNUMBER(expected_production[[#This Row],[Commissioned Date]]),MAX(0,(expected_production[[#This Row],[Date]]-expected_production[[#This Row],[Commissioned Date]])/365.25),"")</f>
        <v>0.29021218343600275</v>
      </c>
      <c r="F2734" s="49">
        <f>IF(expected_production[[#This Row],[Age (yrs)]]="",1,(1-DegradationRate)^expected_production[[#This Row],[Age (yrs)]])</f>
        <v>0.9979634477537439</v>
      </c>
      <c r="G2734" s="52">
        <f>IF(expected_production[[#This Row],[Base Expected (kWh)]]="","",expected_production[[#This Row],[Base Expected (kWh)]]*expected_production[[#This Row],[Degradation Factor]])</f>
        <v>21267.698831424816</v>
      </c>
    </row>
    <row r="2735" spans="1:7" hidden="1" x14ac:dyDescent="0.3">
      <c r="A2735" t="s">
        <v>251</v>
      </c>
      <c r="B2735" s="2">
        <v>46266</v>
      </c>
      <c r="C2735" s="52" cm="1">
        <f t="array" ref="C2735">IFERROR(INDEX('Expected Production'!$C$2:$N$199,MATCH(A2735,'Expected Production'!$A$2:$A$199,0),MONTH(B2735)),"")</f>
        <v>23659.200000000001</v>
      </c>
      <c r="D2735" s="48">
        <f>_xlfn.XLOOKUP(expected_production[[#This Row],[Site Name]],Table1[[Site Name ]],Table1[Commisioned Date],"")</f>
        <v>46129</v>
      </c>
      <c r="E2735" s="47">
        <f>IF(ISNUMBER(expected_production[[#This Row],[Commissioned Date]]),MAX(0,(expected_production[[#This Row],[Date]]-expected_production[[#This Row],[Commissioned Date]])/365.25),"")</f>
        <v>0.3750855578370979</v>
      </c>
      <c r="F2735" s="49">
        <f>IF(expected_production[[#This Row],[Age (yrs)]]="",1,(1-DegradationRate)^expected_production[[#This Row],[Age (yrs)]])</f>
        <v>0.99736863650994889</v>
      </c>
      <c r="G2735" s="52">
        <f>IF(expected_production[[#This Row],[Base Expected (kWh)]]="","",expected_production[[#This Row],[Base Expected (kWh)]]*expected_production[[#This Row],[Degradation Factor]])</f>
        <v>23596.944044916185</v>
      </c>
    </row>
    <row r="2736" spans="1:7" hidden="1" x14ac:dyDescent="0.3">
      <c r="A2736" t="s">
        <v>251</v>
      </c>
      <c r="B2736" s="2">
        <v>46296</v>
      </c>
      <c r="C2736" s="52" cm="1">
        <f t="array" ref="C2736">IFERROR(INDEX('Expected Production'!$C$2:$N$199,MATCH(A2736,'Expected Production'!$A$2:$A$199,0),MONTH(B2736)),"")</f>
        <v>26865.9</v>
      </c>
      <c r="D2736" s="48">
        <f>_xlfn.XLOOKUP(expected_production[[#This Row],[Site Name]],Table1[[Site Name ]],Table1[Commisioned Date],"")</f>
        <v>46129</v>
      </c>
      <c r="E2736" s="47">
        <f>IF(ISNUMBER(expected_production[[#This Row],[Commissioned Date]]),MAX(0,(expected_production[[#This Row],[Date]]-expected_production[[#This Row],[Commissioned Date]])/365.25),"")</f>
        <v>0.45722108145106094</v>
      </c>
      <c r="F2736" s="49">
        <f>IF(expected_production[[#This Row],[Age (yrs)]]="",1,(1-DegradationRate)^expected_production[[#This Row],[Age (yrs)]])</f>
        <v>0.99679335028035843</v>
      </c>
      <c r="G2736" s="52">
        <f>IF(expected_production[[#This Row],[Base Expected (kWh)]]="","",expected_production[[#This Row],[Base Expected (kWh)]]*expected_production[[#This Row],[Degradation Factor]])</f>
        <v>26779.750469297083</v>
      </c>
    </row>
    <row r="2737" spans="1:7" hidden="1" x14ac:dyDescent="0.3">
      <c r="A2737" t="s">
        <v>251</v>
      </c>
      <c r="B2737" s="2">
        <v>46327</v>
      </c>
      <c r="C2737" s="52" cm="1">
        <f t="array" ref="C2737">IFERROR(INDEX('Expected Production'!$C$2:$N$199,MATCH(A2737,'Expected Production'!$A$2:$A$199,0),MONTH(B2737)),"")</f>
        <v>27153.9</v>
      </c>
      <c r="D2737" s="48">
        <f>_xlfn.XLOOKUP(expected_production[[#This Row],[Site Name]],Table1[[Site Name ]],Table1[Commisioned Date],"")</f>
        <v>46129</v>
      </c>
      <c r="E2737" s="47">
        <f>IF(ISNUMBER(expected_production[[#This Row],[Commissioned Date]]),MAX(0,(expected_production[[#This Row],[Date]]-expected_production[[#This Row],[Commissioned Date]])/365.25),"")</f>
        <v>0.5420944558521561</v>
      </c>
      <c r="F2737" s="49">
        <f>IF(expected_production[[#This Row],[Age (yrs)]]="",1,(1-DegradationRate)^expected_production[[#This Row],[Age (yrs)]])</f>
        <v>0.99619923644400366</v>
      </c>
      <c r="G2737" s="52">
        <f>IF(expected_production[[#This Row],[Base Expected (kWh)]]="","",expected_production[[#This Row],[Base Expected (kWh)]]*expected_production[[#This Row],[Degradation Factor]])</f>
        <v>27050.694446476831</v>
      </c>
    </row>
    <row r="2738" spans="1:7" hidden="1" x14ac:dyDescent="0.3">
      <c r="A2738" t="s">
        <v>251</v>
      </c>
      <c r="B2738" s="2">
        <v>46357</v>
      </c>
      <c r="C2738" s="52" cm="1">
        <f t="array" ref="C2738">IFERROR(INDEX('Expected Production'!$C$2:$N$199,MATCH(A2738,'Expected Production'!$A$2:$A$199,0),MONTH(B2738)),"")</f>
        <v>27402.3</v>
      </c>
      <c r="D2738" s="48">
        <f>_xlfn.XLOOKUP(expected_production[[#This Row],[Site Name]],Table1[[Site Name ]],Table1[Commisioned Date],"")</f>
        <v>46129</v>
      </c>
      <c r="E2738" s="47">
        <f>IF(ISNUMBER(expected_production[[#This Row],[Commissioned Date]]),MAX(0,(expected_production[[#This Row],[Date]]-expected_production[[#This Row],[Commissioned Date]])/365.25),"")</f>
        <v>0.62422997946611913</v>
      </c>
      <c r="F2738" s="49">
        <f>IF(expected_production[[#This Row],[Age (yrs)]]="",1,(1-DegradationRate)^expected_production[[#This Row],[Age (yrs)]])</f>
        <v>0.99562462472906121</v>
      </c>
      <c r="G2738" s="52">
        <f>IF(expected_production[[#This Row],[Base Expected (kWh)]]="","",expected_production[[#This Row],[Base Expected (kWh)]]*expected_production[[#This Row],[Degradation Factor]])</f>
        <v>27282.404654213155</v>
      </c>
    </row>
    <row r="2739" spans="1:7" hidden="1" x14ac:dyDescent="0.3">
      <c r="A2739" t="s">
        <v>250</v>
      </c>
      <c r="B2739" s="2">
        <v>45292</v>
      </c>
      <c r="C2739" s="52" cm="1">
        <f t="array" ref="C2739">IFERROR(INDEX('Expected Production'!$C$2:$N$199,MATCH(A2739,'Expected Production'!$A$2:$A$199,0),MONTH(B2739)),"")</f>
        <v>28877.4</v>
      </c>
      <c r="D2739" s="48">
        <f>_xlfn.XLOOKUP(expected_production[[#This Row],[Site Name]],Table1[[Site Name ]],Table1[Commisioned Date],"")</f>
        <v>46140</v>
      </c>
      <c r="E2739" s="47">
        <f>IF(ISNUMBER(expected_production[[#This Row],[Commissioned Date]]),MAX(0,(expected_production[[#This Row],[Date]]-expected_production[[#This Row],[Commissioned Date]])/365.25),"")</f>
        <v>0</v>
      </c>
      <c r="F2739" s="49">
        <f>IF(expected_production[[#This Row],[Age (yrs)]]="",1,(1-DegradationRate)^expected_production[[#This Row],[Age (yrs)]])</f>
        <v>1</v>
      </c>
      <c r="G2739" s="52">
        <f>IF(expected_production[[#This Row],[Base Expected (kWh)]]="","",expected_production[[#This Row],[Base Expected (kWh)]]*expected_production[[#This Row],[Degradation Factor]])</f>
        <v>28877.4</v>
      </c>
    </row>
    <row r="2740" spans="1:7" hidden="1" x14ac:dyDescent="0.3">
      <c r="A2740" t="s">
        <v>250</v>
      </c>
      <c r="B2740" s="2">
        <v>45323</v>
      </c>
      <c r="C2740" s="52" cm="1">
        <f t="array" ref="C2740">IFERROR(INDEX('Expected Production'!$C$2:$N$199,MATCH(A2740,'Expected Production'!$A$2:$A$199,0),MONTH(B2740)),"")</f>
        <v>25884.9</v>
      </c>
      <c r="D2740" s="48">
        <f>_xlfn.XLOOKUP(expected_production[[#This Row],[Site Name]],Table1[[Site Name ]],Table1[Commisioned Date],"")</f>
        <v>46140</v>
      </c>
      <c r="E2740" s="47">
        <f>IF(ISNUMBER(expected_production[[#This Row],[Commissioned Date]]),MAX(0,(expected_production[[#This Row],[Date]]-expected_production[[#This Row],[Commissioned Date]])/365.25),"")</f>
        <v>0</v>
      </c>
      <c r="F2740" s="49">
        <f>IF(expected_production[[#This Row],[Age (yrs)]]="",1,(1-DegradationRate)^expected_production[[#This Row],[Age (yrs)]])</f>
        <v>1</v>
      </c>
      <c r="G2740" s="52">
        <f>IF(expected_production[[#This Row],[Base Expected (kWh)]]="","",expected_production[[#This Row],[Base Expected (kWh)]]*expected_production[[#This Row],[Degradation Factor]])</f>
        <v>25884.9</v>
      </c>
    </row>
    <row r="2741" spans="1:7" hidden="1" x14ac:dyDescent="0.3">
      <c r="A2741" t="s">
        <v>250</v>
      </c>
      <c r="B2741" s="2">
        <v>45352</v>
      </c>
      <c r="C2741" s="52" cm="1">
        <f t="array" ref="C2741">IFERROR(INDEX('Expected Production'!$C$2:$N$199,MATCH(A2741,'Expected Production'!$A$2:$A$199,0),MONTH(B2741)),"")</f>
        <v>27341.100000000002</v>
      </c>
      <c r="D2741" s="48">
        <f>_xlfn.XLOOKUP(expected_production[[#This Row],[Site Name]],Table1[[Site Name ]],Table1[Commisioned Date],"")</f>
        <v>46140</v>
      </c>
      <c r="E2741" s="47">
        <f>IF(ISNUMBER(expected_production[[#This Row],[Commissioned Date]]),MAX(0,(expected_production[[#This Row],[Date]]-expected_production[[#This Row],[Commissioned Date]])/365.25),"")</f>
        <v>0</v>
      </c>
      <c r="F2741" s="49">
        <f>IF(expected_production[[#This Row],[Age (yrs)]]="",1,(1-DegradationRate)^expected_production[[#This Row],[Age (yrs)]])</f>
        <v>1</v>
      </c>
      <c r="G2741" s="52">
        <f>IF(expected_production[[#This Row],[Base Expected (kWh)]]="","",expected_production[[#This Row],[Base Expected (kWh)]]*expected_production[[#This Row],[Degradation Factor]])</f>
        <v>27341.100000000002</v>
      </c>
    </row>
    <row r="2742" spans="1:7" hidden="1" x14ac:dyDescent="0.3">
      <c r="A2742" t="s">
        <v>250</v>
      </c>
      <c r="B2742" s="2">
        <v>45383</v>
      </c>
      <c r="C2742" s="52" cm="1">
        <f t="array" ref="C2742">IFERROR(INDEX('Expected Production'!$C$2:$N$199,MATCH(A2742,'Expected Production'!$A$2:$A$199,0),MONTH(B2742)),"")</f>
        <v>27823.5</v>
      </c>
      <c r="D2742" s="48">
        <f>_xlfn.XLOOKUP(expected_production[[#This Row],[Site Name]],Table1[[Site Name ]],Table1[Commisioned Date],"")</f>
        <v>46140</v>
      </c>
      <c r="E2742" s="47">
        <f>IF(ISNUMBER(expected_production[[#This Row],[Commissioned Date]]),MAX(0,(expected_production[[#This Row],[Date]]-expected_production[[#This Row],[Commissioned Date]])/365.25),"")</f>
        <v>0</v>
      </c>
      <c r="F2742" s="49">
        <f>IF(expected_production[[#This Row],[Age (yrs)]]="",1,(1-DegradationRate)^expected_production[[#This Row],[Age (yrs)]])</f>
        <v>1</v>
      </c>
      <c r="G2742" s="52">
        <f>IF(expected_production[[#This Row],[Base Expected (kWh)]]="","",expected_production[[#This Row],[Base Expected (kWh)]]*expected_production[[#This Row],[Degradation Factor]])</f>
        <v>27823.5</v>
      </c>
    </row>
    <row r="2743" spans="1:7" hidden="1" x14ac:dyDescent="0.3">
      <c r="A2743" t="s">
        <v>250</v>
      </c>
      <c r="B2743" s="2">
        <v>45413</v>
      </c>
      <c r="C2743" s="52" cm="1">
        <f t="array" ref="C2743">IFERROR(INDEX('Expected Production'!$C$2:$N$199,MATCH(A2743,'Expected Production'!$A$2:$A$199,0),MONTH(B2743)),"")</f>
        <v>29920.5</v>
      </c>
      <c r="D2743" s="48">
        <f>_xlfn.XLOOKUP(expected_production[[#This Row],[Site Name]],Table1[[Site Name ]],Table1[Commisioned Date],"")</f>
        <v>46140</v>
      </c>
      <c r="E2743" s="47">
        <f>IF(ISNUMBER(expected_production[[#This Row],[Commissioned Date]]),MAX(0,(expected_production[[#This Row],[Date]]-expected_production[[#This Row],[Commissioned Date]])/365.25),"")</f>
        <v>0</v>
      </c>
      <c r="F2743" s="49">
        <f>IF(expected_production[[#This Row],[Age (yrs)]]="",1,(1-DegradationRate)^expected_production[[#This Row],[Age (yrs)]])</f>
        <v>1</v>
      </c>
      <c r="G2743" s="52">
        <f>IF(expected_production[[#This Row],[Base Expected (kWh)]]="","",expected_production[[#This Row],[Base Expected (kWh)]]*expected_production[[#This Row],[Degradation Factor]])</f>
        <v>29920.5</v>
      </c>
    </row>
    <row r="2744" spans="1:7" hidden="1" x14ac:dyDescent="0.3">
      <c r="A2744" t="s">
        <v>250</v>
      </c>
      <c r="B2744" s="2">
        <v>45444</v>
      </c>
      <c r="C2744" s="52" cm="1">
        <f t="array" ref="C2744">IFERROR(INDEX('Expected Production'!$C$2:$N$199,MATCH(A2744,'Expected Production'!$A$2:$A$199,0),MONTH(B2744)),"")</f>
        <v>28644.3</v>
      </c>
      <c r="D2744" s="48">
        <f>_xlfn.XLOOKUP(expected_production[[#This Row],[Site Name]],Table1[[Site Name ]],Table1[Commisioned Date],"")</f>
        <v>46140</v>
      </c>
      <c r="E2744" s="47">
        <f>IF(ISNUMBER(expected_production[[#This Row],[Commissioned Date]]),MAX(0,(expected_production[[#This Row],[Date]]-expected_production[[#This Row],[Commissioned Date]])/365.25),"")</f>
        <v>0</v>
      </c>
      <c r="F2744" s="49">
        <f>IF(expected_production[[#This Row],[Age (yrs)]]="",1,(1-DegradationRate)^expected_production[[#This Row],[Age (yrs)]])</f>
        <v>1</v>
      </c>
      <c r="G2744" s="52">
        <f>IF(expected_production[[#This Row],[Base Expected (kWh)]]="","",expected_production[[#This Row],[Base Expected (kWh)]]*expected_production[[#This Row],[Degradation Factor]])</f>
        <v>28644.3</v>
      </c>
    </row>
    <row r="2745" spans="1:7" hidden="1" x14ac:dyDescent="0.3">
      <c r="A2745" t="s">
        <v>250</v>
      </c>
      <c r="B2745" s="2">
        <v>45474</v>
      </c>
      <c r="C2745" s="52" cm="1">
        <f t="array" ref="C2745">IFERROR(INDEX('Expected Production'!$C$2:$N$199,MATCH(A2745,'Expected Production'!$A$2:$A$199,0),MONTH(B2745)),"")</f>
        <v>28051.200000000001</v>
      </c>
      <c r="D2745" s="48">
        <f>_xlfn.XLOOKUP(expected_production[[#This Row],[Site Name]],Table1[[Site Name ]],Table1[Commisioned Date],"")</f>
        <v>46140</v>
      </c>
      <c r="E2745" s="47">
        <f>IF(ISNUMBER(expected_production[[#This Row],[Commissioned Date]]),MAX(0,(expected_production[[#This Row],[Date]]-expected_production[[#This Row],[Commissioned Date]])/365.25),"")</f>
        <v>0</v>
      </c>
      <c r="F2745" s="49">
        <f>IF(expected_production[[#This Row],[Age (yrs)]]="",1,(1-DegradationRate)^expected_production[[#This Row],[Age (yrs)]])</f>
        <v>1</v>
      </c>
      <c r="G2745" s="52">
        <f>IF(expected_production[[#This Row],[Base Expected (kWh)]]="","",expected_production[[#This Row],[Base Expected (kWh)]]*expected_production[[#This Row],[Degradation Factor]])</f>
        <v>28051.200000000001</v>
      </c>
    </row>
    <row r="2746" spans="1:7" hidden="1" x14ac:dyDescent="0.3">
      <c r="A2746" t="s">
        <v>250</v>
      </c>
      <c r="B2746" s="2">
        <v>45505</v>
      </c>
      <c r="C2746" s="52" cm="1">
        <f t="array" ref="C2746">IFERROR(INDEX('Expected Production'!$C$2:$N$199,MATCH(A2746,'Expected Production'!$A$2:$A$199,0),MONTH(B2746)),"")</f>
        <v>31649.4</v>
      </c>
      <c r="D2746" s="48">
        <f>_xlfn.XLOOKUP(expected_production[[#This Row],[Site Name]],Table1[[Site Name ]],Table1[Commisioned Date],"")</f>
        <v>46140</v>
      </c>
      <c r="E2746" s="47">
        <f>IF(ISNUMBER(expected_production[[#This Row],[Commissioned Date]]),MAX(0,(expected_production[[#This Row],[Date]]-expected_production[[#This Row],[Commissioned Date]])/365.25),"")</f>
        <v>0</v>
      </c>
      <c r="F2746" s="49">
        <f>IF(expected_production[[#This Row],[Age (yrs)]]="",1,(1-DegradationRate)^expected_production[[#This Row],[Age (yrs)]])</f>
        <v>1</v>
      </c>
      <c r="G2746" s="52">
        <f>IF(expected_production[[#This Row],[Base Expected (kWh)]]="","",expected_production[[#This Row],[Base Expected (kWh)]]*expected_production[[#This Row],[Degradation Factor]])</f>
        <v>31649.4</v>
      </c>
    </row>
    <row r="2747" spans="1:7" hidden="1" x14ac:dyDescent="0.3">
      <c r="A2747" t="s">
        <v>250</v>
      </c>
      <c r="B2747" s="2">
        <v>45536</v>
      </c>
      <c r="C2747" s="52" cm="1">
        <f t="array" ref="C2747">IFERROR(INDEX('Expected Production'!$C$2:$N$199,MATCH(A2747,'Expected Production'!$A$2:$A$199,0),MONTH(B2747)),"")</f>
        <v>28250.100000000002</v>
      </c>
      <c r="D2747" s="48">
        <f>_xlfn.XLOOKUP(expected_production[[#This Row],[Site Name]],Table1[[Site Name ]],Table1[Commisioned Date],"")</f>
        <v>46140</v>
      </c>
      <c r="E2747" s="47">
        <f>IF(ISNUMBER(expected_production[[#This Row],[Commissioned Date]]),MAX(0,(expected_production[[#This Row],[Date]]-expected_production[[#This Row],[Commissioned Date]])/365.25),"")</f>
        <v>0</v>
      </c>
      <c r="F2747" s="49">
        <f>IF(expected_production[[#This Row],[Age (yrs)]]="",1,(1-DegradationRate)^expected_production[[#This Row],[Age (yrs)]])</f>
        <v>1</v>
      </c>
      <c r="G2747" s="52">
        <f>IF(expected_production[[#This Row],[Base Expected (kWh)]]="","",expected_production[[#This Row],[Base Expected (kWh)]]*expected_production[[#This Row],[Degradation Factor]])</f>
        <v>28250.100000000002</v>
      </c>
    </row>
    <row r="2748" spans="1:7" hidden="1" x14ac:dyDescent="0.3">
      <c r="A2748" t="s">
        <v>250</v>
      </c>
      <c r="B2748" s="2">
        <v>45566</v>
      </c>
      <c r="C2748" s="52" cm="1">
        <f t="array" ref="C2748">IFERROR(INDEX('Expected Production'!$C$2:$N$199,MATCH(A2748,'Expected Production'!$A$2:$A$199,0),MONTH(B2748)),"")</f>
        <v>28466.100000000002</v>
      </c>
      <c r="D2748" s="48">
        <f>_xlfn.XLOOKUP(expected_production[[#This Row],[Site Name]],Table1[[Site Name ]],Table1[Commisioned Date],"")</f>
        <v>46140</v>
      </c>
      <c r="E2748" s="47">
        <f>IF(ISNUMBER(expected_production[[#This Row],[Commissioned Date]]),MAX(0,(expected_production[[#This Row],[Date]]-expected_production[[#This Row],[Commissioned Date]])/365.25),"")</f>
        <v>0</v>
      </c>
      <c r="F2748" s="49">
        <f>IF(expected_production[[#This Row],[Age (yrs)]]="",1,(1-DegradationRate)^expected_production[[#This Row],[Age (yrs)]])</f>
        <v>1</v>
      </c>
      <c r="G2748" s="52">
        <f>IF(expected_production[[#This Row],[Base Expected (kWh)]]="","",expected_production[[#This Row],[Base Expected (kWh)]]*expected_production[[#This Row],[Degradation Factor]])</f>
        <v>28466.100000000002</v>
      </c>
    </row>
    <row r="2749" spans="1:7" hidden="1" x14ac:dyDescent="0.3">
      <c r="A2749" t="s">
        <v>250</v>
      </c>
      <c r="B2749" s="2">
        <v>45597</v>
      </c>
      <c r="C2749" s="52" cm="1">
        <f t="array" ref="C2749">IFERROR(INDEX('Expected Production'!$C$2:$N$199,MATCH(A2749,'Expected Production'!$A$2:$A$199,0),MONTH(B2749)),"")</f>
        <v>28991.7</v>
      </c>
      <c r="D2749" s="48">
        <f>_xlfn.XLOOKUP(expected_production[[#This Row],[Site Name]],Table1[[Site Name ]],Table1[Commisioned Date],"")</f>
        <v>46140</v>
      </c>
      <c r="E2749" s="47">
        <f>IF(ISNUMBER(expected_production[[#This Row],[Commissioned Date]]),MAX(0,(expected_production[[#This Row],[Date]]-expected_production[[#This Row],[Commissioned Date]])/365.25),"")</f>
        <v>0</v>
      </c>
      <c r="F2749" s="49">
        <f>IF(expected_production[[#This Row],[Age (yrs)]]="",1,(1-DegradationRate)^expected_production[[#This Row],[Age (yrs)]])</f>
        <v>1</v>
      </c>
      <c r="G2749" s="52">
        <f>IF(expected_production[[#This Row],[Base Expected (kWh)]]="","",expected_production[[#This Row],[Base Expected (kWh)]]*expected_production[[#This Row],[Degradation Factor]])</f>
        <v>28991.7</v>
      </c>
    </row>
    <row r="2750" spans="1:7" hidden="1" x14ac:dyDescent="0.3">
      <c r="A2750" t="s">
        <v>250</v>
      </c>
      <c r="B2750" s="2">
        <v>45627</v>
      </c>
      <c r="C2750" s="52" cm="1">
        <f t="array" ref="C2750">IFERROR(INDEX('Expected Production'!$C$2:$N$199,MATCH(A2750,'Expected Production'!$A$2:$A$199,0),MONTH(B2750)),"")</f>
        <v>28903.5</v>
      </c>
      <c r="D2750" s="48">
        <f>_xlfn.XLOOKUP(expected_production[[#This Row],[Site Name]],Table1[[Site Name ]],Table1[Commisioned Date],"")</f>
        <v>46140</v>
      </c>
      <c r="E2750" s="47">
        <f>IF(ISNUMBER(expected_production[[#This Row],[Commissioned Date]]),MAX(0,(expected_production[[#This Row],[Date]]-expected_production[[#This Row],[Commissioned Date]])/365.25),"")</f>
        <v>0</v>
      </c>
      <c r="F2750" s="49">
        <f>IF(expected_production[[#This Row],[Age (yrs)]]="",1,(1-DegradationRate)^expected_production[[#This Row],[Age (yrs)]])</f>
        <v>1</v>
      </c>
      <c r="G2750" s="52">
        <f>IF(expected_production[[#This Row],[Base Expected (kWh)]]="","",expected_production[[#This Row],[Base Expected (kWh)]]*expected_production[[#This Row],[Degradation Factor]])</f>
        <v>28903.5</v>
      </c>
    </row>
    <row r="2751" spans="1:7" hidden="1" x14ac:dyDescent="0.3">
      <c r="A2751" t="s">
        <v>250</v>
      </c>
      <c r="B2751" s="2">
        <v>45658</v>
      </c>
      <c r="C2751" s="52" cm="1">
        <f t="array" ref="C2751">IFERROR(INDEX('Expected Production'!$C$2:$N$199,MATCH(A2751,'Expected Production'!$A$2:$A$199,0),MONTH(B2751)),"")</f>
        <v>28877.4</v>
      </c>
      <c r="D2751" s="48">
        <f>_xlfn.XLOOKUP(expected_production[[#This Row],[Site Name]],Table1[[Site Name ]],Table1[Commisioned Date],"")</f>
        <v>46140</v>
      </c>
      <c r="E2751" s="47">
        <f>IF(ISNUMBER(expected_production[[#This Row],[Commissioned Date]]),MAX(0,(expected_production[[#This Row],[Date]]-expected_production[[#This Row],[Commissioned Date]])/365.25),"")</f>
        <v>0</v>
      </c>
      <c r="F2751" s="49">
        <f>IF(expected_production[[#This Row],[Age (yrs)]]="",1,(1-DegradationRate)^expected_production[[#This Row],[Age (yrs)]])</f>
        <v>1</v>
      </c>
      <c r="G2751" s="52">
        <f>IF(expected_production[[#This Row],[Base Expected (kWh)]]="","",expected_production[[#This Row],[Base Expected (kWh)]]*expected_production[[#This Row],[Degradation Factor]])</f>
        <v>28877.4</v>
      </c>
    </row>
    <row r="2752" spans="1:7" hidden="1" x14ac:dyDescent="0.3">
      <c r="A2752" t="s">
        <v>250</v>
      </c>
      <c r="B2752" s="2">
        <v>45689</v>
      </c>
      <c r="C2752" s="52" cm="1">
        <f t="array" ref="C2752">IFERROR(INDEX('Expected Production'!$C$2:$N$199,MATCH(A2752,'Expected Production'!$A$2:$A$199,0),MONTH(B2752)),"")</f>
        <v>25884.9</v>
      </c>
      <c r="D2752" s="48">
        <f>_xlfn.XLOOKUP(expected_production[[#This Row],[Site Name]],Table1[[Site Name ]],Table1[Commisioned Date],"")</f>
        <v>46140</v>
      </c>
      <c r="E2752" s="47">
        <f>IF(ISNUMBER(expected_production[[#This Row],[Commissioned Date]]),MAX(0,(expected_production[[#This Row],[Date]]-expected_production[[#This Row],[Commissioned Date]])/365.25),"")</f>
        <v>0</v>
      </c>
      <c r="F2752" s="49">
        <f>IF(expected_production[[#This Row],[Age (yrs)]]="",1,(1-DegradationRate)^expected_production[[#This Row],[Age (yrs)]])</f>
        <v>1</v>
      </c>
      <c r="G2752" s="52">
        <f>IF(expected_production[[#This Row],[Base Expected (kWh)]]="","",expected_production[[#This Row],[Base Expected (kWh)]]*expected_production[[#This Row],[Degradation Factor]])</f>
        <v>25884.9</v>
      </c>
    </row>
    <row r="2753" spans="1:7" hidden="1" x14ac:dyDescent="0.3">
      <c r="A2753" t="s">
        <v>250</v>
      </c>
      <c r="B2753" s="2">
        <v>45717</v>
      </c>
      <c r="C2753" s="52" cm="1">
        <f t="array" ref="C2753">IFERROR(INDEX('Expected Production'!$C$2:$N$199,MATCH(A2753,'Expected Production'!$A$2:$A$199,0),MONTH(B2753)),"")</f>
        <v>27341.100000000002</v>
      </c>
      <c r="D2753" s="48">
        <f>_xlfn.XLOOKUP(expected_production[[#This Row],[Site Name]],Table1[[Site Name ]],Table1[Commisioned Date],"")</f>
        <v>46140</v>
      </c>
      <c r="E2753" s="47">
        <f>IF(ISNUMBER(expected_production[[#This Row],[Commissioned Date]]),MAX(0,(expected_production[[#This Row],[Date]]-expected_production[[#This Row],[Commissioned Date]])/365.25),"")</f>
        <v>0</v>
      </c>
      <c r="F2753" s="49">
        <f>IF(expected_production[[#This Row],[Age (yrs)]]="",1,(1-DegradationRate)^expected_production[[#This Row],[Age (yrs)]])</f>
        <v>1</v>
      </c>
      <c r="G2753" s="52">
        <f>IF(expected_production[[#This Row],[Base Expected (kWh)]]="","",expected_production[[#This Row],[Base Expected (kWh)]]*expected_production[[#This Row],[Degradation Factor]])</f>
        <v>27341.100000000002</v>
      </c>
    </row>
    <row r="2754" spans="1:7" hidden="1" x14ac:dyDescent="0.3">
      <c r="A2754" t="s">
        <v>250</v>
      </c>
      <c r="B2754" s="2">
        <v>45748</v>
      </c>
      <c r="C2754" s="52" cm="1">
        <f t="array" ref="C2754">IFERROR(INDEX('Expected Production'!$C$2:$N$199,MATCH(A2754,'Expected Production'!$A$2:$A$199,0),MONTH(B2754)),"")</f>
        <v>27823.5</v>
      </c>
      <c r="D2754" s="48">
        <f>_xlfn.XLOOKUP(expected_production[[#This Row],[Site Name]],Table1[[Site Name ]],Table1[Commisioned Date],"")</f>
        <v>46140</v>
      </c>
      <c r="E2754" s="47">
        <f>IF(ISNUMBER(expected_production[[#This Row],[Commissioned Date]]),MAX(0,(expected_production[[#This Row],[Date]]-expected_production[[#This Row],[Commissioned Date]])/365.25),"")</f>
        <v>0</v>
      </c>
      <c r="F2754" s="49">
        <f>IF(expected_production[[#This Row],[Age (yrs)]]="",1,(1-DegradationRate)^expected_production[[#This Row],[Age (yrs)]])</f>
        <v>1</v>
      </c>
      <c r="G2754" s="52">
        <f>IF(expected_production[[#This Row],[Base Expected (kWh)]]="","",expected_production[[#This Row],[Base Expected (kWh)]]*expected_production[[#This Row],[Degradation Factor]])</f>
        <v>27823.5</v>
      </c>
    </row>
    <row r="2755" spans="1:7" hidden="1" x14ac:dyDescent="0.3">
      <c r="A2755" t="s">
        <v>250</v>
      </c>
      <c r="B2755" s="2">
        <v>45778</v>
      </c>
      <c r="C2755" s="52" cm="1">
        <f t="array" ref="C2755">IFERROR(INDEX('Expected Production'!$C$2:$N$199,MATCH(A2755,'Expected Production'!$A$2:$A$199,0),MONTH(B2755)),"")</f>
        <v>29920.5</v>
      </c>
      <c r="D2755" s="48">
        <f>_xlfn.XLOOKUP(expected_production[[#This Row],[Site Name]],Table1[[Site Name ]],Table1[Commisioned Date],"")</f>
        <v>46140</v>
      </c>
      <c r="E2755" s="47">
        <f>IF(ISNUMBER(expected_production[[#This Row],[Commissioned Date]]),MAX(0,(expected_production[[#This Row],[Date]]-expected_production[[#This Row],[Commissioned Date]])/365.25),"")</f>
        <v>0</v>
      </c>
      <c r="F2755" s="49">
        <f>IF(expected_production[[#This Row],[Age (yrs)]]="",1,(1-DegradationRate)^expected_production[[#This Row],[Age (yrs)]])</f>
        <v>1</v>
      </c>
      <c r="G2755" s="52">
        <f>IF(expected_production[[#This Row],[Base Expected (kWh)]]="","",expected_production[[#This Row],[Base Expected (kWh)]]*expected_production[[#This Row],[Degradation Factor]])</f>
        <v>29920.5</v>
      </c>
    </row>
    <row r="2756" spans="1:7" hidden="1" x14ac:dyDescent="0.3">
      <c r="A2756" t="s">
        <v>250</v>
      </c>
      <c r="B2756" s="2">
        <v>45809</v>
      </c>
      <c r="C2756" s="52" cm="1">
        <f t="array" ref="C2756">IFERROR(INDEX('Expected Production'!$C$2:$N$199,MATCH(A2756,'Expected Production'!$A$2:$A$199,0),MONTH(B2756)),"")</f>
        <v>28644.3</v>
      </c>
      <c r="D2756" s="48">
        <f>_xlfn.XLOOKUP(expected_production[[#This Row],[Site Name]],Table1[[Site Name ]],Table1[Commisioned Date],"")</f>
        <v>46140</v>
      </c>
      <c r="E2756" s="47">
        <f>IF(ISNUMBER(expected_production[[#This Row],[Commissioned Date]]),MAX(0,(expected_production[[#This Row],[Date]]-expected_production[[#This Row],[Commissioned Date]])/365.25),"")</f>
        <v>0</v>
      </c>
      <c r="F2756" s="49">
        <f>IF(expected_production[[#This Row],[Age (yrs)]]="",1,(1-DegradationRate)^expected_production[[#This Row],[Age (yrs)]])</f>
        <v>1</v>
      </c>
      <c r="G2756" s="52">
        <f>IF(expected_production[[#This Row],[Base Expected (kWh)]]="","",expected_production[[#This Row],[Base Expected (kWh)]]*expected_production[[#This Row],[Degradation Factor]])</f>
        <v>28644.3</v>
      </c>
    </row>
    <row r="2757" spans="1:7" hidden="1" x14ac:dyDescent="0.3">
      <c r="A2757" t="s">
        <v>250</v>
      </c>
      <c r="B2757" s="2">
        <v>45839</v>
      </c>
      <c r="C2757" s="52" cm="1">
        <f t="array" ref="C2757">IFERROR(INDEX('Expected Production'!$C$2:$N$199,MATCH(A2757,'Expected Production'!$A$2:$A$199,0),MONTH(B2757)),"")</f>
        <v>28051.200000000001</v>
      </c>
      <c r="D2757" s="48">
        <f>_xlfn.XLOOKUP(expected_production[[#This Row],[Site Name]],Table1[[Site Name ]],Table1[Commisioned Date],"")</f>
        <v>46140</v>
      </c>
      <c r="E2757" s="47">
        <f>IF(ISNUMBER(expected_production[[#This Row],[Commissioned Date]]),MAX(0,(expected_production[[#This Row],[Date]]-expected_production[[#This Row],[Commissioned Date]])/365.25),"")</f>
        <v>0</v>
      </c>
      <c r="F2757" s="49">
        <f>IF(expected_production[[#This Row],[Age (yrs)]]="",1,(1-DegradationRate)^expected_production[[#This Row],[Age (yrs)]])</f>
        <v>1</v>
      </c>
      <c r="G2757" s="52">
        <f>IF(expected_production[[#This Row],[Base Expected (kWh)]]="","",expected_production[[#This Row],[Base Expected (kWh)]]*expected_production[[#This Row],[Degradation Factor]])</f>
        <v>28051.200000000001</v>
      </c>
    </row>
    <row r="2758" spans="1:7" hidden="1" x14ac:dyDescent="0.3">
      <c r="A2758" t="s">
        <v>250</v>
      </c>
      <c r="B2758" s="2">
        <v>45870</v>
      </c>
      <c r="C2758" s="52" cm="1">
        <f t="array" ref="C2758">IFERROR(INDEX('Expected Production'!$C$2:$N$199,MATCH(A2758,'Expected Production'!$A$2:$A$199,0),MONTH(B2758)),"")</f>
        <v>31649.4</v>
      </c>
      <c r="D2758" s="48">
        <f>_xlfn.XLOOKUP(expected_production[[#This Row],[Site Name]],Table1[[Site Name ]],Table1[Commisioned Date],"")</f>
        <v>46140</v>
      </c>
      <c r="E2758" s="47">
        <f>IF(ISNUMBER(expected_production[[#This Row],[Commissioned Date]]),MAX(0,(expected_production[[#This Row],[Date]]-expected_production[[#This Row],[Commissioned Date]])/365.25),"")</f>
        <v>0</v>
      </c>
      <c r="F2758" s="49">
        <f>IF(expected_production[[#This Row],[Age (yrs)]]="",1,(1-DegradationRate)^expected_production[[#This Row],[Age (yrs)]])</f>
        <v>1</v>
      </c>
      <c r="G2758" s="52">
        <f>IF(expected_production[[#This Row],[Base Expected (kWh)]]="","",expected_production[[#This Row],[Base Expected (kWh)]]*expected_production[[#This Row],[Degradation Factor]])</f>
        <v>31649.4</v>
      </c>
    </row>
    <row r="2759" spans="1:7" hidden="1" x14ac:dyDescent="0.3">
      <c r="A2759" t="s">
        <v>250</v>
      </c>
      <c r="B2759" s="2">
        <v>45901</v>
      </c>
      <c r="C2759" s="52" cm="1">
        <f t="array" ref="C2759">IFERROR(INDEX('Expected Production'!$C$2:$N$199,MATCH(A2759,'Expected Production'!$A$2:$A$199,0),MONTH(B2759)),"")</f>
        <v>28250.100000000002</v>
      </c>
      <c r="D2759" s="48">
        <f>_xlfn.XLOOKUP(expected_production[[#This Row],[Site Name]],Table1[[Site Name ]],Table1[Commisioned Date],"")</f>
        <v>46140</v>
      </c>
      <c r="E2759" s="47">
        <f>IF(ISNUMBER(expected_production[[#This Row],[Commissioned Date]]),MAX(0,(expected_production[[#This Row],[Date]]-expected_production[[#This Row],[Commissioned Date]])/365.25),"")</f>
        <v>0</v>
      </c>
      <c r="F2759" s="49">
        <f>IF(expected_production[[#This Row],[Age (yrs)]]="",1,(1-DegradationRate)^expected_production[[#This Row],[Age (yrs)]])</f>
        <v>1</v>
      </c>
      <c r="G2759" s="52">
        <f>IF(expected_production[[#This Row],[Base Expected (kWh)]]="","",expected_production[[#This Row],[Base Expected (kWh)]]*expected_production[[#This Row],[Degradation Factor]])</f>
        <v>28250.100000000002</v>
      </c>
    </row>
    <row r="2760" spans="1:7" hidden="1" x14ac:dyDescent="0.3">
      <c r="A2760" t="s">
        <v>250</v>
      </c>
      <c r="B2760" s="2">
        <v>45931</v>
      </c>
      <c r="C2760" s="52" cm="1">
        <f t="array" ref="C2760">IFERROR(INDEX('Expected Production'!$C$2:$N$199,MATCH(A2760,'Expected Production'!$A$2:$A$199,0),MONTH(B2760)),"")</f>
        <v>28466.100000000002</v>
      </c>
      <c r="D2760" s="48">
        <f>_xlfn.XLOOKUP(expected_production[[#This Row],[Site Name]],Table1[[Site Name ]],Table1[Commisioned Date],"")</f>
        <v>46140</v>
      </c>
      <c r="E2760" s="47">
        <f>IF(ISNUMBER(expected_production[[#This Row],[Commissioned Date]]),MAX(0,(expected_production[[#This Row],[Date]]-expected_production[[#This Row],[Commissioned Date]])/365.25),"")</f>
        <v>0</v>
      </c>
      <c r="F2760" s="49">
        <f>IF(expected_production[[#This Row],[Age (yrs)]]="",1,(1-DegradationRate)^expected_production[[#This Row],[Age (yrs)]])</f>
        <v>1</v>
      </c>
      <c r="G2760" s="52">
        <f>IF(expected_production[[#This Row],[Base Expected (kWh)]]="","",expected_production[[#This Row],[Base Expected (kWh)]]*expected_production[[#This Row],[Degradation Factor]])</f>
        <v>28466.100000000002</v>
      </c>
    </row>
    <row r="2761" spans="1:7" hidden="1" x14ac:dyDescent="0.3">
      <c r="A2761" t="s">
        <v>250</v>
      </c>
      <c r="B2761" s="2">
        <v>45962</v>
      </c>
      <c r="C2761" s="52" cm="1">
        <f t="array" ref="C2761">IFERROR(INDEX('Expected Production'!$C$2:$N$199,MATCH(A2761,'Expected Production'!$A$2:$A$199,0),MONTH(B2761)),"")</f>
        <v>28991.7</v>
      </c>
      <c r="D2761" s="48">
        <f>_xlfn.XLOOKUP(expected_production[[#This Row],[Site Name]],Table1[[Site Name ]],Table1[Commisioned Date],"")</f>
        <v>46140</v>
      </c>
      <c r="E2761" s="47">
        <f>IF(ISNUMBER(expected_production[[#This Row],[Commissioned Date]]),MAX(0,(expected_production[[#This Row],[Date]]-expected_production[[#This Row],[Commissioned Date]])/365.25),"")</f>
        <v>0</v>
      </c>
      <c r="F2761" s="49">
        <f>IF(expected_production[[#This Row],[Age (yrs)]]="",1,(1-DegradationRate)^expected_production[[#This Row],[Age (yrs)]])</f>
        <v>1</v>
      </c>
      <c r="G2761" s="52">
        <f>IF(expected_production[[#This Row],[Base Expected (kWh)]]="","",expected_production[[#This Row],[Base Expected (kWh)]]*expected_production[[#This Row],[Degradation Factor]])</f>
        <v>28991.7</v>
      </c>
    </row>
    <row r="2762" spans="1:7" hidden="1" x14ac:dyDescent="0.3">
      <c r="A2762" t="s">
        <v>250</v>
      </c>
      <c r="B2762" s="2">
        <v>45992</v>
      </c>
      <c r="C2762" s="52" cm="1">
        <f t="array" ref="C2762">IFERROR(INDEX('Expected Production'!$C$2:$N$199,MATCH(A2762,'Expected Production'!$A$2:$A$199,0),MONTH(B2762)),"")</f>
        <v>28903.5</v>
      </c>
      <c r="D2762" s="48">
        <f>_xlfn.XLOOKUP(expected_production[[#This Row],[Site Name]],Table1[[Site Name ]],Table1[Commisioned Date],"")</f>
        <v>46140</v>
      </c>
      <c r="E2762" s="47">
        <f>IF(ISNUMBER(expected_production[[#This Row],[Commissioned Date]]),MAX(0,(expected_production[[#This Row],[Date]]-expected_production[[#This Row],[Commissioned Date]])/365.25),"")</f>
        <v>0</v>
      </c>
      <c r="F2762" s="49">
        <f>IF(expected_production[[#This Row],[Age (yrs)]]="",1,(1-DegradationRate)^expected_production[[#This Row],[Age (yrs)]])</f>
        <v>1</v>
      </c>
      <c r="G2762" s="52">
        <f>IF(expected_production[[#This Row],[Base Expected (kWh)]]="","",expected_production[[#This Row],[Base Expected (kWh)]]*expected_production[[#This Row],[Degradation Factor]])</f>
        <v>28903.5</v>
      </c>
    </row>
    <row r="2763" spans="1:7" hidden="1" x14ac:dyDescent="0.3">
      <c r="A2763" t="s">
        <v>250</v>
      </c>
      <c r="B2763" s="2">
        <v>46023</v>
      </c>
      <c r="C2763" s="52" cm="1">
        <f t="array" ref="C2763">IFERROR(INDEX('Expected Production'!$C$2:$N$199,MATCH(A2763,'Expected Production'!$A$2:$A$199,0),MONTH(B2763)),"")</f>
        <v>28877.4</v>
      </c>
      <c r="D2763" s="48">
        <f>_xlfn.XLOOKUP(expected_production[[#This Row],[Site Name]],Table1[[Site Name ]],Table1[Commisioned Date],"")</f>
        <v>46140</v>
      </c>
      <c r="E2763" s="47">
        <f>IF(ISNUMBER(expected_production[[#This Row],[Commissioned Date]]),MAX(0,(expected_production[[#This Row],[Date]]-expected_production[[#This Row],[Commissioned Date]])/365.25),"")</f>
        <v>0</v>
      </c>
      <c r="F2763" s="49">
        <f>IF(expected_production[[#This Row],[Age (yrs)]]="",1,(1-DegradationRate)^expected_production[[#This Row],[Age (yrs)]])</f>
        <v>1</v>
      </c>
      <c r="G2763" s="52">
        <f>IF(expected_production[[#This Row],[Base Expected (kWh)]]="","",expected_production[[#This Row],[Base Expected (kWh)]]*expected_production[[#This Row],[Degradation Factor]])</f>
        <v>28877.4</v>
      </c>
    </row>
    <row r="2764" spans="1:7" hidden="1" x14ac:dyDescent="0.3">
      <c r="A2764" t="s">
        <v>250</v>
      </c>
      <c r="B2764" s="2">
        <v>46054</v>
      </c>
      <c r="C2764" s="52" cm="1">
        <f t="array" ref="C2764">IFERROR(INDEX('Expected Production'!$C$2:$N$199,MATCH(A2764,'Expected Production'!$A$2:$A$199,0),MONTH(B2764)),"")</f>
        <v>25884.9</v>
      </c>
      <c r="D2764" s="48">
        <f>_xlfn.XLOOKUP(expected_production[[#This Row],[Site Name]],Table1[[Site Name ]],Table1[Commisioned Date],"")</f>
        <v>46140</v>
      </c>
      <c r="E2764" s="47">
        <f>IF(ISNUMBER(expected_production[[#This Row],[Commissioned Date]]),MAX(0,(expected_production[[#This Row],[Date]]-expected_production[[#This Row],[Commissioned Date]])/365.25),"")</f>
        <v>0</v>
      </c>
      <c r="F2764" s="49">
        <f>IF(expected_production[[#This Row],[Age (yrs)]]="",1,(1-DegradationRate)^expected_production[[#This Row],[Age (yrs)]])</f>
        <v>1</v>
      </c>
      <c r="G2764" s="52">
        <f>IF(expected_production[[#This Row],[Base Expected (kWh)]]="","",expected_production[[#This Row],[Base Expected (kWh)]]*expected_production[[#This Row],[Degradation Factor]])</f>
        <v>25884.9</v>
      </c>
    </row>
    <row r="2765" spans="1:7" hidden="1" x14ac:dyDescent="0.3">
      <c r="A2765" t="s">
        <v>250</v>
      </c>
      <c r="B2765" s="2">
        <v>46082</v>
      </c>
      <c r="C2765" s="52" cm="1">
        <f t="array" ref="C2765">IFERROR(INDEX('Expected Production'!$C$2:$N$199,MATCH(A2765,'Expected Production'!$A$2:$A$199,0),MONTH(B2765)),"")</f>
        <v>27341.100000000002</v>
      </c>
      <c r="D2765" s="48">
        <f>_xlfn.XLOOKUP(expected_production[[#This Row],[Site Name]],Table1[[Site Name ]],Table1[Commisioned Date],"")</f>
        <v>46140</v>
      </c>
      <c r="E2765" s="47">
        <f>IF(ISNUMBER(expected_production[[#This Row],[Commissioned Date]]),MAX(0,(expected_production[[#This Row],[Date]]-expected_production[[#This Row],[Commissioned Date]])/365.25),"")</f>
        <v>0</v>
      </c>
      <c r="F2765" s="49">
        <f>IF(expected_production[[#This Row],[Age (yrs)]]="",1,(1-DegradationRate)^expected_production[[#This Row],[Age (yrs)]])</f>
        <v>1</v>
      </c>
      <c r="G2765" s="52">
        <f>IF(expected_production[[#This Row],[Base Expected (kWh)]]="","",expected_production[[#This Row],[Base Expected (kWh)]]*expected_production[[#This Row],[Degradation Factor]])</f>
        <v>27341.100000000002</v>
      </c>
    </row>
    <row r="2766" spans="1:7" hidden="1" x14ac:dyDescent="0.3">
      <c r="A2766" t="s">
        <v>250</v>
      </c>
      <c r="B2766" s="2">
        <v>46113</v>
      </c>
      <c r="C2766" s="52" cm="1">
        <f t="array" ref="C2766">IFERROR(INDEX('Expected Production'!$C$2:$N$199,MATCH(A2766,'Expected Production'!$A$2:$A$199,0),MONTH(B2766)),"")</f>
        <v>27823.5</v>
      </c>
      <c r="D2766" s="48">
        <f>_xlfn.XLOOKUP(expected_production[[#This Row],[Site Name]],Table1[[Site Name ]],Table1[Commisioned Date],"")</f>
        <v>46140</v>
      </c>
      <c r="E2766" s="47">
        <f>IF(ISNUMBER(expected_production[[#This Row],[Commissioned Date]]),MAX(0,(expected_production[[#This Row],[Date]]-expected_production[[#This Row],[Commissioned Date]])/365.25),"")</f>
        <v>0</v>
      </c>
      <c r="F2766" s="49">
        <f>IF(expected_production[[#This Row],[Age (yrs)]]="",1,(1-DegradationRate)^expected_production[[#This Row],[Age (yrs)]])</f>
        <v>1</v>
      </c>
      <c r="G2766" s="52">
        <f>IF(expected_production[[#This Row],[Base Expected (kWh)]]="","",expected_production[[#This Row],[Base Expected (kWh)]]*expected_production[[#This Row],[Degradation Factor]])</f>
        <v>27823.5</v>
      </c>
    </row>
    <row r="2767" spans="1:7" hidden="1" x14ac:dyDescent="0.3">
      <c r="A2767" t="s">
        <v>250</v>
      </c>
      <c r="B2767" s="2">
        <v>46143</v>
      </c>
      <c r="C2767" s="52" cm="1">
        <f t="array" ref="C2767">IFERROR(INDEX('Expected Production'!$C$2:$N$199,MATCH(A2767,'Expected Production'!$A$2:$A$199,0),MONTH(B2767)),"")</f>
        <v>29920.5</v>
      </c>
      <c r="D2767" s="48">
        <f>_xlfn.XLOOKUP(expected_production[[#This Row],[Site Name]],Table1[[Site Name ]],Table1[Commisioned Date],"")</f>
        <v>46140</v>
      </c>
      <c r="E2767" s="47">
        <f>IF(ISNUMBER(expected_production[[#This Row],[Commissioned Date]]),MAX(0,(expected_production[[#This Row],[Date]]-expected_production[[#This Row],[Commissioned Date]])/365.25),"")</f>
        <v>8.2135523613963042E-3</v>
      </c>
      <c r="F2767" s="49">
        <f>IF(expected_production[[#This Row],[Age (yrs)]]="",1,(1-DegradationRate)^expected_production[[#This Row],[Age (yrs)]])</f>
        <v>0.99994230462183897</v>
      </c>
      <c r="G2767" s="52">
        <f>IF(expected_production[[#This Row],[Base Expected (kWh)]]="","",expected_production[[#This Row],[Base Expected (kWh)]]*expected_production[[#This Row],[Degradation Factor]])</f>
        <v>29918.773725437732</v>
      </c>
    </row>
    <row r="2768" spans="1:7" hidden="1" x14ac:dyDescent="0.3">
      <c r="A2768" t="s">
        <v>250</v>
      </c>
      <c r="B2768" s="2">
        <v>46174</v>
      </c>
      <c r="C2768" s="52" cm="1">
        <f t="array" ref="C2768">IFERROR(INDEX('Expected Production'!$C$2:$N$199,MATCH(A2768,'Expected Production'!$A$2:$A$199,0),MONTH(B2768)),"")</f>
        <v>28644.3</v>
      </c>
      <c r="D2768" s="48">
        <f>_xlfn.XLOOKUP(expected_production[[#This Row],[Site Name]],Table1[[Site Name ]],Table1[Commisioned Date],"")</f>
        <v>46140</v>
      </c>
      <c r="E2768" s="47">
        <f>IF(ISNUMBER(expected_production[[#This Row],[Commissioned Date]]),MAX(0,(expected_production[[#This Row],[Date]]-expected_production[[#This Row],[Commissioned Date]])/365.25),"")</f>
        <v>9.3086926762491445E-2</v>
      </c>
      <c r="F2768" s="49">
        <f>IF(expected_production[[#This Row],[Age (yrs)]]="",1,(1-DegradationRate)^expected_production[[#This Row],[Age (yrs)]])</f>
        <v>0.99934631392972084</v>
      </c>
      <c r="G2768" s="52">
        <f>IF(expected_production[[#This Row],[Base Expected (kWh)]]="","",expected_production[[#This Row],[Base Expected (kWh)]]*expected_production[[#This Row],[Degradation Factor]])</f>
        <v>28625.575620097101</v>
      </c>
    </row>
    <row r="2769" spans="1:7" hidden="1" x14ac:dyDescent="0.3">
      <c r="A2769" t="s">
        <v>250</v>
      </c>
      <c r="B2769" s="2">
        <v>46204</v>
      </c>
      <c r="C2769" s="52" cm="1">
        <f t="array" ref="C2769">IFERROR(INDEX('Expected Production'!$C$2:$N$199,MATCH(A2769,'Expected Production'!$A$2:$A$199,0),MONTH(B2769)),"")</f>
        <v>28051.200000000001</v>
      </c>
      <c r="D2769" s="48">
        <f>_xlfn.XLOOKUP(expected_production[[#This Row],[Site Name]],Table1[[Site Name ]],Table1[Commisioned Date],"")</f>
        <v>46140</v>
      </c>
      <c r="E2769" s="47">
        <f>IF(ISNUMBER(expected_production[[#This Row],[Commissioned Date]]),MAX(0,(expected_production[[#This Row],[Date]]-expected_production[[#This Row],[Commissioned Date]])/365.25),"")</f>
        <v>0.17522245037645448</v>
      </c>
      <c r="F2769" s="49">
        <f>IF(expected_production[[#This Row],[Age (yrs)]]="",1,(1-DegradationRate)^expected_production[[#This Row],[Age (yrs)]])</f>
        <v>0.99876988696786295</v>
      </c>
      <c r="G2769" s="52">
        <f>IF(expected_production[[#This Row],[Base Expected (kWh)]]="","",expected_production[[#This Row],[Base Expected (kWh)]]*expected_production[[#This Row],[Degradation Factor]])</f>
        <v>28016.693853312918</v>
      </c>
    </row>
    <row r="2770" spans="1:7" hidden="1" x14ac:dyDescent="0.3">
      <c r="A2770" t="s">
        <v>250</v>
      </c>
      <c r="B2770" s="2">
        <v>46235</v>
      </c>
      <c r="C2770" s="52" cm="1">
        <f t="array" ref="C2770">IFERROR(INDEX('Expected Production'!$C$2:$N$199,MATCH(A2770,'Expected Production'!$A$2:$A$199,0),MONTH(B2770)),"")</f>
        <v>31649.4</v>
      </c>
      <c r="D2770" s="48">
        <f>_xlfn.XLOOKUP(expected_production[[#This Row],[Site Name]],Table1[[Site Name ]],Table1[Commisioned Date],"")</f>
        <v>46140</v>
      </c>
      <c r="E2770" s="47">
        <f>IF(ISNUMBER(expected_production[[#This Row],[Commissioned Date]]),MAX(0,(expected_production[[#This Row],[Date]]-expected_production[[#This Row],[Commissioned Date]])/365.25),"")</f>
        <v>0.26009582477754961</v>
      </c>
      <c r="F2770" s="49">
        <f>IF(expected_production[[#This Row],[Age (yrs)]]="",1,(1-DegradationRate)^expected_production[[#This Row],[Age (yrs)]])</f>
        <v>0.99817459506607087</v>
      </c>
      <c r="G2770" s="52">
        <f>IF(expected_production[[#This Row],[Base Expected (kWh)]]="","",expected_production[[#This Row],[Base Expected (kWh)]]*expected_production[[#This Row],[Degradation Factor]])</f>
        <v>31591.627029084106</v>
      </c>
    </row>
    <row r="2771" spans="1:7" hidden="1" x14ac:dyDescent="0.3">
      <c r="A2771" t="s">
        <v>250</v>
      </c>
      <c r="B2771" s="2">
        <v>46266</v>
      </c>
      <c r="C2771" s="52" cm="1">
        <f t="array" ref="C2771">IFERROR(INDEX('Expected Production'!$C$2:$N$199,MATCH(A2771,'Expected Production'!$A$2:$A$199,0),MONTH(B2771)),"")</f>
        <v>28250.100000000002</v>
      </c>
      <c r="D2771" s="48">
        <f>_xlfn.XLOOKUP(expected_production[[#This Row],[Site Name]],Table1[[Site Name ]],Table1[Commisioned Date],"")</f>
        <v>46140</v>
      </c>
      <c r="E2771" s="47">
        <f>IF(ISNUMBER(expected_production[[#This Row],[Commissioned Date]]),MAX(0,(expected_production[[#This Row],[Date]]-expected_production[[#This Row],[Commissioned Date]])/365.25),"")</f>
        <v>0.34496919917864477</v>
      </c>
      <c r="F2771" s="49">
        <f>IF(expected_production[[#This Row],[Age (yrs)]]="",1,(1-DegradationRate)^expected_production[[#This Row],[Age (yrs)]])</f>
        <v>0.99757965797318227</v>
      </c>
      <c r="G2771" s="52">
        <f>IF(expected_production[[#This Row],[Base Expected (kWh)]]="","",expected_production[[#This Row],[Base Expected (kWh)]]*expected_production[[#This Row],[Degradation Factor]])</f>
        <v>28181.7250957082</v>
      </c>
    </row>
    <row r="2772" spans="1:7" hidden="1" x14ac:dyDescent="0.3">
      <c r="A2772" t="s">
        <v>250</v>
      </c>
      <c r="B2772" s="2">
        <v>46296</v>
      </c>
      <c r="C2772" s="52" cm="1">
        <f t="array" ref="C2772">IFERROR(INDEX('Expected Production'!$C$2:$N$199,MATCH(A2772,'Expected Production'!$A$2:$A$199,0),MONTH(B2772)),"")</f>
        <v>28466.100000000002</v>
      </c>
      <c r="D2772" s="48">
        <f>_xlfn.XLOOKUP(expected_production[[#This Row],[Site Name]],Table1[[Site Name ]],Table1[Commisioned Date],"")</f>
        <v>46140</v>
      </c>
      <c r="E2772" s="47">
        <f>IF(ISNUMBER(expected_production[[#This Row],[Commissioned Date]]),MAX(0,(expected_production[[#This Row],[Date]]-expected_production[[#This Row],[Commissioned Date]])/365.25),"")</f>
        <v>0.4271047227926078</v>
      </c>
      <c r="F2772" s="49">
        <f>IF(expected_production[[#This Row],[Age (yrs)]]="",1,(1-DegradationRate)^expected_production[[#This Row],[Age (yrs)]])</f>
        <v>0.99700425002556547</v>
      </c>
      <c r="G2772" s="52">
        <f>IF(expected_production[[#This Row],[Base Expected (kWh)]]="","",expected_production[[#This Row],[Base Expected (kWh)]]*expected_production[[#This Row],[Degradation Factor]])</f>
        <v>28380.822681652753</v>
      </c>
    </row>
    <row r="2773" spans="1:7" hidden="1" x14ac:dyDescent="0.3">
      <c r="A2773" t="s">
        <v>250</v>
      </c>
      <c r="B2773" s="2">
        <v>46327</v>
      </c>
      <c r="C2773" s="52" cm="1">
        <f t="array" ref="C2773">IFERROR(INDEX('Expected Production'!$C$2:$N$199,MATCH(A2773,'Expected Production'!$A$2:$A$199,0),MONTH(B2773)),"")</f>
        <v>28991.7</v>
      </c>
      <c r="D2773" s="48">
        <f>_xlfn.XLOOKUP(expected_production[[#This Row],[Site Name]],Table1[[Site Name ]],Table1[Commisioned Date],"")</f>
        <v>46140</v>
      </c>
      <c r="E2773" s="47">
        <f>IF(ISNUMBER(expected_production[[#This Row],[Commissioned Date]]),MAX(0,(expected_production[[#This Row],[Date]]-expected_production[[#This Row],[Commissioned Date]])/365.25),"")</f>
        <v>0.51197809719370291</v>
      </c>
      <c r="F2773" s="49">
        <f>IF(expected_production[[#This Row],[Age (yrs)]]="",1,(1-DegradationRate)^expected_production[[#This Row],[Age (yrs)]])</f>
        <v>0.99641001048767319</v>
      </c>
      <c r="G2773" s="52">
        <f>IF(expected_production[[#This Row],[Base Expected (kWh)]]="","",expected_production[[#This Row],[Base Expected (kWh)]]*expected_production[[#This Row],[Degradation Factor]])</f>
        <v>28887.620101055476</v>
      </c>
    </row>
    <row r="2774" spans="1:7" hidden="1" x14ac:dyDescent="0.3">
      <c r="A2774" t="s">
        <v>250</v>
      </c>
      <c r="B2774" s="2">
        <v>46357</v>
      </c>
      <c r="C2774" s="52" cm="1">
        <f t="array" ref="C2774">IFERROR(INDEX('Expected Production'!$C$2:$N$199,MATCH(A2774,'Expected Production'!$A$2:$A$199,0),MONTH(B2774)),"")</f>
        <v>28903.5</v>
      </c>
      <c r="D2774" s="48">
        <f>_xlfn.XLOOKUP(expected_production[[#This Row],[Site Name]],Table1[[Site Name ]],Table1[Commisioned Date],"")</f>
        <v>46140</v>
      </c>
      <c r="E2774" s="47">
        <f>IF(ISNUMBER(expected_production[[#This Row],[Commissioned Date]]),MAX(0,(expected_production[[#This Row],[Date]]-expected_production[[#This Row],[Commissioned Date]])/365.25),"")</f>
        <v>0.59411362080766594</v>
      </c>
      <c r="F2774" s="49">
        <f>IF(expected_production[[#This Row],[Age (yrs)]]="",1,(1-DegradationRate)^expected_production[[#This Row],[Age (yrs)]])</f>
        <v>0.99583527719741705</v>
      </c>
      <c r="G2774" s="52">
        <f>IF(expected_production[[#This Row],[Base Expected (kWh)]]="","",expected_production[[#This Row],[Base Expected (kWh)]]*expected_production[[#This Row],[Degradation Factor]])</f>
        <v>28783.124934475545</v>
      </c>
    </row>
    <row r="2775" spans="1:7" hidden="1" x14ac:dyDescent="0.3">
      <c r="A2775" t="s">
        <v>1004</v>
      </c>
      <c r="B2775" s="2">
        <v>46204</v>
      </c>
      <c r="C2775" s="52" cm="1">
        <f t="array" ref="C2775">IFERROR(INDEX('Expected Production'!$C$2:$N$199,MATCH(A2775,'Expected Production'!$A$2:$A$199,0),MONTH(B2775)),"")</f>
        <v>4644.9000000000005</v>
      </c>
      <c r="D2775" s="48">
        <f>_xlfn.XLOOKUP(expected_production[[#This Row],[Site Name]],Table1[[Site Name ]],Table1[Commisioned Date],"")</f>
        <v>46185</v>
      </c>
      <c r="E2775" s="47">
        <f>IF(ISNUMBER(expected_production[[#This Row],[Commissioned Date]]),MAX(0,(expected_production[[#This Row],[Date]]-expected_production[[#This Row],[Commissioned Date]])/365.25),"")</f>
        <v>5.2019164955509928E-2</v>
      </c>
      <c r="F2775" s="49">
        <f>IF(expected_production[[#This Row],[Age (yrs)]]="",1,(1-DegradationRate)^expected_production[[#This Row],[Age (yrs)]])</f>
        <v>0.99963465215262981</v>
      </c>
      <c r="G2775" s="52">
        <f>IF(expected_production[[#This Row],[Base Expected (kWh)]]="","",expected_production[[#This Row],[Base Expected (kWh)]]*expected_production[[#This Row],[Degradation Factor]])</f>
        <v>4643.2029957837503</v>
      </c>
    </row>
    <row r="2776" spans="1:7" hidden="1" x14ac:dyDescent="0.3">
      <c r="A2776" t="s">
        <v>1004</v>
      </c>
      <c r="B2776" s="2">
        <v>46235</v>
      </c>
      <c r="C2776" s="52" cm="1">
        <f t="array" ref="C2776">IFERROR(INDEX('Expected Production'!$C$2:$N$199,MATCH(A2776,'Expected Production'!$A$2:$A$199,0),MONTH(B2776)),"")</f>
        <v>5254.2</v>
      </c>
      <c r="D2776" s="48">
        <f>_xlfn.XLOOKUP(expected_production[[#This Row],[Site Name]],Table1[[Site Name ]],Table1[Commisioned Date],"")</f>
        <v>46185</v>
      </c>
      <c r="E2776" s="47">
        <f>IF(ISNUMBER(expected_production[[#This Row],[Commissioned Date]]),MAX(0,(expected_production[[#This Row],[Date]]-expected_production[[#This Row],[Commissioned Date]])/365.25),"")</f>
        <v>0.13689253935660506</v>
      </c>
      <c r="F2776" s="49">
        <f>IF(expected_production[[#This Row],[Age (yrs)]]="",1,(1-DegradationRate)^expected_production[[#This Row],[Age (yrs)]])</f>
        <v>0.99903884482909933</v>
      </c>
      <c r="G2776" s="52">
        <f>IF(expected_production[[#This Row],[Base Expected (kWh)]]="","",expected_production[[#This Row],[Base Expected (kWh)]]*expected_production[[#This Row],[Degradation Factor]])</f>
        <v>5249.1498985010539</v>
      </c>
    </row>
    <row r="2777" spans="1:7" hidden="1" x14ac:dyDescent="0.3">
      <c r="A2777" t="s">
        <v>1004</v>
      </c>
      <c r="B2777" s="2">
        <v>46266</v>
      </c>
      <c r="C2777" s="52" cm="1">
        <f t="array" ref="C2777">IFERROR(INDEX('Expected Production'!$C$2:$N$199,MATCH(A2777,'Expected Production'!$A$2:$A$199,0),MONTH(B2777)),"")</f>
        <v>5567.4000000000005</v>
      </c>
      <c r="D2777" s="48">
        <f>_xlfn.XLOOKUP(expected_production[[#This Row],[Site Name]],Table1[[Site Name ]],Table1[Commisioned Date],"")</f>
        <v>46185</v>
      </c>
      <c r="E2777" s="47">
        <f>IF(ISNUMBER(expected_production[[#This Row],[Commissioned Date]]),MAX(0,(expected_production[[#This Row],[Date]]-expected_production[[#This Row],[Commissioned Date]])/365.25),"")</f>
        <v>0.22176591375770022</v>
      </c>
      <c r="F2777" s="49">
        <f>IF(expected_production[[#This Row],[Age (yrs)]]="",1,(1-DegradationRate)^expected_production[[#This Row],[Age (yrs)]])</f>
        <v>0.99844339262167647</v>
      </c>
      <c r="G2777" s="52">
        <f>IF(expected_production[[#This Row],[Base Expected (kWh)]]="","",expected_production[[#This Row],[Base Expected (kWh)]]*expected_production[[#This Row],[Degradation Factor]])</f>
        <v>5558.7337440819219</v>
      </c>
    </row>
    <row r="2778" spans="1:7" hidden="1" x14ac:dyDescent="0.3">
      <c r="A2778" t="s">
        <v>1004</v>
      </c>
      <c r="B2778" s="2">
        <v>46296</v>
      </c>
      <c r="C2778" s="52" cm="1">
        <f t="array" ref="C2778">IFERROR(INDEX('Expected Production'!$C$2:$N$199,MATCH(A2778,'Expected Production'!$A$2:$A$199,0),MONTH(B2778)),"")</f>
        <v>6030.9000000000005</v>
      </c>
      <c r="D2778" s="48">
        <f>_xlfn.XLOOKUP(expected_production[[#This Row],[Site Name]],Table1[[Site Name ]],Table1[Commisioned Date],"")</f>
        <v>46185</v>
      </c>
      <c r="E2778" s="47">
        <f>IF(ISNUMBER(expected_production[[#This Row],[Commissioned Date]]),MAX(0,(expected_production[[#This Row],[Date]]-expected_production[[#This Row],[Commissioned Date]])/365.25),"")</f>
        <v>0.30390143737166325</v>
      </c>
      <c r="F2778" s="49">
        <f>IF(expected_production[[#This Row],[Age (yrs)]]="",1,(1-DegradationRate)^expected_production[[#This Row],[Age (yrs)]])</f>
        <v>0.99786748646845025</v>
      </c>
      <c r="G2778" s="52">
        <f>IF(expected_production[[#This Row],[Base Expected (kWh)]]="","",expected_production[[#This Row],[Base Expected (kWh)]]*expected_production[[#This Row],[Degradation Factor]])</f>
        <v>6018.0390241425775</v>
      </c>
    </row>
    <row r="2779" spans="1:7" hidden="1" x14ac:dyDescent="0.3">
      <c r="A2779" t="s">
        <v>1004</v>
      </c>
      <c r="B2779" s="2">
        <v>46327</v>
      </c>
      <c r="C2779" s="52" cm="1">
        <f t="array" ref="C2779">IFERROR(INDEX('Expected Production'!$C$2:$N$199,MATCH(A2779,'Expected Production'!$A$2:$A$199,0),MONTH(B2779)),"")</f>
        <v>5897.7</v>
      </c>
      <c r="D2779" s="48">
        <f>_xlfn.XLOOKUP(expected_production[[#This Row],[Site Name]],Table1[[Site Name ]],Table1[Commisioned Date],"")</f>
        <v>46185</v>
      </c>
      <c r="E2779" s="47">
        <f>IF(ISNUMBER(expected_production[[#This Row],[Commissioned Date]]),MAX(0,(expected_production[[#This Row],[Date]]-expected_production[[#This Row],[Commissioned Date]])/365.25),"")</f>
        <v>0.38877481177275841</v>
      </c>
      <c r="F2779" s="49">
        <f>IF(expected_production[[#This Row],[Age (yrs)]]="",1,(1-DegradationRate)^expected_production[[#This Row],[Age (yrs)]])</f>
        <v>0.99727273241998815</v>
      </c>
      <c r="G2779" s="52">
        <f>IF(expected_production[[#This Row],[Base Expected (kWh)]]="","",expected_production[[#This Row],[Base Expected (kWh)]]*expected_production[[#This Row],[Degradation Factor]])</f>
        <v>5881.6153939933638</v>
      </c>
    </row>
    <row r="2780" spans="1:7" hidden="1" x14ac:dyDescent="0.3">
      <c r="A2780" t="s">
        <v>1004</v>
      </c>
      <c r="B2780" s="2">
        <v>46357</v>
      </c>
      <c r="C2780" s="52" cm="1">
        <f t="array" ref="C2780">IFERROR(INDEX('Expected Production'!$C$2:$N$199,MATCH(A2780,'Expected Production'!$A$2:$A$199,0),MONTH(B2780)),"")</f>
        <v>5989.5</v>
      </c>
      <c r="D2780" s="48">
        <f>_xlfn.XLOOKUP(expected_production[[#This Row],[Site Name]],Table1[[Site Name ]],Table1[Commisioned Date],"")</f>
        <v>46185</v>
      </c>
      <c r="E2780" s="47">
        <f>IF(ISNUMBER(expected_production[[#This Row],[Commissioned Date]]),MAX(0,(expected_production[[#This Row],[Date]]-expected_production[[#This Row],[Commissioned Date]])/365.25),"")</f>
        <v>0.47091033538672145</v>
      </c>
      <c r="F2780" s="49">
        <f>IF(expected_production[[#This Row],[Age (yrs)]]="",1,(1-DegradationRate)^expected_production[[#This Row],[Age (yrs)]])</f>
        <v>0.99669750150826131</v>
      </c>
      <c r="G2780" s="52">
        <f>IF(expected_production[[#This Row],[Base Expected (kWh)]]="","",expected_production[[#This Row],[Base Expected (kWh)]]*expected_production[[#This Row],[Degradation Factor]])</f>
        <v>5969.7196852837315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tabSelected="1" zoomScaleNormal="100" workbookViewId="0">
      <pane xSplit="1" ySplit="1" topLeftCell="B322" activePane="bottomRight" state="frozen"/>
      <selection pane="topRight" activeCell="B1" sqref="B1"/>
      <selection pane="bottomLeft" activeCell="A2" sqref="A2"/>
      <selection pane="bottomRight" activeCell="K2626" sqref="K2626"/>
    </sheetView>
  </sheetViews>
  <sheetFormatPr defaultColWidth="8.6640625" defaultRowHeight="14.4" x14ac:dyDescent="0.3"/>
  <cols>
    <col min="1" max="1" width="30" customWidth="1"/>
    <col min="2" max="2" width="12" customWidth="1"/>
    <col min="3" max="4" width="18" customWidth="1"/>
    <col min="5" max="6" width="14" customWidth="1"/>
    <col min="7" max="7" width="12.21875" bestFit="1"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2355.6475205543816</v>
      </c>
      <c r="E2" s="9">
        <f t="shared" ref="E2:E31" si="0">IF(OR(C2="",D2="",D2=0),"",C2/D2)</f>
        <v>0.77048878669795862</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2661.7073385555223</v>
      </c>
      <c r="E3" s="9">
        <f t="shared" si="0"/>
        <v>0.86222852781608583</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2167.1260994894342</v>
      </c>
      <c r="E4" s="9">
        <f t="shared" si="0"/>
        <v>1.1416040813605004</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1858.7251854409558</v>
      </c>
      <c r="E5" s="9">
        <f t="shared" si="0"/>
        <v>1.1491747229396179</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1806.7951283531445</v>
      </c>
      <c r="E6" s="9">
        <f t="shared" si="0"/>
        <v>1.2242671929363631</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1614.000000981428</v>
      </c>
      <c r="E7" s="9">
        <f t="shared" si="0"/>
        <v>1.1542750922349208</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1796.6559023449809</v>
      </c>
      <c r="E8" s="9">
        <f t="shared" si="0"/>
        <v>1.081453603588763</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2094.8492254282069</v>
      </c>
      <c r="E9" s="9">
        <f t="shared" si="0"/>
        <v>0.8162878641781296</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2250.2646364262564</v>
      </c>
      <c r="E10" s="9">
        <f t="shared" si="0"/>
        <v>0.70169524705666575</v>
      </c>
      <c r="F10" t="str">
        <f t="shared" si="1"/>
        <v>Moderate</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2379.7412401030228</v>
      </c>
      <c r="E11" s="9">
        <f t="shared" si="0"/>
        <v>0.66940051008698598</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2327.6445732513957</v>
      </c>
      <c r="E12" s="9">
        <f t="shared" si="0"/>
        <v>0.77073622863907931</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2450.7031538485426</v>
      </c>
      <c r="E13" s="9">
        <f t="shared" si="0"/>
        <v>0.73203480282086919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2339.1242475293202</v>
      </c>
      <c r="E14" s="9">
        <f t="shared" si="0"/>
        <v>0.8516007655873914</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2643.0372630522857</v>
      </c>
      <c r="E15" s="9">
        <f t="shared" si="0"/>
        <v>0.55163807956163391</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2151.9665636103427</v>
      </c>
      <c r="E16" s="9">
        <f t="shared" si="0"/>
        <v>0.64220328669113991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1845.7229835180028</v>
      </c>
      <c r="E17" s="9">
        <f t="shared" si="0"/>
        <v>0.64094125205352692</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1794.1561888927733</v>
      </c>
      <c r="E18" s="9">
        <f t="shared" si="0"/>
        <v>1.0366990407606937</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1602.7097069235526</v>
      </c>
      <c r="E19" s="9">
        <f t="shared" si="0"/>
        <v>1.0960188188863247</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1784.0878890575225</v>
      </c>
      <c r="E20" s="9">
        <f t="shared" si="0"/>
        <v>0.97640929613632643</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2080.1952825858184</v>
      </c>
      <c r="E21" s="9">
        <f t="shared" si="0"/>
        <v>0.77540796938782397</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2234.5235277287088</v>
      </c>
      <c r="E22" s="9">
        <f t="shared" si="0"/>
        <v>0.60804909106553762</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2363.0944133582407</v>
      </c>
      <c r="E23" s="9">
        <f t="shared" si="0"/>
        <v>0.67750149589867081</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2311.3621744420734</v>
      </c>
      <c r="E24" s="9">
        <f t="shared" si="0"/>
        <v>0.62473982483881352</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2433.5599325110657</v>
      </c>
      <c r="E25" s="9">
        <f t="shared" si="0"/>
        <v>0.56501587720554225</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2322.7615458090891</v>
      </c>
      <c r="E26" s="9">
        <f t="shared" si="0"/>
        <v>0.66687861386151703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2624.5486212383844</v>
      </c>
      <c r="E27" s="9">
        <f t="shared" si="0"/>
        <v>0.51894637766601748</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2136.9130721040833</v>
      </c>
      <c r="E28" s="9">
        <f t="shared" si="0"/>
        <v>0.57887240063630863</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1832.8117349302543</v>
      </c>
      <c r="E29" s="9">
        <f t="shared" si="0"/>
        <v>0.45285611401412418</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1781.605661664744</v>
      </c>
      <c r="E30" s="9">
        <f t="shared" si="0"/>
        <v>0.65665485083092845</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1591.4983910192309</v>
      </c>
      <c r="E31" s="9">
        <f t="shared" si="0"/>
        <v>0.8086718825871867</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1771.6077918578292</v>
      </c>
      <c r="E32" s="9">
        <f t="shared" ref="E32:E95" si="2">IF(OR(C32="",D32="",D32=0),"",C32/D32)</f>
        <v>0.9245838765939729</v>
      </c>
      <c r="F32" t="str">
        <f t="shared" ref="F32:F95" si="3">IF(E32="","",IF(E32&gt;=0.9,"Expected",IF(E32&gt;=0.7,"Moderate","Poor")))</f>
        <v>Expected</v>
      </c>
      <c r="G32" t="s">
        <v>874</v>
      </c>
    </row>
    <row r="33" spans="1:7" ht="15" hidden="1"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2065.6438473789299</v>
      </c>
      <c r="E33" s="9">
        <f t="shared" si="2"/>
        <v>0.66516790962946093</v>
      </c>
      <c r="F33" t="str">
        <f t="shared" si="3"/>
        <v>Poor</v>
      </c>
      <c r="G33" t="s">
        <v>874</v>
      </c>
    </row>
    <row r="34" spans="1:7" ht="15" customHeight="1" x14ac:dyDescent="0.3">
      <c r="A34" t="s">
        <v>31</v>
      </c>
      <c r="B34" s="2">
        <v>46266</v>
      </c>
      <c r="C34" cm="1">
        <f t="array" ref="C34">IFERROR(IF(SUMPRODUCT((measured[Site Name]=A34)*(measured[Date]=B34)*ISNUMBER(measured[Measured Value (kWh)]))=0,"",SUMIFS(measured[Measured Value (kWh)],measured[Site Name],A34,measured[Date],B34)),"")</f>
        <v>1161.5999999999999</v>
      </c>
      <c r="D34" cm="1">
        <f t="array" ref="D34">IFERROR(IF(SUMPRODUCT((expected_production[Site Name]=A34)*(expected_production[Date]=B34)*ISNUMBER(expected_production[Expected Production (kWh)]))=0,"",SUMIFS(expected_production[Expected Production (kWh)],expected_production[Site Name],A34,expected_production[Date],B34)),"")</f>
        <v>2218.8925316370378</v>
      </c>
      <c r="E34" s="9">
        <f t="shared" si="2"/>
        <v>0.5235043984500698</v>
      </c>
      <c r="F34" t="str">
        <f t="shared" si="3"/>
        <v>Poor</v>
      </c>
      <c r="G34" t="s">
        <v>874</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2346.5640349213672</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2295.193674685052</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2416.5366318736392</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22474.372116829476</v>
      </c>
      <c r="E38" s="9">
        <f t="shared" si="2"/>
        <v>1.0244557614474554</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19737.861188956573</v>
      </c>
      <c r="E39" s="9">
        <f t="shared" si="2"/>
        <v>1.1771792180299705</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20088.040431215104</v>
      </c>
      <c r="E40" s="9">
        <f t="shared" si="2"/>
        <v>1.1566583649391102</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16704.704220724689</v>
      </c>
      <c r="E41" s="9">
        <f t="shared" si="2"/>
        <v>1.1557822122972266</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15905.575651748479</v>
      </c>
      <c r="E42" s="9">
        <f t="shared" si="2"/>
        <v>1.1579587185815141</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14298.846998840867</v>
      </c>
      <c r="E43" s="9">
        <f t="shared" si="2"/>
        <v>1.1154046197775878</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15822.840159795023</v>
      </c>
      <c r="E44" s="9">
        <f t="shared" si="2"/>
        <v>1.0853930031877717</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18417.587177375841</v>
      </c>
      <c r="E45" s="9">
        <f t="shared" si="2"/>
        <v>0.73777307902152867</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20271.346371009964</v>
      </c>
      <c r="E46" s="9">
        <f t="shared" si="2"/>
        <v>0.99914429112440351</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22162.39067222107</v>
      </c>
      <c r="E47" s="9">
        <f t="shared" si="2"/>
        <v>1.2495493112442577</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22347.649791360731</v>
      </c>
      <c r="E48" s="9">
        <f t="shared" si="2"/>
        <v>1.0757730779052164</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23581.700549625944</v>
      </c>
      <c r="E49" s="9">
        <f t="shared" si="2"/>
        <v>1.0633669080492907</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22316.729607365327</v>
      </c>
      <c r="E50" s="9">
        <f t="shared" si="2"/>
        <v>1.0054788669659878</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19599.413451546719</v>
      </c>
      <c r="E51" s="9">
        <f t="shared" si="2"/>
        <v>0.75461441928165574</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19947.520057375576</v>
      </c>
      <c r="E52" s="9">
        <f t="shared" si="2"/>
        <v>0.77057197866140703</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16587.851046816922</v>
      </c>
      <c r="E53" s="9">
        <f t="shared" si="2"/>
        <v>0.83977122537961646</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15794.312562430741</v>
      </c>
      <c r="E54" s="9">
        <f t="shared" si="2"/>
        <v>0.96636051361332742</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14198.823338861119</v>
      </c>
      <c r="E55" s="9">
        <f t="shared" si="2"/>
        <v>0.8255726351575432</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15712.155823905174</v>
      </c>
      <c r="E56" s="9">
        <f t="shared" si="2"/>
        <v>0.20423677285059028</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18288.752000831424</v>
      </c>
      <c r="E57" s="9">
        <f t="shared" si="2"/>
        <v>0.60928159556723327</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20129.543730775407</v>
      </c>
      <c r="E58" s="9">
        <f t="shared" si="2"/>
        <v>0.5714486206864906</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22007.359750558902</v>
      </c>
      <c r="E59" s="9">
        <f t="shared" si="2"/>
        <v>0.58416821216700054</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22191.322940373459</v>
      </c>
      <c r="E60" s="9">
        <f t="shared" si="2"/>
        <v>0.51903169680095529</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23416.741235234284</v>
      </c>
      <c r="E61" s="9">
        <f t="shared" si="2"/>
        <v>0.52133641813623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22160.619050039408</v>
      </c>
      <c r="E62" s="9">
        <f t="shared" si="2"/>
        <v>0.63296968231467599</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19462.311133643816</v>
      </c>
      <c r="E63" s="9">
        <f t="shared" si="2"/>
        <v>0.62998684564264507</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19807.982655246586</v>
      </c>
      <c r="E64" s="9">
        <f t="shared" si="2"/>
        <v>0.54462890985733758</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16471.81528721784</v>
      </c>
      <c r="E65" s="9">
        <f t="shared" si="2"/>
        <v>0.5701915566821758</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15683.827783519091</v>
      </c>
      <c r="E66" s="9">
        <f t="shared" si="2"/>
        <v>0.72851475785819231</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14099.499366944088</v>
      </c>
      <c r="E67" s="9">
        <f t="shared" si="2"/>
        <v>0.72232493757027361</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15602.245749910639</v>
      </c>
      <c r="E68" s="9">
        <f t="shared" si="2"/>
        <v>0.84196407431124065</v>
      </c>
      <c r="F68" t="str">
        <f t="shared" si="3"/>
        <v>Moderate</v>
      </c>
      <c r="G68" t="s">
        <v>874</v>
      </c>
    </row>
    <row r="69" spans="1:7" ht="15" hidden="1"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18160.818055406777</v>
      </c>
      <c r="E69" s="9">
        <f t="shared" si="2"/>
        <v>0.73978203839777823</v>
      </c>
      <c r="F69" t="str">
        <f t="shared" si="3"/>
        <v>Moderate</v>
      </c>
      <c r="G69" t="s">
        <v>874</v>
      </c>
    </row>
    <row r="70" spans="1:7" ht="15" customHeight="1" x14ac:dyDescent="0.3">
      <c r="A70" t="s">
        <v>43</v>
      </c>
      <c r="B70" s="2">
        <v>46266</v>
      </c>
      <c r="C70" cm="1">
        <f t="array" ref="C70">IFERROR(IF(SUMPRODUCT((measured[Site Name]=A70)*(measured[Date]=B70)*ISNUMBER(measured[Measured Value (kWh)]))=0,"",SUMIFS(measured[Measured Value (kWh)],measured[Site Name],A70,measured[Date],B70)),"")</f>
        <v>12622.0164</v>
      </c>
      <c r="D70" cm="1">
        <f t="array" ref="D70">IFERROR(IF(SUMPRODUCT((expected_production[Site Name]=A70)*(expected_production[Date]=B70)*ISNUMBER(expected_production[Expected Production (kWh)]))=0,"",SUMIFS(expected_production[Expected Production (kWh)],expected_production[Site Name],A70,expected_production[Date],B70)),"")</f>
        <v>19988.733031994041</v>
      </c>
      <c r="E70" s="9">
        <f t="shared" si="2"/>
        <v>0.63145655003732115</v>
      </c>
      <c r="F70" t="str">
        <f t="shared" si="3"/>
        <v>Poor</v>
      </c>
      <c r="G70" t="s">
        <v>874</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21853.413305162267</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22036.089630969655</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23252.935848454727</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4301.2348272606514</v>
      </c>
      <c r="E87" s="9">
        <f t="shared" si="2"/>
        <v>0.69747412556654687</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4540.7446540698284</v>
      </c>
      <c r="E88" s="9">
        <f t="shared" si="2"/>
        <v>0.69239744568813422</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4611.7106256123834</v>
      </c>
      <c r="E89" s="9">
        <f t="shared" si="2"/>
        <v>0.50089873097648185</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4978.9957966319989</v>
      </c>
      <c r="E90" s="9">
        <f t="shared" si="2"/>
        <v>0.7764617922785001</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4748.0911009353467</v>
      </c>
      <c r="E91" s="9">
        <f t="shared" si="2"/>
        <v>0.65331518162929181</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4664.6338581931805</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5228.3391967129164</v>
      </c>
      <c r="E93" s="9">
        <f t="shared" si="2"/>
        <v>0.90296360323525238</v>
      </c>
      <c r="F93" t="str">
        <f t="shared" si="3"/>
        <v>Expected</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4672.512093230951</v>
      </c>
      <c r="E94" s="9">
        <f t="shared" si="2"/>
        <v>0.89887407805418473</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4707.4190233349309</v>
      </c>
      <c r="E95" s="9">
        <f t="shared" si="2"/>
        <v>0.7432947826941404</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4794.0886217535226</v>
      </c>
      <c r="E96" s="9">
        <f t="shared" ref="E96:E159" si="4">IF(OR(C96="",D96="",D96=0),"",C96/D96)</f>
        <v>0.84374743963754051</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4774.3328637972108</v>
      </c>
      <c r="E97" s="9">
        <f t="shared" si="4"/>
        <v>0.89583196689774525</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4767.9124244820787</v>
      </c>
      <c r="E98" s="9">
        <f t="shared" si="4"/>
        <v>0.64409740083126454</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4271.1467194649767</v>
      </c>
      <c r="E99" s="9">
        <f t="shared" si="4"/>
        <v>0.7054311635488425</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4508.981121012208</v>
      </c>
      <c r="E100" s="9">
        <f t="shared" si="4"/>
        <v>0.51914167240392461</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4579.4506695768623</v>
      </c>
      <c r="E101" s="9">
        <f t="shared" si="4"/>
        <v>0.32872938450914635</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4944.1665979809959</v>
      </c>
      <c r="E102" s="9">
        <f t="shared" si="4"/>
        <v>0.2967133026219354</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4714.8771327132008</v>
      </c>
      <c r="E103" s="9">
        <f t="shared" si="4"/>
        <v>0.58919881087153281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4632.0036922084846</v>
      </c>
      <c r="E104" s="9">
        <f t="shared" si="4"/>
        <v>0.57081128938810755</v>
      </c>
      <c r="F104" t="str">
        <f t="shared" si="5"/>
        <v>Poor</v>
      </c>
      <c r="G104" t="s">
        <v>874</v>
      </c>
    </row>
    <row r="105" spans="1:7" ht="15" hidden="1"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5191.7657847368873</v>
      </c>
      <c r="E105" s="9">
        <f t="shared" si="4"/>
        <v>0.53122581301879213</v>
      </c>
      <c r="F105" t="str">
        <f t="shared" si="5"/>
        <v>Poor</v>
      </c>
      <c r="G105" t="s">
        <v>874</v>
      </c>
    </row>
    <row r="106" spans="1:7" ht="15" customHeight="1" x14ac:dyDescent="0.3">
      <c r="A106" t="s">
        <v>49</v>
      </c>
      <c r="B106" s="2">
        <v>46266</v>
      </c>
      <c r="C106" cm="1">
        <f t="array" ref="C106">IFERROR(IF(SUMPRODUCT((measured[Site Name]=A106)*(measured[Date]=B106)*ISNUMBER(measured[Measured Value (kWh)]))=0,"",SUMIFS(measured[Measured Value (kWh)],measured[Site Name],A106,measured[Date],B106)),"")</f>
        <v>2338</v>
      </c>
      <c r="D106" cm="1">
        <f t="array" ref="D106">IFERROR(IF(SUMPRODUCT((expected_production[Site Name]=A106)*(expected_production[Date]=B106)*ISNUMBER(expected_production[Expected Production (kWh)]))=0,"",SUMIFS(expected_production[Expected Production (kWh)],expected_production[Site Name],A106,expected_production[Date],B106)),"")</f>
        <v>4639.8268172151656</v>
      </c>
      <c r="E106" s="9">
        <f t="shared" si="4"/>
        <v>0.50389811777571314</v>
      </c>
      <c r="F106" t="str">
        <f t="shared" si="5"/>
        <v>Poor</v>
      </c>
      <c r="G106" t="s">
        <v>874</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4674.4895654695229</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4760.5528904981329</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4740.9353285247998</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8225.1103612587794</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8143.7785777907247</v>
      </c>
      <c r="E122" s="9">
        <f t="shared" si="4"/>
        <v>0.72447942237650753</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7224.1156580189308</v>
      </c>
      <c r="E123" s="9">
        <f t="shared" si="4"/>
        <v>0.59204478478309441</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7061.2539578198666</v>
      </c>
      <c r="E124" s="9">
        <f t="shared" si="4"/>
        <v>0.67551741213294614</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5739.3471734792402</v>
      </c>
      <c r="E125" s="9">
        <f t="shared" si="4"/>
        <v>0.58804597421731619</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5406.8021834271576</v>
      </c>
      <c r="E126" s="9">
        <f t="shared" si="4"/>
        <v>0.64862739213015774</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4768.8136484177194</v>
      </c>
      <c r="E127" s="9">
        <f t="shared" si="4"/>
        <v>0.50326982284080535</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5336.8435973798469</v>
      </c>
      <c r="E128" s="9">
        <f t="shared" si="4"/>
        <v>0.4064200047130635</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6331.2618070124836</v>
      </c>
      <c r="E129" s="9">
        <f t="shared" si="4"/>
        <v>0.15298688152923673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7178.6114543195281</v>
      </c>
      <c r="E130" s="9">
        <f t="shared" si="4"/>
        <v>0.27881436580547253</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7790.7543559744063</v>
      </c>
      <c r="E131" s="9">
        <f t="shared" si="4"/>
        <v>0.39931948279364027</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8136.5305565688841</v>
      </c>
      <c r="E132" s="9">
        <f t="shared" si="4"/>
        <v>0.19725852300821653</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8167.5738590403016</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8086.8110097426616</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7173.5813395322275</v>
      </c>
      <c r="E135" s="9">
        <f t="shared" si="4"/>
        <v>0.84588153570663771</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7011.8588936608558</v>
      </c>
      <c r="E136" s="9">
        <f t="shared" si="4"/>
        <v>0.6845545628905183</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5699.1991454436675</v>
      </c>
      <c r="E137" s="9">
        <f t="shared" si="4"/>
        <v>0.75765031012332795</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5368.9803826052639</v>
      </c>
      <c r="E138" s="9">
        <f t="shared" si="4"/>
        <v>0.69430315150288491</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4735.4547213017922</v>
      </c>
      <c r="E139" s="9">
        <f t="shared" si="4"/>
        <v>0.66498365739506626</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28016.693853312918</v>
      </c>
      <c r="E140" s="9">
        <f t="shared" si="4"/>
        <v>0.99733395190367602</v>
      </c>
      <c r="F140" t="str">
        <f t="shared" si="5"/>
        <v>Expected</v>
      </c>
      <c r="G140" t="s">
        <v>874</v>
      </c>
    </row>
    <row r="141" spans="1:7" ht="15" hidden="1"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6286.9732026041183</v>
      </c>
      <c r="E141" s="9">
        <f t="shared" si="4"/>
        <v>0.52696264056409958</v>
      </c>
      <c r="F141" t="str">
        <f t="shared" si="5"/>
        <v>Poor</v>
      </c>
      <c r="G141" t="s">
        <v>875</v>
      </c>
    </row>
    <row r="142" spans="1:7" ht="15" customHeight="1" x14ac:dyDescent="0.3">
      <c r="A142" t="s">
        <v>64</v>
      </c>
      <c r="B142" s="2">
        <v>46266</v>
      </c>
      <c r="C142" cm="1">
        <f t="array" ref="C142">IFERROR(IF(SUMPRODUCT((measured[Site Name]=A142)*(measured[Date]=B142)*ISNUMBER(measured[Measured Value (kWh)]))=0,"",SUMIFS(measured[Measured Value (kWh)],measured[Site Name],A142,measured[Date],B142)),"")</f>
        <v>4204.16</v>
      </c>
      <c r="D142" cm="1">
        <f t="array" ref="D142">IFERROR(IF(SUMPRODUCT((expected_production[Site Name]=A142)*(expected_production[Date]=B142)*ISNUMBER(expected_production[Expected Production (kWh)]))=0,"",SUMIFS(expected_production[Expected Production (kWh)],expected_production[Site Name],A142,expected_production[Date],B142)),"")</f>
        <v>7128.39544800155</v>
      </c>
      <c r="E142" s="9">
        <f t="shared" si="4"/>
        <v>0.58977648345514255</v>
      </c>
      <c r="F142" t="str">
        <f t="shared" si="5"/>
        <v>Poor</v>
      </c>
      <c r="G142" t="s">
        <v>874</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7736.2562719854732</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8079.6136900641195</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8110.4398376326762</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16142.542444314846</v>
      </c>
      <c r="E146" s="9">
        <f t="shared" si="4"/>
        <v>0.46169926612922313</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13875.560131711298</v>
      </c>
      <c r="E147" s="9">
        <f t="shared" si="4"/>
        <v>0.73323166080685076</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15331.719391501809</v>
      </c>
      <c r="E148" s="9">
        <f t="shared" si="4"/>
        <v>0.7955402579805011</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14750.679768352173</v>
      </c>
      <c r="E149" s="9">
        <f t="shared" si="4"/>
        <v>0.66776583551988822</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14272.455779847842</v>
      </c>
      <c r="E150" s="9">
        <f t="shared" si="4"/>
        <v>0.72370166419321824</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12916.214071615914</v>
      </c>
      <c r="E151" s="9">
        <f t="shared" si="4"/>
        <v>0.74975530339661367</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13586.446728864696</v>
      </c>
      <c r="E152" s="9">
        <f t="shared" si="4"/>
        <v>0.75023294930710283</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15174.911948058374</v>
      </c>
      <c r="E153" s="9">
        <f t="shared" si="4"/>
        <v>0.64843868838784435</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15246.487689999401</v>
      </c>
      <c r="E154" s="9">
        <f t="shared" si="4"/>
        <v>0.21493474868637949</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14635.068067778224</v>
      </c>
      <c r="E155" s="9">
        <f t="shared" si="4"/>
        <v>0.85383955456361882</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14502.20119089314</v>
      </c>
      <c r="E156" s="9">
        <f t="shared" si="4"/>
        <v>0.89014073312583664</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15932.405470524869</v>
      </c>
      <c r="E157" s="9">
        <f t="shared" si="4"/>
        <v>0.79002508587206699</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16029.313434542077</v>
      </c>
      <c r="E158" s="9">
        <f t="shared" si="4"/>
        <v>0.86192088366226982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13778.232468539532</v>
      </c>
      <c r="E159" s="9">
        <f t="shared" si="4"/>
        <v>0.82717431470424752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15224.470556162509</v>
      </c>
      <c r="E160" s="9">
        <f t="shared" ref="E160:E223" si="6">IF(OR(C160="",D160="",D160=0),"",C160/D160)</f>
        <v>0.83681070898344945</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14647.495436235084</v>
      </c>
      <c r="E161" s="9">
        <f t="shared" si="6"/>
        <v>0.62584078212597405</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14172.616732397706</v>
      </c>
      <c r="E162" s="9">
        <f t="shared" si="6"/>
        <v>0.6794793214146847</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12825.862240826362</v>
      </c>
      <c r="E163" s="9">
        <f t="shared" si="6"/>
        <v>0.70805687987920329</v>
      </c>
      <c r="F163" t="str">
        <f t="shared" si="7"/>
        <v>Moderate</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13491.406469461184</v>
      </c>
      <c r="E164" s="9">
        <f t="shared" si="6"/>
        <v>0.70044587429715255</v>
      </c>
      <c r="F164" t="str">
        <f t="shared" si="7"/>
        <v>Moderate</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15068.760016155176</v>
      </c>
      <c r="E165" s="9">
        <f t="shared" si="6"/>
        <v>0.70974652118249415</v>
      </c>
      <c r="F165" t="str">
        <f t="shared" si="7"/>
        <v>Moderate</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15139.835069636825</v>
      </c>
      <c r="E166" s="9">
        <f t="shared" si="6"/>
        <v>0.56704712835461146</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14532.692465583821</v>
      </c>
      <c r="E167" s="9">
        <f t="shared" si="6"/>
        <v>0.62465369177103225</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14400.755022471769</v>
      </c>
      <c r="E168" s="9">
        <f t="shared" si="6"/>
        <v>0.72093442210490555</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15820.954700573106</v>
      </c>
      <c r="E169" s="9">
        <f t="shared" si="6"/>
        <v>0.86157885272917345</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15917.184771523624</v>
      </c>
      <c r="E170" s="9">
        <f t="shared" si="6"/>
        <v>0.70967323444086183</v>
      </c>
      <c r="F170" t="str">
        <f t="shared" si="7"/>
        <v>Moderate</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13681.850624628141</v>
      </c>
      <c r="E171" s="9">
        <f t="shared" si="6"/>
        <v>0.82165642415099382</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15117.971950617268</v>
      </c>
      <c r="E172" s="9">
        <f t="shared" si="6"/>
        <v>0.70300434705900205</v>
      </c>
      <c r="F172" t="str">
        <f t="shared" si="7"/>
        <v>Moderate</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14545.032901795234</v>
      </c>
      <c r="E173" s="9">
        <f t="shared" si="6"/>
        <v>0.58722383494545394</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14073.476081604003</v>
      </c>
      <c r="E174" s="9">
        <f t="shared" si="6"/>
        <v>0.6795485311905971</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12736.142441472783</v>
      </c>
      <c r="E175" s="9">
        <f t="shared" si="6"/>
        <v>0.6256344914966715</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13397.031038109317</v>
      </c>
      <c r="E176" s="9">
        <f t="shared" si="6"/>
        <v>0.77266447846200281</v>
      </c>
      <c r="F176" t="str">
        <f t="shared" si="7"/>
        <v>Moderate</v>
      </c>
      <c r="G176" t="s">
        <v>874</v>
      </c>
    </row>
    <row r="177" spans="1:7" ht="15" hidden="1"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14963.350640959083</v>
      </c>
      <c r="E177" s="9">
        <f t="shared" si="6"/>
        <v>0.75149351704821488</v>
      </c>
      <c r="F177" t="str">
        <f t="shared" si="7"/>
        <v>Moderate</v>
      </c>
      <c r="G177" t="s">
        <v>874</v>
      </c>
    </row>
    <row r="178" spans="1:7" x14ac:dyDescent="0.3">
      <c r="A178" t="s">
        <v>55</v>
      </c>
      <c r="B178" s="2">
        <v>46266</v>
      </c>
      <c r="C178" cm="1">
        <f t="array" ref="C178">IFERROR(IF(SUMPRODUCT((measured[Site Name]=A178)*(measured[Date]=B178)*ISNUMBER(measured[Measured Value (kWh)]))=0,"",SUMIFS(measured[Measured Value (kWh)],measured[Site Name],A178,measured[Date],B178)),"")</f>
        <v>8314.17</v>
      </c>
      <c r="D178" cm="1">
        <f t="array" ref="D178">IFERROR(IF(SUMPRODUCT((expected_production[Site Name]=A178)*(expected_production[Date]=B178)*ISNUMBER(expected_production[Expected Production (kWh)]))=0,"",SUMIFS(expected_production[Expected Production (kWh)],expected_production[Site Name],A178,expected_production[Date],B178)),"")</f>
        <v>15033.928508410063</v>
      </c>
      <c r="E178" s="9">
        <f t="shared" si="6"/>
        <v>0.55302710767508356</v>
      </c>
      <c r="F178" t="str">
        <f t="shared" si="7"/>
        <v>Poor</v>
      </c>
      <c r="G178" t="s">
        <v>874</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14431.033003818431</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14300.018492880527</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15710.283553895793</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51295.000449373256</v>
      </c>
      <c r="E182" s="9">
        <f t="shared" si="6"/>
        <v>1.0722292527179813</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44060.053177715105</v>
      </c>
      <c r="E183" s="9">
        <f t="shared" si="6"/>
        <v>1.0621639472661875</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48664.338063088224</v>
      </c>
      <c r="E184" s="9">
        <f t="shared" si="6"/>
        <v>0.83391661358651759</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46749.990836686666</v>
      </c>
      <c r="E185" s="9">
        <f t="shared" si="6"/>
        <v>0.84737984523651411</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45150.629462716555</v>
      </c>
      <c r="E186" s="9">
        <f t="shared" si="6"/>
        <v>0.8747164872333052</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40808.754394884709</v>
      </c>
      <c r="E187" s="9">
        <f t="shared" si="6"/>
        <v>0.86692182901898518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42945.637480930076</v>
      </c>
      <c r="E188" s="9">
        <f t="shared" si="6"/>
        <v>0.89166216282163535</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48050.697826682124</v>
      </c>
      <c r="E189" s="9">
        <f t="shared" si="6"/>
        <v>0.80236087598693118</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48356.743454665884</v>
      </c>
      <c r="E190" s="9">
        <f t="shared" si="6"/>
        <v>0.78131812237150267</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46485.323841520403</v>
      </c>
      <c r="E191" s="9">
        <f t="shared" si="6"/>
        <v>1.02531285277244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46099.434053960707</v>
      </c>
      <c r="E192" s="9">
        <f t="shared" si="6"/>
        <v>1.0452189053687568</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50295.743143966909</v>
      </c>
      <c r="E193" s="9">
        <f t="shared" si="6"/>
        <v>0.87756929793559391</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50935.2007383171</v>
      </c>
      <c r="E194" s="9">
        <f t="shared" si="6"/>
        <v>1.0260487686796291</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43751.001725067057</v>
      </c>
      <c r="E195" s="9">
        <f t="shared" si="6"/>
        <v>0.93492716480052906</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48323.920041694153</v>
      </c>
      <c r="E196" s="9">
        <f t="shared" si="6"/>
        <v>0.94675680202528634</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46422.964105938081</v>
      </c>
      <c r="E197" s="9">
        <f t="shared" si="6"/>
        <v>0.66256001942938547</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44834.790625528032</v>
      </c>
      <c r="E198" s="9">
        <f t="shared" si="6"/>
        <v>0.77897096234267693</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40523.2879531414</v>
      </c>
      <c r="E199" s="9">
        <f t="shared" si="6"/>
        <v>0.73332425627364062</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42645.223060008284</v>
      </c>
      <c r="E200" s="9">
        <f t="shared" si="6"/>
        <v>0.65559511696442208</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47714.572357153338</v>
      </c>
      <c r="E201" s="9">
        <f t="shared" si="6"/>
        <v>0.64303206513806621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48018.47712693824</v>
      </c>
      <c r="E202" s="9">
        <f t="shared" si="6"/>
        <v>0.91987506982432365</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46160.148516100831</v>
      </c>
      <c r="E203" s="9">
        <f t="shared" si="6"/>
        <v>1.154220723129088</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45776.958114645735</v>
      </c>
      <c r="E204" s="9">
        <f t="shared" si="6"/>
        <v>0.97066301104406338</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49943.913076055229</v>
      </c>
      <c r="E205" s="9">
        <f t="shared" si="6"/>
        <v>1.094447684080371</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50578.897520298</v>
      </c>
      <c r="E206" s="9">
        <f t="shared" si="6"/>
        <v>0.93827667914182711</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43444.953599600973</v>
      </c>
      <c r="E207" s="9">
        <f t="shared" si="6"/>
        <v>1.1418783819452771</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47985.883321143832</v>
      </c>
      <c r="E208" s="9">
        <f t="shared" si="6"/>
        <v>0.85875255695965647</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46098.225000934661</v>
      </c>
      <c r="E209" s="9">
        <f t="shared" si="6"/>
        <v>0.80125319357201064</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44521.16115224571</v>
      </c>
      <c r="E210" s="9">
        <f t="shared" si="6"/>
        <v>0.87021584786419581</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40239.8184135474</v>
      </c>
      <c r="E211" s="9">
        <f t="shared" si="6"/>
        <v>0.78475726891870323</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42346.910105721785</v>
      </c>
      <c r="E212" s="9">
        <f t="shared" si="6"/>
        <v>0.92474279474546173</v>
      </c>
      <c r="F212" t="str">
        <f t="shared" si="7"/>
        <v>Expected</v>
      </c>
      <c r="G212" t="s">
        <v>874</v>
      </c>
    </row>
    <row r="213" spans="1:7" ht="15" hidden="1"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47380.798161099774</v>
      </c>
      <c r="E213" s="9">
        <f t="shared" si="6"/>
        <v>0.93123038894319587</v>
      </c>
      <c r="F213" t="str">
        <f t="shared" si="7"/>
        <v>Expected</v>
      </c>
      <c r="G213" t="s">
        <v>874</v>
      </c>
    </row>
    <row r="214" spans="1:7" ht="15" customHeight="1" x14ac:dyDescent="0.3">
      <c r="A214" t="s">
        <v>127</v>
      </c>
      <c r="B214" s="2">
        <v>46266</v>
      </c>
      <c r="C214" cm="1">
        <f t="array" ref="C214">IFERROR(IF(SUMPRODUCT((measured[Site Name]=A214)*(measured[Date]=B214)*ISNUMBER(measured[Measured Value (kWh)]))=0,"",SUMIFS(measured[Measured Value (kWh)],measured[Site Name],A214,measured[Date],B214)),"")</f>
        <v>10471.23</v>
      </c>
      <c r="D214" cm="1">
        <f t="array" ref="D214">IFERROR(IF(SUMPRODUCT((expected_production[Site Name]=A214)*(expected_production[Date]=B214)*ISNUMBER(expected_production[Expected Production (kWh)]))=0,"",SUMIFS(expected_production[Expected Production (kWh)],expected_production[Site Name],A214,expected_production[Date],B214)),"")</f>
        <v>14939.896989531853</v>
      </c>
      <c r="E214" s="9">
        <f>IF(OR(C214="",D214="",D214=0),"",C214/D214)</f>
        <v>0.70089037476878335</v>
      </c>
      <c r="F214" t="str">
        <f>IF(E214="","",IF(E214&gt;=0.9,"Expected",IF(E214&gt;=0.7,"Moderate","Poor")))</f>
        <v>Moderate</v>
      </c>
      <c r="G214" t="s">
        <v>874</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45837.247865428544</v>
      </c>
      <c r="E215" s="9" t="str">
        <f>IF(OR(C215="",D215="",D215=0),"",C215/D215)</f>
        <v/>
      </c>
      <c r="F215" t="str">
        <f>IF(E215="","",IF(E215&gt;=0.9,"Expected",IF(E215&gt;=0.7,"Moderate","Poor")))</f>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45456.737967263383</v>
      </c>
      <c r="E216" s="9" t="str">
        <f>IF(OR(C216="",D216="",D216=0),"",C216/D216)</f>
        <v/>
      </c>
      <c r="F216" t="str">
        <f>IF(E216="","",IF(E216&gt;=0.9,"Expected",IF(E216&gt;=0.7,"Moderate","Poor")))</f>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49594.544138826765</v>
      </c>
      <c r="E217" s="9" t="str">
        <f>IF(OR(C217="",D217="",D217=0),"",C217/D217)</f>
        <v/>
      </c>
      <c r="F217" t="str">
        <f>IF(E217="","",IF(E217&gt;=0.9,"Expected",IF(E217&gt;=0.7,"Moderate","Poor")))</f>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13781.797853818704</v>
      </c>
      <c r="E218" s="9">
        <f>IF(OR(C218="",D218="",D218=0),"",C218/D218)</f>
        <v>0.59818030183309701</v>
      </c>
      <c r="F218" t="str">
        <f>IF(E218="","",IF(E218&gt;=0.9,"Expected",IF(E218&gt;=0.7,"Moderate","Poor")))</f>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11348.66320595592</v>
      </c>
      <c r="E219" s="9">
        <f>IF(OR(C219="",D219="",D219=0),"",C219/D219)</f>
        <v>0.64122089694061413</v>
      </c>
      <c r="F219" t="str">
        <f>IF(E219="","",IF(E219&gt;=0.9,"Expected",IF(E219&gt;=0.7,"Moderate","Poor")))</f>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10864.271498552387</v>
      </c>
      <c r="E220" s="9">
        <f>IF(OR(C220="",D220="",D220=0),"",C220/D220)</f>
        <v>0.60878449152170799</v>
      </c>
      <c r="F220" t="str">
        <f>IF(E220="","",IF(E220&gt;=0.9,"Expected",IF(E220&gt;=0.7,"Moderate","Poor")))</f>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7811.5062575723223</v>
      </c>
      <c r="E221" s="9">
        <f>IF(OR(C221="",D221="",D221=0),"",C221/D221)</f>
        <v>0.51884999721674685</v>
      </c>
      <c r="F221" t="str">
        <f>IF(E221="","",IF(E221&gt;=0.9,"Expected",IF(E221&gt;=0.7,"Moderate","Poor")))</f>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5937.377401069959</v>
      </c>
      <c r="E222" s="9">
        <f>IF(OR(C222="",D222="",D222=0),"",C222/D222)</f>
        <v>0.63041301691980767</v>
      </c>
      <c r="F222" t="str">
        <f>IF(E222="","",IF(E222&gt;=0.9,"Expected",IF(E222&gt;=0.7,"Moderate","Poor")))</f>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5148.9392927916779</v>
      </c>
      <c r="E223" s="9">
        <f>IF(OR(C223="",D223="",D223=0),"",C223/D223)</f>
        <v>0.67450785540666014</v>
      </c>
      <c r="F223" t="str">
        <f>IF(E223="","",IF(E223&gt;=0.9,"Expected",IF(E223&gt;=0.7,"Moderate","Poor")))</f>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5543.1234455309368</v>
      </c>
      <c r="E224" s="9">
        <f>IF(OR(C224="",D224="",D224=0),"",C224/D224)</f>
        <v>0.76851977803860083</v>
      </c>
      <c r="F224" t="str">
        <f>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6929.4783801671574</v>
      </c>
      <c r="E225" s="9">
        <f>IF(OR(C225="",D225="",D225=0),"",C225/D225)</f>
        <v>0.79327760307802531</v>
      </c>
      <c r="F225" t="str">
        <f>IF(E225="","",IF(E225&gt;=0.9,"Expected",IF(E225&gt;=0.7,"Moderate","Poor")))</f>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8900.6932348559858</v>
      </c>
      <c r="E226" s="9">
        <f>IF(OR(C226="",D226="",D226=0),"",C226/D226)</f>
        <v>0.29211207839611253</v>
      </c>
      <c r="F226" t="str">
        <f>IF(E226="","",IF(E226&gt;=0.9,"Expected",IF(E226&gt;=0.7,"Moderate","Poor")))</f>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11251.003144805998</v>
      </c>
      <c r="E227" s="9">
        <f>IF(OR(C227="",D227="",D227=0),"",C227/D227)</f>
        <v>0.72882390080794823</v>
      </c>
      <c r="F227" t="str">
        <f>IF(E227="","",IF(E227&gt;=0.9,"Expected",IF(E227&gt;=0.7,"Moderate","Poor")))</f>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12634.182561402256</v>
      </c>
      <c r="E228" s="9">
        <f>IF(OR(C228="",D228="",D228=0),"",C228/D228)</f>
        <v>0.53030736000828949</v>
      </c>
      <c r="F228" t="str">
        <f>IF(E228="","",IF(E228&gt;=0.9,"Expected",IF(E228&gt;=0.7,"Moderate","Poor")))</f>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13784.464785257167</v>
      </c>
      <c r="E229" s="9">
        <f>IF(OR(C229="",D229="",D229=0),"",C229/D229)</f>
        <v>0.58761802697360832</v>
      </c>
      <c r="F229" t="str">
        <f>IF(E229="","",IF(E229&gt;=0.9,"Expected",IF(E229&gt;=0.7,"Moderate","Poor")))</f>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13685.127869566877</v>
      </c>
      <c r="E230" s="9">
        <f>IF(OR(C230="",D230="",D230=0),"",C230/D230)</f>
        <v>0.72341304329466427</v>
      </c>
      <c r="F230" t="str">
        <f>IF(E230="","",IF(E230&gt;=0.9,"Expected",IF(E230&gt;=0.7,"Moderate","Poor")))</f>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11269.060014482968</v>
      </c>
      <c r="E231" s="9">
        <f>IF(OR(C231="",D231="",D231=0),"",C231/D231)</f>
        <v>0.81639462281469644</v>
      </c>
      <c r="F231" t="str">
        <f>IF(E231="","",IF(E231&gt;=0.9,"Expected",IF(E231&gt;=0.7,"Moderate","Poor")))</f>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10788.273468893984</v>
      </c>
      <c r="E232" s="9">
        <f>IF(OR(C232="",D232="",D232=0),"",C232/D232)</f>
        <v>0.41526570613150121</v>
      </c>
      <c r="F232" t="str">
        <f>IF(E232="","",IF(E232&gt;=0.9,"Expected",IF(E232&gt;=0.7,"Moderate","Poor")))</f>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7756.8630093509491</v>
      </c>
      <c r="E233" s="9">
        <f>IF(OR(C233="",D233="",D233=0),"",C233/D233)</f>
        <v>0.52804851588357882</v>
      </c>
      <c r="F233" t="str">
        <f>IF(E233="","",IF(E233&gt;=0.9,"Expected",IF(E233&gt;=0.7,"Moderate","Poor")))</f>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5895.8441069250384</v>
      </c>
      <c r="E234" s="9">
        <f>IF(OR(C234="",D234="",D234=0),"",C234/D234)</f>
        <v>0.57464205948399849</v>
      </c>
      <c r="F234" t="str">
        <f>IF(E234="","",IF(E234&gt;=0.9,"Expected",IF(E234&gt;=0.7,"Moderate","Poor")))</f>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5112.9213010528811</v>
      </c>
      <c r="E235" s="9">
        <f>IF(OR(C235="",D235="",D235=0),"",C235/D235)</f>
        <v>0.45103960421317441</v>
      </c>
      <c r="F235" t="str">
        <f>IF(E235="","",IF(E235&gt;=0.9,"Expected",IF(E235&gt;=0.7,"Moderate","Poor")))</f>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5504.3480467322433</v>
      </c>
      <c r="E236" s="9">
        <f>IF(OR(C236="",D236="",D236=0),"",C236/D236)</f>
        <v>0.53030803561430273</v>
      </c>
      <c r="F236" t="str">
        <f>IF(E236="","",IF(E236&gt;=0.9,"Expected",IF(E236&gt;=0.7,"Moderate","Poor")))</f>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6881.0051158968945</v>
      </c>
      <c r="E237" s="9">
        <f>IF(OR(C237="",D237="",D237=0),"",C237/D237)</f>
        <v>0.77822932984435234</v>
      </c>
      <c r="F237" t="str">
        <f>IF(E237="","",IF(E237&gt;=0.9,"Expected",IF(E237&gt;=0.7,"Moderate","Poor")))</f>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8838.4308780534102</v>
      </c>
      <c r="E238" s="9">
        <f>IF(OR(C238="",D238="",D238=0),"",C238/D238)</f>
        <v>0.97302339280092642</v>
      </c>
      <c r="F238" t="str">
        <f>IF(E238="","",IF(E238&gt;=0.9,"Expected",IF(E238&gt;=0.7,"Moderate","Poor")))</f>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11172.299840051539</v>
      </c>
      <c r="E239" s="9">
        <f>IF(OR(C239="",D239="",D239=0),"",C239/D239)</f>
        <v>0.94868560204620378</v>
      </c>
      <c r="F239" t="str">
        <f>IF(E239="","",IF(E239&gt;=0.9,"Expected",IF(E239&gt;=0.7,"Moderate","Poor")))</f>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12545.803604641182</v>
      </c>
      <c r="E240" s="9">
        <f>IF(OR(C240="",D240="",D240=0),"",C240/D240)</f>
        <v>1.0018489365918526</v>
      </c>
      <c r="F240" t="str">
        <f>IF(E240="","",IF(E240&gt;=0.9,"Expected",IF(E240&gt;=0.7,"Moderate","Poor")))</f>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13688.039344884588</v>
      </c>
      <c r="E241" s="9">
        <f>IF(OR(C241="",D241="",D241=0),"",C241/D241)</f>
        <v>0.99152257368927321</v>
      </c>
      <c r="F241" t="str">
        <f>IF(E241="","",IF(E241&gt;=0.9,"Expected",IF(E241&gt;=0.7,"Moderate","Poor")))</f>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13589.397313325808</v>
      </c>
      <c r="E242" s="9">
        <f>IF(OR(C242="",D242="",D242=0),"",C242/D242)</f>
        <v>0.98724024992957016</v>
      </c>
      <c r="F242" t="str">
        <f>IF(E242="","",IF(E242&gt;=0.9,"Expected",IF(E242&gt;=0.7,"Moderate","Poor")))</f>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11190.230397852241</v>
      </c>
      <c r="E243" s="9">
        <f>IF(OR(C243="",D243="",D243=0),"",C243/D243)</f>
        <v>0.89669083148867745</v>
      </c>
      <c r="F243" t="str">
        <f>IF(E243="","",IF(E243&gt;=0.9,"Expected",IF(E243&gt;=0.7,"Moderate","Poor")))</f>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10712.807062595022</v>
      </c>
      <c r="E244" s="9">
        <f>IF(OR(C244="",D244="",D244=0),"",C244/D244)</f>
        <v>0.97080064442799274</v>
      </c>
      <c r="F244" t="str">
        <f>IF(E244="","",IF(E244&gt;=0.9,"Expected",IF(E244&gt;=0.7,"Moderate","Poor")))</f>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7702.6020029761194</v>
      </c>
      <c r="E245" s="9">
        <f>IF(OR(C245="",D245="",D245=0),"",C245/D245)</f>
        <v>0.9535219393605181</v>
      </c>
      <c r="F245" t="str">
        <f>IF(E245="","",IF(E245&gt;=0.9,"Expected",IF(E245&gt;=0.7,"Moderate","Poor")))</f>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5854.601347540839</v>
      </c>
      <c r="E246" s="9">
        <f>IF(OR(C246="",D246="",D246=0),"",C246/D246)</f>
        <v>0.94095219690986354</v>
      </c>
      <c r="F246" t="str">
        <f>IF(E246="","",IF(E246&gt;=0.9,"Expected",IF(E246&gt;=0.7,"Moderate","Poor")))</f>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5077.1552632904531</v>
      </c>
      <c r="E247" s="9">
        <f>IF(OR(C247="",D247="",D247=0),"",C247/D247)</f>
        <v>0.99076150701366295</v>
      </c>
      <c r="F247" t="str">
        <f>IF(E247="","",IF(E247&gt;=0.9,"Expected",IF(E247&gt;=0.7,"Moderate","Poor")))</f>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5465.8438905942567</v>
      </c>
      <c r="E248" s="9">
        <f>IF(OR(C248="",D248="",D248=0),"",C248/D248)</f>
        <v>0.96076289500998913</v>
      </c>
      <c r="F248" t="str">
        <f>IF(E248="","",IF(E248&gt;=0.9,"Expected",IF(E248&gt;=0.7,"Moderate","Poor")))</f>
        <v>Expected</v>
      </c>
      <c r="G248" t="s">
        <v>874</v>
      </c>
    </row>
    <row r="249" spans="1:7" ht="15" hidden="1"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6832.8709330437468</v>
      </c>
      <c r="E249" s="9">
        <f>IF(OR(C249="",D249="",D249=0),"",C249/D249)</f>
        <v>0.93458665655716622</v>
      </c>
      <c r="F249" t="str">
        <f>IF(E249="","",IF(E249&gt;=0.9,"Expected",IF(E249&gt;=0.7,"Moderate","Poor")))</f>
        <v>Expected</v>
      </c>
      <c r="G249" t="s">
        <v>874</v>
      </c>
    </row>
    <row r="250" spans="1:7" ht="15" customHeight="1" x14ac:dyDescent="0.3">
      <c r="A250" t="s">
        <v>61</v>
      </c>
      <c r="B250" s="2">
        <v>46266</v>
      </c>
      <c r="C250" cm="1">
        <f t="array" ref="C250">IFERROR(IF(SUMPRODUCT((measured[Site Name]=A250)*(measured[Date]=B250)*ISNUMBER(measured[Measured Value (kWh)]))=0,"",SUMIFS(measured[Measured Value (kWh)],measured[Site Name],A250,measured[Date],B250)),"")</f>
        <v>8881.77</v>
      </c>
      <c r="D250" cm="1">
        <f t="array" ref="D250">IFERROR(IF(SUMPRODUCT((expected_production[Site Name]=A250)*(expected_production[Date]=B250)*ISNUMBER(expected_production[Expected Production (kWh)]))=0,"",SUMIFS(expected_production[Expected Production (kWh)],expected_production[Site Name],A250,expected_production[Date],B250)),"")</f>
        <v>8776.6040604804548</v>
      </c>
      <c r="E250" s="9">
        <f>IF(OR(C250="",D250="",D250=0),"",C250/D250)</f>
        <v>1.0119825320585087</v>
      </c>
      <c r="F250" t="str">
        <f>IF(E250="","",IF(E250&gt;=0.9,"Expected",IF(E250&gt;=0.7,"Moderate","Poor")))</f>
        <v>Expected</v>
      </c>
      <c r="G250" t="s">
        <v>874</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11094.147082666015</v>
      </c>
      <c r="E251" s="9" t="str">
        <f>IF(OR(C251="",D251="",D251=0),"",C251/D251)</f>
        <v/>
      </c>
      <c r="F251" t="str">
        <f>IF(E251="","",IF(E251&gt;=0.9,"Expected",IF(E251&gt;=0.7,"Moderate","Poor")))</f>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12458.042878617254</v>
      </c>
      <c r="E252" s="9" t="str">
        <f>IF(OR(C252="",D252="",D252=0),"",C252/D252)</f>
        <v/>
      </c>
      <c r="F252" t="str">
        <f>IF(E252="","",IF(E252&gt;=0.9,"Expected",IF(E252&gt;=0.7,"Moderate","Poor")))</f>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13592.288422216965</v>
      </c>
      <c r="E253" s="9" t="str">
        <f>IF(OR(C253="",D253="",D253=0),"",C253/D253)</f>
        <v/>
      </c>
      <c r="F253" t="str">
        <f>IF(E253="","",IF(E253&gt;=0.9,"Expected",IF(E253&gt;=0.7,"Moderate","Poor")))</f>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2197.6880972262297</v>
      </c>
      <c r="E254" s="9" t="str">
        <f>IF(OR(C254="",D254="",D254=0),"",C254/D254)</f>
        <v/>
      </c>
      <c r="F254" t="str">
        <f>IF(E254="","",IF(E254&gt;=0.9,"Expected",IF(E254&gt;=0.7,"Moderate","Poor")))</f>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1978.2662839742304</v>
      </c>
      <c r="E255" s="9" t="str">
        <f>IF(OR(C255="",D255="",D255=0),"",C255/D255)</f>
        <v/>
      </c>
      <c r="F255" t="str">
        <f>IF(E255="","",IF(E255&gt;=0.9,"Expected",IF(E255&gt;=0.7,"Moderate","Poor")))</f>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2120.6959585642708</v>
      </c>
      <c r="E256" s="9" t="str">
        <f>IF(OR(C256="",D256="",D256=0),"",C256/D256)</f>
        <v/>
      </c>
      <c r="F256" t="str">
        <f>IF(E256="","",IF(E256&gt;=0.9,"Expected",IF(E256&gt;=0.7,"Moderate","Poor")))</f>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1760.8140398606968</v>
      </c>
      <c r="E257" s="9" t="str">
        <f>IF(OR(C257="",D257="",D257=0),"",C257/D257)</f>
        <v/>
      </c>
      <c r="F257" t="str">
        <f>IF(E257="","",IF(E257&gt;=0.9,"Expected",IF(E257&gt;=0.7,"Moderate","Poor")))</f>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1624.4982131402362</v>
      </c>
      <c r="E258" s="9" t="str">
        <f>IF(OR(C258="",D258="",D258=0),"",C258/D258)</f>
        <v/>
      </c>
      <c r="F258" t="str">
        <f>IF(E258="","",IF(E258&gt;=0.9,"Expected",IF(E258&gt;=0.7,"Moderate","Poor")))</f>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1473.0870397442143</v>
      </c>
      <c r="E259" s="9" t="str">
        <f>IF(OR(C259="",D259="",D259=0),"",C259/D259)</f>
        <v/>
      </c>
      <c r="F259" t="str">
        <f>IF(E259="","",IF(E259&gt;=0.9,"Expected",IF(E259&gt;=0.7,"Moderate","Poor")))</f>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1603.7989934098734</v>
      </c>
      <c r="E260" s="9" t="str">
        <f>IF(OR(C260="",D260="",D260=0),"",C260/D260)</f>
        <v/>
      </c>
      <c r="F260" t="str">
        <f>IF(E260="","",IF(E260&gt;=0.9,"Expected",IF(E260&gt;=0.7,"Moderate","Poor")))</f>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1753.1096285789904</v>
      </c>
      <c r="E261" s="9" t="str">
        <f>IF(OR(C261="",D261="",D261=0),"",C261/D261)</f>
        <v/>
      </c>
      <c r="F261" t="str">
        <f>IF(E261="","",IF(E261&gt;=0.9,"Expected",IF(E261&gt;=0.7,"Moderate","Poor")))</f>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1855.7583582252032</v>
      </c>
      <c r="E262" s="9" t="str">
        <f>IF(OR(C262="",D262="",D262=0),"",C262/D262)</f>
        <v/>
      </c>
      <c r="F262" t="str">
        <f>IF(E262="","",IF(E262&gt;=0.9,"Expected",IF(E262&gt;=0.7,"Moderate","Poor")))</f>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1886.8501681365194</v>
      </c>
      <c r="E263" s="9" t="str">
        <f>IF(OR(C263="",D263="",D263=0),"",C263/D263)</f>
        <v/>
      </c>
      <c r="F263" t="str">
        <f>IF(E263="","",IF(E263&gt;=0.9,"Expected",IF(E263&gt;=0.7,"Moderate","Poor")))</f>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1820.5465970618491</v>
      </c>
      <c r="E264" s="9" t="str">
        <f>IF(OR(C264="",D264="",D264=0),"",C264/D264)</f>
        <v/>
      </c>
      <c r="F264" t="str">
        <f>IF(E264="","",IF(E264&gt;=0.9,"Expected",IF(E264&gt;=0.7,"Moderate","Poor")))</f>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1969.4108740325444</v>
      </c>
      <c r="E265" s="9" t="str">
        <f>IF(OR(C265="",D265="",D265=0),"",C265/D265)</f>
        <v/>
      </c>
      <c r="F265" t="str">
        <f>IF(E265="","",IF(E265&gt;=0.9,"Expected",IF(E265&gt;=0.7,"Moderate","Poor")))</f>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2182.2728026469072</v>
      </c>
      <c r="E266" s="9" t="str">
        <f>IF(OR(C266="",D266="",D266=0),"",C266/D266)</f>
        <v/>
      </c>
      <c r="F266" t="str">
        <f>IF(E266="","",IF(E266&gt;=0.9,"Expected",IF(E266&gt;=0.7,"Moderate","Poor")))</f>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1964.3900849074503</v>
      </c>
      <c r="E267" s="9" t="str">
        <f>IF(OR(C267="",D267="",D267=0),"",C267/D267)</f>
        <v/>
      </c>
      <c r="F267" t="str">
        <f>IF(E267="","",IF(E267&gt;=0.9,"Expected",IF(E267&gt;=0.7,"Moderate","Poor")))</f>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2105.8612119936515</v>
      </c>
      <c r="E268" s="9" t="str">
        <f>IF(OR(C268="",D268="",D268=0),"",C268/D268)</f>
        <v/>
      </c>
      <c r="F268" t="str">
        <f>IF(E268="","",IF(E268&gt;=0.9,"Expected",IF(E268&gt;=0.7,"Moderate","Poor")))</f>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1748.4967484857439</v>
      </c>
      <c r="E269" s="9" t="str">
        <f>IF(OR(C269="",D269="",D269=0),"",C269/D269)</f>
        <v/>
      </c>
      <c r="F269" t="str">
        <f>IF(E269="","",IF(E269&gt;=0.9,"Expected",IF(E269&gt;=0.7,"Moderate","Poor")))</f>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1613.1344817203517</v>
      </c>
      <c r="E270" s="9" t="str">
        <f>IF(OR(C270="",D270="",D270=0),"",C270/D270)</f>
        <v/>
      </c>
      <c r="F270" t="str">
        <f>IF(E270="","",IF(E270&gt;=0.9,"Expected",IF(E270&gt;=0.7,"Moderate","Poor")))</f>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1462.7824636342737</v>
      </c>
      <c r="E271" s="9" t="str">
        <f>IF(OR(C271="",D271="",D271=0),"",C271/D271)</f>
        <v/>
      </c>
      <c r="F271" t="str">
        <f>IF(E271="","",IF(E271&gt;=0.9,"Expected",IF(E271&gt;=0.7,"Moderate","Poor")))</f>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1592.5800577008824</v>
      </c>
      <c r="E272" s="9" t="str">
        <f>IF(OR(C272="",D272="",D272=0),"",C272/D272)</f>
        <v/>
      </c>
      <c r="F272" t="str">
        <f>IF(E272="","",IF(E272&gt;=0.9,"Expected",IF(E272&gt;=0.7,"Moderate","Poor")))</f>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1740.8462312987465</v>
      </c>
      <c r="E273" s="9" t="str">
        <f>IF(OR(C273="",D273="",D273=0),"",C273/D273)</f>
        <v/>
      </c>
      <c r="F273" t="str">
        <f>IF(E273="","",IF(E273&gt;=0.9,"Expected",IF(E273&gt;=0.7,"Moderate","Poor")))</f>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1842.7769099278164</v>
      </c>
      <c r="E274" s="9" t="str">
        <f>IF(OR(C274="",D274="",D274=0),"",C274/D274)</f>
        <v/>
      </c>
      <c r="F274" t="str">
        <f>IF(E274="","",IF(E274&gt;=0.9,"Expected",IF(E274&gt;=0.7,"Moderate","Poor")))</f>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1873.6512256157887</v>
      </c>
      <c r="E275" s="9">
        <f>IF(OR(C275="",D275="",D275=0),"",C275/D275)</f>
        <v>0.59189244232769056</v>
      </c>
      <c r="F275" t="str">
        <f>IF(E275="","",IF(E275&gt;=0.9,"Expected",IF(E275&gt;=0.7,"Moderate","Poor")))</f>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1807.8114629761033</v>
      </c>
      <c r="E276" s="9" t="str">
        <f>IF(OR(C276="",D276="",D276=0),"",C276/D276)</f>
        <v/>
      </c>
      <c r="F276" t="str">
        <f>IF(E276="","",IF(E276&gt;=0.9,"Expected",IF(E276&gt;=0.7,"Moderate","Poor")))</f>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1955.634400751823</v>
      </c>
      <c r="E277" s="9" t="str">
        <f>IF(OR(C277="",D277="",D277=0),"",C277/D277)</f>
        <v/>
      </c>
      <c r="F277" t="str">
        <f>IF(E277="","",IF(E277&gt;=0.9,"Expected",IF(E277&gt;=0.7,"Moderate","Poor")))</f>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2167.0073121627652</v>
      </c>
      <c r="E278" s="9" t="str">
        <f>IF(OR(C278="",D278="",D278=0),"",C278/D278)</f>
        <v/>
      </c>
      <c r="F278" t="str">
        <f>IF(E278="","",IF(E278&gt;=0.9,"Expected",IF(E278&gt;=0.7,"Moderate","Poor")))</f>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1950.6487331791395</v>
      </c>
      <c r="E279" s="9" t="str">
        <f>IF(OR(C279="",D279="",D279=0),"",C279/D279)</f>
        <v/>
      </c>
      <c r="F279" t="str">
        <f>IF(E279="","",IF(E279&gt;=0.9,"Expected",IF(E279&gt;=0.7,"Moderate","Poor")))</f>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2091.1302378213936</v>
      </c>
      <c r="E280" s="9" t="str">
        <f>IF(OR(C280="",D280="",D280=0),"",C280/D280)</f>
        <v/>
      </c>
      <c r="F280" t="str">
        <f>IF(E280="","",IF(E280&gt;=0.9,"Expected",IF(E280&gt;=0.7,"Moderate","Poor")))</f>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1736.2656193422251</v>
      </c>
      <c r="E281" s="9" t="str">
        <f>IF(OR(C281="",D281="",D281=0),"",C281/D281)</f>
        <v/>
      </c>
      <c r="F281" t="str">
        <f>IF(E281="","",IF(E281&gt;=0.9,"Expected",IF(E281&gt;=0.7,"Moderate","Poor")))</f>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1601.8502421649325</v>
      </c>
      <c r="E282" s="9" t="str">
        <f>IF(OR(C282="",D282="",D282=0),"",C282/D282)</f>
        <v/>
      </c>
      <c r="F282" t="str">
        <f>IF(E282="","",IF(E282&gt;=0.9,"Expected",IF(E282&gt;=0.7,"Moderate","Poor")))</f>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1452.5499703585042</v>
      </c>
      <c r="E283" s="9" t="str">
        <f>IF(OR(C283="",D283="",D283=0),"",C283/D283)</f>
        <v/>
      </c>
      <c r="F283" t="str">
        <f>IF(E283="","",IF(E283&gt;=0.9,"Expected",IF(E283&gt;=0.7,"Moderate","Poor")))</f>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5299.5111726470905</v>
      </c>
      <c r="E284" s="9">
        <f>IF(OR(C284="",D284="",D284=0),"",C284/D284)</f>
        <v>0.68213838639655477</v>
      </c>
      <c r="F284" t="str">
        <f>IF(E284="","",IF(E284&gt;=0.9,"Expected",IF(E284&gt;=0.7,"Moderate","Poor")))</f>
        <v>Poor</v>
      </c>
      <c r="G284" t="s">
        <v>874</v>
      </c>
    </row>
    <row r="285" spans="1:7" ht="15" hidden="1"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1728.6686192485884</v>
      </c>
      <c r="E285" s="9">
        <f>IF(OR(C285="",D285="",D285=0),"",C285/D285)</f>
        <v>0.53567236061849177</v>
      </c>
      <c r="F285" t="str">
        <f>IF(E285="","",IF(E285&gt;=0.9,"Expected",IF(E285&gt;=0.7,"Moderate","Poor")))</f>
        <v>Poor</v>
      </c>
      <c r="G285" t="s">
        <v>875</v>
      </c>
    </row>
    <row r="286" spans="1:7" ht="15" customHeight="1" x14ac:dyDescent="0.3">
      <c r="A286" t="s">
        <v>66</v>
      </c>
      <c r="B286" s="2">
        <v>46266</v>
      </c>
      <c r="C286" cm="1">
        <f t="array" ref="C286">IFERROR(IF(SUMPRODUCT((measured[Site Name]=A286)*(measured[Date]=B286)*ISNUMBER(measured[Measured Value (kWh)]))=0,"",SUMIFS(measured[Measured Value (kWh)],measured[Site Name],A286,measured[Date],B286)),"")</f>
        <v>668.4</v>
      </c>
      <c r="D286" cm="1">
        <f t="array" ref="D286">IFERROR(IF(SUMPRODUCT((expected_production[Site Name]=A286)*(expected_production[Date]=B286)*ISNUMBER(expected_production[Expected Production (kWh)]))=0,"",SUMIFS(expected_production[Expected Production (kWh)],expected_production[Site Name],A286,expected_production[Date],B286)),"")</f>
        <v>1829.8862697893426</v>
      </c>
      <c r="E286" s="9">
        <f>IF(OR(C286="",D286="",D286=0),"",C286/D286)</f>
        <v>0.36526860222681845</v>
      </c>
      <c r="F286" t="str">
        <f>IF(E286="","",IF(E286&gt;=0.9,"Expected",IF(E286&gt;=0.7,"Moderate","Poor")))</f>
        <v>Poor</v>
      </c>
      <c r="G286" t="s">
        <v>874</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1860.544612675121</v>
      </c>
      <c r="E287" s="9" t="str">
        <f>IF(OR(C287="",D287="",D287=0),"",C287/D287)</f>
        <v/>
      </c>
      <c r="F287" t="str">
        <f>IF(E287="","",IF(E287&gt;=0.9,"Expected",IF(E287&gt;=0.7,"Moderate","Poor")))</f>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1795.1654140258015</v>
      </c>
      <c r="E288" s="9" t="str">
        <f>IF(OR(C288="",D288="",D288=0),"",C288/D288)</f>
        <v/>
      </c>
      <c r="F288" t="str">
        <f>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1941.9542970090977</v>
      </c>
      <c r="E289" s="9" t="str">
        <f>IF(OR(C289="",D289="",D289=0),"",C289/D289)</f>
        <v/>
      </c>
      <c r="F289" t="str">
        <f>IF(E289="","",IF(E289&gt;=0.9,"Expected",IF(E289&gt;=0.7,"Moderate","Poor")))</f>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IF(OR(C290="",D290="",D290=0),"",C290/D290)</f>
        <v/>
      </c>
      <c r="F290" t="str">
        <f>IF(E290="","",IF(E290&gt;=0.9,"Expected",IF(E290&gt;=0.7,"Moderate","Poor")))</f>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IF(OR(C291="",D291="",D291=0),"",C291/D291)</f>
        <v/>
      </c>
      <c r="F291" t="str">
        <f>IF(E291="","",IF(E291&gt;=0.9,"Expected",IF(E291&gt;=0.7,"Moderate","Poor")))</f>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IF(OR(C292="",D292="",D292=0),"",C292/D292)</f>
        <v/>
      </c>
      <c r="F292" t="str">
        <f>IF(E292="","",IF(E292&gt;=0.9,"Expected",IF(E292&gt;=0.7,"Moderate","Poor")))</f>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IF(OR(C293="",D293="",D293=0),"",C293/D293)</f>
        <v/>
      </c>
      <c r="F293" t="str">
        <f>IF(E293="","",IF(E293&gt;=0.9,"Expected",IF(E293&gt;=0.7,"Moderate","Poor")))</f>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IF(OR(C294="",D294="",D294=0),"",C294/D294)</f>
        <v/>
      </c>
      <c r="F294" t="str">
        <f>IF(E294="","",IF(E294&gt;=0.9,"Expected",IF(E294&gt;=0.7,"Moderate","Poor")))</f>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IF(OR(C295="",D295="",D295=0),"",C295/D295)</f>
        <v/>
      </c>
      <c r="F295" t="str">
        <f>IF(E295="","",IF(E295&gt;=0.9,"Expected",IF(E295&gt;=0.7,"Moderate","Poor")))</f>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13582.567813144922</v>
      </c>
      <c r="E296" s="9" t="str">
        <f>IF(OR(C296="",D296="",D296=0),"",C296/D296)</f>
        <v/>
      </c>
      <c r="F296" t="str">
        <f>IF(E296="","",IF(E296&gt;=0.9,"Expected",IF(E296&gt;=0.7,"Moderate","Poor")))</f>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17090.583330160298</v>
      </c>
      <c r="E297" s="9" t="str">
        <f>IF(OR(C297="",D297="",D297=0),"",C297/D297)</f>
        <v/>
      </c>
      <c r="F297" t="str">
        <f>IF(E297="","",IF(E297&gt;=0.9,"Expected",IF(E297&gt;=0.7,"Moderate","Poor")))</f>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19473.98856975685</v>
      </c>
      <c r="E298" s="9" t="str">
        <f>IF(OR(C298="",D298="",D298=0),"",C298/D298)</f>
        <v/>
      </c>
      <c r="F298" t="str">
        <f>IF(E298="","",IF(E298&gt;=0.9,"Expected",IF(E298&gt;=0.7,"Moderate","Poor")))</f>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24027.17354820438</v>
      </c>
      <c r="E299" s="9" t="str">
        <f>IF(OR(C299="",D299="",D299=0),"",C299/D299)</f>
        <v/>
      </c>
      <c r="F299" t="str">
        <f>IF(E299="","",IF(E299&gt;=0.9,"Expected",IF(E299&gt;=0.7,"Moderate","Poor")))</f>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25815.813514643996</v>
      </c>
      <c r="E300" s="9" t="str">
        <f>IF(OR(C300="",D300="",D300=0),"",C300/D300)</f>
        <v/>
      </c>
      <c r="F300" t="str">
        <f>IF(E300="","",IF(E300&gt;=0.9,"Expected",IF(E300&gt;=0.7,"Moderate","Poor")))</f>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27897.034811915462</v>
      </c>
      <c r="E301" s="9" t="str">
        <f>IF(OR(C301="",D301="",D301=0),"",C301/D301)</f>
        <v/>
      </c>
      <c r="F301" t="str">
        <f>IF(E301="","",IF(E301&gt;=0.9,"Expected",IF(E301&gt;=0.7,"Moderate","Poor")))</f>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26582.435257205358</v>
      </c>
      <c r="E302" s="9">
        <f>IF(OR(C302="",D302="",D302=0),"",C302/D302)</f>
        <v>1.1699454808817835</v>
      </c>
      <c r="F302" t="str">
        <f>IF(E302="","",IF(E302&gt;=0.9,"Expected",IF(E302&gt;=0.7,"Moderate","Poor")))</f>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20579.58991733415</v>
      </c>
      <c r="E303" s="9">
        <f>IF(OR(C303="",D303="",D303=0),"",C303/D303)</f>
        <v>1.1263586929142611</v>
      </c>
      <c r="F303" t="str">
        <f>IF(E303="","",IF(E303&gt;=0.9,"Expected",IF(E303&gt;=0.7,"Moderate","Poor")))</f>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19991.890402243298</v>
      </c>
      <c r="E304" s="9">
        <f>IF(OR(C304="",D304="",D304=0),"",C304/D304)</f>
        <v>1.042322640867507</v>
      </c>
      <c r="F304" t="str">
        <f>IF(E304="","",IF(E304&gt;=0.9,"Expected",IF(E304&gt;=0.7,"Moderate","Poor")))</f>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16193.014277565449</v>
      </c>
      <c r="E305" s="9">
        <f>IF(OR(C305="",D305="",D305=0),"",C305/D305)</f>
        <v>1.0267390440725066</v>
      </c>
      <c r="F305" t="str">
        <f>IF(E305="","",IF(E305&gt;=0.9,"Expected",IF(E305&gt;=0.7,"Moderate","Poor")))</f>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13433.629994778803</v>
      </c>
      <c r="E306" s="9">
        <f>IF(OR(C306="",D306="",D306=0),"",C306/D306)</f>
        <v>1.1328285806527887</v>
      </c>
      <c r="F306" t="str">
        <f>IF(E306="","",IF(E306&gt;=0.9,"Expected",IF(E306&gt;=0.7,"Moderate","Poor")))</f>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11782.836750899078</v>
      </c>
      <c r="E307" s="9">
        <f>IF(OR(C307="",D307="",D307=0),"",C307/D307)</f>
        <v>1.0545677804669458</v>
      </c>
      <c r="F307" t="str">
        <f>IF(E307="","",IF(E307&gt;=0.9,"Expected",IF(E307&gt;=0.7,"Moderate","Poor")))</f>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13487.554687631793</v>
      </c>
      <c r="E308" s="9">
        <f>IF(OR(C308="",D308="",D308=0),"",C308/D308)</f>
        <v>0.98209054990128786</v>
      </c>
      <c r="F308" t="str">
        <f>IF(E308="","",IF(E308&gt;=0.9,"Expected",IF(E308&gt;=0.7,"Moderate","Poor")))</f>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16971.030844843815</v>
      </c>
      <c r="E309" s="9">
        <f>IF(OR(C309="",D309="",D309=0),"",C309/D309)</f>
        <v>0.99893755158371578</v>
      </c>
      <c r="F309" t="str">
        <f>IF(E309="","",IF(E309&gt;=0.9,"Expected",IF(E309&gt;=0.7,"Moderate","Poor")))</f>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19337.763627192686</v>
      </c>
      <c r="E310" s="9">
        <f>IF(OR(C310="",D310="",D310=0),"",C310/D310)</f>
        <v>1.0015118797277158</v>
      </c>
      <c r="F310" t="str">
        <f>IF(E310="","",IF(E310&gt;=0.9,"Expected",IF(E310&gt;=0.7,"Moderate","Poor")))</f>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23859.098049707554</v>
      </c>
      <c r="E311" s="9">
        <f>IF(OR(C311="",D311="",D311=0),"",C311/D311)</f>
        <v>1.0749853136344514</v>
      </c>
      <c r="F311" t="str">
        <f>IF(E311="","",IF(E311&gt;=0.9,"Expected",IF(E311&gt;=0.7,"Moderate","Poor")))</f>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25635.226076139432</v>
      </c>
      <c r="E312" s="9">
        <f>IF(OR(C312="",D312="",D312=0),"",C312/D312)</f>
        <v>1.0406383747413184</v>
      </c>
      <c r="F312" t="str">
        <f>IF(E312="","",IF(E312&gt;=0.9,"Expected",IF(E312&gt;=0.7,"Moderate","Poor")))</f>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27701.888760999856</v>
      </c>
      <c r="E313" s="9">
        <f>IF(OR(C313="",D313="",D313=0),"",C313/D313)</f>
        <v>1.0932828537900343</v>
      </c>
      <c r="F313" t="str">
        <f>IF(E313="","",IF(E313&gt;=0.9,"Expected",IF(E313&gt;=0.7,"Moderate","Poor")))</f>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26396.485126693718</v>
      </c>
      <c r="E314" s="9">
        <f>IF(OR(C314="",D314="",D314=0),"",C314/D314)</f>
        <v>1.1409473592961008</v>
      </c>
      <c r="F314" t="str">
        <f>IF(E314="","",IF(E314&gt;=0.9,"Expected",IF(E314&gt;=0.7,"Moderate","Poor")))</f>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20435.631043966179</v>
      </c>
      <c r="E315" s="9">
        <f>IF(OR(C315="",D315="",D315=0),"",C315/D315)</f>
        <v>1.0806615148065377</v>
      </c>
      <c r="F315" t="str">
        <f>IF(E315="","",IF(E315&gt;=0.9,"Expected",IF(E315&gt;=0.7,"Moderate","Poor")))</f>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19852.042619543863</v>
      </c>
      <c r="E316" s="9">
        <f>IF(OR(C316="",D316="",D316=0),"",C316/D316)</f>
        <v>1.1183232086225547</v>
      </c>
      <c r="F316" t="str">
        <f>IF(E316="","",IF(E316&gt;=0.9,"Expected",IF(E316&gt;=0.7,"Moderate","Poor")))</f>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16079.740490225971</v>
      </c>
      <c r="E317" s="9">
        <f>IF(OR(C317="",D317="",D317=0),"",C317/D317)</f>
        <v>1.0361299058356797</v>
      </c>
      <c r="F317" t="str">
        <f>IF(E317="","",IF(E317&gt;=0.9,"Expected",IF(E317&gt;=0.7,"Moderate","Poor")))</f>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13339.658722899298</v>
      </c>
      <c r="E318" s="9">
        <f>IF(OR(C318="",D318="",D318=0),"",C318/D318)</f>
        <v>1.0024461853019289</v>
      </c>
      <c r="F318" t="str">
        <f>IF(E318="","",IF(E318&gt;=0.9,"Expected",IF(E318&gt;=0.7,"Moderate","Poor")))</f>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11700.413150110542</v>
      </c>
      <c r="E319" s="9">
        <f>IF(OR(C319="",D319="",D319=0),"",C319/D319)</f>
        <v>0.83447480655054951</v>
      </c>
      <c r="F319" t="str">
        <f>IF(E319="","",IF(E319&gt;=0.9,"Expected",IF(E319&gt;=0.7,"Moderate","Poor")))</f>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1581.4396009776995</v>
      </c>
      <c r="E320" s="9">
        <f>IF(OR(C320="",D320="",D320=0),"",C320/D320)</f>
        <v>0.45464904227482977</v>
      </c>
      <c r="F320" t="str">
        <f>IF(E320="","",IF(E320&gt;=0.9,"Expected",IF(E320&gt;=0.7,"Moderate","Poor")))</f>
        <v>Poor</v>
      </c>
      <c r="G320" t="s">
        <v>874</v>
      </c>
    </row>
    <row r="321" spans="1:7" ht="15" hidden="1"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16852.314656128172</v>
      </c>
      <c r="E321" s="9">
        <f>IF(OR(C321="",D321="",D321=0),"",C321/D321)</f>
        <v>0.75073070128081143</v>
      </c>
      <c r="F321" t="str">
        <f>IF(E321="","",IF(E321&gt;=0.9,"Expected",IF(E321&gt;=0.7,"Moderate","Poor")))</f>
        <v>Moderate</v>
      </c>
      <c r="G321" t="s">
        <v>875</v>
      </c>
    </row>
    <row r="322" spans="1:7" ht="15" customHeight="1" x14ac:dyDescent="0.3">
      <c r="A322" t="s">
        <v>1004</v>
      </c>
      <c r="B322" s="2">
        <v>46266</v>
      </c>
      <c r="C322" cm="1">
        <f t="array" ref="C322">IFERROR(IF(SUMPRODUCT((measured[Site Name]=A322)*(measured[Date]=B322)*ISNUMBER(measured[Measured Value (kWh)]))=0,"",SUMIFS(measured[Measured Value (kWh)],measured[Site Name],A322,measured[Date],B322)),"")</f>
        <v>4005.8959</v>
      </c>
      <c r="D322" cm="1">
        <f t="array" ref="D322">IFERROR(IF(SUMPRODUCT((expected_production[Site Name]=A322)*(expected_production[Date]=B322)*ISNUMBER(expected_production[Expected Production (kWh)]))=0,"",SUMIFS(expected_production[Expected Production (kWh)],expected_production[Site Name],A322,expected_production[Date],B322)),"")</f>
        <v>5558.7337440819219</v>
      </c>
      <c r="E322" s="9">
        <f>IF(OR(C322="",D322="",D322=0),"",C322/D322)</f>
        <v>0.72064899749243383</v>
      </c>
      <c r="F322" t="str">
        <f>IF(E322="","",IF(E322&gt;=0.9,"Expected",IF(E322&gt;=0.7,"Moderate","Poor")))</f>
        <v>Moderate</v>
      </c>
      <c r="G322" t="s">
        <v>874</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23692.198277233525</v>
      </c>
      <c r="E323" s="9" t="str">
        <f>IF(OR(C323="",D323="",D323=0),"",C323/D323)</f>
        <v/>
      </c>
      <c r="F323" t="str">
        <f>IF(E323="","",IF(E323&gt;=0.9,"Expected",IF(E323&gt;=0.7,"Moderate","Poor")))</f>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25455.901887500193</v>
      </c>
      <c r="E324" s="9" t="str">
        <f>IF(OR(C324="",D324="",D324=0),"",C324/D324)</f>
        <v/>
      </c>
      <c r="F324" t="str">
        <f>IF(E324="","",IF(E324&gt;=0.9,"Expected",IF(E324&gt;=0.7,"Moderate","Poor")))</f>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27508.107800727204</v>
      </c>
      <c r="E325" s="9" t="str">
        <f>IF(OR(C325="",D325="",D325=0),"",C325/D325)</f>
        <v/>
      </c>
      <c r="F325" t="str">
        <f>IF(E325="","",IF(E325&gt;=0.9,"Expected",IF(E325&gt;=0.7,"Moderate","Poor")))</f>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IF(OR(C326="",D326="",D326=0),"",C326/D326)</f>
        <v/>
      </c>
      <c r="F326" t="str">
        <f>IF(E326="","",IF(E326&gt;=0.9,"Expected",IF(E326&gt;=0.7,"Moderate","Poor")))</f>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IF(OR(C327="",D327="",D327=0),"",C327/D327)</f>
        <v/>
      </c>
      <c r="F327" t="str">
        <f>IF(E327="","",IF(E327&gt;=0.9,"Expected",IF(E327&gt;=0.7,"Moderate","Poor")))</f>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IF(OR(C328="",D328="",D328=0),"",C328/D328)</f>
        <v/>
      </c>
      <c r="F328" t="str">
        <f>IF(E328="","",IF(E328&gt;=0.9,"Expected",IF(E328&gt;=0.7,"Moderate","Poor")))</f>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IF(OR(C329="",D329="",D329=0),"",C329/D329)</f>
        <v/>
      </c>
      <c r="F329" t="str">
        <f>IF(E329="","",IF(E329&gt;=0.9,"Expected",IF(E329&gt;=0.7,"Moderate","Poor")))</f>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IF(OR(C330="",D330="",D330=0),"",C330/D330)</f>
        <v/>
      </c>
      <c r="F330" t="str">
        <f>IF(E330="","",IF(E330&gt;=0.9,"Expected",IF(E330&gt;=0.7,"Moderate","Poor")))</f>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IF(OR(C331="",D331="",D331=0),"",C331/D331)</f>
        <v/>
      </c>
      <c r="F331" t="str">
        <f>IF(E331="","",IF(E331&gt;=0.9,"Expected",IF(E331&gt;=0.7,"Moderate","Poor")))</f>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IF(OR(C332="",D332="",D332=0),"",C332/D332)</f>
        <v/>
      </c>
      <c r="F332" t="str">
        <f>IF(E332="","",IF(E332&gt;=0.9,"Expected",IF(E332&gt;=0.7,"Moderate","Poor")))</f>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IF(OR(C333="",D333="",D333=0),"",C333/D333)</f>
        <v/>
      </c>
      <c r="F333" t="str">
        <f>IF(E333="","",IF(E333&gt;=0.9,"Expected",IF(E333&gt;=0.7,"Moderate","Poor")))</f>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IF(OR(C334="",D334="",D334=0),"",C334/D334)</f>
        <v/>
      </c>
      <c r="F334" t="str">
        <f>IF(E334="","",IF(E334&gt;=0.9,"Expected",IF(E334&gt;=0.7,"Moderate","Poor")))</f>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IF(OR(C335="",D335="",D335=0),"",C335/D335)</f>
        <v/>
      </c>
      <c r="F335" t="str">
        <f>IF(E335="","",IF(E335&gt;=0.9,"Expected",IF(E335&gt;=0.7,"Moderate","Poor")))</f>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IF(OR(C336="",D336="",D336=0),"",C336/D336)</f>
        <v/>
      </c>
      <c r="F336" t="str">
        <f>IF(E336="","",IF(E336&gt;=0.9,"Expected",IF(E336&gt;=0.7,"Moderate","Poor")))</f>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IF(OR(C337="",D337="",D337=0),"",C337/D337)</f>
        <v/>
      </c>
      <c r="F337" t="str">
        <f>IF(E337="","",IF(E337&gt;=0.9,"Expected",IF(E337&gt;=0.7,"Moderate","Poor")))</f>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IF(OR(C338="",D338="",D338=0),"",C338/D338)</f>
        <v/>
      </c>
      <c r="F338" t="str">
        <f>IF(E338="","",IF(E338&gt;=0.9,"Expected",IF(E338&gt;=0.7,"Moderate","Poor")))</f>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IF(OR(C339="",D339="",D339=0),"",C339/D339)</f>
        <v/>
      </c>
      <c r="F339" t="str">
        <f>IF(E339="","",IF(E339&gt;=0.9,"Expected",IF(E339&gt;=0.7,"Moderate","Poor")))</f>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IF(OR(C340="",D340="",D340=0),"",C340/D340)</f>
        <v>0.97522334917601716</v>
      </c>
      <c r="F340" t="str">
        <f>IF(E340="","",IF(E340&gt;=0.9,"Expected",IF(E340&gt;=0.7,"Moderate","Poor")))</f>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IF(OR(C341="",D341="",D341=0),"",C341/D341)</f>
        <v>0.98902263006660585</v>
      </c>
      <c r="F341" t="str">
        <f>IF(E341="","",IF(E341&gt;=0.9,"Expected",IF(E341&gt;=0.7,"Moderate","Poor")))</f>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IF(OR(C342="",D342="",D342=0),"",C342/D342)</f>
        <v>1.278556263269639</v>
      </c>
      <c r="F342" t="str">
        <f>IF(E342="","",IF(E342&gt;=0.9,"Expected",IF(E342&gt;=0.7,"Moderate","Poor")))</f>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IF(OR(C343="",D343="",D343=0),"",C343/D343)</f>
        <v>1.0280749298721059</v>
      </c>
      <c r="F343" t="str">
        <f>IF(E343="","",IF(E343&gt;=0.9,"Expected",IF(E343&gt;=0.7,"Moderate","Poor")))</f>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IF(OR(C344="",D344="",D344=0),"",C344/D344)</f>
        <v>0.99541500621330925</v>
      </c>
      <c r="F344" t="str">
        <f>IF(E344="","",IF(E344&gt;=0.9,"Expected",IF(E344&gt;=0.7,"Moderate","Poor")))</f>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IF(OR(C345="",D345="",D345=0),"",C345/D345)</f>
        <v>1.109248343037754</v>
      </c>
      <c r="F345" t="str">
        <f>IF(E345="","",IF(E345&gt;=0.9,"Expected",IF(E345&gt;=0.7,"Moderate","Poor")))</f>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IF(OR(C346="",D346="",D346=0),"",C346/D346)</f>
        <v>0.96475969591547472</v>
      </c>
      <c r="F346" t="str">
        <f>IF(E346="","",IF(E346&gt;=0.9,"Expected",IF(E346&gt;=0.7,"Moderate","Poor")))</f>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IF(OR(C347="",D347="",D347=0),"",C347/D347)</f>
        <v>1.084286815126952</v>
      </c>
      <c r="F347" t="str">
        <f>IF(E347="","",IF(E347&gt;=0.9,"Expected",IF(E347&gt;=0.7,"Moderate","Poor")))</f>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IF(OR(C348="",D348="",D348=0),"",C348/D348)</f>
        <v>0.8422406679287413</v>
      </c>
      <c r="F348" t="str">
        <f>IF(E348="","",IF(E348&gt;=0.9,"Expected",IF(E348&gt;=0.7,"Moderate","Poor")))</f>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IF(OR(C349="",D349="",D349=0),"",C349/D349)</f>
        <v>0.95678507863862561</v>
      </c>
      <c r="F349" t="str">
        <f>IF(E349="","",IF(E349&gt;=0.9,"Expected",IF(E349&gt;=0.7,"Moderate","Poor")))</f>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IF(OR(C350="",D350="",D350=0),"",C350/D350)</f>
        <v>1.0482350153991946</v>
      </c>
      <c r="F350" t="str">
        <f>IF(E350="","",IF(E350&gt;=0.9,"Expected",IF(E350&gt;=0.7,"Moderate","Poor")))</f>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IF(OR(C351="",D351="",D351=0),"",C351/D351)</f>
        <v>0.91106171619878706</v>
      </c>
      <c r="F351" t="str">
        <f>IF(E351="","",IF(E351&gt;=0.9,"Expected",IF(E351&gt;=0.7,"Moderate","Poor")))</f>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IF(OR(C352="",D352="",D352=0),"",C352/D352)</f>
        <v>0.95273871549044276</v>
      </c>
      <c r="F352" t="str">
        <f>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IF(OR(C353="",D353="",D353=0),"",C353/D353)</f>
        <v>1.0196109588315523</v>
      </c>
      <c r="F353" t="str">
        <f>IF(E353="","",IF(E353&gt;=0.9,"Expected",IF(E353&gt;=0.7,"Moderate","Poor")))</f>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IF(OR(C354="",D354="",D354=0),"",C354/D354)</f>
        <v>1.105095541401274</v>
      </c>
      <c r="F354" t="str">
        <f>IF(E354="","",IF(E354&gt;=0.9,"Expected",IF(E354&gt;=0.7,"Moderate","Poor")))</f>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IF(OR(C355="",D355="",D355=0),"",C355/D355)</f>
        <v>0.98048859728363369</v>
      </c>
      <c r="F355" t="str">
        <f>IF(E355="","",IF(E355&gt;=0.9,"Expected",IF(E355&gt;=0.7,"Moderate","Poor")))</f>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13393.206200362622</v>
      </c>
      <c r="E356" s="9">
        <f>IF(OR(C356="",D356="",D356=0),"",C356/D356)</f>
        <v>0.65376802753644825</v>
      </c>
      <c r="F356" t="str">
        <f>IF(E356="","",IF(E356&gt;=0.9,"Expected",IF(E356&gt;=0.7,"Moderate","Poor")))</f>
        <v>Poor</v>
      </c>
      <c r="G356" t="s">
        <v>875</v>
      </c>
    </row>
    <row r="357" spans="1:7" ht="15" hidden="1"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IF(OR(C357="",D357="",D357=0),"",C357/D357)</f>
        <v>0.95091305680240834</v>
      </c>
      <c r="F357" t="str">
        <f>IF(E357="","",IF(E357&gt;=0.9,"Expected",IF(E357&gt;=0.7,"Moderate","Poor")))</f>
        <v>Expected</v>
      </c>
      <c r="G357" t="s">
        <v>874</v>
      </c>
    </row>
    <row r="358" spans="1:7" ht="15" customHeight="1" x14ac:dyDescent="0.3">
      <c r="A358" t="s">
        <v>77</v>
      </c>
      <c r="B358" s="2">
        <v>46266</v>
      </c>
      <c r="C358" cm="1">
        <f t="array" ref="C358">IFERROR(IF(SUMPRODUCT((measured[Site Name]=A358)*(measured[Date]=B358)*ISNUMBER(measured[Measured Value (kWh)]))=0,"",SUMIFS(measured[Measured Value (kWh)],measured[Site Name],A358,measured[Date],B358)),"")</f>
        <v>18200</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f>IF(OR(C358="",D358="",D358=0),"",C358/D358)</f>
        <v>0.97710776102735897</v>
      </c>
      <c r="F358" t="str">
        <f>IF(E358="","",IF(E358&gt;=0.9,"Expected",IF(E358&gt;=0.7,"Moderate","Poor")))</f>
        <v>Expected</v>
      </c>
      <c r="G358" t="s">
        <v>874</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IF(OR(C359="",D359="",D359=0),"",C359/D359)</f>
        <v/>
      </c>
      <c r="F359" t="str">
        <f>IF(E359="","",IF(E359&gt;=0.9,"Expected",IF(E359&gt;=0.7,"Moderate","Poor")))</f>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IF(OR(C360="",D360="",D360=0),"",C360/D360)</f>
        <v/>
      </c>
      <c r="F360" t="str">
        <f>IF(E360="","",IF(E360&gt;=0.9,"Expected",IF(E360&gt;=0.7,"Moderate","Poor")))</f>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IF(OR(C361="",D361="",D361=0),"",C361/D361)</f>
        <v/>
      </c>
      <c r="F361" t="str">
        <f>IF(E361="","",IF(E361&gt;=0.9,"Expected",IF(E361&gt;=0.7,"Moderate","Poor")))</f>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IF(OR(C362="",D362="",D362=0),"",C362/D362)</f>
        <v/>
      </c>
      <c r="F362" t="str">
        <f>IF(E362="","",IF(E362&gt;=0.9,"Expected",IF(E362&gt;=0.7,"Moderate","Poor")))</f>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IF(OR(C363="",D363="",D363=0),"",C363/D363)</f>
        <v/>
      </c>
      <c r="F363" t="str">
        <f>IF(E363="","",IF(E363&gt;=0.9,"Expected",IF(E363&gt;=0.7,"Moderate","Poor")))</f>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IF(OR(C364="",D364="",D364=0),"",C364/D364)</f>
        <v/>
      </c>
      <c r="F364" t="str">
        <f>IF(E364="","",IF(E364&gt;=0.9,"Expected",IF(E364&gt;=0.7,"Moderate","Poor")))</f>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IF(OR(C365="",D365="",D365=0),"",C365/D365)</f>
        <v/>
      </c>
      <c r="F365" t="str">
        <f>IF(E365="","",IF(E365&gt;=0.9,"Expected",IF(E365&gt;=0.7,"Moderate","Poor")))</f>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IF(OR(C366="",D366="",D366=0),"",C366/D366)</f>
        <v/>
      </c>
      <c r="F366" t="str">
        <f>IF(E366="","",IF(E366&gt;=0.9,"Expected",IF(E366&gt;=0.7,"Moderate","Poor")))</f>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IF(OR(C367="",D367="",D367=0),"",C367/D367)</f>
        <v/>
      </c>
      <c r="F367" t="str">
        <f>IF(E367="","",IF(E367&gt;=0.9,"Expected",IF(E367&gt;=0.7,"Moderate","Poor")))</f>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IF(OR(C368="",D368="",D368=0),"",C368/D368)</f>
        <v/>
      </c>
      <c r="F368" t="str">
        <f>IF(E368="","",IF(E368&gt;=0.9,"Expected",IF(E368&gt;=0.7,"Moderate","Poor")))</f>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IF(OR(C369="",D369="",D369=0),"",C369/D369)</f>
        <v/>
      </c>
      <c r="F369" t="str">
        <f>IF(E369="","",IF(E369&gt;=0.9,"Expected",IF(E369&gt;=0.7,"Moderate","Poor")))</f>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IF(OR(C370="",D370="",D370=0),"",C370/D370)</f>
        <v/>
      </c>
      <c r="F370" t="str">
        <f>IF(E370="","",IF(E370&gt;=0.9,"Expected",IF(E370&gt;=0.7,"Moderate","Poor")))</f>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IF(OR(C371="",D371="",D371=0),"",C371/D371)</f>
        <v/>
      </c>
      <c r="F371" t="str">
        <f>IF(E371="","",IF(E371&gt;=0.9,"Expected",IF(E371&gt;=0.7,"Moderate","Poor")))</f>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IF(OR(C372="",D372="",D372=0),"",C372/D372)</f>
        <v/>
      </c>
      <c r="F372" t="str">
        <f>IF(E372="","",IF(E372&gt;=0.9,"Expected",IF(E372&gt;=0.7,"Moderate","Poor")))</f>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IF(OR(C373="",D373="",D373=0),"",C373/D373)</f>
        <v/>
      </c>
      <c r="F373" t="str">
        <f>IF(E373="","",IF(E373&gt;=0.9,"Expected",IF(E373&gt;=0.7,"Moderate","Poor")))</f>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IF(OR(C374="",D374="",D374=0),"",C374/D374)</f>
        <v/>
      </c>
      <c r="F374" t="str">
        <f>IF(E374="","",IF(E374&gt;=0.9,"Expected",IF(E374&gt;=0.7,"Moderate","Poor")))</f>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IF(OR(C375="",D375="",D375=0),"",C375/D375)</f>
        <v/>
      </c>
      <c r="F375" t="str">
        <f>IF(E375="","",IF(E375&gt;=0.9,"Expected",IF(E375&gt;=0.7,"Moderate","Poor")))</f>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IF(OR(C376="",D376="",D376=0),"",C376/D376)</f>
        <v>0.90145415149090002</v>
      </c>
      <c r="F376" t="str">
        <f>IF(E376="","",IF(E376&gt;=0.9,"Expected",IF(E376&gt;=0.7,"Moderate","Poor")))</f>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IF(OR(C377="",D377="",D377=0),"",C377/D377)</f>
        <v>0.86647068949535888</v>
      </c>
      <c r="F377" t="str">
        <f>IF(E377="","",IF(E377&gt;=0.9,"Expected",IF(E377&gt;=0.7,"Moderate","Poor")))</f>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IF(OR(C378="",D378="",D378=0),"",C378/D378)</f>
        <v>1.0736730360934184</v>
      </c>
      <c r="F378" t="str">
        <f>IF(E378="","",IF(E378&gt;=0.9,"Expected",IF(E378&gt;=0.7,"Moderate","Poor")))</f>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IF(OR(C379="",D379="",D379=0),"",C379/D379)</f>
        <v>0.76512306058733115</v>
      </c>
      <c r="F379" t="str">
        <f>IF(E379="","",IF(E379&gt;=0.9,"Expected",IF(E379&gt;=0.7,"Moderate","Poor")))</f>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IF(OR(C380="",D380="",D380=0),"",C380/D380)</f>
        <v>0.75213894959363525</v>
      </c>
      <c r="F380" t="str">
        <f>IF(E380="","",IF(E380&gt;=0.9,"Expected",IF(E380&gt;=0.7,"Moderate","Poor")))</f>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IF(OR(C381="",D381="",D381=0),"",C381/D381)</f>
        <v>0.88511528130802364</v>
      </c>
      <c r="F381" t="str">
        <f>IF(E381="","",IF(E381&gt;=0.9,"Expected",IF(E381&gt;=0.7,"Moderate","Poor")))</f>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IF(OR(C382="",D382="",D382=0),"",C382/D382)</f>
        <v>0.65310526993944074</v>
      </c>
      <c r="F382" t="str">
        <f>IF(E382="","",IF(E382&gt;=0.9,"Expected",IF(E382&gt;=0.7,"Moderate","Poor")))</f>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IF(OR(C383="",D383="",D383=0),"",C383/D383)</f>
        <v>0.98893863576507768</v>
      </c>
      <c r="F383" t="str">
        <f>IF(E383="","",IF(E383&gt;=0.9,"Expected",IF(E383&gt;=0.7,"Moderate","Poor")))</f>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IF(OR(C384="",D384="",D384=0),"",C384/D384)</f>
        <v>0.74612882869763608</v>
      </c>
      <c r="F384" t="str">
        <f>IF(E384="","",IF(E384&gt;=0.9,"Expected",IF(E384&gt;=0.7,"Moderate","Poor")))</f>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IF(OR(C385="",D385="",D385=0),"",C385/D385)</f>
        <v>0.61603283571246958</v>
      </c>
      <c r="F385" t="str">
        <f>IF(E385="","",IF(E385&gt;=0.9,"Expected",IF(E385&gt;=0.7,"Moderate","Poor")))</f>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IF(OR(C386="",D386="",D386=0),"",C386/D386)</f>
        <v>1.0086235489220563</v>
      </c>
      <c r="F386" t="str">
        <f>IF(E386="","",IF(E386&gt;=0.9,"Expected",IF(E386&gt;=0.7,"Moderate","Poor")))</f>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IF(OR(C387="",D387="",D387=0),"",C387/D387)</f>
        <v>1.0537581295793199</v>
      </c>
      <c r="F387" t="str">
        <f>IF(E387="","",IF(E387&gt;=0.9,"Expected",IF(E387&gt;=0.7,"Moderate","Poor")))</f>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IF(OR(C388="",D388="",D388=0),"",C388/D388)</f>
        <v>0.87270866338924558</v>
      </c>
      <c r="F388" t="str">
        <f>IF(E388="","",IF(E388&gt;=0.9,"Expected",IF(E388&gt;=0.7,"Moderate","Poor")))</f>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IF(OR(C389="",D389="",D389=0),"",C389/D389)</f>
        <v>0.90705650233716018</v>
      </c>
      <c r="F389" t="str">
        <f>IF(E389="","",IF(E389&gt;=0.9,"Expected",IF(E389&gt;=0.7,"Moderate","Poor")))</f>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IF(OR(C390="",D390="",D390=0),"",C390/D390)</f>
        <v>0.94033970276008494</v>
      </c>
      <c r="F390" t="str">
        <f>IF(E390="","",IF(E390&gt;=0.9,"Expected",IF(E390&gt;=0.7,"Moderate","Poor")))</f>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IF(OR(C391="",D391="",D391=0),"",C391/D391)</f>
        <v>0.84012741881804787</v>
      </c>
      <c r="F391" t="str">
        <f>IF(E391="","",IF(E391&gt;=0.9,"Expected",IF(E391&gt;=0.7,"Moderate","Poor")))</f>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18234.678845348881</v>
      </c>
      <c r="E392" s="9">
        <f>IF(OR(C392="",D392="",D392=0),"",C392/D392)</f>
        <v>0.91129440452078703</v>
      </c>
      <c r="F392" t="str">
        <f>IF(E392="","",IF(E392&gt;=0.9,"Expected",IF(E392&gt;=0.7,"Moderate","Poor")))</f>
        <v>Expected</v>
      </c>
      <c r="G392" t="s">
        <v>875</v>
      </c>
    </row>
    <row r="393" spans="1:7" ht="15" hidden="1"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IF(OR(C393="",D393="",D393=0),"",C393/D393)</f>
        <v>1.0936251269386308</v>
      </c>
      <c r="F393" t="str">
        <f>IF(E393="","",IF(E393&gt;=0.9,"Expected",IF(E393&gt;=0.7,"Moderate","Poor")))</f>
        <v>Expected</v>
      </c>
      <c r="G393" t="s">
        <v>874</v>
      </c>
    </row>
    <row r="394" spans="1:7" ht="15" customHeight="1" x14ac:dyDescent="0.3">
      <c r="A394" t="s">
        <v>199</v>
      </c>
      <c r="B394" s="2">
        <v>46266</v>
      </c>
      <c r="C394" cm="1">
        <f t="array" ref="C394">IFERROR(IF(SUMPRODUCT((measured[Site Name]=A394)*(measured[Date]=B394)*ISNUMBER(measured[Measured Value (kWh)]))=0,"",SUMIFS(measured[Measured Value (kWh)],measured[Site Name],A394,measured[Date],B394)),"")</f>
        <v>2619.92</v>
      </c>
      <c r="D394" cm="1">
        <f t="array" ref="D394">IFERROR(IF(SUMPRODUCT((expected_production[Site Name]=A394)*(expected_production[Date]=B394)*ISNUMBER(expected_production[Expected Production (kWh)]))=0,"",SUMIFS(expected_production[Expected Production (kWh)],expected_production[Site Name],A394,expected_production[Date],B394)),"")</f>
        <v>3588.8101474897517</v>
      </c>
      <c r="E394" s="9">
        <f>IF(OR(C394="",D394="",D394=0),"",C394/D394)</f>
        <v>0.7300246857116538</v>
      </c>
      <c r="F394" t="str">
        <f>IF(E394="","",IF(E394&gt;=0.9,"Expected",IF(E394&gt;=0.7,"Moderate","Poor")))</f>
        <v>Moderate</v>
      </c>
      <c r="G394" t="s">
        <v>874</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IF(OR(C395="",D395="",D395=0),"",C395/D395)</f>
        <v/>
      </c>
      <c r="F395" t="str">
        <f>IF(E395="","",IF(E395&gt;=0.9,"Expected",IF(E395&gt;=0.7,"Moderate","Poor")))</f>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IF(OR(C396="",D396="",D396=0),"",C396/D396)</f>
        <v/>
      </c>
      <c r="F396" t="str">
        <f>IF(E396="","",IF(E396&gt;=0.9,"Expected",IF(E396&gt;=0.7,"Moderate","Poor")))</f>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IF(OR(C397="",D397="",D397=0),"",C397/D397)</f>
        <v/>
      </c>
      <c r="F397" t="str">
        <f>IF(E397="","",IF(E397&gt;=0.9,"Expected",IF(E397&gt;=0.7,"Moderate","Poor")))</f>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IF(OR(C398="",D398="",D398=0),"",C398/D398)</f>
        <v/>
      </c>
      <c r="F398" t="str">
        <f>IF(E398="","",IF(E398&gt;=0.9,"Expected",IF(E398&gt;=0.7,"Moderate","Poor")))</f>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IF(OR(C399="",D399="",D399=0),"",C399/D399)</f>
        <v/>
      </c>
      <c r="F399" t="str">
        <f>IF(E399="","",IF(E399&gt;=0.9,"Expected",IF(E399&gt;=0.7,"Moderate","Poor")))</f>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IF(OR(C400="",D400="",D400=0),"",C400/D400)</f>
        <v/>
      </c>
      <c r="F400" t="str">
        <f>IF(E400="","",IF(E400&gt;=0.9,"Expected",IF(E400&gt;=0.7,"Moderate","Poor")))</f>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IF(OR(C401="",D401="",D401=0),"",C401/D401)</f>
        <v/>
      </c>
      <c r="F401" t="str">
        <f>IF(E401="","",IF(E401&gt;=0.9,"Expected",IF(E401&gt;=0.7,"Moderate","Poor")))</f>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IF(OR(C402="",D402="",D402=0),"",C402/D402)</f>
        <v/>
      </c>
      <c r="F402" t="str">
        <f>IF(E402="","",IF(E402&gt;=0.9,"Expected",IF(E402&gt;=0.7,"Moderate","Poor")))</f>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IF(OR(C403="",D403="",D403=0),"",C403/D403)</f>
        <v/>
      </c>
      <c r="F403" t="str">
        <f>IF(E403="","",IF(E403&gt;=0.9,"Expected",IF(E403&gt;=0.7,"Moderate","Poor")))</f>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5371.7900546589817</v>
      </c>
      <c r="E404" s="9" t="str">
        <f>IF(OR(C404="",D404="",D404=0),"",C404/D404)</f>
        <v/>
      </c>
      <c r="F404" t="str">
        <f>IF(E404="","",IF(E404&gt;=0.9,"Expected",IF(E404&gt;=0.7,"Moderate","Poor")))</f>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6481.1605843598109</v>
      </c>
      <c r="E405" s="9" t="str">
        <f>IF(OR(C405="",D405="",D405=0),"",C405/D405)</f>
        <v/>
      </c>
      <c r="F405" t="str">
        <f>IF(E405="","",IF(E405&gt;=0.9,"Expected",IF(E405&gt;=0.7,"Moderate","Poor")))</f>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6906.0613163681255</v>
      </c>
      <c r="E406" s="9" t="str">
        <f>IF(OR(C406="",D406="",D406=0),"",C406/D406)</f>
        <v/>
      </c>
      <c r="F406" t="str">
        <f>IF(E406="","",IF(E406&gt;=0.9,"Expected",IF(E406&gt;=0.7,"Moderate","Poor")))</f>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8018.735792003773</v>
      </c>
      <c r="E407" s="9" t="str">
        <f>IF(OR(C407="",D407="",D407=0),"",C407/D407)</f>
        <v/>
      </c>
      <c r="F407" t="str">
        <f>IF(E407="","",IF(E407&gt;=0.9,"Expected",IF(E407&gt;=0.7,"Moderate","Poor")))</f>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7993.306525441717</v>
      </c>
      <c r="E408" s="9" t="str">
        <f>IF(OR(C408="",D408="",D408=0),"",C408/D408)</f>
        <v/>
      </c>
      <c r="F408" t="str">
        <f>IF(E408="","",IF(E408&gt;=0.9,"Expected",IF(E408&gt;=0.7,"Moderate","Poor")))</f>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8521.6944262435154</v>
      </c>
      <c r="E409" s="9" t="str">
        <f>IF(OR(C409="",D409="",D409=0),"",C409/D409)</f>
        <v/>
      </c>
      <c r="F409" t="str">
        <f>IF(E409="","",IF(E409&gt;=0.9,"Expected",IF(E409&gt;=0.7,"Moderate","Poor")))</f>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8633.1952538683454</v>
      </c>
      <c r="E410" s="9">
        <f>IF(OR(C410="",D410="",D410=0),"",C410/D410)</f>
        <v>1.030904518927926</v>
      </c>
      <c r="F410" t="str">
        <f>IF(E410="","",IF(E410&gt;=0.9,"Expected",IF(E410&gt;=0.7,"Moderate","Poor")))</f>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8066.1106135647369</v>
      </c>
      <c r="E411" s="9">
        <f>IF(OR(C411="",D411="",D411=0),"",C411/D411)</f>
        <v>0.66822788060154603</v>
      </c>
      <c r="F411" t="str">
        <f>IF(E411="","",IF(E411&gt;=0.9,"Expected",IF(E411&gt;=0.7,"Moderate","Poor")))</f>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7768.8572271571275</v>
      </c>
      <c r="E412" s="9">
        <f>IF(OR(C412="",D412="",D412=0),"",C412/D412)</f>
        <v>0.69225110498883269</v>
      </c>
      <c r="F412" t="str">
        <f>IF(E412="","",IF(E412&gt;=0.9,"Expected",IF(E412&gt;=0.7,"Moderate","Poor")))</f>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6499.2835835504202</v>
      </c>
      <c r="E413" s="9">
        <f>IF(OR(C413="",D413="",D413=0),"",C413/D413)</f>
        <v>0.52467321300314607</v>
      </c>
      <c r="F413" t="str">
        <f>IF(E413="","",IF(E413&gt;=0.9,"Expected",IF(E413&gt;=0.7,"Moderate","Poor")))</f>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5559.6767307455766</v>
      </c>
      <c r="E414" s="9">
        <f>IF(OR(C414="",D414="",D414=0),"",C414/D414)</f>
        <v>0.65255592648701888</v>
      </c>
      <c r="F414" t="str">
        <f>IF(E414="","",IF(E414&gt;=0.9,"Expected",IF(E414&gt;=0.7,"Moderate","Poor")))</f>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5027.01527531387</v>
      </c>
      <c r="E415" s="9">
        <f>IF(OR(C415="",D415="",D415=0),"",C415/D415)</f>
        <v>1.1609274450902916</v>
      </c>
      <c r="F415" t="str">
        <f>IF(E415="","",IF(E415&gt;=0.9,"Expected",IF(E415&gt;=0.7,"Moderate","Poor")))</f>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5334.2131715750957</v>
      </c>
      <c r="E416" s="9">
        <f>IF(OR(C416="",D416="",D416=0),"",C416/D416)</f>
        <v>1.2804137705623837</v>
      </c>
      <c r="F416" t="str">
        <f>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6435.8234041929973</v>
      </c>
      <c r="E417" s="9">
        <f>IF(OR(C417="",D417="",D417=0),"",C417/D417)</f>
        <v>1.1900575138544187</v>
      </c>
      <c r="F417" t="str">
        <f>IF(E417="","",IF(E417&gt;=0.9,"Expected",IF(E417&gt;=0.7,"Moderate","Poor")))</f>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6857.7518597410481</v>
      </c>
      <c r="E418" s="9">
        <f>IF(OR(C418="",D418="",D418=0),"",C418/D418)</f>
        <v>0.84561239872843297</v>
      </c>
      <c r="F418" t="str">
        <f>IF(E418="","",IF(E418&gt;=0.9,"Expected",IF(E418&gt;=0.7,"Moderate","Poor")))</f>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7962.6429264467215</v>
      </c>
      <c r="E419" s="9">
        <f>IF(OR(C419="",D419="",D419=0),"",C419/D419)</f>
        <v>0.81437784663963475</v>
      </c>
      <c r="F419" t="str">
        <f>IF(E419="","",IF(E419&gt;=0.9,"Expected",IF(E419&gt;=0.7,"Moderate","Poor")))</f>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7937.391543340048</v>
      </c>
      <c r="E420" s="9">
        <f>IF(OR(C420="",D420="",D420=0),"",C420/D420)</f>
        <v>0.962028893031876</v>
      </c>
      <c r="F420" t="str">
        <f>IF(E420="","",IF(E420&gt;=0.9,"Expected",IF(E420&gt;=0.7,"Moderate","Poor")))</f>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8462.0832515934871</v>
      </c>
      <c r="E421" s="9">
        <f>IF(OR(C421="",D421="",D421=0),"",C421/D421)</f>
        <v>0.82721946734355711</v>
      </c>
      <c r="F421" t="str">
        <f>IF(E421="","",IF(E421&gt;=0.9,"Expected",IF(E421&gt;=0.7,"Moderate","Poor")))</f>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8572.8041057791525</v>
      </c>
      <c r="E422" s="9">
        <f>IF(OR(C422="",D422="",D422=0),"",C422/D422)</f>
        <v>0.73546530659083109</v>
      </c>
      <c r="F422" t="str">
        <f>IF(E422="","",IF(E422&gt;=0.9,"Expected",IF(E422&gt;=0.7,"Moderate","Poor")))</f>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8009.6863504450848</v>
      </c>
      <c r="E423" s="9">
        <f>IF(OR(C423="",D423="",D423=0),"",C423/D423)</f>
        <v>0.54601837183761581</v>
      </c>
      <c r="F423" t="str">
        <f>IF(E423="","",IF(E423&gt;=0.9,"Expected",IF(E423&gt;=0.7,"Moderate","Poor")))</f>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7714.5123185233488</v>
      </c>
      <c r="E424" s="9">
        <f>IF(OR(C424="",D424="",D424=0),"",C424/D424)</f>
        <v>0.64268482507900404</v>
      </c>
      <c r="F424" t="str">
        <f>IF(E424="","",IF(E424&gt;=0.9,"Expected",IF(E424&gt;=0.7,"Moderate","Poor")))</f>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6453.8196289164762</v>
      </c>
      <c r="E425" s="9">
        <f>IF(OR(C425="",D425="",D425=0),"",C425/D425)</f>
        <v>1.0816106432109804</v>
      </c>
      <c r="F425" t="str">
        <f>IF(E425="","",IF(E425&gt;=0.9,"Expected",IF(E425&gt;=0.7,"Moderate","Poor")))</f>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5520.7855379830762</v>
      </c>
      <c r="E426" s="9">
        <f>IF(OR(C426="",D426="",D426=0),"",C426/D426)</f>
        <v>1.2016369689346074</v>
      </c>
      <c r="F426" t="str">
        <f>IF(E426="","",IF(E426&gt;=0.9,"Expected",IF(E426&gt;=0.7,"Moderate","Poor")))</f>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4991.8501695782979</v>
      </c>
      <c r="E427" s="9">
        <f>IF(OR(C427="",D427="",D427=0),"",C427/D427)</f>
        <v>1.079203064393077</v>
      </c>
      <c r="F427" t="str">
        <f>IF(E427="","",IF(E427&gt;=0.9,"Expected",IF(E427&gt;=0.7,"Moderate","Poor")))</f>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IF(OR(C428="",D428="",D428=0),"",C428/D428)</f>
        <v>1.1855279884589565</v>
      </c>
      <c r="F428" t="str">
        <f>IF(E428="","",IF(E428&gt;=0.9,"Expected",IF(E428&gt;=0.7,"Moderate","Poor")))</f>
        <v>Expected</v>
      </c>
      <c r="G428" t="s">
        <v>874</v>
      </c>
    </row>
    <row r="429" spans="1:7" ht="15" hidden="1"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6390.8033678276242</v>
      </c>
      <c r="E429" s="9">
        <f>IF(OR(C429="",D429="",D429=0),"",C429/D429)</f>
        <v>1.0319683802510455</v>
      </c>
      <c r="F429" t="str">
        <f>IF(E429="","",IF(E429&gt;=0.9,"Expected",IF(E429&gt;=0.7,"Moderate","Poor")))</f>
        <v>Expected</v>
      </c>
      <c r="G429" t="s">
        <v>874</v>
      </c>
    </row>
    <row r="430" spans="1:7" ht="15" customHeight="1" x14ac:dyDescent="0.3">
      <c r="A430" t="s">
        <v>211</v>
      </c>
      <c r="B430" s="2">
        <v>46266</v>
      </c>
      <c r="C430" cm="1">
        <f t="array" ref="C430">IFERROR(IF(SUMPRODUCT((measured[Site Name]=A430)*(measured[Date]=B430)*ISNUMBER(measured[Measured Value (kWh)]))=0,"",SUMIFS(measured[Measured Value (kWh)],measured[Site Name],A430,measured[Date],B430)),"")</f>
        <v>3820.9749139999999</v>
      </c>
      <c r="D430" cm="1">
        <f t="array" ref="D430">IFERROR(IF(SUMPRODUCT((expected_production[Site Name]=A430)*(expected_production[Date]=B430)*ISNUMBER(expected_production[Expected Production (kWh)]))=0,"",SUMIFS(expected_production[Expected Production (kWh)],expected_production[Site Name],A430,expected_production[Date],B430)),"")</f>
        <v>5210.7544290851401</v>
      </c>
      <c r="E430" s="9">
        <f>IF(OR(C430="",D430="",D430=0),"",C430/D430)</f>
        <v>0.73328631506260677</v>
      </c>
      <c r="F430" t="str">
        <f>IF(E430="","",IF(E430&gt;=0.9,"Expected",IF(E430&gt;=0.7,"Moderate","Poor")))</f>
        <v>Moderate</v>
      </c>
      <c r="G430" t="s">
        <v>874</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7906.9424431364505</v>
      </c>
      <c r="E431" s="9" t="str">
        <f>IF(OR(C431="",D431="",D431=0),"",C431/D431)</f>
        <v/>
      </c>
      <c r="F431" t="str">
        <f>IF(E431="","",IF(E431&gt;=0.9,"Expected",IF(E431&gt;=0.7,"Moderate","Poor")))</f>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7881.8676991502653</v>
      </c>
      <c r="E432" s="9" t="str">
        <f>IF(OR(C432="",D432="",D432=0),"",C432/D432)</f>
        <v/>
      </c>
      <c r="F432" t="str">
        <f>IF(E432="","",IF(E432&gt;=0.9,"Expected",IF(E432&gt;=0.7,"Moderate","Poor")))</f>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8402.8890705559315</v>
      </c>
      <c r="E433" s="9" t="str">
        <f>IF(OR(C433="",D433="",D433=0),"",C433/D433)</f>
        <v/>
      </c>
      <c r="F433" t="str">
        <f>IF(E433="","",IF(E433&gt;=0.9,"Expected",IF(E433&gt;=0.7,"Moderate","Poor")))</f>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5698.072798844687</v>
      </c>
      <c r="E434" s="9">
        <f>IF(OR(C434="",D434="",D434=0),"",C434/D434)</f>
        <v>0.62793160535356052</v>
      </c>
      <c r="F434" t="str">
        <f>IF(E434="","",IF(E434&gt;=0.9,"Expected",IF(E434&gt;=0.7,"Moderate","Poor")))</f>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4767.7808962866084</v>
      </c>
      <c r="E435" s="9">
        <f>IF(OR(C435="",D435="",D435=0),"",C435/D435)</f>
        <v>0.75380980757718774</v>
      </c>
      <c r="F435" t="str">
        <f>IF(E435="","",IF(E435&gt;=0.9,"Expected",IF(E435&gt;=0.7,"Moderate","Poor")))</f>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4848.6120289080909</v>
      </c>
      <c r="E436" s="9">
        <f>IF(OR(C436="",D436="",D436=0),"",C436/D436)</f>
        <v>0.75774262368180989</v>
      </c>
      <c r="F436" t="str">
        <f>IF(E436="","",IF(E436&gt;=0.9,"Expected",IF(E436&gt;=0.7,"Moderate","Poor")))</f>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4092.9885990737762</v>
      </c>
      <c r="E437" s="9">
        <f>IF(OR(C437="",D437="",D437=0),"",C437/D437)</f>
        <v>0.86318344517243495</v>
      </c>
      <c r="F437" t="str">
        <f>IF(E437="","",IF(E437&gt;=0.9,"Expected",IF(E437&gt;=0.7,"Moderate","Poor")))</f>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3881.2614166993731</v>
      </c>
      <c r="E438" s="9">
        <f>IF(OR(C438="",D438="",D438=0),"",C438/D438)</f>
        <v>0.82215539161328333</v>
      </c>
      <c r="F438" t="str">
        <f>IF(E438="","",IF(E438&gt;=0.9,"Expected",IF(E438&gt;=0.7,"Moderate","Poor")))</f>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3411.7010836351374</v>
      </c>
      <c r="E439" s="9">
        <f>IF(OR(C439="",D439="",D439=0),"",C439/D439)</f>
        <v>0.84532610838436162</v>
      </c>
      <c r="F439" t="str">
        <f>IF(E439="","",IF(E439&gt;=0.9,"Expected",IF(E439&gt;=0.7,"Moderate","Poor")))</f>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3814.6833236232887</v>
      </c>
      <c r="E440" s="9">
        <f>IF(OR(C440="",D440="",D440=0),"",C440/D440)</f>
        <v>1.0207924668046557</v>
      </c>
      <c r="F440" t="str">
        <f>IF(E440="","",IF(E440&gt;=0.9,"Expected",IF(E440&gt;=0.7,"Moderate","Poor")))</f>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4487.2194731216714</v>
      </c>
      <c r="E441" s="9">
        <f>IF(OR(C441="",D441="",D441=0),"",C441/D441)</f>
        <v>0.90434622694684652</v>
      </c>
      <c r="F441" t="str">
        <f>IF(E441="","",IF(E441&gt;=0.9,"Expected",IF(E441&gt;=0.7,"Moderate","Poor")))</f>
        <v>Expected</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4950.0809277091321</v>
      </c>
      <c r="E442" s="9">
        <f>IF(OR(C442="",D442="",D442=0),"",C442/D442)</f>
        <v>0.75271496656608616</v>
      </c>
      <c r="F442" t="str">
        <f>IF(E442="","",IF(E442&gt;=0.9,"Expected",IF(E442&gt;=0.7,"Moderate","Poor")))</f>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5516.8687105743365</v>
      </c>
      <c r="E443" s="9">
        <f>IF(OR(C443="",D443="",D443=0),"",C443/D443)</f>
        <v>0.73646849565448858</v>
      </c>
      <c r="F443" t="str">
        <f>IF(E443="","",IF(E443&gt;=0.9,"Expected",IF(E443&gt;=0.7,"Moderate","Poor")))</f>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5610.8217974448889</v>
      </c>
      <c r="E444" s="9">
        <f>IF(OR(C444="",D444="",D444=0),"",C444/D444)</f>
        <v>0.71255159125186407</v>
      </c>
      <c r="F444" t="str">
        <f>IF(E444="","",IF(E444&gt;=0.9,"Expected",IF(E444&gt;=0.7,"Moderate","Poor")))</f>
        <v>Moderate</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5916.8110569194505</v>
      </c>
      <c r="E445" s="9">
        <f>IF(OR(C445="",D445="",D445=0),"",C445/D445)</f>
        <v>0.60725278624507439</v>
      </c>
      <c r="F445" t="str">
        <f>IF(E445="","",IF(E445&gt;=0.9,"Expected",IF(E445&gt;=0.7,"Moderate","Poor")))</f>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5658.1046746875436</v>
      </c>
      <c r="E446" s="9">
        <f>IF(OR(C446="",D446="",D446=0),"",C446/D446)</f>
        <v>0.65852440246799782</v>
      </c>
      <c r="F446" t="str">
        <f>IF(E446="","",IF(E446&gt;=0.9,"Expected",IF(E446&gt;=0.7,"Moderate","Poor")))</f>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4734.3381401927445</v>
      </c>
      <c r="E447" s="9">
        <f>IF(OR(C447="",D447="",D447=0),"",C447/D447)</f>
        <v>0.64634166580155195</v>
      </c>
      <c r="F447" t="str">
        <f>IF(E447="","",IF(E447&gt;=0.9,"Expected",IF(E447&gt;=0.7,"Moderate","Poor")))</f>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4814.6948941214514</v>
      </c>
      <c r="E448" s="9">
        <f>IF(OR(C448="",D448="",D448=0),"",C448/D448)</f>
        <v>0.69578656045063525</v>
      </c>
      <c r="F448" t="str">
        <f>IF(E448="","",IF(E448&gt;=0.9,"Expected",IF(E448&gt;=0.7,"Moderate","Poor")))</f>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4064.3572206159233</v>
      </c>
      <c r="E449" s="9">
        <f>IF(OR(C449="",D449="",D449=0),"",C449/D449)</f>
        <v>0.58631657372844648</v>
      </c>
      <c r="F449" t="str">
        <f>IF(E449="","",IF(E449&gt;=0.9,"Expected",IF(E449&gt;=0.7,"Moderate","Poor")))</f>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3854.1111176390414</v>
      </c>
      <c r="E450" s="9">
        <f>IF(OR(C450="",D450="",D450=0),"",C450/D450)</f>
        <v>0.78513564026500426</v>
      </c>
      <c r="F450" t="str">
        <f>IF(E450="","",IF(E450&gt;=0.9,"Expected",IF(E450&gt;=0.7,"Moderate","Poor")))</f>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3387.8354650177953</v>
      </c>
      <c r="E451" s="9">
        <f>IF(OR(C451="",D451="",D451=0),"",C451/D451)</f>
        <v>0.77863875835721674</v>
      </c>
      <c r="F451" t="str">
        <f>IF(E451="","",IF(E451&gt;=0.9,"Expected",IF(E451&gt;=0.7,"Moderate","Poor")))</f>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3787.9987533412623</v>
      </c>
      <c r="E452" s="9">
        <f>IF(OR(C452="",D452="",D452=0),"",C452/D452)</f>
        <v>0.66156304771471863</v>
      </c>
      <c r="F452" t="str">
        <f>IF(E452="","",IF(E452&gt;=0.9,"Expected",IF(E452&gt;=0.7,"Moderate","Poor")))</f>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4455.8303607778298</v>
      </c>
      <c r="E453" s="9">
        <f>IF(OR(C453="",D453="",D453=0),"",C453/D453)</f>
        <v>0.48116733053224531</v>
      </c>
      <c r="F453" t="str">
        <f>IF(E453="","",IF(E453&gt;=0.9,"Expected",IF(E453&gt;=0.7,"Moderate","Poor")))</f>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4915.4539950882317</v>
      </c>
      <c r="E454" s="9">
        <f>IF(OR(C454="",D454="",D454=0),"",C454/D454)</f>
        <v>0.51266882011674009</v>
      </c>
      <c r="F454" t="str">
        <f>IF(E454="","",IF(E454&gt;=0.9,"Expected",IF(E454&gt;=0.7,"Moderate","Poor")))</f>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5478.2769695686356</v>
      </c>
      <c r="E455" s="9">
        <f>IF(OR(C455="",D455="",D455=0),"",C455/D455)</f>
        <v>0.545609507625051</v>
      </c>
      <c r="F455" t="str">
        <f>IF(E455="","",IF(E455&gt;=0.9,"Expected",IF(E455&gt;=0.7,"Moderate","Poor")))</f>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5571.5728334046362</v>
      </c>
      <c r="E456" s="9">
        <f>IF(OR(C456="",D456="",D456=0),"",C456/D456)</f>
        <v>0.42788635656104357</v>
      </c>
      <c r="F456" t="str">
        <f>IF(E456="","",IF(E456&gt;=0.9,"Expected",IF(E456&gt;=0.7,"Moderate","Poor")))</f>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5875.4216289907708</v>
      </c>
      <c r="E457" s="9">
        <f>IF(OR(C457="",D457="",D457=0),"",C457/D457)</f>
        <v>0.36865439397785937</v>
      </c>
      <c r="F457" t="str">
        <f>IF(E457="","",IF(E457&gt;=0.9,"Expected",IF(E457&gt;=0.7,"Moderate","Poor")))</f>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5618.5249562559347</v>
      </c>
      <c r="E458" s="9">
        <f>IF(OR(C458="",D458="",D458=0),"",C458/D458)</f>
        <v>0.49052020262566204</v>
      </c>
      <c r="F458" t="str">
        <f>IF(E458="","",IF(E458&gt;=0.9,"Expected",IF(E458&gt;=0.7,"Moderate","Poor")))</f>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4701.2203770330862</v>
      </c>
      <c r="E459" s="9">
        <f>IF(OR(C459="",D459="",D459=0),"",C459/D459)</f>
        <v>0.32459656804326414</v>
      </c>
      <c r="F459" t="str">
        <f>IF(E459="","",IF(E459&gt;=0.9,"Expected",IF(E459&gt;=0.7,"Moderate","Poor")))</f>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4781.0150173429338</v>
      </c>
      <c r="E460" s="9">
        <f>IF(OR(C460="",D460="",D460=0),"",C460/D460)</f>
        <v>0.39928759752378556</v>
      </c>
      <c r="F460" t="str">
        <f>IF(E460="","",IF(E460&gt;=0.9,"Expected",IF(E460&gt;=0.7,"Moderate","Poor")))</f>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4035.9261251084272</v>
      </c>
      <c r="E461" s="9">
        <f>IF(OR(C461="",D461="",D461=0),"",C461/D461)</f>
        <v>0.54284938130306848</v>
      </c>
      <c r="F461" t="str">
        <f>IF(E461="","",IF(E461&gt;=0.9,"Expected",IF(E461&gt;=0.7,"Moderate","Poor")))</f>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3827.1507410446102</v>
      </c>
      <c r="E462" s="9">
        <f>IF(OR(C462="",D462="",D462=0),"",C462/D462)</f>
        <v>0.60444444353623539</v>
      </c>
      <c r="F462" t="str">
        <f>IF(E462="","",IF(E462&gt;=0.9,"Expected",IF(E462&gt;=0.7,"Moderate","Poor")))</f>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3364.1367917857683</v>
      </c>
      <c r="E463" s="9">
        <f>IF(OR(C463="",D463="",D463=0),"",C463/D463)</f>
        <v>0.35194763866052636</v>
      </c>
      <c r="F463" t="str">
        <f>IF(E463="","",IF(E463&gt;=0.9,"Expected",IF(E463&gt;=0.7,"Moderate","Poor")))</f>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IF(OR(C464="",D464="",D464=0),"",C464/D464)</f>
        <v>1.0244818671351643</v>
      </c>
      <c r="F464" t="str">
        <f>IF(E464="","",IF(E464&gt;=0.9,"Expected",IF(E464&gt;=0.7,"Moderate","Poor")))</f>
        <v>Expected</v>
      </c>
      <c r="G464" t="s">
        <v>874</v>
      </c>
    </row>
    <row r="465" spans="1:7" ht="15" hidden="1"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4424.6608223549047</v>
      </c>
      <c r="E465" s="9">
        <f>IF(OR(C465="",D465="",D465=0),"",C465/D465)</f>
        <v>0.90877022249581896</v>
      </c>
      <c r="F465" t="str">
        <f>IF(E465="","",IF(E465&gt;=0.9,"Expected",IF(E465&gt;=0.7,"Moderate","Poor")))</f>
        <v>Expected</v>
      </c>
      <c r="G465" t="s">
        <v>874</v>
      </c>
    </row>
    <row r="466" spans="1:7" ht="15" customHeight="1" x14ac:dyDescent="0.3">
      <c r="A466" t="s">
        <v>120</v>
      </c>
      <c r="B466" s="2">
        <v>46266</v>
      </c>
      <c r="C466" cm="1">
        <f t="array" ref="C466">IFERROR(IF(SUMPRODUCT((measured[Site Name]=A466)*(measured[Date]=B466)*ISNUMBER(measured[Measured Value (kWh)]))=0,"",SUMIFS(measured[Measured Value (kWh)],measured[Site Name],A466,measured[Date],B466)),"")</f>
        <v>7912.61</v>
      </c>
      <c r="D466" cm="1">
        <f t="array" ref="D466">IFERROR(IF(SUMPRODUCT((expected_production[Site Name]=A466)*(expected_production[Date]=B466)*ISNUMBER(expected_production[Expected Production (kWh)]))=0,"",SUMIFS(expected_production[Expected Production (kWh)],expected_production[Site Name],A466,expected_production[Date],B466)),"")</f>
        <v>10701.9</v>
      </c>
      <c r="E466" s="9">
        <f>IF(OR(C466="",D466="",D466=0),"",C466/D466)</f>
        <v>0.73936497257496336</v>
      </c>
      <c r="F466" t="str">
        <f>IF(E466="","",IF(E466&gt;=0.9,"Expected",IF(E466&gt;=0.7,"Moderate","Poor")))</f>
        <v>Moderate</v>
      </c>
      <c r="G466" t="s">
        <v>874</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5439.9551864959558</v>
      </c>
      <c r="E467" s="9" t="str">
        <f>IF(OR(C467="",D467="",D467=0),"",C467/D467)</f>
        <v/>
      </c>
      <c r="F467" t="str">
        <f>IF(E467="","",IF(E467&gt;=0.9,"Expected",IF(E467&gt;=0.7,"Moderate","Poor")))</f>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5532.5984247207707</v>
      </c>
      <c r="E468" s="9" t="str">
        <f>IF(OR(C468="",D468="",D468=0),"",C468/D468)</f>
        <v/>
      </c>
      <c r="F468" t="str">
        <f>IF(E468="","",IF(E468&gt;=0.9,"Expected",IF(E468&gt;=0.7,"Moderate","Poor")))</f>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5834.3217294461801</v>
      </c>
      <c r="E469" s="9" t="str">
        <f>IF(OR(C469="",D469="",D469=0),"",C469/D469)</f>
        <v/>
      </c>
      <c r="F469" t="str">
        <f>IF(E469="","",IF(E469&gt;=0.9,"Expected",IF(E469&gt;=0.7,"Moderate","Poor")))</f>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4836.2762911961117</v>
      </c>
      <c r="E470" s="9">
        <f>IF(OR(C470="",D470="",D470=0),"",C470/D470)</f>
        <v>1.1713557412574804</v>
      </c>
      <c r="F470" t="str">
        <f>IF(E470="","",IF(E470&gt;=0.9,"Expected",IF(E470&gt;=0.7,"Moderate","Poor")))</f>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4437.8259590564821</v>
      </c>
      <c r="E471" s="9">
        <f>IF(OR(C471="",D471="",D471=0),"",C471/D471)</f>
        <v>0.8008425821087426</v>
      </c>
      <c r="F471" t="str">
        <f>IF(E471="","",IF(E471&gt;=0.9,"Expected",IF(E471&gt;=0.7,"Moderate","Poor")))</f>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4487.0023832756824</v>
      </c>
      <c r="E472" s="9">
        <f>IF(OR(C472="",D472="",D472=0),"",C472/D472)</f>
        <v>2.2286593912391951E-4</v>
      </c>
      <c r="F472" t="str">
        <f>IF(E472="","",IF(E472&gt;=0.9,"Expected",IF(E472&gt;=0.7,"Moderate","Poor")))</f>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3751.4232495172655</v>
      </c>
      <c r="E473" s="9">
        <f>IF(OR(C473="",D473="",D473=0),"",C473/D473)</f>
        <v>2.665654962096533E-4</v>
      </c>
      <c r="F473" t="str">
        <f>IF(E473="","",IF(E473&gt;=0.9,"Expected",IF(E473&gt;=0.7,"Moderate","Poor")))</f>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3470.7889431050885</v>
      </c>
      <c r="E474" s="9">
        <f>IF(OR(C474="",D474="",D474=0),"",C474/D474)</f>
        <v>2.8811893099594963E-4</v>
      </c>
      <c r="F474" t="str">
        <f>IF(E474="","",IF(E474&gt;=0.9,"Expected",IF(E474&gt;=0.7,"Moderate","Poor")))</f>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3139.1910035860551</v>
      </c>
      <c r="E475" s="9">
        <f>IF(OR(C475="",D475="",D475=0),"",C475/D475)</f>
        <v>1.054093234919431</v>
      </c>
      <c r="F475" t="str">
        <f>IF(E475="","",IF(E475&gt;=0.9,"Expected",IF(E475&gt;=0.7,"Moderate","Poor")))</f>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3361.9867879769108</v>
      </c>
      <c r="E476" s="9">
        <f>IF(OR(C476="",D476="",D476=0),"",C476/D476)</f>
        <v>0.68203718354878551</v>
      </c>
      <c r="F476" t="str">
        <f>IF(E476="","",IF(E476&gt;=0.9,"Expected",IF(E476&gt;=0.7,"Moderate","Poor")))</f>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3793.628931443428</v>
      </c>
      <c r="E477" s="9">
        <f>IF(OR(C477="",D477="",D477=0),"",C477/D477)</f>
        <v>0.51850089598815385</v>
      </c>
      <c r="F477" t="str">
        <f>IF(E477="","",IF(E477&gt;=0.9,"Expected",IF(E477&gt;=0.7,"Moderate","Poor")))</f>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3740.9020430466321</v>
      </c>
      <c r="E478" s="9">
        <f>IF(OR(C478="",D478="",D478=0),"",C478/D478)</f>
        <v>0.80435145464259128</v>
      </c>
      <c r="F478" t="str">
        <f>IF(E478="","",IF(E478&gt;=0.9,"Expected",IF(E478&gt;=0.7,"Moderate","Poor")))</f>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4164.1158912418659</v>
      </c>
      <c r="E479" s="9">
        <f>IF(OR(C479="",D479="",D479=0),"",C479/D479)</f>
        <v>1.0806615659916139</v>
      </c>
      <c r="F479" t="str">
        <f>IF(E479="","",IF(E479&gt;=0.9,"Expected",IF(E479&gt;=0.7,"Moderate","Poor")))</f>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4256.5219322670373</v>
      </c>
      <c r="E480" s="9">
        <f>IF(OR(C480="",D480="",D480=0),"",C480/D480)</f>
        <v>0.92046982544578615</v>
      </c>
      <c r="F480" t="str">
        <f>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4963.1890876120324</v>
      </c>
      <c r="E481" s="9">
        <f>IF(OR(C481="",D481="",D481=0),"",C481/D481)</f>
        <v>0.52043151175664226</v>
      </c>
      <c r="F481" t="str">
        <f>IF(E481="","",IF(E481&gt;=0.9,"Expected",IF(E481&gt;=0.7,"Moderate","Poor")))</f>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4802.3530862654961</v>
      </c>
      <c r="E482" s="9">
        <f>IF(OR(C482="",D482="",D482=0),"",C482/D482)</f>
        <v>0.71340027242024306</v>
      </c>
      <c r="F482" t="str">
        <f>IF(E482="","",IF(E482&gt;=0.9,"Expected",IF(E482&gt;=0.7,"Moderate","Poor")))</f>
        <v>Moderate</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4406.6976135296709</v>
      </c>
      <c r="E483" s="9">
        <f>IF(OR(C483="",D483="",D483=0),"",C483/D483)</f>
        <v>0.7671186671899467</v>
      </c>
      <c r="F483" t="str">
        <f>IF(E483="","",IF(E483&gt;=0.9,"Expected",IF(E483&gt;=0.7,"Moderate","Poor")))</f>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4455.6147895242784</v>
      </c>
      <c r="E484" s="9">
        <f>IF(OR(C484="",D484="",D484=0),"",C484/D484)</f>
        <v>0.83422831092560867</v>
      </c>
      <c r="F484" t="str">
        <f>IF(E484="","",IF(E484&gt;=0.9,"Expected",IF(E484&gt;=0.7,"Moderate","Poor")))</f>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3725.181197722442</v>
      </c>
      <c r="E485" s="9">
        <f>IF(OR(C485="",D485="",D485=0),"",C485/D485)</f>
        <v>0.54413460511378564</v>
      </c>
      <c r="F485" t="str">
        <f>IF(E485="","",IF(E485&gt;=0.9,"Expected",IF(E485&gt;=0.7,"Moderate","Poor")))</f>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3446.5099915829996</v>
      </c>
      <c r="E486" s="9">
        <f>IF(OR(C486="",D486="",D486=0),"",C486/D486)</f>
        <v>0.92818532597106529</v>
      </c>
      <c r="F486" t="str">
        <f>IF(E486="","",IF(E486&gt;=0.9,"Expected",IF(E486&gt;=0.7,"Moderate","Poor")))</f>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3117.2316544455521</v>
      </c>
      <c r="E487" s="9">
        <f>IF(OR(C487="",D487="",D487=0),"",C487/D487)</f>
        <v>0.93012336630968317</v>
      </c>
      <c r="F487" t="str">
        <f>IF(E487="","",IF(E487&gt;=0.9,"Expected",IF(E487&gt;=0.7,"Moderate","Poor")))</f>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3338.4689320711673</v>
      </c>
      <c r="E488" s="9">
        <f>IF(OR(C488="",D488="",D488=0),"",C488/D488)</f>
        <v>1.1097901689027967</v>
      </c>
      <c r="F488" t="str">
        <f>IF(E488="","",IF(E488&gt;=0.9,"Expected",IF(E488&gt;=0.7,"Moderate","Poor")))</f>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3767.0916413836912</v>
      </c>
      <c r="E489" s="9">
        <f>IF(OR(C489="",D489="",D489=0),"",C489/D489)</f>
        <v>1.1260676415192996</v>
      </c>
      <c r="F489" t="str">
        <f>IF(E489="","",IF(E489&gt;=0.9,"Expected",IF(E489&gt;=0.7,"Moderate","Poor")))</f>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3714.7335894642156</v>
      </c>
      <c r="E490" s="9">
        <f>IF(OR(C490="",D490="",D490=0),"",C490/D490)</f>
        <v>1.0574109570443098</v>
      </c>
      <c r="F490" t="str">
        <f>IF(E490="","",IF(E490&gt;=0.9,"Expected",IF(E490&gt;=0.7,"Moderate","Poor")))</f>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4134.9869613319497</v>
      </c>
      <c r="E491" s="9">
        <f>IF(OR(C491="",D491="",D491=0),"",C491/D491)</f>
        <v>1.1632442967729739</v>
      </c>
      <c r="F491" t="str">
        <f>IF(E491="","",IF(E491&gt;=0.9,"Expected",IF(E491&gt;=0.7,"Moderate","Poor")))</f>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4226.7466012572058</v>
      </c>
      <c r="E492" s="9">
        <f>IF(OR(C492="",D492="",D492=0),"",C492/D492)</f>
        <v>1.3144861814870616</v>
      </c>
      <c r="F492" t="str">
        <f>IF(E492="","",IF(E492&gt;=0.9,"Expected",IF(E492&gt;=0.7,"Moderate","Poor")))</f>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4928.4704604559583</v>
      </c>
      <c r="E493" s="9">
        <f>IF(OR(C493="",D493="",D493=0),"",C493/D493)</f>
        <v>1.155733821619179</v>
      </c>
      <c r="F493" t="str">
        <f>IF(E493="","",IF(E493&gt;=0.9,"Expected",IF(E493&gt;=0.7,"Moderate","Poor")))</f>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4768.7595432167273</v>
      </c>
      <c r="E494" s="9">
        <f>IF(OR(C494="",D494="",D494=0),"",C494/D494)</f>
        <v>1.2498009065015117</v>
      </c>
      <c r="F494" t="str">
        <f>IF(E494="","",IF(E494&gt;=0.9,"Expected",IF(E494&gt;=0.7,"Moderate","Poor")))</f>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4375.8717697560442</v>
      </c>
      <c r="E495" s="9">
        <f>IF(OR(C495="",D495="",D495=0),"",C495/D495)</f>
        <v>1.267861649499227</v>
      </c>
      <c r="F495" t="str">
        <f>IF(E495="","",IF(E495&gt;=0.9,"Expected",IF(E495&gt;=0.7,"Moderate","Poor")))</f>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4424.4467590708964</v>
      </c>
      <c r="E496" s="9">
        <f>IF(OR(C496="",D496="",D496=0),"",C496/D496)</f>
        <v>1.1382214035405245</v>
      </c>
      <c r="F496" t="str">
        <f>IF(E496="","",IF(E496&gt;=0.9,"Expected",IF(E496&gt;=0.7,"Moderate","Poor")))</f>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3699.1227149990341</v>
      </c>
      <c r="E497" s="9">
        <f>IF(OR(C497="",D497="",D497=0),"",C497/D497)</f>
        <v>1.1308816501377119</v>
      </c>
      <c r="F497" t="str">
        <f>IF(E497="","",IF(E497&gt;=0.9,"Expected",IF(E497&gt;=0.7,"Moderate","Poor")))</f>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3422.4008768031263</v>
      </c>
      <c r="E498" s="9">
        <f>IF(OR(C498="",D498="",D498=0),"",C498/D498)</f>
        <v>1.2622717663733547</v>
      </c>
      <c r="F498" t="str">
        <f>IF(E498="","",IF(E498&gt;=0.9,"Expected",IF(E498&gt;=0.7,"Moderate","Poor")))</f>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3095.4259159053991</v>
      </c>
      <c r="E499" s="9">
        <f>IF(OR(C499="",D499="",D499=0),"",C499/D499)</f>
        <v>1.1339311924618747</v>
      </c>
      <c r="F499" t="str">
        <f>IF(E499="","",IF(E499&gt;=0.9,"Expected",IF(E499&gt;=0.7,"Moderate","Poor")))</f>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5296.8991472641583</v>
      </c>
      <c r="E500" s="9">
        <f>IF(OR(C500="",D500="",D500=0),"",C500/D500)</f>
        <v>1.0522760288684863</v>
      </c>
      <c r="F500" t="str">
        <f>IF(E500="","",IF(E500&gt;=0.9,"Expected",IF(E500&gt;=0.7,"Moderate","Poor")))</f>
        <v>Expected</v>
      </c>
      <c r="G500" t="s">
        <v>874</v>
      </c>
    </row>
    <row r="501" spans="1:7" ht="15" hidden="1"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3740.7399856536267</v>
      </c>
      <c r="E501" s="9">
        <f>IF(OR(C501="",D501="",D501=0),"",C501/D501)</f>
        <v>1.253762629315843</v>
      </c>
      <c r="F501" t="str">
        <f>IF(E501="","",IF(E501&gt;=0.9,"Expected",IF(E501&gt;=0.7,"Moderate","Poor")))</f>
        <v>Expected</v>
      </c>
      <c r="G501" t="s">
        <v>874</v>
      </c>
    </row>
    <row r="502" spans="1:7" ht="15" customHeight="1" x14ac:dyDescent="0.3">
      <c r="A502" t="s">
        <v>90</v>
      </c>
      <c r="B502" s="2">
        <v>46266</v>
      </c>
      <c r="C502" cm="1">
        <f t="array" ref="C502">IFERROR(IF(SUMPRODUCT((measured[Site Name]=A502)*(measured[Date]=B502)*ISNUMBER(measured[Measured Value (kWh)]))=0,"",SUMIFS(measured[Measured Value (kWh)],measured[Site Name],A502,measured[Date],B502)),"")</f>
        <v>3950.63</v>
      </c>
      <c r="D502" cm="1">
        <f t="array" ref="D502">IFERROR(IF(SUMPRODUCT((expected_production[Site Name]=A502)*(expected_production[Date]=B502)*ISNUMBER(expected_production[Expected Production (kWh)]))=0,"",SUMIFS(expected_production[Expected Production (kWh)],expected_production[Site Name],A502,expected_production[Date],B502)),"")</f>
        <v>3688.7481901171182</v>
      </c>
      <c r="E502" s="9">
        <f>IF(OR(C502="",D502="",D502=0),"",C502/D502)</f>
        <v>1.0709947647238471</v>
      </c>
      <c r="F502" t="str">
        <f>IF(E502="","",IF(E502&gt;=0.9,"Expected",IF(E502&gt;=0.7,"Moderate","Poor")))</f>
        <v>Expected</v>
      </c>
      <c r="G502" t="s">
        <v>874</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4106.0617948570243</v>
      </c>
      <c r="E503" s="9" t="str">
        <f>IF(OR(C503="",D503="",D503=0),"",C503/D503)</f>
        <v/>
      </c>
      <c r="F503" t="str">
        <f>IF(E503="","",IF(E503&gt;=0.9,"Expected",IF(E503&gt;=0.7,"Moderate","Poor")))</f>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4197.179555403859</v>
      </c>
      <c r="E504" s="9" t="str">
        <f>IF(OR(C504="",D504="",D504=0),"",C504/D504)</f>
        <v/>
      </c>
      <c r="F504" t="str">
        <f>IF(E504="","",IF(E504&gt;=0.9,"Expected",IF(E504&gt;=0.7,"Moderate","Poor")))</f>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4893.994697927913</v>
      </c>
      <c r="E505" s="9" t="str">
        <f>IF(OR(C505="",D505="",D505=0),"",C505/D505)</f>
        <v/>
      </c>
      <c r="F505" t="str">
        <f>IF(E505="","",IF(E505&gt;=0.9,"Expected",IF(E505&gt;=0.7,"Moderate","Poor")))</f>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IF(OR(C506="",D506="",D506=0),"",C506/D506)</f>
        <v/>
      </c>
      <c r="F506" t="str">
        <f>IF(E506="","",IF(E506&gt;=0.9,"Expected",IF(E506&gt;=0.7,"Moderate","Poor")))</f>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IF(OR(C507="",D507="",D507=0),"",C507/D507)</f>
        <v/>
      </c>
      <c r="F507" t="str">
        <f>IF(E507="","",IF(E507&gt;=0.9,"Expected",IF(E507&gt;=0.7,"Moderate","Poor")))</f>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IF(OR(C508="",D508="",D508=0),"",C508/D508)</f>
        <v/>
      </c>
      <c r="F508" t="str">
        <f>IF(E508="","",IF(E508&gt;=0.9,"Expected",IF(E508&gt;=0.7,"Moderate","Poor")))</f>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IF(OR(C509="",D509="",D509=0),"",C509/D509)</f>
        <v/>
      </c>
      <c r="F509" t="str">
        <f>IF(E509="","",IF(E509&gt;=0.9,"Expected",IF(E509&gt;=0.7,"Moderate","Poor")))</f>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IF(OR(C510="",D510="",D510=0),"",C510/D510)</f>
        <v/>
      </c>
      <c r="F510" t="str">
        <f>IF(E510="","",IF(E510&gt;=0.9,"Expected",IF(E510&gt;=0.7,"Moderate","Poor")))</f>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IF(OR(C511="",D511="",D511=0),"",C511/D511)</f>
        <v/>
      </c>
      <c r="F511" t="str">
        <f>IF(E511="","",IF(E511&gt;=0.9,"Expected",IF(E511&gt;=0.7,"Moderate","Poor")))</f>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IF(OR(C512="",D512="",D512=0),"",C512/D512)</f>
        <v/>
      </c>
      <c r="F512" t="str">
        <f>IF(E512="","",IF(E512&gt;=0.9,"Expected",IF(E512&gt;=0.7,"Moderate","Poor")))</f>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IF(OR(C513="",D513="",D513=0),"",C513/D513)</f>
        <v/>
      </c>
      <c r="F513" t="str">
        <f>IF(E513="","",IF(E513&gt;=0.9,"Expected",IF(E513&gt;=0.7,"Moderate","Poor")))</f>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8859.4983036745452</v>
      </c>
      <c r="E514" s="9" t="str">
        <f>IF(OR(C514="",D514="",D514=0),"",C514/D514)</f>
        <v/>
      </c>
      <c r="F514" t="str">
        <f>IF(E514="","",IF(E514&gt;=0.9,"Expected",IF(E514&gt;=0.7,"Moderate","Poor")))</f>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10350.347274334015</v>
      </c>
      <c r="E515" s="9" t="str">
        <f>IF(OR(C515="",D515="",D515=0),"",C515/D515)</f>
        <v/>
      </c>
      <c r="F515" t="str">
        <f>IF(E515="","",IF(E515&gt;=0.9,"Expected",IF(E515&gt;=0.7,"Moderate","Poor")))</f>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10954.244828381175</v>
      </c>
      <c r="E516" s="9" t="str">
        <f>IF(OR(C516="",D516="",D516=0),"",C516/D516)</f>
        <v/>
      </c>
      <c r="F516" t="str">
        <f>IF(E516="","",IF(E516&gt;=0.9,"Expected",IF(E516&gt;=0.7,"Moderate","Poor")))</f>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11604.335019475791</v>
      </c>
      <c r="E517" s="9" t="str">
        <f>IF(OR(C517="",D517="",D517=0),"",C517/D517)</f>
        <v/>
      </c>
      <c r="F517" t="str">
        <f>IF(E517="","",IF(E517&gt;=0.9,"Expected",IF(E517&gt;=0.7,"Moderate","Poor")))</f>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11764.339526685373</v>
      </c>
      <c r="E518" s="9" t="str">
        <f>IF(OR(C518="",D518="",D518=0),"",C518/D518)</f>
        <v/>
      </c>
      <c r="F518" t="str">
        <f>IF(E518="","",IF(E518&gt;=0.9,"Expected",IF(E518&gt;=0.7,"Moderate","Poor")))</f>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10234.408895926763</v>
      </c>
      <c r="E519" s="9" t="str">
        <f>IF(OR(C519="",D519="",D519=0),"",C519/D519)</f>
        <v/>
      </c>
      <c r="F519" t="str">
        <f>IF(E519="","",IF(E519&gt;=0.9,"Expected",IF(E519&gt;=0.7,"Moderate","Poor")))</f>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10529.19540195075</v>
      </c>
      <c r="E520" s="9" t="str">
        <f>IF(OR(C520="",D520="",D520=0),"",C520/D520)</f>
        <v/>
      </c>
      <c r="F520" t="str">
        <f>IF(E520="","",IF(E520&gt;=0.9,"Expected",IF(E520&gt;=0.7,"Moderate","Poor")))</f>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8297.5721614143913</v>
      </c>
      <c r="E521" s="9" t="str">
        <f>IF(OR(C521="",D521="",D521=0),"",C521/D521)</f>
        <v/>
      </c>
      <c r="F521" t="str">
        <f>IF(E521="","",IF(E521&gt;=0.9,"Expected",IF(E521&gt;=0.7,"Moderate","Poor")))</f>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6689.2037213651092</v>
      </c>
      <c r="E522" s="9" t="str">
        <f>IF(OR(C522="",D522="",D522=0),"",C522/D522)</f>
        <v/>
      </c>
      <c r="F522" t="str">
        <f>IF(E522="","",IF(E522&gt;=0.9,"Expected",IF(E522&gt;=0.7,"Moderate","Poor")))</f>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5826.1874592226204</v>
      </c>
      <c r="E523" s="9" t="str">
        <f>IF(OR(C523="",D523="",D523=0),"",C523/D523)</f>
        <v/>
      </c>
      <c r="F523" t="str">
        <f>IF(E523="","",IF(E523&gt;=0.9,"Expected",IF(E523&gt;=0.7,"Moderate","Poor")))</f>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6412.1745980594787</v>
      </c>
      <c r="E524" s="9" t="str">
        <f>IF(OR(C524="",D524="",D524=0),"",C524/D524)</f>
        <v/>
      </c>
      <c r="F524" t="str">
        <f>IF(E524="","",IF(E524&gt;=0.9,"Expected",IF(E524&gt;=0.7,"Moderate","Poor")))</f>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7439.7668829227187</v>
      </c>
      <c r="E525" s="9" t="str">
        <f>IF(OR(C525="",D525="",D525=0),"",C525/D525)</f>
        <v/>
      </c>
      <c r="F525" t="str">
        <f>IF(E525="","",IF(E525&gt;=0.9,"Expected",IF(E525&gt;=0.7,"Moderate","Poor")))</f>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8797.5241147074394</v>
      </c>
      <c r="E526" s="9">
        <f>IF(OR(C526="",D526="",D526=0),"",C526/D526)</f>
        <v>0.9906196205169272</v>
      </c>
      <c r="F526" t="str">
        <f>IF(E526="","",IF(E526&gt;=0.9,"Expected",IF(E526&gt;=0.7,"Moderate","Poor")))</f>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10277.944260543865</v>
      </c>
      <c r="E527" s="9">
        <f>IF(OR(C527="",D527="",D527=0),"",C527/D527)</f>
        <v>1.117694327658489</v>
      </c>
      <c r="F527" t="str">
        <f>IF(E527="","",IF(E527&gt;=0.9,"Expected",IF(E527&gt;=0.7,"Moderate","Poor")))</f>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10877.617414986393</v>
      </c>
      <c r="E528" s="9">
        <f>IF(OR(C528="",D528="",D528=0),"",C528/D528)</f>
        <v>1.0703630727036895</v>
      </c>
      <c r="F528" t="str">
        <f>IF(E528="","",IF(E528&gt;=0.9,"Expected",IF(E528&gt;=0.7,"Moderate","Poor")))</f>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11523.160078561099</v>
      </c>
      <c r="E529" s="9">
        <f>IF(OR(C529="",D529="",D529=0),"",C529/D529)</f>
        <v>1.0031102511112018</v>
      </c>
      <c r="F529" t="str">
        <f>IF(E529="","",IF(E529&gt;=0.9,"Expected",IF(E529&gt;=0.7,"Moderate","Poor")))</f>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11682.045318152412</v>
      </c>
      <c r="E530" s="9">
        <f>IF(OR(C530="",D530="",D530=0),"",C530/D530)</f>
        <v>1.1025466559341384</v>
      </c>
      <c r="F530" t="str">
        <f>IF(E530="","",IF(E530&gt;=0.9,"Expected",IF(E530&gt;=0.7,"Moderate","Poor")))</f>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10162.816897244429</v>
      </c>
      <c r="E531" s="9">
        <f>IF(OR(C531="",D531="",D531=0),"",C531/D531)</f>
        <v>0.95052386534871414</v>
      </c>
      <c r="F531" t="str">
        <f>IF(E531="","",IF(E531&gt;=0.9,"Expected",IF(E531&gt;=0.7,"Moderate","Poor")))</f>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10455.541305167251</v>
      </c>
      <c r="E532" s="9">
        <f>IF(OR(C532="",D532="",D532=0),"",C532/D532)</f>
        <v>0.95327441297316584</v>
      </c>
      <c r="F532" t="str">
        <f>IF(E532="","",IF(E532&gt;=0.9,"Expected",IF(E532&gt;=0.7,"Moderate","Poor")))</f>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8239.5287725594699</v>
      </c>
      <c r="E533" s="9">
        <f>IF(OR(C533="",D533="",D533=0),"",C533/D533)</f>
        <v>0.5076746638631644</v>
      </c>
      <c r="F533" t="str">
        <f>IF(E533="","",IF(E533&gt;=0.9,"Expected",IF(E533&gt;=0.7,"Moderate","Poor")))</f>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6642.4112325290971</v>
      </c>
      <c r="E534" s="9" t="str">
        <f>IF(OR(C534="",D534="",D534=0),"",C534/D534)</f>
        <v/>
      </c>
      <c r="F534" t="str">
        <f>IF(E534="","",IF(E534&gt;=0.9,"Expected",IF(E534&gt;=0.7,"Moderate","Poor")))</f>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5785.43196380073</v>
      </c>
      <c r="E535" s="9" t="str">
        <f>IF(OR(C535="",D535="",D535=0),"",C535/D535)</f>
        <v/>
      </c>
      <c r="F535" t="str">
        <f>IF(E535="","",IF(E535&gt;=0.9,"Expected",IF(E535&gt;=0.7,"Moderate","Poor")))</f>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3761.5008476472831</v>
      </c>
      <c r="E536" s="9">
        <f>IF(OR(C536="",D536="",D536=0),"",C536/D536)</f>
        <v>0.9692939461333564</v>
      </c>
      <c r="F536" t="str">
        <f>IF(E536="","",IF(E536&gt;=0.9,"Expected",IF(E536&gt;=0.7,"Moderate","Poor")))</f>
        <v>Expected</v>
      </c>
      <c r="G536" t="s">
        <v>874</v>
      </c>
    </row>
    <row r="537" spans="1:7" ht="15" hidden="1"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7387.7240354758997</v>
      </c>
      <c r="E537" s="9" t="str">
        <f>IF(OR(C537="",D537="",D537=0),"",C537/D537)</f>
        <v/>
      </c>
      <c r="F537" t="str">
        <f>IF(E537="","",IF(E537&gt;=0.9,"Expected",IF(E537&gt;=0.7,"Moderate","Poor")))</f>
        <v/>
      </c>
      <c r="G537" t="s">
        <v>875</v>
      </c>
    </row>
    <row r="538" spans="1:7" ht="15"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8735.9834491709462</v>
      </c>
      <c r="E538" s="9" t="str">
        <f>IF(OR(C538="",D538="",D538=0),"",C538/D538)</f>
        <v/>
      </c>
      <c r="F538" t="str">
        <f>IF(E538="","",IF(E538&gt;=0.9,"Expected",IF(E538&gt;=0.7,"Moderate","Poor")))</f>
        <v/>
      </c>
      <c r="G538" t="s">
        <v>874</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10206.047722166275</v>
      </c>
      <c r="E539" s="9" t="str">
        <f>IF(OR(C539="",D539="",D539=0),"",C539/D539)</f>
        <v/>
      </c>
      <c r="F539" t="str">
        <f>IF(E539="","",IF(E539&gt;=0.9,"Expected",IF(E539&gt;=0.7,"Moderate","Poor")))</f>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10801.526027632251</v>
      </c>
      <c r="E540" s="9" t="str">
        <f>IF(OR(C540="",D540="",D540=0),"",C540/D540)</f>
        <v/>
      </c>
      <c r="F540" t="str">
        <f>IF(E540="","",IF(E540&gt;=0.9,"Expected",IF(E540&gt;=0.7,"Moderate","Poor")))</f>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11442.552974667782</v>
      </c>
      <c r="E541" s="9" t="str">
        <f>IF(OR(C541="",D541="",D541=0),"",C541/D541)</f>
        <v/>
      </c>
      <c r="F541" t="str">
        <f>IF(E541="","",IF(E541&gt;=0.9,"Expected",IF(E541&gt;=0.7,"Moderate","Poor")))</f>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IF(OR(C542="",D542="",D542=0),"",C542/D542)</f>
        <v/>
      </c>
      <c r="F542" t="str">
        <f>IF(E542="","",IF(E542&gt;=0.9,"Expected",IF(E542&gt;=0.7,"Moderate","Poor")))</f>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IF(OR(C543="",D543="",D543=0),"",C543/D543)</f>
        <v/>
      </c>
      <c r="F543" t="str">
        <f>IF(E543="","",IF(E543&gt;=0.9,"Expected",IF(E543&gt;=0.7,"Moderate","Poor")))</f>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IF(OR(C544="",D544="",D544=0),"",C544/D544)</f>
        <v/>
      </c>
      <c r="F544" t="str">
        <f>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IF(OR(C545="",D545="",D545=0),"",C545/D545)</f>
        <v/>
      </c>
      <c r="F545" t="str">
        <f>IF(E545="","",IF(E545&gt;=0.9,"Expected",IF(E545&gt;=0.7,"Moderate","Poor")))</f>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IF(OR(C546="",D546="",D546=0),"",C546/D546)</f>
        <v/>
      </c>
      <c r="F546" t="str">
        <f>IF(E546="","",IF(E546&gt;=0.9,"Expected",IF(E546&gt;=0.7,"Moderate","Poor")))</f>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IF(OR(C547="",D547="",D547=0),"",C547/D547)</f>
        <v/>
      </c>
      <c r="F547" t="str">
        <f>IF(E547="","",IF(E547&gt;=0.9,"Expected",IF(E547&gt;=0.7,"Moderate","Poor")))</f>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23248.939313654326</v>
      </c>
      <c r="E548" s="9" t="str">
        <f>IF(OR(C548="",D548="",D548=0),"",C548/D548)</f>
        <v/>
      </c>
      <c r="F548" t="str">
        <f>IF(E548="","",IF(E548&gt;=0.9,"Expected",IF(E548&gt;=0.7,"Moderate","Poor")))</f>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27282.777745618896</v>
      </c>
      <c r="E549" s="9" t="str">
        <f>IF(OR(C549="",D549="",D549=0),"",C549/D549)</f>
        <v/>
      </c>
      <c r="F549" t="str">
        <f>IF(E549="","",IF(E549&gt;=0.9,"Expected",IF(E549&gt;=0.7,"Moderate","Poor")))</f>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30267.726574391487</v>
      </c>
      <c r="E550" s="9" t="str">
        <f>IF(OR(C550="",D550="",D550=0),"",C550/D550)</f>
        <v/>
      </c>
      <c r="F550" t="str">
        <f>IF(E550="","",IF(E550&gt;=0.9,"Expected",IF(E550&gt;=0.7,"Moderate","Poor")))</f>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32956.74489861964</v>
      </c>
      <c r="E551" s="9" t="str">
        <f>IF(OR(C551="",D551="",D551=0),"",C551/D551)</f>
        <v/>
      </c>
      <c r="F551" t="str">
        <f>IF(E551="","",IF(E551&gt;=0.9,"Expected",IF(E551&gt;=0.7,"Moderate","Poor")))</f>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33127.000840496046</v>
      </c>
      <c r="E552" s="9" t="str">
        <f>IF(OR(C552="",D552="",D552=0),"",C552/D552)</f>
        <v/>
      </c>
      <c r="F552" t="str">
        <f>IF(E552="","",IF(E552&gt;=0.9,"Expected",IF(E552&gt;=0.7,"Moderate","Poor")))</f>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34953.954338271164</v>
      </c>
      <c r="E553" s="9" t="str">
        <f>IF(OR(C553="",D553="",D553=0),"",C553/D553)</f>
        <v/>
      </c>
      <c r="F553" t="str">
        <f>IF(E553="","",IF(E553&gt;=0.9,"Expected",IF(E553&gt;=0.7,"Moderate","Poor")))</f>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33388.61360865723</v>
      </c>
      <c r="E554" s="9">
        <f>IF(OR(C554="",D554="",D554=0),"",C554/D554)</f>
        <v>0.51514567815239465</v>
      </c>
      <c r="F554" t="str">
        <f>IF(E554="","",IF(E554&gt;=0.9,"Expected",IF(E554&gt;=0.7,"Moderate","Poor")))</f>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28650.339682314825</v>
      </c>
      <c r="E555" s="9">
        <f>IF(OR(C555="",D555="",D555=0),"",C555/D555)</f>
        <v>0.5500807381257079</v>
      </c>
      <c r="F555" t="str">
        <f>IF(E555="","",IF(E555&gt;=0.9,"Expected",IF(E555&gt;=0.7,"Moderate","Poor")))</f>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29042.495923331029</v>
      </c>
      <c r="E556" s="9">
        <f>IF(OR(C556="",D556="",D556=0),"",C556/D556)</f>
        <v>0.54058714655401041</v>
      </c>
      <c r="F556" t="str">
        <f>IF(E556="","",IF(E556&gt;=0.9,"Expected",IF(E556&gt;=0.7,"Moderate","Poor")))</f>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24542.086276807619</v>
      </c>
      <c r="E557" s="9">
        <f>IF(OR(C557="",D557="",D557=0),"",C557/D557)</f>
        <v>0.41654975394902677</v>
      </c>
      <c r="F557" t="str">
        <f>IF(E557="","",IF(E557&gt;=0.9,"Expected",IF(E557&gt;=0.7,"Moderate","Poor")))</f>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23238.242058995816</v>
      </c>
      <c r="E558" s="9">
        <f>IF(OR(C558="",D558="",D558=0),"",C558/D558)</f>
        <v>0.61213752588885373</v>
      </c>
      <c r="F558" t="str">
        <f>IF(E558="","",IF(E558&gt;=0.9,"Expected",IF(E558&gt;=0.7,"Moderate","Poor")))</f>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20846.009094556142</v>
      </c>
      <c r="E559" s="9">
        <f>IF(OR(C559="",D559="",D559=0),"",C559/D559)</f>
        <v>0.68965239028675129</v>
      </c>
      <c r="F559" t="str">
        <f>IF(E559="","",IF(E559&gt;=0.9,"Expected",IF(E559&gt;=0.7,"Moderate","Poor")))</f>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23086.307739165324</v>
      </c>
      <c r="E560" s="9">
        <f>IF(OR(C560="",D560="",D560=0),"",C560/D560)</f>
        <v>0.65744553747981671</v>
      </c>
      <c r="F560" t="str">
        <f>IF(E560="","",IF(E560&gt;=0.9,"Expected",IF(E560&gt;=0.7,"Moderate","Poor")))</f>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27091.928561432782</v>
      </c>
      <c r="E561" s="9">
        <f>IF(OR(C561="",D561="",D561=0),"",C561/D561)</f>
        <v>0.62468790147676956</v>
      </c>
      <c r="F561" t="str">
        <f>IF(E561="","",IF(E561&gt;=0.9,"Expected",IF(E561&gt;=0.7,"Moderate","Poor")))</f>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30055.996999868283</v>
      </c>
      <c r="E562" s="9">
        <f>IF(OR(C562="",D562="",D562=0),"",C562/D562)</f>
        <v>0.55579590322933581</v>
      </c>
      <c r="F562" t="str">
        <f>IF(E562="","",IF(E562&gt;=0.9,"Expected",IF(E562&gt;=0.7,"Moderate","Poor")))</f>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32726.2050343882</v>
      </c>
      <c r="E563" s="9">
        <f>IF(OR(C563="",D563="",D563=0),"",C563/D563)</f>
        <v>0.65111124182010893</v>
      </c>
      <c r="F563" t="str">
        <f>IF(E563="","",IF(E563&gt;=0.9,"Expected",IF(E563&gt;=0.7,"Moderate","Poor")))</f>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32895.269997548552</v>
      </c>
      <c r="E564" s="9">
        <f>IF(OR(C564="",D564="",D564=0),"",C564/D564)</f>
        <v>0.38741132086618285</v>
      </c>
      <c r="F564" t="str">
        <f>IF(E564="","",IF(E564&gt;=0.9,"Expected",IF(E564&gt;=0.7,"Moderate","Poor")))</f>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34709.443543522306</v>
      </c>
      <c r="E565" s="9">
        <f>IF(OR(C565="",D565="",D565=0),"",C565/D565)</f>
        <v>0.2198537118704153</v>
      </c>
      <c r="F565" t="str">
        <f>IF(E565="","",IF(E565&gt;=0.9,"Expected",IF(E565&gt;=0.7,"Moderate","Poor")))</f>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33155.052725387526</v>
      </c>
      <c r="E566" s="9">
        <f>IF(OR(C566="",D566="",D566=0),"",C566/D566)</f>
        <v>0.2335984823836372</v>
      </c>
      <c r="F566" t="str">
        <f>IF(E566="","",IF(E566&gt;=0.9,"Expected",IF(E566&gt;=0.7,"Moderate","Poor")))</f>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28449.924093916648</v>
      </c>
      <c r="E567" s="9">
        <f>IF(OR(C567="",D567="",D567=0),"",C567/D567)</f>
        <v>0.46471125744855685</v>
      </c>
      <c r="F567" t="str">
        <f>IF(E567="","",IF(E567&gt;=0.9,"Expected",IF(E567&gt;=0.7,"Moderate","Poor")))</f>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28839.33711357287</v>
      </c>
      <c r="E568" s="9">
        <f>IF(OR(C568="",D568="",D568=0),"",C568/D568)</f>
        <v>0.5095470794675091</v>
      </c>
      <c r="F568" t="str">
        <f>IF(E568="","",IF(E568&gt;=0.9,"Expected",IF(E568&gt;=0.7,"Moderate","Poor")))</f>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24370.408847631399</v>
      </c>
      <c r="E569" s="9">
        <f>IF(OR(C569="",D569="",D569=0),"",C569/D569)</f>
        <v>0.60721632092923439</v>
      </c>
      <c r="F569" t="str">
        <f>IF(E569="","",IF(E569&gt;=0.9,"Expected",IF(E569&gt;=0.7,"Moderate","Poor")))</f>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23075.685314216011</v>
      </c>
      <c r="E570" s="9">
        <f>IF(OR(C570="",D570="",D570=0),"",C570/D570)</f>
        <v>0.57005110881348975</v>
      </c>
      <c r="F570" t="str">
        <f>IF(E570="","",IF(E570&gt;=0.9,"Expected",IF(E570&gt;=0.7,"Moderate","Poor")))</f>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20700.18655895046</v>
      </c>
      <c r="E571" s="9">
        <f>IF(OR(C571="",D571="",D571=0),"",C571/D571)</f>
        <v>0.57760977013176373</v>
      </c>
      <c r="F571" t="str">
        <f>IF(E571="","",IF(E571&gt;=0.9,"Expected",IF(E571&gt;=0.7,"Moderate","Poor")))</f>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3315.115588872131</v>
      </c>
      <c r="E572" s="9">
        <f>IF(OR(C572="",D572="",D572=0),"",C572/D572)</f>
        <v>1.0699476096417986</v>
      </c>
      <c r="F572" t="str">
        <f>IF(E572="","",IF(E572&gt;=0.9,"Expected",IF(E572&gt;=0.7,"Moderate","Poor")))</f>
        <v>Expected</v>
      </c>
      <c r="G572" t="s">
        <v>874</v>
      </c>
    </row>
    <row r="573" spans="1:7" ht="15" hidden="1"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26902.414410337657</v>
      </c>
      <c r="E573" s="9">
        <f>IF(OR(C573="",D573="",D573=0),"",C573/D573)</f>
        <v>0.55589806074258219</v>
      </c>
      <c r="F573" t="str">
        <f>IF(E573="","",IF(E573&gt;=0.9,"Expected",IF(E573&gt;=0.7,"Moderate","Poor")))</f>
        <v>Poor</v>
      </c>
      <c r="G573" t="s">
        <v>874</v>
      </c>
    </row>
    <row r="574" spans="1:7" ht="15" customHeight="1" x14ac:dyDescent="0.3">
      <c r="A574" t="s">
        <v>95</v>
      </c>
      <c r="B574" s="2">
        <v>46266</v>
      </c>
      <c r="C574" cm="1">
        <f t="array" ref="C574">IFERROR(IF(SUMPRODUCT((measured[Site Name]=A574)*(measured[Date]=B574)*ISNUMBER(measured[Measured Value (kWh)]))=0,"",SUMIFS(measured[Measured Value (kWh)],measured[Site Name],A574,measured[Date],B574)),"")</f>
        <v>18244.509999999998</v>
      </c>
      <c r="D574" cm="1">
        <f t="array" ref="D574">IFERROR(IF(SUMPRODUCT((expected_production[Site Name]=A574)*(expected_production[Date]=B574)*ISNUMBER(expected_production[Expected Production (kWh)]))=0,"",SUMIFS(expected_production[Expected Production (kWh)],expected_production[Site Name],A574,expected_production[Date],B574)),"")</f>
        <v>29845.74852147622</v>
      </c>
      <c r="E574" s="9">
        <f>IF(OR(C574="",D574="",D574=0),"",C574/D574)</f>
        <v>0.61129343051563023</v>
      </c>
      <c r="F574" t="str">
        <f>IF(E574="","",IF(E574&gt;=0.9,"Expected",IF(E574&gt;=0.7,"Moderate","Poor")))</f>
        <v>Poor</v>
      </c>
      <c r="G574" t="s">
        <v>874</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32497.277848507227</v>
      </c>
      <c r="E575" s="9" t="str">
        <f>IF(OR(C575="",D575="",D575=0),"",C575/D575)</f>
        <v/>
      </c>
      <c r="F575" t="str">
        <f>IF(E575="","",IF(E575&gt;=0.9,"Expected",IF(E575&gt;=0.7,"Moderate","Poor")))</f>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32665.160164116278</v>
      </c>
      <c r="E576" s="9" t="str">
        <f>IF(OR(C576="",D576="",D576=0),"",C576/D576)</f>
        <v/>
      </c>
      <c r="F576" t="str">
        <f>IF(E576="","",IF(E576&gt;=0.9,"Expected",IF(E576&gt;=0.7,"Moderate","Poor")))</f>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34466.643156934137</v>
      </c>
      <c r="E577" s="9" t="str">
        <f>IF(OR(C577="",D577="",D577=0),"",C577/D577)</f>
        <v/>
      </c>
      <c r="F577" t="str">
        <f>IF(E577="","",IF(E577&gt;=0.9,"Expected",IF(E577&gt;=0.7,"Moderate","Poor")))</f>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IF(OR(C578="",D578="",D578=0),"",C578/D578)</f>
        <v/>
      </c>
      <c r="F578" t="str">
        <f>IF(E578="","",IF(E578&gt;=0.9,"Expected",IF(E578&gt;=0.7,"Moderate","Poor")))</f>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IF(OR(C579="",D579="",D579=0),"",C579/D579)</f>
        <v/>
      </c>
      <c r="F579" t="str">
        <f>IF(E579="","",IF(E579&gt;=0.9,"Expected",IF(E579&gt;=0.7,"Moderate","Poor")))</f>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IF(OR(C580="",D580="",D580=0),"",C580/D580)</f>
        <v/>
      </c>
      <c r="F580" t="str">
        <f>IF(E580="","",IF(E580&gt;=0.9,"Expected",IF(E580&gt;=0.7,"Moderate","Poor")))</f>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IF(OR(C581="",D581="",D581=0),"",C581/D581)</f>
        <v/>
      </c>
      <c r="F581" t="str">
        <f>IF(E581="","",IF(E581&gt;=0.9,"Expected",IF(E581&gt;=0.7,"Moderate","Poor")))</f>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IF(OR(C582="",D582="",D582=0),"",C582/D582)</f>
        <v/>
      </c>
      <c r="F582" t="str">
        <f>IF(E582="","",IF(E582&gt;=0.9,"Expected",IF(E582&gt;=0.7,"Moderate","Poor")))</f>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IF(OR(C583="",D583="",D583=0),"",C583/D583)</f>
        <v/>
      </c>
      <c r="F583" t="str">
        <f>IF(E583="","",IF(E583&gt;=0.9,"Expected",IF(E583&gt;=0.7,"Moderate","Poor")))</f>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IF(OR(C584="",D584="",D584=0),"",C584/D584)</f>
        <v/>
      </c>
      <c r="F584" t="str">
        <f>IF(E584="","",IF(E584&gt;=0.9,"Expected",IF(E584&gt;=0.7,"Moderate","Poor")))</f>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IF(OR(C585="",D585="",D585=0),"",C585/D585)</f>
        <v/>
      </c>
      <c r="F585" t="str">
        <f>IF(E585="","",IF(E585&gt;=0.9,"Expected",IF(E585&gt;=0.7,"Moderate","Poor")))</f>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IF(OR(C586="",D586="",D586=0),"",C586/D586)</f>
        <v/>
      </c>
      <c r="F586" t="str">
        <f>IF(E586="","",IF(E586&gt;=0.9,"Expected",IF(E586&gt;=0.7,"Moderate","Poor")))</f>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IF(OR(C587="",D587="",D587=0),"",C587/D587)</f>
        <v/>
      </c>
      <c r="F587" t="str">
        <f>IF(E587="","",IF(E587&gt;=0.9,"Expected",IF(E587&gt;=0.7,"Moderate","Poor")))</f>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IF(OR(C588="",D588="",D588=0),"",C588/D588)</f>
        <v/>
      </c>
      <c r="F588" t="str">
        <f>IF(E588="","",IF(E588&gt;=0.9,"Expected",IF(E588&gt;=0.7,"Moderate","Poor")))</f>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IF(OR(C589="",D589="",D589=0),"",C589/D589)</f>
        <v/>
      </c>
      <c r="F589" t="str">
        <f>IF(E589="","",IF(E589&gt;=0.9,"Expected",IF(E589&gt;=0.7,"Moderate","Poor")))</f>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IF(OR(C590="",D590="",D590=0),"",C590/D590)</f>
        <v/>
      </c>
      <c r="F590" t="str">
        <f>IF(E590="","",IF(E590&gt;=0.9,"Expected",IF(E590&gt;=0.7,"Moderate","Poor")))</f>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IF(OR(C591="",D591="",D591=0),"",C591/D591)</f>
        <v/>
      </c>
      <c r="F591" t="str">
        <f>IF(E591="","",IF(E591&gt;=0.9,"Expected",IF(E591&gt;=0.7,"Moderate","Poor")))</f>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IF(OR(C592="",D592="",D592=0),"",C592/D592)</f>
        <v/>
      </c>
      <c r="F592" t="str">
        <f>IF(E592="","",IF(E592&gt;=0.9,"Expected",IF(E592&gt;=0.7,"Moderate","Poor")))</f>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IF(OR(C593="",D593="",D593=0),"",C593/D593)</f>
        <v/>
      </c>
      <c r="F593" t="str">
        <f>IF(E593="","",IF(E593&gt;=0.9,"Expected",IF(E593&gt;=0.7,"Moderate","Poor")))</f>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IF(OR(C594="",D594="",D594=0),"",C594/D594)</f>
        <v/>
      </c>
      <c r="F594" t="str">
        <f>IF(E594="","",IF(E594&gt;=0.9,"Expected",IF(E594&gt;=0.7,"Moderate","Poor")))</f>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IF(OR(C595="",D595="",D595=0),"",C595/D595)</f>
        <v/>
      </c>
      <c r="F595" t="str">
        <f>IF(E595="","",IF(E595&gt;=0.9,"Expected",IF(E595&gt;=0.7,"Moderate","Poor")))</f>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IF(OR(C596="",D596="",D596=0),"",C596/D596)</f>
        <v/>
      </c>
      <c r="F596" t="str">
        <f>IF(E596="","",IF(E596&gt;=0.9,"Expected",IF(E596&gt;=0.7,"Moderate","Poor")))</f>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IF(OR(C597="",D597="",D597=0),"",C597/D597)</f>
        <v/>
      </c>
      <c r="F597" t="str">
        <f>IF(E597="","",IF(E597&gt;=0.9,"Expected",IF(E597&gt;=0.7,"Moderate","Poor")))</f>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IF(OR(C598="",D598="",D598=0),"",C598/D598)</f>
        <v/>
      </c>
      <c r="F598" t="str">
        <f>IF(E598="","",IF(E598&gt;=0.9,"Expected",IF(E598&gt;=0.7,"Moderate","Poor")))</f>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IF(OR(C599="",D599="",D599=0),"",C599/D599)</f>
        <v/>
      </c>
      <c r="F599" t="str">
        <f>IF(E599="","",IF(E599&gt;=0.9,"Expected",IF(E599&gt;=0.7,"Moderate","Poor")))</f>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2355.7015848932997</v>
      </c>
      <c r="E600" s="9" t="str">
        <f>IF(OR(C600="",D600="",D600=0),"",C600/D600)</f>
        <v/>
      </c>
      <c r="F600" t="str">
        <f>IF(E600="","",IF(E600&gt;=0.9,"Expected",IF(E600&gt;=0.7,"Moderate","Poor")))</f>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2435.2789613203981</v>
      </c>
      <c r="E601" s="9" t="str">
        <f>IF(OR(C601="",D601="",D601=0),"",C601/D601)</f>
        <v/>
      </c>
      <c r="F601" t="str">
        <f>IF(E601="","",IF(E601&gt;=0.9,"Expected",IF(E601&gt;=0.7,"Moderate","Poor")))</f>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2458.0938483539485</v>
      </c>
      <c r="E602" s="9">
        <f>IF(OR(C602="",D602="",D602=0),"",C602/D602)</f>
        <v>1.3201286037850017</v>
      </c>
      <c r="F602" t="str">
        <f>IF(E602="","",IF(E602&gt;=0.9,"Expected",IF(E602&gt;=0.7,"Moderate","Poor")))</f>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2295.8475750067523</v>
      </c>
      <c r="E603" s="9">
        <f>IF(OR(C603="",D603="",D603=0),"",C603/D603)</f>
        <v>1.3598463739435394</v>
      </c>
      <c r="F603" t="str">
        <f>IF(E603="","",IF(E603&gt;=0.9,"Expected",IF(E603&gt;=0.7,"Moderate","Poor")))</f>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2275.759138190163</v>
      </c>
      <c r="E604" s="9">
        <f>IF(OR(C604="",D604="",D604=0),"",C604/D604)</f>
        <v>1.2378287107484793</v>
      </c>
      <c r="F604" t="str">
        <f>IF(E604="","",IF(E604&gt;=0.9,"Expected",IF(E604&gt;=0.7,"Moderate","Poor")))</f>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2190.9631019355493</v>
      </c>
      <c r="E605" s="9">
        <f>IF(OR(C605="",D605="",D605=0),"",C605/D605)</f>
        <v>1.2485513779686055</v>
      </c>
      <c r="F605" t="str">
        <f>IF(E605="","",IF(E605&gt;=0.9,"Expected",IF(E605&gt;=0.7,"Moderate","Poor")))</f>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2218.3931945502663</v>
      </c>
      <c r="E606" s="9">
        <f>IF(OR(C606="",D606="",D606=0),"",C606/D606)</f>
        <v>1.4604759913432863</v>
      </c>
      <c r="F606" t="str">
        <f>IF(E606="","",IF(E606&gt;=0.9,"Expected",IF(E606&gt;=0.7,"Moderate","Poor")))</f>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2469.7848065578564</v>
      </c>
      <c r="E607" s="9">
        <f>IF(OR(C607="",D607="",D607=0),"",C607/D607)</f>
        <v>1.1025252049368017</v>
      </c>
      <c r="F607" t="str">
        <f>IF(E607="","",IF(E607&gt;=0.9,"Expected",IF(E607&gt;=0.7,"Moderate","Poor")))</f>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6367.3199904271933</v>
      </c>
      <c r="E608" s="9">
        <f>IF(OR(C608="",D608="",D608=0),"",C608/D608)</f>
        <v>0</v>
      </c>
      <c r="F608" t="str">
        <f>IF(E608="","",IF(E608&gt;=0.9,"Expected",IF(E608&gt;=0.7,"Moderate","Poor")))</f>
        <v>Poor</v>
      </c>
      <c r="G608" t="s">
        <v>875</v>
      </c>
    </row>
    <row r="609" spans="1:7" ht="15" hidden="1"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2506.2733151276416</v>
      </c>
      <c r="E609" s="9">
        <f>IF(OR(C609="",D609="",D609=0),"",C609/D609)</f>
        <v>1.343939617307244</v>
      </c>
      <c r="F609" t="str">
        <f>IF(E609="","",IF(E609&gt;=0.9,"Expected",IF(E609&gt;=0.7,"Moderate","Poor")))</f>
        <v>Expected</v>
      </c>
      <c r="G609" t="s">
        <v>874</v>
      </c>
    </row>
    <row r="610" spans="1:7" ht="15" customHeight="1" x14ac:dyDescent="0.3">
      <c r="A610" t="s">
        <v>239</v>
      </c>
      <c r="B610" s="2">
        <v>46266</v>
      </c>
      <c r="C610" cm="1">
        <f t="array" ref="C610">IFERROR(IF(SUMPRODUCT((measured[Site Name]=A610)*(measured[Date]=B610)*ISNUMBER(measured[Measured Value (kWh)]))=0,"",SUMIFS(measured[Measured Value (kWh)],measured[Site Name],A610,measured[Date],B610)),"")</f>
        <v>2640.395</v>
      </c>
      <c r="D610" cm="1">
        <f t="array" ref="D610">IFERROR(IF(SUMPRODUCT((expected_production[Site Name]=A610)*(expected_production[Date]=B610)*ISNUMBER(expected_production[Expected Production (kWh)]))=0,"",SUMIFS(expected_production[Expected Production (kWh)],expected_production[Site Name],A610,expected_production[Date],B610)),"")</f>
        <v>2421.5850509659558</v>
      </c>
      <c r="E610" s="9">
        <f>IF(OR(C610="",D610="",D610=0),"",C610/D610)</f>
        <v>1.0903581515531582</v>
      </c>
      <c r="F610" t="str">
        <f>IF(E610="","",IF(E610&gt;=0.9,"Expected",IF(E610&gt;=0.7,"Moderate","Poor")))</f>
        <v>Expected</v>
      </c>
      <c r="G610" t="s">
        <v>874</v>
      </c>
    </row>
    <row r="611" spans="1:7"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2409.4596935115142</v>
      </c>
      <c r="E611" s="9" t="str">
        <f>IF(OR(C611="",D611="",D611=0),"",C611/D611)</f>
        <v/>
      </c>
      <c r="F611" t="str">
        <f>IF(E611="","",IF(E611&gt;=0.9,"Expected",IF(E611&gt;=0.7,"Moderate","Poor")))</f>
        <v/>
      </c>
    </row>
    <row r="612" spans="1:7"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2339.2229209590523</v>
      </c>
      <c r="E612" s="9" t="str">
        <f>IF(OR(C612="",D612="",D612=0),"",C612/D612)</f>
        <v/>
      </c>
      <c r="F612" t="str">
        <f>IF(E612="","",IF(E612&gt;=0.9,"Expected",IF(E612&gt;=0.7,"Moderate","Poor")))</f>
        <v/>
      </c>
    </row>
    <row r="613" spans="1:7"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2418.2436356887092</v>
      </c>
      <c r="E613" s="9" t="str">
        <f>IF(OR(C613="",D613="",D613=0),"",C613/D613)</f>
        <v/>
      </c>
      <c r="F613" t="str">
        <f>IF(E613="","",IF(E613&gt;=0.9,"Expected",IF(E613&gt;=0.7,"Moderate","Poor")))</f>
        <v/>
      </c>
    </row>
    <row r="614" spans="1:7"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13373.253850471365</v>
      </c>
      <c r="E614" s="9">
        <f>IF(OR(C614="",D614="",D614=0),"",C614/D614)</f>
        <v>0.72802027904800726</v>
      </c>
      <c r="F614" t="str">
        <f>IF(E614="","",IF(E614&gt;=0.9,"Expected",IF(E614&gt;=0.7,"Moderate","Poor")))</f>
        <v>Moderate</v>
      </c>
    </row>
    <row r="615" spans="1:7"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12244.8976669889</v>
      </c>
      <c r="E615" s="9">
        <f>IF(OR(C615="",D615="",D615=0),"",C615/D615)</f>
        <v>0.72781335070083264</v>
      </c>
      <c r="F615" t="str">
        <f>IF(E615="","",IF(E615&gt;=0.9,"Expected",IF(E615&gt;=0.7,"Moderate","Poor")))</f>
        <v>Moderate</v>
      </c>
    </row>
    <row r="616" spans="1:7"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12529.92850174657</v>
      </c>
      <c r="E616" s="9">
        <f>IF(OR(C616="",D616="",D616=0),"",C616/D616)</f>
        <v>0.76592615821089927</v>
      </c>
      <c r="F616" t="str">
        <f>IF(E616="","",IF(E616&gt;=0.9,"Expected",IF(E616&gt;=0.7,"Moderate","Poor")))</f>
        <v>Moderate</v>
      </c>
    </row>
    <row r="617" spans="1:7"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10753.248885365214</v>
      </c>
      <c r="E617" s="9">
        <f>IF(OR(C617="",D617="",D617=0),"",C617/D617)</f>
        <v>0.73931144761465206</v>
      </c>
      <c r="F617" t="str">
        <f>IF(E617="","",IF(E617&gt;=0.9,"Expected",IF(E617&gt;=0.7,"Moderate","Poor")))</f>
        <v>Moderate</v>
      </c>
    </row>
    <row r="618" spans="1:7"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9705.3671355063398</v>
      </c>
      <c r="E618" s="9">
        <f>IF(OR(C618="",D618="",D618=0),"",C618/D618)</f>
        <v>0.7709136496884984</v>
      </c>
      <c r="F618" t="str">
        <f>IF(E618="","",IF(E618&gt;=0.9,"Expected",IF(E618&gt;=0.7,"Moderate","Poor")))</f>
        <v>Moderate</v>
      </c>
    </row>
    <row r="619" spans="1:7"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9065.0685311587258</v>
      </c>
      <c r="E619" s="9">
        <f>IF(OR(C619="",D619="",D619=0),"",C619/D619)</f>
        <v>0.73424706907860615</v>
      </c>
      <c r="F619" t="str">
        <f>IF(E619="","",IF(E619&gt;=0.9,"Expected",IF(E619&gt;=0.7,"Moderate","Poor")))</f>
        <v>Moderate</v>
      </c>
    </row>
    <row r="620" spans="1:7"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9571.160807468832</v>
      </c>
      <c r="E620" s="9">
        <f>IF(OR(C620="",D620="",D620=0),"",C620/D620)</f>
        <v>1.1670475739247341</v>
      </c>
      <c r="F620" t="str">
        <f>IF(E620="","",IF(E620&gt;=0.9,"Expected",IF(E620&gt;=0.7,"Moderate","Poor")))</f>
        <v>Expected</v>
      </c>
    </row>
    <row r="621" spans="1:7"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10610.941351257774</v>
      </c>
      <c r="E621" s="9">
        <f>IF(OR(C621="",D621="",D621=0),"",C621/D621)</f>
        <v>1.0639960797315813</v>
      </c>
      <c r="F621" t="str">
        <f>IF(E621="","",IF(E621&gt;=0.9,"Expected",IF(E621&gt;=0.7,"Moderate","Poor")))</f>
        <v>Expected</v>
      </c>
    </row>
    <row r="622" spans="1:7"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10696.019857201443</v>
      </c>
      <c r="E622" s="9">
        <f>IF(OR(C622="",D622="",D622=0),"",C622/D622)</f>
        <v>0.8019805604815311</v>
      </c>
      <c r="F622" t="str">
        <f>IF(E622="","",IF(E622&gt;=0.9,"Expected",IF(E622&gt;=0.7,"Moderate","Poor")))</f>
        <v>Moderate</v>
      </c>
    </row>
    <row r="623" spans="1:7"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11882.103275215313</v>
      </c>
      <c r="E623" s="9">
        <f>IF(OR(C623="",D623="",D623=0),"",C623/D623)</f>
        <v>1.0691709797287376</v>
      </c>
      <c r="F623" t="str">
        <f>IF(E623="","",IF(E623&gt;=0.9,"Expected",IF(E623&gt;=0.7,"Moderate","Poor")))</f>
        <v>Expected</v>
      </c>
    </row>
    <row r="624" spans="1:7"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12063.78830829477</v>
      </c>
      <c r="E624" s="9">
        <f>IF(OR(C624="",D624="",D624=0),"",C624/D624)</f>
        <v>0.4724883970386663</v>
      </c>
      <c r="F624" t="str">
        <f>IF(E624="","",IF(E624&gt;=0.9,"Expected",IF(E624&gt;=0.7,"Moderate","Poor")))</f>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13179.67124819018</v>
      </c>
      <c r="E625" s="9" t="str">
        <f>IF(OR(C625="",D625="",D625=0),"",C625/D625)</f>
        <v/>
      </c>
      <c r="F625" t="str">
        <f>IF(E625="","",IF(E625&gt;=0.9,"Expected",IF(E625&gt;=0.7,"Moderate","Poor")))</f>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13279.449525895341</v>
      </c>
      <c r="E626" s="9" t="str">
        <f>IF(OR(C626="",D626="",D626=0),"",C626/D626)</f>
        <v/>
      </c>
      <c r="F626" t="str">
        <f>IF(E626="","",IF(E626&gt;=0.9,"Expected",IF(E626&gt;=0.7,"Moderate","Poor")))</f>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12159.007997354465</v>
      </c>
      <c r="E627" s="9" t="str">
        <f>IF(OR(C627="",D627="",D627=0),"",C627/D627)</f>
        <v/>
      </c>
      <c r="F627" t="str">
        <f>IF(E627="","",IF(E627&gt;=0.9,"Expected",IF(E627&gt;=0.7,"Moderate","Poor")))</f>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12442.278825648149</v>
      </c>
      <c r="E628" s="9">
        <f>IF(OR(C628="",D628="",D628=0),"",C628/D628)</f>
        <v>0.53720062808926916</v>
      </c>
      <c r="F628" t="str">
        <f>IF(E628="","",IF(E628&gt;=0.9,"Expected",IF(E628&gt;=0.7,"Moderate","Poor")))</f>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10678.027483928119</v>
      </c>
      <c r="E629" s="9">
        <f>IF(OR(C629="",D629="",D629=0),"",C629/D629)</f>
        <v>0.37385181916870902</v>
      </c>
      <c r="F629" t="str">
        <f>IF(E629="","",IF(E629&gt;=0.9,"Expected",IF(E629&gt;=0.7,"Moderate","Poor")))</f>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9637.4759032678794</v>
      </c>
      <c r="E630" s="9">
        <f>IF(OR(C630="",D630="",D630=0),"",C630/D630)</f>
        <v>0.62350350447698299</v>
      </c>
      <c r="F630" t="str">
        <f>IF(E630="","",IF(E630&gt;=0.9,"Expected",IF(E630&gt;=0.7,"Moderate","Poor")))</f>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9001.6563320823079</v>
      </c>
      <c r="E631" s="9">
        <f>IF(OR(C631="",D631="",D631=0),"",C631/D631)</f>
        <v>0.61443136640171692</v>
      </c>
      <c r="F631" t="str">
        <f>IF(E631="","",IF(E631&gt;=0.9,"Expected",IF(E631&gt;=0.7,"Moderate","Poor")))</f>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9504.2083787663378</v>
      </c>
      <c r="E632" s="9">
        <f>IF(OR(C632="",D632="",D632=0),"",C632/D632)</f>
        <v>0.70431957436405579</v>
      </c>
      <c r="F632" t="str">
        <f>IF(E632="","",IF(E632&gt;=0.9,"Expected",IF(E632&gt;=0.7,"Moderate","Poor")))</f>
        <v>Moderate</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10536.7154231204</v>
      </c>
      <c r="E633" s="9">
        <f>IF(OR(C633="",D633="",D633=0),"",C633/D633)</f>
        <v>0.73552332855022406</v>
      </c>
      <c r="F633" t="str">
        <f>IF(E633="","",IF(E633&gt;=0.9,"Expected",IF(E633&gt;=0.7,"Moderate","Poor")))</f>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10621.198785724833</v>
      </c>
      <c r="E634" s="9">
        <f>IF(OR(C634="",D634="",D634=0),"",C634/D634)</f>
        <v>0.66197800661163098</v>
      </c>
      <c r="F634" t="str">
        <f>IF(E634="","",IF(E634&gt;=0.9,"Expected",IF(E634&gt;=0.7,"Moderate","Poor")))</f>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11798.985282698803</v>
      </c>
      <c r="E635" s="9">
        <f>IF(OR(C635="",D635="",D635=0),"",C635/D635)</f>
        <v>0.83100366388094049</v>
      </c>
      <c r="F635" t="str">
        <f>IF(E635="","",IF(E635&gt;=0.9,"Expected",IF(E635&gt;=0.7,"Moderate","Poor")))</f>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11979.399387991311</v>
      </c>
      <c r="E636" s="9">
        <f>IF(OR(C636="",D636="",D636=0),"",C636/D636)</f>
        <v>0.78175872568268301</v>
      </c>
      <c r="F636" t="str">
        <f>IF(E636="","",IF(E636&gt;=0.9,"Expected",IF(E636&gt;=0.7,"Moderate","Poor")))</f>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13087.476475025551</v>
      </c>
      <c r="E637" s="9">
        <f>IF(OR(C637="",D637="",D637=0),"",C637/D637)</f>
        <v>0.41100360411455855</v>
      </c>
      <c r="F637" t="str">
        <f>IF(E637="","",IF(E637&gt;=0.9,"Expected",IF(E637&gt;=0.7,"Moderate","Poor")))</f>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13186.556781172352</v>
      </c>
      <c r="E638" s="9">
        <f>IF(OR(C638="",D638="",D638=0),"",C638/D638)</f>
        <v>0.37759364196643053</v>
      </c>
      <c r="F638" t="str">
        <f>IF(E638="","",IF(E638&gt;=0.9,"Expected",IF(E638&gt;=0.7,"Moderate","Poor")))</f>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12073.952993848447</v>
      </c>
      <c r="E639" s="9">
        <f>IF(OR(C639="",D639="",D639=0),"",C639/D639)</f>
        <v>0.17994686587789044</v>
      </c>
      <c r="F639" t="str">
        <f>IF(E639="","",IF(E639&gt;=0.9,"Expected",IF(E639&gt;=0.7,"Moderate","Poor")))</f>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12355.242278804144</v>
      </c>
      <c r="E640" s="9">
        <f>IF(OR(C640="",D640="",D640=0),"",C640/D640)</f>
        <v>2.8328056391126979E-2</v>
      </c>
      <c r="F640" t="str">
        <f>IF(E640="","",IF(E640&gt;=0.9,"Expected",IF(E640&gt;=0.7,"Moderate","Poor")))</f>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10603.332273160886</v>
      </c>
      <c r="E641" s="9">
        <f>IF(OR(C641="",D641="",D641=0),"",C641/D641)</f>
        <v>1.838950199585445E-2</v>
      </c>
      <c r="F641" t="str">
        <f>IF(E641="","",IF(E641&gt;=0.9,"Expected",IF(E641&gt;=0.7,"Moderate","Poor")))</f>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9570.0595855123538</v>
      </c>
      <c r="E642" s="9" t="str">
        <f>IF(OR(C642="",D642="",D642=0),"",C642/D642)</f>
        <v/>
      </c>
      <c r="F642" t="str">
        <f>IF(E642="","",IF(E642&gt;=0.9,"Expected",IF(E642&gt;=0.7,"Moderate","Poor")))</f>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8938.6877156415721</v>
      </c>
      <c r="E643" s="9">
        <f>IF(OR(C643="",D643="",D643=0),"",C643/D643)</f>
        <v>0.39390569533363334</v>
      </c>
      <c r="F643" t="str">
        <f>IF(E643="","",IF(E643&gt;=0.9,"Expected",IF(E643&gt;=0.7,"Moderate","Poor")))</f>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22924.813809222767</v>
      </c>
      <c r="E644" s="9">
        <f>IF(OR(C644="",D644="",D644=0),"",C644/D644)</f>
        <v>0.55106227274647179</v>
      </c>
      <c r="F644" t="str">
        <f>IF(E644="","",IF(E644&gt;=0.9,"Expected",IF(E644&gt;=0.7,"Moderate","Poor")))</f>
        <v>Poor</v>
      </c>
      <c r="G644" t="s">
        <v>874</v>
      </c>
    </row>
    <row r="645" spans="1:7" ht="15" hidden="1"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10463.008722092616</v>
      </c>
      <c r="E645" s="9">
        <f>IF(OR(C645="",D645="",D645=0),"",C645/D645)</f>
        <v>0.47605809498014001</v>
      </c>
      <c r="F645" t="str">
        <f>IF(E645="","",IF(E645&gt;=0.9,"Expected",IF(E645&gt;=0.7,"Moderate","Poor")))</f>
        <v>Poor</v>
      </c>
      <c r="G645" t="s">
        <v>874</v>
      </c>
    </row>
    <row r="646" spans="1:7" ht="15" customHeight="1" x14ac:dyDescent="0.3">
      <c r="A646" t="s">
        <v>98</v>
      </c>
      <c r="B646" s="2">
        <v>46266</v>
      </c>
      <c r="C646" cm="1">
        <f t="array" ref="C646">IFERROR(IF(SUMPRODUCT((measured[Site Name]=A646)*(measured[Date]=B646)*ISNUMBER(measured[Measured Value (kWh)]))=0,"",SUMIFS(measured[Measured Value (kWh)],measured[Site Name],A646,measured[Date],B646)),"")</f>
        <v>5324.6800499999999</v>
      </c>
      <c r="D646" cm="1">
        <f t="array" ref="D646">IFERROR(IF(SUMPRODUCT((expected_production[Site Name]=A646)*(expected_production[Date]=B646)*ISNUMBER(expected_production[Expected Production (kWh)]))=0,"",SUMIFS(expected_production[Expected Production (kWh)],expected_production[Site Name],A646,expected_production[Date],B646)),"")</f>
        <v>10546.901104519713</v>
      </c>
      <c r="E646" s="9">
        <f>IF(OR(C646="",D646="",D646=0),"",C646/D646)</f>
        <v>0.50485730331899958</v>
      </c>
      <c r="F646" t="str">
        <f>IF(E646="","",IF(E646&gt;=0.9,"Expected",IF(E646&gt;=0.7,"Moderate","Poor")))</f>
        <v>Poor</v>
      </c>
      <c r="G646" t="s">
        <v>874</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11716.44871928789</v>
      </c>
      <c r="E647" s="9" t="str">
        <f>IF(OR(C647="",D647="",D647=0),"",C647/D647)</f>
        <v/>
      </c>
      <c r="F647" t="str">
        <f>IF(E647="","",IF(E647&gt;=0.9,"Expected",IF(E647&gt;=0.7,"Moderate","Poor")))</f>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11895.600787219988</v>
      </c>
      <c r="E648" s="9" t="str">
        <f>IF(OR(C648="",D648="",D648=0),"",C648/D648)</f>
        <v/>
      </c>
      <c r="F648" t="str">
        <f>IF(E648="","",IF(E648&gt;=0.9,"Expected",IF(E648&gt;=0.7,"Moderate","Poor")))</f>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12995.9266250945</v>
      </c>
      <c r="E649" s="9" t="str">
        <f>IF(OR(C649="",D649="",D649=0),"",C649/D649)</f>
        <v/>
      </c>
      <c r="F649" t="str">
        <f>IF(E649="","",IF(E649&gt;=0.9,"Expected",IF(E649&gt;=0.7,"Moderate","Poor")))</f>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11208.000597572332</v>
      </c>
      <c r="E650" s="9">
        <f>IF(OR(C650="",D650="",D650=0),"",C650/D650)</f>
        <v>0.43094216117780937</v>
      </c>
      <c r="F650" t="str">
        <f>IF(E650="","",IF(E650&gt;=0.9,"Expected",IF(E650&gt;=0.7,"Moderate","Poor")))</f>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9980.2771793698976</v>
      </c>
      <c r="E651" s="9">
        <f>IF(OR(C651="",D651="",D651=0),"",C651/D651)</f>
        <v>0.72452897550251483</v>
      </c>
      <c r="F651" t="str">
        <f>IF(E651="","",IF(E651&gt;=0.9,"Expected",IF(E651&gt;=0.7,"Moderate","Poor")))</f>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10223.327896526358</v>
      </c>
      <c r="E652" s="9">
        <f>IF(OR(C652="",D652="",D652=0),"",C652/D652)</f>
        <v>0.53172509529377632</v>
      </c>
      <c r="F652" t="str">
        <f>IF(E652="","",IF(E652&gt;=0.9,"Expected",IF(E652&gt;=0.7,"Moderate","Poor")))</f>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8689.8715195837885</v>
      </c>
      <c r="E653" s="9">
        <f>IF(OR(C653="",D653="",D653=0),"",C653/D653)</f>
        <v>0.59356458704547665</v>
      </c>
      <c r="F653" t="str">
        <f>IF(E653="","",IF(E653&gt;=0.9,"Expected",IF(E653&gt;=0.7,"Moderate","Poor")))</f>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7821.9496756705839</v>
      </c>
      <c r="E654" s="9">
        <f>IF(OR(C654="",D654="",D654=0),"",C654/D654)</f>
        <v>0.48926420632742146</v>
      </c>
      <c r="F654" t="str">
        <f>IF(E654="","",IF(E654&gt;=0.9,"Expected",IF(E654&gt;=0.7,"Moderate","Poor")))</f>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7228.9093968438665</v>
      </c>
      <c r="E655" s="9">
        <f>IF(OR(C655="",D655="",D655=0),"",C655/D655)</f>
        <v>0.44543371942188792</v>
      </c>
      <c r="F655" t="str">
        <f>IF(E655="","",IF(E655&gt;=0.9,"Expected",IF(E655&gt;=0.7,"Moderate","Poor")))</f>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7716.0964961217696</v>
      </c>
      <c r="E656" s="9">
        <f>IF(OR(C656="",D656="",D656=0),"",C656/D656)</f>
        <v>0.71240685011687943</v>
      </c>
      <c r="F656" t="str">
        <f>IF(E656="","",IF(E656&gt;=0.9,"Expected",IF(E656&gt;=0.7,"Moderate","Poor")))</f>
        <v>Moderate</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8587.5884542056519</v>
      </c>
      <c r="E657" s="9">
        <f>IF(OR(C657="",D657="",D657=0),"",C657/D657)</f>
        <v>0.52110089157898931</v>
      </c>
      <c r="F657" t="str">
        <f>IF(E657="","",IF(E657&gt;=0.9,"Expected",IF(E657&gt;=0.7,"Moderate","Poor")))</f>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8776.1181573705107</v>
      </c>
      <c r="E658" s="9">
        <f>IF(OR(C658="",D658="",D658=0),"",C658/D658)</f>
        <v>0.21045751286391018</v>
      </c>
      <c r="F658" t="str">
        <f>IF(E658="","",IF(E658&gt;=0.9,"Expected",IF(E658&gt;=0.7,"Moderate","Poor")))</f>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9751.7385378843428</v>
      </c>
      <c r="E659" s="9">
        <f>IF(OR(C659="",D659="",D659=0),"",C659/D659)</f>
        <v>0.16150966249569884</v>
      </c>
      <c r="F659" t="str">
        <f>IF(E659="","",IF(E659&gt;=0.9,"Expected",IF(E659&gt;=0.7,"Moderate","Poor")))</f>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9796.735366810979</v>
      </c>
      <c r="E660" s="9">
        <f>IF(OR(C660="",D660="",D660=0),"",C660/D660)</f>
        <v>0.58182647449172209</v>
      </c>
      <c r="F660" t="str">
        <f>IF(E660="","",IF(E660&gt;=0.9,"Expected",IF(E660&gt;=0.7,"Moderate","Poor")))</f>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10878.642895552559</v>
      </c>
      <c r="E661" s="9">
        <f>IF(OR(C661="",D661="",D661=0),"",C661/D661)</f>
        <v>0.17814722099135172</v>
      </c>
      <c r="F661" t="str">
        <f>IF(E661="","",IF(E661&gt;=0.9,"Expected",IF(E661&gt;=0.7,"Moderate","Poor")))</f>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11129.384059094982</v>
      </c>
      <c r="E662" s="9">
        <f>IF(OR(C662="",D662="",D662=0),"",C662/D662)</f>
        <v>0.4696576173708798</v>
      </c>
      <c r="F662" t="str">
        <f>IF(E662="","",IF(E662&gt;=0.9,"Expected",IF(E662&gt;=0.7,"Moderate","Poor")))</f>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9910.272289732713</v>
      </c>
      <c r="E663" s="9">
        <f>IF(OR(C663="",D663="",D663=0),"",C663/D663)</f>
        <v>0.51835104524040765</v>
      </c>
      <c r="F663" t="str">
        <f>IF(E663="","",IF(E663&gt;=0.9,"Expected",IF(E663&gt;=0.7,"Moderate","Poor")))</f>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10151.813411934241</v>
      </c>
      <c r="E664" s="9">
        <f>IF(OR(C664="",D664="",D664=0),"",C664/D664)</f>
        <v>0.49557648430433826</v>
      </c>
      <c r="F664" t="str">
        <f>IF(E664="","",IF(E664&gt;=0.9,"Expected",IF(E664&gt;=0.7,"Moderate","Poor")))</f>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8629.0839082321163</v>
      </c>
      <c r="E665" s="9">
        <f>IF(OR(C665="",D665="",D665=0),"",C665/D665)</f>
        <v>0.36469688248109083</v>
      </c>
      <c r="F665" t="str">
        <f>IF(E665="","",IF(E665&gt;=0.9,"Expected",IF(E665&gt;=0.7,"Moderate","Poor")))</f>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7767.2333733840151</v>
      </c>
      <c r="E666" s="9">
        <f>IF(OR(C666="",D666="",D666=0),"",C666/D666)</f>
        <v>0.61759442125659358</v>
      </c>
      <c r="F666" t="str">
        <f>IF(E666="","",IF(E666&gt;=0.9,"Expected",IF(E666&gt;=0.7,"Moderate","Poor")))</f>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7178.3415450728153</v>
      </c>
      <c r="E667" s="9">
        <f>IF(OR(C667="",D667="",D667=0),"",C667/D667)</f>
        <v>0.45351561771737581</v>
      </c>
      <c r="F667" t="str">
        <f>IF(E667="","",IF(E667&gt;=0.9,"Expected",IF(E667&gt;=0.7,"Moderate","Poor")))</f>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7662.1206607022013</v>
      </c>
      <c r="E668" s="9">
        <f>IF(OR(C668="",D668="",D668=0),"",C668/D668)</f>
        <v>0.68022943396487079</v>
      </c>
      <c r="F668" t="str">
        <f>IF(E668="","",IF(E668&gt;=0.9,"Expected",IF(E668&gt;=0.7,"Moderate","Poor")))</f>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8527.5163359670896</v>
      </c>
      <c r="E669" s="9">
        <f>IF(OR(C669="",D669="",D669=0),"",C669/D669)</f>
        <v>0.20450034116554172</v>
      </c>
      <c r="F669" t="str">
        <f>IF(E669="","",IF(E669&gt;=0.9,"Expected",IF(E669&gt;=0.7,"Moderate","Poor")))</f>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8714.7272313338817</v>
      </c>
      <c r="E670" s="9">
        <f>IF(OR(C670="",D670="",D670=0),"",C670/D670)</f>
        <v>0.51671152526833219</v>
      </c>
      <c r="F670" t="str">
        <f>IF(E670="","",IF(E670&gt;=0.9,"Expected",IF(E670&gt;=0.7,"Moderate","Poor")))</f>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9683.522927226797</v>
      </c>
      <c r="E671" s="9">
        <f>IF(OR(C671="",D671="",D671=0),"",C671/D671)</f>
        <v>0.63602885502371986</v>
      </c>
      <c r="F671" t="str">
        <f>IF(E671="","",IF(E671&gt;=0.9,"Expected",IF(E671&gt;=0.7,"Moderate","Poor")))</f>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9728.2049931856836</v>
      </c>
      <c r="E672" s="9">
        <f>IF(OR(C672="",D672="",D672=0),"",C672/D672)</f>
        <v>0.64061150072036199</v>
      </c>
      <c r="F672" t="str">
        <f>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10802.544334730552</v>
      </c>
      <c r="E673" s="9">
        <f>IF(OR(C673="",D673="",D673=0),"",C673/D673)</f>
        <v>0.49803081878619232</v>
      </c>
      <c r="F673" t="str">
        <f>IF(E673="","",IF(E673&gt;=0.9,"Expected",IF(E673&gt;=0.7,"Moderate","Poor")))</f>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11051.531507277259</v>
      </c>
      <c r="E674" s="9">
        <f>IF(OR(C674="",D674="",D674=0),"",C674/D674)</f>
        <v>0.68782322115215722</v>
      </c>
      <c r="F674" t="str">
        <f>IF(E674="","",IF(E674&gt;=0.9,"Expected",IF(E674&gt;=0.7,"Moderate","Poor")))</f>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9840.9476997223919</v>
      </c>
      <c r="E675" s="9">
        <f>IF(OR(C675="",D675="",D675=0),"",C675/D675)</f>
        <v>0.64496532180320876</v>
      </c>
      <c r="F675" t="str">
        <f>IF(E675="","",IF(E675&gt;=0.9,"Expected",IF(E675&gt;=0.7,"Moderate","Poor")))</f>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10080.799187292527</v>
      </c>
      <c r="E676" s="9">
        <f>IF(OR(C676="",D676="",D676=0),"",C676/D676)</f>
        <v>0.70063889467249285</v>
      </c>
      <c r="F676" t="str">
        <f>IF(E676="","",IF(E676&gt;=0.9,"Expected",IF(E676&gt;=0.7,"Moderate","Poor")))</f>
        <v>Moderate</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8568.7215199329967</v>
      </c>
      <c r="E677" s="9">
        <f>IF(OR(C677="",D677="",D677=0),"",C677/D677)</f>
        <v>0.55280942308381142</v>
      </c>
      <c r="F677" t="str">
        <f>IF(E677="","",IF(E677&gt;=0.9,"Expected",IF(E677&gt;=0.7,"Moderate","Poor")))</f>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7712.899823973652</v>
      </c>
      <c r="E678" s="9">
        <f>IF(OR(C678="",D678="",D678=0),"",C678/D678)</f>
        <v>0.56730154674117639</v>
      </c>
      <c r="F678" t="str">
        <f>IF(E678="","",IF(E678&gt;=0.9,"Expected",IF(E678&gt;=0.7,"Moderate","Poor")))</f>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7128.127426830898</v>
      </c>
      <c r="E679" s="9">
        <f>IF(OR(C679="",D679="",D679=0),"",C679/D679)</f>
        <v>0.4886276284693904</v>
      </c>
      <c r="F679" t="str">
        <f>IF(E679="","",IF(E679&gt;=0.9,"Expected",IF(E679&gt;=0.7,"Moderate","Poor")))</f>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10977.429304904283</v>
      </c>
      <c r="E680" s="9">
        <f>IF(OR(C680="",D680="",D680=0),"",C680/D680)</f>
        <v>0.55932949595556858</v>
      </c>
      <c r="F680" t="str">
        <f>IF(E680="","",IF(E680&gt;=0.9,"Expected",IF(E680&gt;=0.7,"Moderate","Poor")))</f>
        <v>Poor</v>
      </c>
      <c r="G680" t="s">
        <v>875</v>
      </c>
    </row>
    <row r="681" spans="1:7" ht="15" hidden="1"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8467.8644357453668</v>
      </c>
      <c r="E681" s="9">
        <f>IF(OR(C681="",D681="",D681=0),"",C681/D681)</f>
        <v>0.60345793662321456</v>
      </c>
      <c r="F681" t="str">
        <f>IF(E681="","",IF(E681&gt;=0.9,"Expected",IF(E681&gt;=0.7,"Moderate","Poor")))</f>
        <v>Poor</v>
      </c>
      <c r="G681" t="s">
        <v>874</v>
      </c>
    </row>
    <row r="682" spans="1:7" ht="15" customHeight="1" x14ac:dyDescent="0.3">
      <c r="A682" t="s">
        <v>102</v>
      </c>
      <c r="B682" s="2">
        <v>46266</v>
      </c>
      <c r="C682" cm="1">
        <f t="array" ref="C682">IFERROR(IF(SUMPRODUCT((measured[Site Name]=A682)*(measured[Date]=B682)*ISNUMBER(measured[Measured Value (kWh)]))=0,"",SUMIFS(measured[Measured Value (kWh)],measured[Site Name],A682,measured[Date],B682)),"")</f>
        <v>5755.15</v>
      </c>
      <c r="D682" cm="1">
        <f t="array" ref="D682">IFERROR(IF(SUMPRODUCT((expected_production[Site Name]=A682)*(expected_production[Date]=B682)*ISNUMBER(expected_production[Expected Production (kWh)]))=0,"",SUMIFS(expected_production[Expected Production (kWh)],expected_production[Site Name],A682,expected_production[Date],B682)),"")</f>
        <v>8653.7657486721055</v>
      </c>
      <c r="E682" s="9">
        <f>IF(OR(C682="",D682="",D682=0),"",C682/D682)</f>
        <v>0.6650457346714187</v>
      </c>
      <c r="F682" t="str">
        <f>IF(E682="","",IF(E682&gt;=0.9,"Expected",IF(E682&gt;=0.7,"Moderate","Poor")))</f>
        <v>Poor</v>
      </c>
      <c r="G682" t="s">
        <v>874</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9615.784500152391</v>
      </c>
      <c r="E683" s="9" t="str">
        <f>IF(OR(C683="",D683="",D683=0),"",C683/D683)</f>
        <v/>
      </c>
      <c r="F683" t="str">
        <f>IF(E683="","",IF(E683&gt;=0.9,"Expected",IF(E683&gt;=0.7,"Moderate","Poor")))</f>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9660.1540049814885</v>
      </c>
      <c r="E684" s="9" t="str">
        <f>IF(OR(C684="",D684="",D684=0),"",C684/D684)</f>
        <v/>
      </c>
      <c r="F684" t="str">
        <f>IF(E684="","",IF(E684&gt;=0.9,"Expected",IF(E684&gt;=0.7,"Moderate","Poor")))</f>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10726.978100506152</v>
      </c>
      <c r="E685" s="9" t="str">
        <f>IF(OR(C685="",D685="",D685=0),"",C685/D685)</f>
        <v/>
      </c>
      <c r="F685" t="str">
        <f>IF(E685="","",IF(E685&gt;=0.9,"Expected",IF(E685&gt;=0.7,"Moderate","Poor")))</f>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4025.8080041982348</v>
      </c>
      <c r="E686" s="9">
        <f>IF(OR(C686="",D686="",D686=0),"",C686/D686)</f>
        <v>0.23870984383702354</v>
      </c>
      <c r="F686" t="str">
        <f>IF(E686="","",IF(E686&gt;=0.9,"Expected",IF(E686&gt;=0.7,"Moderate","Poor")))</f>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3632.890686521524</v>
      </c>
      <c r="E687" s="9">
        <f>IF(OR(C687="",D687="",D687=0),"",C687/D687)</f>
        <v>0.21965978854268289</v>
      </c>
      <c r="F687" t="str">
        <f>IF(E687="","",IF(E687&gt;=0.9,"Expected",IF(E687&gt;=0.7,"Moderate","Poor")))</f>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3936.1226885621295</v>
      </c>
      <c r="E688" s="9">
        <f>IF(OR(C688="",D688="",D688=0),"",C688/D688)</f>
        <v>0.10111473434416494</v>
      </c>
      <c r="F688" t="str">
        <f>IF(E688="","",IF(E688&gt;=0.9,"Expected",IF(E688&gt;=0.7,"Moderate","Poor")))</f>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3260.1051061337389</v>
      </c>
      <c r="E689" s="9">
        <f>IF(OR(C689="",D689="",D689=0),"",C689/D689)</f>
        <v>0.40918926125729504</v>
      </c>
      <c r="F689" t="str">
        <f>IF(E689="","",IF(E689&gt;=0.9,"Expected",IF(E689&gt;=0.7,"Moderate","Poor")))</f>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3030.2204686512691</v>
      </c>
      <c r="E690" s="9">
        <f>IF(OR(C690="",D690="",D690=0),"",C690/D690)</f>
        <v>0.64450755983087504</v>
      </c>
      <c r="F690" t="str">
        <f>IF(E690="","",IF(E690&gt;=0.9,"Expected",IF(E690&gt;=0.7,"Moderate","Poor")))</f>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2770.1636417490045</v>
      </c>
      <c r="E691" s="9">
        <f>IF(OR(C691="",D691="",D691=0),"",C691/D691)</f>
        <v>0.59815960870593776</v>
      </c>
      <c r="F691" t="str">
        <f>IF(E691="","",IF(E691&gt;=0.9,"Expected",IF(E691&gt;=0.7,"Moderate","Poor")))</f>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3021.3090652410133</v>
      </c>
      <c r="E692" s="9">
        <f>IF(OR(C692="",D692="",D692=0),"",C692/D692)</f>
        <v>0.61066245132813723</v>
      </c>
      <c r="F692" t="str">
        <f>IF(E692="","",IF(E692&gt;=0.9,"Expected",IF(E692&gt;=0.7,"Moderate","Poor")))</f>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3271.2083594890155</v>
      </c>
      <c r="E693" s="9">
        <f>IF(OR(C693="",D693="",D693=0),"",C693/D693)</f>
        <v>0.62178857977659496</v>
      </c>
      <c r="F693" t="str">
        <f>IF(E693="","",IF(E693&gt;=0.9,"Expected",IF(E693&gt;=0.7,"Moderate","Poor")))</f>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3461.935271821219</v>
      </c>
      <c r="E694" s="9">
        <f>IF(OR(C694="",D694="",D694=0),"",C694/D694)</f>
        <v>0.57251214837339526</v>
      </c>
      <c r="F694" t="str">
        <f>IF(E694="","",IF(E694&gt;=0.9,"Expected",IF(E694&gt;=0.7,"Moderate","Poor")))</f>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3475.9855384970474</v>
      </c>
      <c r="E695" s="9">
        <f>IF(OR(C695="",D695="",D695=0),"",C695/D695)</f>
        <v>0.62744794989654196</v>
      </c>
      <c r="F695" t="str">
        <f>IF(E695="","",IF(E695&gt;=0.9,"Expected",IF(E695&gt;=0.7,"Moderate","Poor")))</f>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3314.4291361504643</v>
      </c>
      <c r="E696" s="9">
        <f>IF(OR(C696="",D696="",D696=0),"",C696/D696)</f>
        <v>0.53795085873245163</v>
      </c>
      <c r="F696" t="str">
        <f>IF(E696="","",IF(E696&gt;=0.9,"Expected",IF(E696&gt;=0.7,"Moderate","Poor")))</f>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3553.8324688941616</v>
      </c>
      <c r="E697" s="9">
        <f>IF(OR(C697="",D697="",D697=0),"",C697/D697)</f>
        <v>0.66576013942948276</v>
      </c>
      <c r="F697" t="str">
        <f>IF(E697="","",IF(E697&gt;=0.9,"Expected",IF(E697&gt;=0.7,"Moderate","Poor")))</f>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3997.5696857658613</v>
      </c>
      <c r="E698" s="9">
        <f>IF(OR(C698="",D698="",D698=0),"",C698/D698)</f>
        <v>0.62888209527693661</v>
      </c>
      <c r="F698" t="str">
        <f>IF(E698="","",IF(E698&gt;=0.9,"Expected",IF(E698&gt;=0.7,"Moderate","Poor")))</f>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3607.408417141311</v>
      </c>
      <c r="E699" s="9">
        <f>IF(OR(C699="",D699="",D699=0),"",C699/D699)</f>
        <v>0.81221743179328643</v>
      </c>
      <c r="F699" t="str">
        <f>IF(E699="","",IF(E699&gt;=0.9,"Expected",IF(E699&gt;=0.7,"Moderate","Poor")))</f>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3908.5886225307054</v>
      </c>
      <c r="E700" s="9">
        <f>IF(OR(C700="",D700="",D700=0),"",C700/D700)</f>
        <v>0.44977872316011158</v>
      </c>
      <c r="F700" t="str">
        <f>IF(E700="","",IF(E700&gt;=0.9,"Expected",IF(E700&gt;=0.7,"Moderate","Poor")))</f>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3237.299935572742</v>
      </c>
      <c r="E701" s="9">
        <f>IF(OR(C701="",D701="",D701=0),"",C701/D701)</f>
        <v>0.50844840847556194</v>
      </c>
      <c r="F701" t="str">
        <f>IF(E701="","",IF(E701&gt;=0.9,"Expected",IF(E701&gt;=0.7,"Moderate","Poor")))</f>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3009.0233929818378</v>
      </c>
      <c r="E702" s="9">
        <f>IF(OR(C702="",D702="",D702=0),"",C702/D702)</f>
        <v>0.79294830527573823</v>
      </c>
      <c r="F702" t="str">
        <f>IF(E702="","",IF(E702&gt;=0.9,"Expected",IF(E702&gt;=0.7,"Moderate","Poor")))</f>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2750.785722241716</v>
      </c>
      <c r="E703" s="9">
        <f>IF(OR(C703="",D703="",D703=0),"",C703/D703)</f>
        <v>0.44641790528098924</v>
      </c>
      <c r="F703" t="str">
        <f>IF(E703="","",IF(E703&gt;=0.9,"Expected",IF(E703&gt;=0.7,"Moderate","Poor")))</f>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3000.1743268484774</v>
      </c>
      <c r="E704" s="9">
        <f>IF(OR(C704="",D704="",D704=0),"",C704/D704)</f>
        <v>0.56130071673833426</v>
      </c>
      <c r="F704" t="str">
        <f>IF(E704="","",IF(E704&gt;=0.9,"Expected",IF(E704&gt;=0.7,"Moderate","Poor")))</f>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3248.3255191663679</v>
      </c>
      <c r="E705" s="9">
        <f>IF(OR(C705="",D705="",D705=0),"",C705/D705)</f>
        <v>0.54369551006490324</v>
      </c>
      <c r="F705" t="str">
        <f>IF(E705="","",IF(E705&gt;=0.9,"Expected",IF(E705&gt;=0.7,"Moderate","Poor")))</f>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3437.7182537267799</v>
      </c>
      <c r="E706" s="9">
        <f>IF(OR(C706="",D706="",D706=0),"",C706/D706)</f>
        <v>0.57014561850005963</v>
      </c>
      <c r="F706" t="str">
        <f>IF(E706="","",IF(E706&gt;=0.9,"Expected",IF(E706&gt;=0.7,"Moderate","Poor")))</f>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3451.6702356180572</v>
      </c>
      <c r="E707" s="9">
        <f>IF(OR(C707="",D707="",D707=0),"",C707/D707)</f>
        <v>0.61390569068095557</v>
      </c>
      <c r="F707" t="str">
        <f>IF(E707="","",IF(E707&gt;=0.9,"Expected",IF(E707&gt;=0.7,"Moderate","Poor")))</f>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3291.2439567462675</v>
      </c>
      <c r="E708" s="9">
        <f>IF(OR(C708="",D708="",D708=0),"",C708/D708)</f>
        <v>0.53900592703367423</v>
      </c>
      <c r="F708" t="str">
        <f>IF(E708="","",IF(E708&gt;=0.9,"Expected",IF(E708&gt;=0.7,"Moderate","Poor")))</f>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3528.9726091780267</v>
      </c>
      <c r="E709" s="9">
        <f>IF(OR(C709="",D709="",D709=0),"",C709/D709)</f>
        <v>0.60074141535878722</v>
      </c>
      <c r="F709" t="str">
        <f>IF(E709="","",IF(E709&gt;=0.9,"Expected",IF(E709&gt;=0.7,"Moderate","Poor")))</f>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3969.6057841291208</v>
      </c>
      <c r="E710" s="9">
        <f>IF(OR(C710="",D710="",D710=0),"",C710/D710)</f>
        <v>0.1629884767365995</v>
      </c>
      <c r="F710" t="str">
        <f>IF(E710="","",IF(E710&gt;=0.9,"Expected",IF(E710&gt;=0.7,"Moderate","Poor")))</f>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3582.17378158269</v>
      </c>
      <c r="E711" s="9">
        <f>IF(OR(C711="",D711="",D711=0),"",C711/D711)</f>
        <v>0.39891978645676807</v>
      </c>
      <c r="F711" t="str">
        <f>IF(E711="","",IF(E711&gt;=0.9,"Expected",IF(E711&gt;=0.7,"Moderate","Poor")))</f>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3881.2471635017068</v>
      </c>
      <c r="E712" s="9">
        <f>IF(OR(C712="",D712="",D712=0),"",C712/D712)</f>
        <v>0.46789084113921348</v>
      </c>
      <c r="F712" t="str">
        <f>IF(E712="","",IF(E712&gt;=0.9,"Expected",IF(E712&gt;=0.7,"Moderate","Poor")))</f>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3214.6542923237134</v>
      </c>
      <c r="E713" s="9">
        <f>IF(OR(C713="",D713="",D713=0),"",C713/D713)</f>
        <v>1.0929635601532337</v>
      </c>
      <c r="F713" t="str">
        <f>IF(E713="","",IF(E713&gt;=0.9,"Expected",IF(E713&gt;=0.7,"Moderate","Poor")))</f>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2987.9745956378893</v>
      </c>
      <c r="E714" s="9">
        <f>IF(OR(C714="",D714="",D714=0),"",C714/D714)</f>
        <v>1.0137301717430942</v>
      </c>
      <c r="F714" t="str">
        <f>IF(E714="","",IF(E714&gt;=0.9,"Expected",IF(E714&gt;=0.7,"Moderate","Poor")))</f>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2731.5433556522312</v>
      </c>
      <c r="E715" s="9">
        <f>IF(OR(C715="",D715="",D715=0),"",C715/D715)</f>
        <v>0.90937601076695218</v>
      </c>
      <c r="F715" t="str">
        <f>IF(E715="","",IF(E715&gt;=0.9,"Expected",IF(E715&gt;=0.7,"Moderate","Poor")))</f>
        <v>Expected</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2338.4936672316417</v>
      </c>
      <c r="E716" s="9">
        <f>IF(OR(C716="",D716="",D716=0),"",C716/D716)</f>
        <v>1.4489775394650903</v>
      </c>
      <c r="F716" t="str">
        <f>IF(E716="","",IF(E716&gt;=0.9,"Expected",IF(E716&gt;=0.7,"Moderate","Poor")))</f>
        <v>Expected</v>
      </c>
      <c r="G716" t="s">
        <v>874</v>
      </c>
    </row>
    <row r="717" spans="1:7" ht="15" hidden="1"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3225.6027494731907</v>
      </c>
      <c r="E717" s="9">
        <f>IF(OR(C717="",D717="",D717=0),"",C717/D717)</f>
        <v>0.50471187137532258</v>
      </c>
      <c r="F717" t="str">
        <f>IF(E717="","",IF(E717&gt;=0.9,"Expected",IF(E717&gt;=0.7,"Moderate","Poor")))</f>
        <v>Poor</v>
      </c>
      <c r="G717" t="s">
        <v>874</v>
      </c>
    </row>
    <row r="718" spans="1:7" ht="15" customHeight="1" x14ac:dyDescent="0.3">
      <c r="A718" t="s">
        <v>104</v>
      </c>
      <c r="B718" s="2">
        <v>46266</v>
      </c>
      <c r="C718" cm="1">
        <f t="array" ref="C718">IFERROR(IF(SUMPRODUCT((measured[Site Name]=A718)*(measured[Date]=B718)*ISNUMBER(measured[Measured Value (kWh)]))=0,"",SUMIFS(measured[Measured Value (kWh)],measured[Site Name],A718,measured[Date],B718)),"")</f>
        <v>747.8</v>
      </c>
      <c r="D718" cm="1">
        <f t="array" ref="D718">IFERROR(IF(SUMPRODUCT((expected_production[Site Name]=A718)*(expected_production[Date]=B718)*ISNUMBER(expected_production[Expected Production (kWh)]))=0,"",SUMIFS(expected_production[Expected Production (kWh)],expected_production[Site Name],A718,expected_production[Date],B718)),"")</f>
        <v>3413.6706391362591</v>
      </c>
      <c r="E718" s="9">
        <f>IF(OR(C718="",D718="",D718=0),"",C718/D718)</f>
        <v>0.21906038368986042</v>
      </c>
      <c r="F718" t="str">
        <f>IF(E718="","",IF(E718&gt;=0.9,"Expected",IF(E718&gt;=0.7,"Moderate","Poor")))</f>
        <v>Poor</v>
      </c>
      <c r="G718" t="s">
        <v>875</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3427.5250237672226</v>
      </c>
      <c r="E719" s="9" t="str">
        <f>IF(OR(C719="",D719="",D719=0),"",C719/D719)</f>
        <v/>
      </c>
      <c r="F719" t="str">
        <f>IF(E719="","",IF(E719&gt;=0.9,"Expected",IF(E719&gt;=0.7,"Moderate","Poor")))</f>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3268.2209629016111</v>
      </c>
      <c r="E720" s="9" t="str">
        <f>IF(OR(C720="",D720="",D720=0),"",C720/D720)</f>
        <v/>
      </c>
      <c r="F720" t="str">
        <f>IF(E720="","",IF(E720&gt;=0.9,"Expected",IF(E720&gt;=0.7,"Moderate","Poor")))</f>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3504.2866497879522</v>
      </c>
      <c r="E721" s="9" t="str">
        <f>IF(OR(C721="",D721="",D721=0),"",C721/D721)</f>
        <v/>
      </c>
      <c r="F721" t="str">
        <f>IF(E721="","",IF(E721&gt;=0.9,"Expected",IF(E721&gt;=0.7,"Moderate","Poor")))</f>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3602.7241603741281</v>
      </c>
      <c r="E722" s="9">
        <f>IF(OR(C722="",D722="",D722=0),"",C722/D722)</f>
        <v>0.52182734961445665</v>
      </c>
      <c r="F722" t="str">
        <f>IF(E722="","",IF(E722&gt;=0.9,"Expected",IF(E722&gt;=0.7,"Moderate","Poor")))</f>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3238.7278300119797</v>
      </c>
      <c r="E723" s="9">
        <f>IF(OR(C723="",D723="",D723=0),"",C723/D723)</f>
        <v>0.4813618438552873</v>
      </c>
      <c r="F723" t="str">
        <f>IF(E723="","",IF(E723&gt;=0.9,"Expected",IF(E723&gt;=0.7,"Moderate","Poor")))</f>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3588.7223963015845</v>
      </c>
      <c r="E724" s="9">
        <f>IF(OR(C724="",D724="",D724=0),"",C724/D724)</f>
        <v>0.44472651371551708</v>
      </c>
      <c r="F724" t="str">
        <f>IF(E724="","",IF(E724&gt;=0.9,"Expected",IF(E724&gt;=0.7,"Moderate","Poor")))</f>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2945.1316149032314</v>
      </c>
      <c r="E725" s="9">
        <f>IF(OR(C725="",D725="",D725=0),"",C725/D725)</f>
        <v>0.73680917654720846</v>
      </c>
      <c r="F725" t="str">
        <f>IF(E725="","",IF(E725&gt;=0.9,"Expected",IF(E725&gt;=0.7,"Moderate","Poor")))</f>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2705.5977544527836</v>
      </c>
      <c r="E726" s="9">
        <f>IF(OR(C726="",D726="",D726=0),"",C726/D726)</f>
        <v>1.0629813671551043</v>
      </c>
      <c r="F726" t="str">
        <f>IF(E726="","",IF(E726&gt;=0.9,"Expected",IF(E726&gt;=0.7,"Moderate","Poor")))</f>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2443.9522095721845</v>
      </c>
      <c r="E727" s="9">
        <f>IF(OR(C727="",D727="",D727=0),"",C727/D727)</f>
        <v>1.022524086278042</v>
      </c>
      <c r="F727" t="str">
        <f>IF(E727="","",IF(E727&gt;=0.9,"Expected",IF(E727&gt;=0.7,"Moderate","Poor")))</f>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2680.9918352702748</v>
      </c>
      <c r="E728" s="9">
        <f>IF(OR(C728="",D728="",D728=0),"",C728/D728)</f>
        <v>1.0798242508292275</v>
      </c>
      <c r="F728" t="str">
        <f>IF(E728="","",IF(E728&gt;=0.9,"Expected",IF(E728&gt;=0.7,"Moderate","Poor")))</f>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2948.9398518814742</v>
      </c>
      <c r="E729" s="9">
        <f>IF(OR(C729="",D729="",D729=0),"",C729/D729)</f>
        <v>1.0773363173118027</v>
      </c>
      <c r="F729" t="str">
        <f>IF(E729="","",IF(E729&gt;=0.9,"Expected",IF(E729&gt;=0.7,"Moderate","Poor")))</f>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3119.3390398204524</v>
      </c>
      <c r="E730" s="9">
        <f>IF(OR(C730="",D730="",D730=0),"",C730/D730)</f>
        <v>0.9771300782281882</v>
      </c>
      <c r="F730" t="str">
        <f>IF(E730="","",IF(E730&gt;=0.9,"Expected",IF(E730&gt;=0.7,"Moderate","Poor")))</f>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3149.6334249601591</v>
      </c>
      <c r="E731" s="9">
        <f>IF(OR(C731="",D731="",D731=0),"",C731/D731)</f>
        <v>1.0950480689807982</v>
      </c>
      <c r="F731" t="str">
        <f>IF(E731="","",IF(E731&gt;=0.9,"Expected",IF(E731&gt;=0.7,"Moderate","Poor")))</f>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2982.9288532593705</v>
      </c>
      <c r="E732" s="9">
        <f>IF(OR(C732="",D732="",D732=0),"",C732/D732)</f>
        <v>1.1535642213658923</v>
      </c>
      <c r="F732" t="str">
        <f>IF(E732="","",IF(E732&gt;=0.9,"Expected",IF(E732&gt;=0.7,"Moderate","Poor")))</f>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3169.9825283880291</v>
      </c>
      <c r="E733" s="9">
        <f>IF(OR(C733="",D733="",D733=0),"",C733/D733)</f>
        <v>1.1157790203337818</v>
      </c>
      <c r="F733" t="str">
        <f>IF(E733="","",IF(E733&gt;=0.9,"Expected",IF(E733&gt;=0.7,"Moderate","Poor")))</f>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3577.4534887577579</v>
      </c>
      <c r="E734" s="9">
        <f>IF(OR(C734="",D734="",D734=0),"",C734/D734)</f>
        <v>1.034255235358712</v>
      </c>
      <c r="F734" t="str">
        <f>IF(E734="","",IF(E734&gt;=0.9,"Expected",IF(E734&gt;=0.7,"Moderate","Poor")))</f>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3216.0103462958432</v>
      </c>
      <c r="E735" s="9">
        <f>IF(OR(C735="",D735="",D735=0),"",C735/D735)</f>
        <v>0.90173839252108767</v>
      </c>
      <c r="F735" t="str">
        <f>IF(E735="","",IF(E735&gt;=0.9,"Expected",IF(E735&gt;=0.7,"Moderate","Poor")))</f>
        <v>Expected</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3563.6184736735236</v>
      </c>
      <c r="E736" s="9">
        <f>IF(OR(C736="",D736="",D736=0),"",C736/D736)</f>
        <v>0.97400999170990132</v>
      </c>
      <c r="F736" t="str">
        <f>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2924.5297549582597</v>
      </c>
      <c r="E737" s="9">
        <f>IF(OR(C737="",D737="",D737=0),"",C737/D737)</f>
        <v>0.91228341769361787</v>
      </c>
      <c r="F737" t="str">
        <f>IF(E737="","",IF(E737&gt;=0.9,"Expected",IF(E737&gt;=0.7,"Moderate","Poor")))</f>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2686.6714878905004</v>
      </c>
      <c r="E738" s="9">
        <f>IF(OR(C738="",D738="",D738=0),"",C738/D738)</f>
        <v>1.1638936930302681</v>
      </c>
      <c r="F738" t="str">
        <f>IF(E738="","",IF(E738&gt;=0.9,"Expected",IF(E738&gt;=0.7,"Moderate","Poor")))</f>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2426.8562126126521</v>
      </c>
      <c r="E739" s="9">
        <f>IF(OR(C739="",D739="",D739=0),"",C739/D739)</f>
        <v>1.1324939589400673</v>
      </c>
      <c r="F739" t="str">
        <f>IF(E739="","",IF(E739&gt;=0.9,"Expected",IF(E739&gt;=0.7,"Moderate","Poor")))</f>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2662.2376926627417</v>
      </c>
      <c r="E740" s="9">
        <f>IF(OR(C740="",D740="",D740=0),"",C740/D740)</f>
        <v>0.93943527540492699</v>
      </c>
      <c r="F740" t="str">
        <f>IF(E740="","",IF(E740&gt;=0.9,"Expected",IF(E740&gt;=0.7,"Moderate","Poor")))</f>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2928.3113524598607</v>
      </c>
      <c r="E741" s="9">
        <f>IF(OR(C741="",D741="",D741=0),"",C741/D741)</f>
        <v>0.10237982369878801</v>
      </c>
      <c r="F741" t="str">
        <f>IF(E741="","",IF(E741&gt;=0.9,"Expected",IF(E741&gt;=0.7,"Moderate","Poor")))</f>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3097.5185596442643</v>
      </c>
      <c r="E742" s="9">
        <f>IF(OR(C742="",D742="",D742=0),"",C742/D742)</f>
        <v>0.87327967465371914</v>
      </c>
      <c r="F742" t="str">
        <f>IF(E742="","",IF(E742&gt;=0.9,"Expected",IF(E742&gt;=0.7,"Moderate","Poor")))</f>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3127.60102872677</v>
      </c>
      <c r="E743" s="9">
        <f>IF(OR(C743="",D743="",D743=0),"",C743/D743)</f>
        <v>0.93969786203723416</v>
      </c>
      <c r="F743" t="str">
        <f>IF(E743="","",IF(E743&gt;=0.9,"Expected",IF(E743&gt;=0.7,"Moderate","Poor")))</f>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2962.0625931066188</v>
      </c>
      <c r="E744" s="9">
        <f>IF(OR(C744="",D744="",D744=0),"",C744/D744)</f>
        <v>0.88080515451352237</v>
      </c>
      <c r="F744" t="str">
        <f>IF(E744="","",IF(E744&gt;=0.9,"Expected",IF(E744&gt;=0.7,"Moderate","Poor")))</f>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3147.8077855862539</v>
      </c>
      <c r="E745" s="9">
        <f>IF(OR(C745="",D745="",D745=0),"",C745/D745)</f>
        <v>1.0686802464253649</v>
      </c>
      <c r="F745" t="str">
        <f>IF(E745="","",IF(E745&gt;=0.9,"Expected",IF(E745&gt;=0.7,"Moderate","Poor")))</f>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3552.4283946797614</v>
      </c>
      <c r="E746" s="9">
        <f>IF(OR(C746="",D746="",D746=0),"",C746/D746)</f>
        <v>0.86870153515879434</v>
      </c>
      <c r="F746" t="str">
        <f>IF(E746="","",IF(E746&gt;=0.9,"Expected",IF(E746&gt;=0.7,"Moderate","Poor")))</f>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3193.5136285258491</v>
      </c>
      <c r="E747" s="9">
        <f>IF(OR(C747="",D747="",D747=0),"",C747/D747)</f>
        <v>1.1360527688352824</v>
      </c>
      <c r="F747" t="str">
        <f>IF(E747="","",IF(E747&gt;=0.9,"Expected",IF(E747&gt;=0.7,"Moderate","Poor")))</f>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3538.6901586466429</v>
      </c>
      <c r="E748" s="9">
        <f>IF(OR(C748="",D748="",D748=0),"",C748/D748)</f>
        <v>0.82205558259797884</v>
      </c>
      <c r="F748" t="str">
        <f>IF(E748="","",IF(E748&gt;=0.9,"Expected",IF(E748&gt;=0.7,"Moderate","Poor")))</f>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2904.0720096705231</v>
      </c>
      <c r="E749" s="9">
        <f>IF(OR(C749="",D749="",D749=0),"",C749/D749)</f>
        <v>0.88086658715126875</v>
      </c>
      <c r="F749" t="str">
        <f>IF(E749="","",IF(E749&gt;=0.9,"Expected",IF(E749&gt;=0.7,"Moderate","Poor")))</f>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2667.8776148317966</v>
      </c>
      <c r="E750" s="9">
        <f>IF(OR(C750="",D750="",D750=0),"",C750/D750)</f>
        <v>1.1355843248420558</v>
      </c>
      <c r="F750" t="str">
        <f>IF(E750="","",IF(E750&gt;=0.9,"Expected",IF(E750&gt;=0.7,"Moderate","Poor")))</f>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2409.8798060079944</v>
      </c>
      <c r="E751" s="9">
        <f>IF(OR(C751="",D751="",D751=0),"",C751/D751)</f>
        <v>1.0278520919693466</v>
      </c>
      <c r="F751" t="str">
        <f>IF(E751="","",IF(E751&gt;=0.9,"Expected",IF(E751&gt;=0.7,"Moderate","Poor")))</f>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9437.7242974042911</v>
      </c>
      <c r="E752" s="9">
        <f>IF(OR(C752="",D752="",D752=0),"",C752/D752)</f>
        <v>0.54419898676342793</v>
      </c>
      <c r="F752" t="str">
        <f>IF(E752="","",IF(E752&gt;=0.9,"Expected",IF(E752&gt;=0.7,"Moderate","Poor")))</f>
        <v>Poor</v>
      </c>
      <c r="G752" t="s">
        <v>874</v>
      </c>
    </row>
    <row r="753" spans="1:7" ht="15" hidden="1"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2907.8271540446294</v>
      </c>
      <c r="E753" s="9" t="str">
        <f>IF(OR(C753="",D753="",D753=0),"",C753/D753)</f>
        <v/>
      </c>
      <c r="F753" t="str">
        <f>IF(E753="","",IF(E753&gt;=0.9,"Expected",IF(E753&gt;=0.7,"Moderate","Poor")))</f>
        <v/>
      </c>
      <c r="G753" t="s">
        <v>874</v>
      </c>
    </row>
    <row r="754" spans="1:7" ht="15" customHeight="1" x14ac:dyDescent="0.3">
      <c r="A754" t="s">
        <v>107</v>
      </c>
      <c r="B754" s="2">
        <v>46266</v>
      </c>
      <c r="C754" cm="1">
        <f t="array" ref="C754">IFERROR(IF(SUMPRODUCT((measured[Site Name]=A754)*(measured[Date]=B754)*ISNUMBER(measured[Measured Value (kWh)]))=0,"",SUMIFS(measured[Measured Value (kWh)],measured[Site Name],A754,measured[Date],B754)),"")</f>
        <v>0</v>
      </c>
      <c r="D754" cm="1">
        <f t="array" ref="D754">IFERROR(IF(SUMPRODUCT((expected_production[Site Name]=A754)*(expected_production[Date]=B754)*ISNUMBER(expected_production[Expected Production (kWh)]))=0,"",SUMIFS(expected_production[Expected Production (kWh)],expected_production[Site Name],A754,expected_production[Date],B754)),"")</f>
        <v>3075.8507186486977</v>
      </c>
      <c r="E754" s="9">
        <f>IF(OR(C754="",D754="",D754=0),"",C754/D754)</f>
        <v>0</v>
      </c>
      <c r="F754" t="str">
        <f>IF(E754="","",IF(E754&gt;=0.9,"Expected",IF(E754&gt;=0.7,"Moderate","Poor")))</f>
        <v>Poor</v>
      </c>
      <c r="G754" t="s">
        <v>874</v>
      </c>
    </row>
    <row r="755" spans="1:7"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3105.7227540746221</v>
      </c>
      <c r="E755" s="9" t="str">
        <f>IF(OR(C755="",D755="",D755=0),"",C755/D755)</f>
        <v/>
      </c>
      <c r="F755" t="str">
        <f>IF(E755="","",IF(E755&gt;=0.9,"Expected",IF(E755&gt;=0.7,"Moderate","Poor")))</f>
        <v/>
      </c>
    </row>
    <row r="756" spans="1:7"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2941.3422971501932</v>
      </c>
      <c r="E756" s="9" t="str">
        <f>IF(OR(C756="",D756="",D756=0),"",C756/D756)</f>
        <v/>
      </c>
      <c r="F756" t="str">
        <f>IF(E756="","",IF(E756&gt;=0.9,"Expected",IF(E756&gt;=0.7,"Moderate","Poor")))</f>
        <v/>
      </c>
    </row>
    <row r="757" spans="1:7"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3125.7881601120735</v>
      </c>
      <c r="E757" s="9" t="str">
        <f>IF(OR(C757="",D757="",D757=0),"",C757/D757)</f>
        <v/>
      </c>
      <c r="F757" t="str">
        <f>IF(E757="","",IF(E757&gt;=0.9,"Expected",IF(E757&gt;=0.7,"Moderate","Poor")))</f>
        <v/>
      </c>
    </row>
    <row r="758" spans="1:7"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IF(OR(C758="",D758="",D758=0),"",C758/D758)</f>
        <v/>
      </c>
      <c r="F758" t="str">
        <f>IF(E758="","",IF(E758&gt;=0.9,"Expected",IF(E758&gt;=0.7,"Moderate","Poor")))</f>
        <v/>
      </c>
    </row>
    <row r="759" spans="1:7"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IF(OR(C759="",D759="",D759=0),"",C759/D759)</f>
        <v/>
      </c>
      <c r="F759" t="str">
        <f>IF(E759="","",IF(E759&gt;=0.9,"Expected",IF(E759&gt;=0.7,"Moderate","Poor")))</f>
        <v/>
      </c>
    </row>
    <row r="760" spans="1:7"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IF(OR(C760="",D760="",D760=0),"",C760/D760)</f>
        <v/>
      </c>
      <c r="F760" t="str">
        <f>IF(E760="","",IF(E760&gt;=0.9,"Expected",IF(E760&gt;=0.7,"Moderate","Poor")))</f>
        <v/>
      </c>
    </row>
    <row r="761" spans="1:7"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IF(OR(C761="",D761="",D761=0),"",C761/D761)</f>
        <v/>
      </c>
      <c r="F761" t="str">
        <f>IF(E761="","",IF(E761&gt;=0.9,"Expected",IF(E761&gt;=0.7,"Moderate","Poor")))</f>
        <v/>
      </c>
    </row>
    <row r="762" spans="1:7"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IF(OR(C762="",D762="",D762=0),"",C762/D762)</f>
        <v/>
      </c>
      <c r="F762" t="str">
        <f>IF(E762="","",IF(E762&gt;=0.9,"Expected",IF(E762&gt;=0.7,"Moderate","Poor")))</f>
        <v/>
      </c>
    </row>
    <row r="763" spans="1:7"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IF(OR(C763="",D763="",D763=0),"",C763/D763)</f>
        <v/>
      </c>
      <c r="F763" t="str">
        <f>IF(E763="","",IF(E763&gt;=0.9,"Expected",IF(E763&gt;=0.7,"Moderate","Poor")))</f>
        <v/>
      </c>
    </row>
    <row r="764" spans="1:7"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IF(OR(C764="",D764="",D764=0),"",C764/D764)</f>
        <v/>
      </c>
      <c r="F764" t="str">
        <f>IF(E764="","",IF(E764&gt;=0.9,"Expected",IF(E764&gt;=0.7,"Moderate","Poor")))</f>
        <v/>
      </c>
    </row>
    <row r="765" spans="1:7"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IF(OR(C765="",D765="",D765=0),"",C765/D765)</f>
        <v/>
      </c>
      <c r="F765" t="str">
        <f>IF(E765="","",IF(E765&gt;=0.9,"Expected",IF(E765&gt;=0.7,"Moderate","Poor")))</f>
        <v/>
      </c>
    </row>
    <row r="766" spans="1:7"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IF(OR(C766="",D766="",D766=0),"",C766/D766)</f>
        <v/>
      </c>
      <c r="F766" t="str">
        <f>IF(E766="","",IF(E766&gt;=0.9,"Expected",IF(E766&gt;=0.7,"Moderate","Poor")))</f>
        <v/>
      </c>
    </row>
    <row r="767" spans="1:7"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IF(OR(C767="",D767="",D767=0),"",C767/D767)</f>
        <v/>
      </c>
      <c r="F767" t="str">
        <f>IF(E767="","",IF(E767&gt;=0.9,"Expected",IF(E767&gt;=0.7,"Moderate","Poor")))</f>
        <v/>
      </c>
    </row>
    <row r="768" spans="1:7"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IF(OR(C768="",D768="",D768=0),"",C768/D768)</f>
        <v/>
      </c>
      <c r="F768" t="str">
        <f>IF(E768="","",IF(E768&gt;=0.9,"Expected",IF(E768&gt;=0.7,"Moderate","Poor")))</f>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IF(OR(C769="",D769="",D769=0),"",C769/D769)</f>
        <v/>
      </c>
      <c r="F769" t="str">
        <f>IF(E769="","",IF(E769&gt;=0.9,"Expected",IF(E769&gt;=0.7,"Moderate","Poor")))</f>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IF(OR(C770="",D770="",D770=0),"",C770/D770)</f>
        <v/>
      </c>
      <c r="F770" t="str">
        <f>IF(E770="","",IF(E770&gt;=0.9,"Expected",IF(E770&gt;=0.7,"Moderate","Poor")))</f>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IF(OR(C771="",D771="",D771=0),"",C771/D771)</f>
        <v/>
      </c>
      <c r="F771" t="str">
        <f>IF(E771="","",IF(E771&gt;=0.9,"Expected",IF(E771&gt;=0.7,"Moderate","Poor")))</f>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IF(OR(C772="",D772="",D772=0),"",C772/D772)</f>
        <v/>
      </c>
      <c r="F772" t="str">
        <f>IF(E772="","",IF(E772&gt;=0.9,"Expected",IF(E772&gt;=0.7,"Moderate","Poor")))</f>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IF(OR(C773="",D773="",D773=0),"",C773/D773)</f>
        <v/>
      </c>
      <c r="F773" t="str">
        <f>IF(E773="","",IF(E773&gt;=0.9,"Expected",IF(E773&gt;=0.7,"Moderate","Poor")))</f>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IF(OR(C774="",D774="",D774=0),"",C774/D774)</f>
        <v/>
      </c>
      <c r="F774" t="str">
        <f>IF(E774="","",IF(E774&gt;=0.9,"Expected",IF(E774&gt;=0.7,"Moderate","Poor")))</f>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IF(OR(C775="",D775="",D775=0),"",C775/D775)</f>
        <v/>
      </c>
      <c r="F775" t="str">
        <f>IF(E775="","",IF(E775&gt;=0.9,"Expected",IF(E775&gt;=0.7,"Moderate","Poor")))</f>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IF(OR(C776="",D776="",D776=0),"",C776/D776)</f>
        <v/>
      </c>
      <c r="F776" t="str">
        <f>IF(E776="","",IF(E776&gt;=0.9,"Expected",IF(E776&gt;=0.7,"Moderate","Poor")))</f>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IF(OR(C777="",D777="",D777=0),"",C777/D777)</f>
        <v/>
      </c>
      <c r="F777" t="str">
        <f>IF(E777="","",IF(E777&gt;=0.9,"Expected",IF(E777&gt;=0.7,"Moderate","Poor")))</f>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IF(OR(C778="",D778="",D778=0),"",C778/D778)</f>
        <v/>
      </c>
      <c r="F778" t="str">
        <f>IF(E778="","",IF(E778&gt;=0.9,"Expected",IF(E778&gt;=0.7,"Moderate","Poor")))</f>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IF(OR(C779="",D779="",D779=0),"",C779/D779)</f>
        <v/>
      </c>
      <c r="F779" t="str">
        <f>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IF(OR(C780="",D780="",D780=0),"",C780/D780)</f>
        <v/>
      </c>
      <c r="F780" t="str">
        <f>IF(E780="","",IF(E780&gt;=0.9,"Expected",IF(E780&gt;=0.7,"Moderate","Poor")))</f>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IF(OR(C781="",D781="",D781=0),"",C781/D781)</f>
        <v/>
      </c>
      <c r="F781" t="str">
        <f>IF(E781="","",IF(E781&gt;=0.9,"Expected",IF(E781&gt;=0.7,"Moderate","Poor")))</f>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IF(OR(C782="",D782="",D782=0),"",C782/D782)</f>
        <v/>
      </c>
      <c r="F782" t="str">
        <f>IF(E782="","",IF(E782&gt;=0.9,"Expected",IF(E782&gt;=0.7,"Moderate","Poor")))</f>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IF(OR(C783="",D783="",D783=0),"",C783/D783)</f>
        <v/>
      </c>
      <c r="F783" t="str">
        <f>IF(E783="","",IF(E783&gt;=0.9,"Expected",IF(E783&gt;=0.7,"Moderate","Poor")))</f>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IF(OR(C784="",D784="",D784=0),"",C784/D784)</f>
        <v>9.9493940890578128E-2</v>
      </c>
      <c r="F784" t="str">
        <f>IF(E784="","",IF(E784&gt;=0.9,"Expected",IF(E784&gt;=0.7,"Moderate","Poor")))</f>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51194.2093063992</v>
      </c>
      <c r="E785" s="9">
        <f>IF(OR(C785="",D785="",D785=0),"",C785/D785)</f>
        <v>0.29202521540129095</v>
      </c>
      <c r="F785" t="str">
        <f>IF(E785="","",IF(E785&gt;=0.9,"Expected",IF(E785&gt;=0.7,"Moderate","Poor")))</f>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25773.830105783189</v>
      </c>
      <c r="E786" s="9">
        <f>IF(OR(C786="",D786="",D786=0),"",C786/D786)</f>
        <v>0.25374575579795339</v>
      </c>
      <c r="F786" t="str">
        <f>IF(E786="","",IF(E786&gt;=0.9,"Expected",IF(E786&gt;=0.7,"Moderate","Poor")))</f>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23389.18154301335</v>
      </c>
      <c r="E787" s="9">
        <f>IF(OR(C787="",D787="",D787=0),"",C787/D787)</f>
        <v>0.32322635942163908</v>
      </c>
      <c r="F787" t="str">
        <f>IF(E787="","",IF(E787&gt;=0.9,"Expected",IF(E787&gt;=0.7,"Moderate","Poor")))</f>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7608.5223984260883</v>
      </c>
      <c r="E788" s="9">
        <f>IF(OR(C788="",D788="",D788=0),"",C788/D788)</f>
        <v>0.54044659194939282</v>
      </c>
      <c r="F788" t="str">
        <f>IF(E788="","",IF(E788&gt;=0.9,"Expected",IF(E788&gt;=0.7,"Moderate","Poor")))</f>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2979.1874307181115</v>
      </c>
      <c r="E789" s="9">
        <f>IF(OR(C789="",D789="",D789=0),"",C789/D789)</f>
        <v>0.28766233072936481</v>
      </c>
      <c r="F789" t="str">
        <f>IF(E789="","",IF(E789&gt;=0.9,"Expected",IF(E789&gt;=0.7,"Moderate","Poor")))</f>
        <v>Poor</v>
      </c>
      <c r="G789" t="s">
        <v>875</v>
      </c>
    </row>
    <row r="790" spans="1:7" ht="15" hidden="1"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28468.104238730139</v>
      </c>
      <c r="E790" s="9">
        <f>IF(OR(C790="",D790="",D790=0),"",C790/D790)</f>
        <v>0.63474546279819433</v>
      </c>
      <c r="F790" t="str">
        <f>IF(E790="","",IF(E790&gt;=0.9,"Expected",IF(E790&gt;=0.7,"Moderate","Poor")))</f>
        <v>Poor</v>
      </c>
      <c r="G790" t="s">
        <v>874</v>
      </c>
    </row>
    <row r="791" spans="1:7" ht="15" customHeight="1" x14ac:dyDescent="0.3">
      <c r="A791" t="s">
        <v>228</v>
      </c>
      <c r="B791" s="2">
        <v>46266</v>
      </c>
      <c r="C791" cm="1">
        <f t="array" ref="C791">IFERROR(IF(SUMPRODUCT((measured[Site Name]=A791)*(measured[Date]=B791)*ISNUMBER(measured[Measured Value (kWh)]))=0,"",SUMIFS(measured[Measured Value (kWh)],measured[Site Name],A791,measured[Date],B791)),"")</f>
        <v>9230</v>
      </c>
      <c r="D791" cm="1">
        <f t="array" ref="D791">IFERROR(IF(SUMPRODUCT((expected_production[Site Name]=A791)*(expected_production[Date]=B791)*ISNUMBER(expected_production[Expected Production (kWh)]))=0,"",SUMIFS(expected_production[Expected Production (kWh)],expected_production[Site Name],A791,expected_production[Date],B791)),"")</f>
        <v>29459.240609553108</v>
      </c>
      <c r="E791" s="9">
        <f>IF(OR(C791="",D791="",D791=0),"",C791/D791)</f>
        <v>0.31331425417011172</v>
      </c>
      <c r="F791" t="str">
        <f>IF(E791="","",IF(E791&gt;=0.9,"Expected",IF(E791&gt;=0.7,"Moderate","Poor")))</f>
        <v>Poor</v>
      </c>
      <c r="G791" t="s">
        <v>875</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31290.568324811979</v>
      </c>
      <c r="E792" s="9" t="str">
        <f>IF(OR(C792="",D792="",D792=0),"",C792/D792)</f>
        <v/>
      </c>
      <c r="F792" t="str">
        <f>IF(E792="","",IF(E792&gt;=0.9,"Expected",IF(E792&gt;=0.7,"Moderate","Poor")))</f>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29981.911416201016</v>
      </c>
      <c r="E793" s="9" t="str">
        <f>IF(OR(C793="",D793="",D793=0),"",C793/D793)</f>
        <v/>
      </c>
      <c r="F793" t="str">
        <f>IF(E793="","",IF(E793&gt;=0.9,"Expected",IF(E793&gt;=0.7,"Moderate","Poor")))</f>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29292.231333047497</v>
      </c>
      <c r="E794" s="9" t="str">
        <f>IF(OR(C794="",D794="",D794=0),"",C794/D794)</f>
        <v/>
      </c>
      <c r="F794" t="str">
        <f>IF(E794="","",IF(E794&gt;=0.9,"Expected",IF(E794&gt;=0.7,"Moderate","Poor")))</f>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IF(OR(C795="",D795="",D795=0),"",C795/D795)</f>
        <v/>
      </c>
      <c r="F795" t="str">
        <f>IF(E795="","",IF(E795&gt;=0.9,"Expected",IF(E795&gt;=0.7,"Moderate","Poor")))</f>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IF(OR(C796="",D796="",D796=0),"",C796/D796)</f>
        <v/>
      </c>
      <c r="F796" t="str">
        <f>IF(E796="","",IF(E796&gt;=0.9,"Expected",IF(E796&gt;=0.7,"Moderate","Poor")))</f>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IF(OR(C797="",D797="",D797=0),"",C797/D797)</f>
        <v/>
      </c>
      <c r="F797" t="str">
        <f>IF(E797="","",IF(E797&gt;=0.9,"Expected",IF(E797&gt;=0.7,"Moderate","Poor")))</f>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IF(OR(C798="",D798="",D798=0),"",C798/D798)</f>
        <v/>
      </c>
      <c r="F798" t="str">
        <f>IF(E798="","",IF(E798&gt;=0.9,"Expected",IF(E798&gt;=0.7,"Moderate","Poor")))</f>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3052.4477452611286</v>
      </c>
      <c r="E799" s="9" t="str">
        <f>IF(OR(C799="",D799="",D799=0),"",C799/D799)</f>
        <v/>
      </c>
      <c r="F799" t="str">
        <f>IF(E799="","",IF(E799&gt;=0.9,"Expected",IF(E799&gt;=0.7,"Moderate","Poor")))</f>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2750.2422397759037</v>
      </c>
      <c r="E800" s="9">
        <f>IF(OR(C800="",D800="",D800=0),"",C800/D800)</f>
        <v>0.60321959135322545</v>
      </c>
      <c r="F800" t="str">
        <f>IF(E800="","",IF(E800&gt;=0.9,"Expected",IF(E800&gt;=0.7,"Moderate","Poor")))</f>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3025.4989282039246</v>
      </c>
      <c r="E801" s="9">
        <f>IF(OR(C801="",D801="",D801=0),"",C801/D801)</f>
        <v>0.84019200149214668</v>
      </c>
      <c r="F801" t="str">
        <f>IF(E801="","",IF(E801&gt;=0.9,"Expected",IF(E801&gt;=0.7,"Moderate","Poor")))</f>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3540.2212050534331</v>
      </c>
      <c r="E802" s="9">
        <f>IF(OR(C802="",D802="",D802=0),"",C802/D802)</f>
        <v>0.80023248150598014</v>
      </c>
      <c r="F802" t="str">
        <f>IF(E802="","",IF(E802&gt;=0.9,"Expected",IF(E802&gt;=0.7,"Moderate","Poor")))</f>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3901.7079506920304</v>
      </c>
      <c r="E803" s="9">
        <f>IF(OR(C803="",D803="",D803=0),"",C803/D803)</f>
        <v>0.688929062341337</v>
      </c>
      <c r="F803" t="str">
        <f>IF(E803="","",IF(E803&gt;=0.9,"Expected",IF(E803&gt;=0.7,"Moderate","Poor")))</f>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4090.5721175573753</v>
      </c>
      <c r="E804" s="9">
        <f>IF(OR(C804="",D804="",D804=0),"",C804/D804)</f>
        <v>0.89571822588667704</v>
      </c>
      <c r="F804" t="str">
        <f>IF(E804="","",IF(E804&gt;=0.9,"Expected",IF(E804&gt;=0.7,"Moderate","Poor")))</f>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4105.1716621139431</v>
      </c>
      <c r="E805" s="9">
        <f>IF(OR(C805="",D805="",D805=0),"",C805/D805)</f>
        <v>0.85233950928088664</v>
      </c>
      <c r="F805" t="str">
        <f>IF(E805="","",IF(E805&gt;=0.9,"Expected",IF(E805&gt;=0.7,"Moderate","Poor")))</f>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4359.1169940447171</v>
      </c>
      <c r="E806" s="9">
        <f>IF(OR(C806="",D806="",D806=0),"",C806/D806)</f>
        <v>0.65196690152676506</v>
      </c>
      <c r="F806" t="str">
        <f>IF(E806="","",IF(E806&gt;=0.9,"Expected",IF(E806&gt;=0.7,"Moderate","Poor")))</f>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4215.0036416029798</v>
      </c>
      <c r="E807" s="9">
        <f>IF(OR(C807="",D807="",D807=0),"",C807/D807)</f>
        <v>0.72953673625547977</v>
      </c>
      <c r="F807" t="str">
        <f>IF(E807="","",IF(E807&gt;=0.9,"Expected",IF(E807&gt;=0.7,"Moderate","Poor")))</f>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3678.9926961730184</v>
      </c>
      <c r="E808" s="9">
        <f>IF(OR(C808="",D808="",D808=0),"",C808/D808)</f>
        <v>0.90459543544673793</v>
      </c>
      <c r="F808" t="str">
        <f>IF(E808="","",IF(E808&gt;=0.9,"Expected",IF(E808&gt;=0.7,"Moderate","Poor")))</f>
        <v>Expected</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3765.5824346094696</v>
      </c>
      <c r="E809" s="9">
        <f>IF(OR(C809="",D809="",D809=0),"",C809/D809)</f>
        <v>0.61530985982525632</v>
      </c>
      <c r="F809" t="str">
        <f>IF(E809="","",IF(E809&gt;=0.9,"Expected",IF(E809&gt;=0.7,"Moderate","Poor")))</f>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3163.3856097997182</v>
      </c>
      <c r="E810" s="9">
        <f>IF(OR(C810="",D810="",D810=0),"",C810/D810)</f>
        <v>0.95056384864518007</v>
      </c>
      <c r="F810" t="str">
        <f>IF(E810="","",IF(E810&gt;=0.9,"Expected",IF(E810&gt;=0.7,"Moderate","Poor")))</f>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3031.0951847782653</v>
      </c>
      <c r="E811" s="9">
        <f>IF(OR(C811="",D811="",D811=0),"",C811/D811)</f>
        <v>1.1599767693396297</v>
      </c>
      <c r="F811" t="str">
        <f>IF(E811="","",IF(E811&gt;=0.9,"Expected",IF(E811&gt;=0.7,"Moderate","Poor")))</f>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2731.0036749688538</v>
      </c>
      <c r="E812" s="9">
        <f>IF(OR(C812="",D812="",D812=0),"",C812/D812)</f>
        <v>1.0665675871099733</v>
      </c>
      <c r="F812" t="str">
        <f>IF(E812="","",IF(E812&gt;=0.9,"Expected",IF(E812&gt;=0.7,"Moderate","Poor")))</f>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3004.3348807749048</v>
      </c>
      <c r="E813" s="9">
        <f>IF(OR(C813="",D813="",D813=0),"",C813/D813)</f>
        <v>0.92832527353962491</v>
      </c>
      <c r="F813" t="str">
        <f>IF(E813="","",IF(E813&gt;=0.9,"Expected",IF(E813&gt;=0.7,"Moderate","Poor")))</f>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3515.4565591979967</v>
      </c>
      <c r="E814" s="9">
        <f>IF(OR(C814="",D814="",D814=0),"",C814/D814)</f>
        <v>0.95065888134951992</v>
      </c>
      <c r="F814" t="str">
        <f>IF(E814="","",IF(E814&gt;=0.9,"Expected",IF(E814&gt;=0.7,"Moderate","Poor")))</f>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3874.4146235145354</v>
      </c>
      <c r="E815" s="9">
        <f>IF(OR(C815="",D815="",D815=0),"",C815/D815)</f>
        <v>0.79470069654212594</v>
      </c>
      <c r="F815" t="str">
        <f>IF(E815="","",IF(E815&gt;=0.9,"Expected",IF(E815&gt;=0.7,"Moderate","Poor")))</f>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4061.9576429327872</v>
      </c>
      <c r="E816" s="9">
        <f>IF(OR(C816="",D816="",D816=0),"",C816/D816)</f>
        <v>0.91286033138513356</v>
      </c>
      <c r="F816" t="str">
        <f>IF(E816="","",IF(E816&gt;=0.9,"Expected",IF(E816&gt;=0.7,"Moderate","Poor")))</f>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4076.455060382134</v>
      </c>
      <c r="E817" s="9">
        <f>IF(OR(C817="",D817="",D817=0),"",C817/D817)</f>
        <v>0.69962748460488333</v>
      </c>
      <c r="F817" t="str">
        <f>IF(E817="","",IF(E817&gt;=0.9,"Expected",IF(E817&gt;=0.7,"Moderate","Poor")))</f>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4328.6239874365874</v>
      </c>
      <c r="E818" s="9">
        <f>IF(OR(C818="",D818="",D818=0),"",C818/D818)</f>
        <v>0.55121442909458851</v>
      </c>
      <c r="F818" t="str">
        <f>IF(E818="","",IF(E818&gt;=0.9,"Expected",IF(E818&gt;=0.7,"Moderate","Poor")))</f>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4185.5187404011358</v>
      </c>
      <c r="E819" s="9">
        <f>IF(OR(C819="",D819="",D819=0),"",C819/D819)</f>
        <v>0.44319476630087162</v>
      </c>
      <c r="F819" t="str">
        <f>IF(E819="","",IF(E819&gt;=0.9,"Expected",IF(E819&gt;=0.7,"Moderate","Poor")))</f>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3653.2573124361461</v>
      </c>
      <c r="E820" s="9">
        <f>IF(OR(C820="",D820="",D820=0),"",C820/D820)</f>
        <v>1.0363354333438219</v>
      </c>
      <c r="F820" t="str">
        <f>IF(E820="","",IF(E820&gt;=0.9,"Expected",IF(E820&gt;=0.7,"Moderate","Poor")))</f>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3739.2413361212052</v>
      </c>
      <c r="E821" s="9">
        <f>IF(OR(C821="",D821="",D821=0),"",C821/D821)</f>
        <v>0.78251167469046068</v>
      </c>
      <c r="F821" t="str">
        <f>IF(E821="","",IF(E821&gt;=0.9,"Expected",IF(E821&gt;=0.7,"Moderate","Poor")))</f>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3141.2570139314575</v>
      </c>
      <c r="E822" s="9">
        <f>IF(OR(C822="",D822="",D822=0),"",C822/D822)</f>
        <v>0.48388272378185176</v>
      </c>
      <c r="F822" t="str">
        <f>IF(E822="","",IF(E822&gt;=0.9,"Expected",IF(E822&gt;=0.7,"Moderate","Poor")))</f>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3009.8919902722259</v>
      </c>
      <c r="E823" s="9">
        <f>IF(OR(C823="",D823="",D823=0),"",C823/D823)</f>
        <v>0.88893555271995284</v>
      </c>
      <c r="F823" t="str">
        <f>IF(E823="","",IF(E823&gt;=0.9,"Expected",IF(E823&gt;=0.7,"Moderate","Poor")))</f>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2711.8996882620463</v>
      </c>
      <c r="E824" s="9">
        <f>IF(OR(C824="",D824="",D824=0),"",C824/D824)</f>
        <v>1.0678861067519561</v>
      </c>
      <c r="F824" t="str">
        <f>IF(E824="","",IF(E824&gt;=0.9,"Expected",IF(E824&gt;=0.7,"Moderate","Poor")))</f>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2643.6147395129001</v>
      </c>
      <c r="E825" s="9">
        <f>IF(OR(C825="",D825="",D825=0),"",C825/D825)</f>
        <v>0.52957792187902442</v>
      </c>
      <c r="F825" t="str">
        <f>IF(E825="","",IF(E825&gt;=0.9,"Expected",IF(E825&gt;=0.7,"Moderate","Poor")))</f>
        <v>Poor</v>
      </c>
      <c r="G825" t="s">
        <v>874</v>
      </c>
    </row>
    <row r="826" spans="1:7" ht="15" hidden="1"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3490.8651476261889</v>
      </c>
      <c r="E826" s="9">
        <f>IF(OR(C826="",D826="",D826=0),"",C826/D826)</f>
        <v>0.80352573971739305</v>
      </c>
      <c r="F826" t="str">
        <f>IF(E826="","",IF(E826&gt;=0.9,"Expected",IF(E826&gt;=0.7,"Moderate","Poor")))</f>
        <v>Moderate</v>
      </c>
      <c r="G826" t="s">
        <v>874</v>
      </c>
    </row>
    <row r="827" spans="1:7" ht="15" customHeight="1" x14ac:dyDescent="0.3">
      <c r="A827" t="s">
        <v>149</v>
      </c>
      <c r="B827" s="2">
        <v>46266</v>
      </c>
      <c r="C827" cm="1">
        <f t="array" ref="C827">IFERROR(IF(SUMPRODUCT((measured[Site Name]=A827)*(measured[Date]=B827)*ISNUMBER(measured[Measured Value (kWh)]))=0,"",SUMIFS(measured[Measured Value (kWh)],measured[Site Name],A827,measured[Date],B827)),"")</f>
        <v>6058.46</v>
      </c>
      <c r="D827" cm="1">
        <f t="array" ref="D827">IFERROR(IF(SUMPRODUCT((expected_production[Site Name]=A827)*(expected_production[Date]=B827)*ISNUMBER(expected_production[Expected Production (kWh)]))=0,"",SUMIFS(expected_production[Expected Production (kWh)],expected_production[Site Name],A827,expected_production[Date],B827)),"")</f>
        <v>8097.5337387415584</v>
      </c>
      <c r="E827" s="9">
        <f>IF(OR(C827="",D827="",D827=0),"",C827/D827)</f>
        <v>0.74818582984274773</v>
      </c>
      <c r="F827" t="str">
        <f>IF(E827="","",IF(E827&gt;=0.9,"Expected",IF(E827&gt;=0.7,"Moderate","Poor")))</f>
        <v>Moderate</v>
      </c>
      <c r="G827" t="s">
        <v>874</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4033.5433330124288</v>
      </c>
      <c r="E828" s="9" t="str">
        <f>IF(OR(C828="",D828="",D828=0),"",C828/D828)</f>
        <v/>
      </c>
      <c r="F828" t="str">
        <f>IF(E828="","",IF(E828&gt;=0.9,"Expected",IF(E828&gt;=0.7,"Moderate","Poor")))</f>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4047.9393377567048</v>
      </c>
      <c r="E829" s="9" t="str">
        <f>IF(OR(C829="",D829="",D829=0),"",C829/D829)</f>
        <v/>
      </c>
      <c r="F829" t="str">
        <f>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4298.3442862876318</v>
      </c>
      <c r="E830" s="9" t="str">
        <f>IF(OR(C830="",D830="",D830=0),"",C830/D830)</f>
        <v/>
      </c>
      <c r="F830" t="str">
        <f>IF(E830="","",IF(E830&gt;=0.9,"Expected",IF(E830&gt;=0.7,"Moderate","Poor")))</f>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38406.690466736065</v>
      </c>
      <c r="E831" s="9">
        <f>IF(OR(C831="",D831="",D831=0),"",C831/D831)</f>
        <v>0.85032059787304526</v>
      </c>
      <c r="F831" t="str">
        <f>IF(E831="","",IF(E831&gt;=0.9,"Expected",IF(E831&gt;=0.7,"Moderate","Poor")))</f>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32048.769887935952</v>
      </c>
      <c r="E832" s="9">
        <f>IF(OR(C832="",D832="",D832=0),"",C832/D832)</f>
        <v>0.81750407555774574</v>
      </c>
      <c r="F832" t="str">
        <f>IF(E832="","",IF(E832&gt;=0.9,"Expected",IF(E832&gt;=0.7,"Moderate","Poor")))</f>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31211.966815088177</v>
      </c>
      <c r="E833" s="9">
        <f>IF(OR(C833="",D833="",D833=0),"",C833/D833)</f>
        <v>0.76137464007914568</v>
      </c>
      <c r="F833" t="str">
        <f>IF(E833="","",IF(E833&gt;=0.9,"Expected",IF(E833&gt;=0.7,"Moderate","Poor")))</f>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22862.266663924776</v>
      </c>
      <c r="E834" s="9">
        <f>IF(OR(C834="",D834="",D834=0),"",C834/D834)</f>
        <v>0.77630097929026576</v>
      </c>
      <c r="F834" t="str">
        <f>IF(E834="","",IF(E834&gt;=0.9,"Expected",IF(E834&gt;=0.7,"Moderate","Poor")))</f>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17370.758887447446</v>
      </c>
      <c r="E835" s="9">
        <f>IF(OR(C835="",D835="",D835=0),"",C835/D835)</f>
        <v>0.72668097472250925</v>
      </c>
      <c r="F835" t="str">
        <f>IF(E835="","",IF(E835&gt;=0.9,"Expected",IF(E835&gt;=0.7,"Moderate","Poor")))</f>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14433.279916173646</v>
      </c>
      <c r="E836" s="9">
        <f>IF(OR(C836="",D836="",D836=0),"",C836/D836)</f>
        <v>0.6558453833762754</v>
      </c>
      <c r="F836" t="str">
        <f>IF(E836="","",IF(E836&gt;=0.9,"Expected",IF(E836&gt;=0.7,"Moderate","Poor")))</f>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16212.156533873846</v>
      </c>
      <c r="E837" s="9">
        <f>IF(OR(C837="",D837="",D837=0),"",C837/D837)</f>
        <v>0.5098026275980635</v>
      </c>
      <c r="F837" t="str">
        <f>IF(E837="","",IF(E837&gt;=0.9,"Expected",IF(E837&gt;=0.7,"Moderate","Poor")))</f>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20174.120090162851</v>
      </c>
      <c r="E838" s="9">
        <f>IF(OR(C838="",D838="",D838=0),"",C838/D838)</f>
        <v>0.72711969267758969</v>
      </c>
      <c r="F838" t="str">
        <f>IF(E838="","",IF(E838&gt;=0.9,"Expected",IF(E838&gt;=0.7,"Moderate","Poor")))</f>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25763.957007544497</v>
      </c>
      <c r="E839" s="9">
        <f>IF(OR(C839="",D839="",D839=0),"",C839/D839)</f>
        <v>0.78924211812826595</v>
      </c>
      <c r="F839" t="str">
        <f>IF(E839="","",IF(E839&gt;=0.9,"Expected",IF(E839&gt;=0.7,"Moderate","Poor")))</f>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31860.528834349709</v>
      </c>
      <c r="E840" s="9">
        <f>IF(OR(C840="",D840="",D840=0),"",C840/D840)</f>
        <v>0.82603776405700602</v>
      </c>
      <c r="F840" t="str">
        <f>IF(E840="","",IF(E840&gt;=0.9,"Expected",IF(E840&gt;=0.7,"Moderate","Poor")))</f>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35782.19440532825</v>
      </c>
      <c r="E841" s="9">
        <f>IF(OR(C841="",D841="",D841=0),"",C841/D841)</f>
        <v>0.82691965911386267</v>
      </c>
      <c r="F841" t="str">
        <f>IF(E841="","",IF(E841&gt;=0.9,"Expected",IF(E841&gt;=0.7,"Moderate","Poor")))</f>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38665.821477741571</v>
      </c>
      <c r="E842" s="9">
        <f>IF(OR(C842="",D842="",D842=0),"",C842/D842)</f>
        <v>0.8226128085319504</v>
      </c>
      <c r="F842" t="str">
        <f>IF(E842="","",IF(E842&gt;=0.9,"Expected",IF(E842&gt;=0.7,"Moderate","Poor")))</f>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38137.293527239126</v>
      </c>
      <c r="E843" s="9">
        <f>IF(OR(C843="",D843="",D843=0),"",C843/D843)</f>
        <v>0.85336417427616107</v>
      </c>
      <c r="F843" t="str">
        <f>IF(E843="","",IF(E843&gt;=0.9,"Expected",IF(E843&gt;=0.7,"Moderate","Poor")))</f>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31823.969458179337</v>
      </c>
      <c r="E844" s="9">
        <f>IF(OR(C844="",D844="",D844=0),"",C844/D844)</f>
        <v>0.65064165006852037</v>
      </c>
      <c r="F844" t="str">
        <f>IF(E844="","",IF(E844&gt;=0.9,"Expected",IF(E844&gt;=0.7,"Moderate","Poor")))</f>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30993.632067100127</v>
      </c>
      <c r="E845" s="9">
        <f>IF(OR(C845="",D845="",D845=0),"",C845/D845)</f>
        <v>0.53720712577194352</v>
      </c>
      <c r="F845" t="str">
        <f>IF(E845="","",IF(E845&gt;=0.9,"Expected",IF(E845&gt;=0.7,"Moderate","Poor")))</f>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22702.339951837839</v>
      </c>
      <c r="E846" s="9">
        <f>IF(OR(C846="",D846="",D846=0),"",C846/D846)</f>
        <v>0.58214263498992824</v>
      </c>
      <c r="F846" t="str">
        <f>IF(E846="","",IF(E846&gt;=0.9,"Expected",IF(E846&gt;=0.7,"Moderate","Poor")))</f>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17249.246510911831</v>
      </c>
      <c r="E847" s="9">
        <f>IF(OR(C847="",D847="",D847=0),"",C847/D847)</f>
        <v>0.50494959269612594</v>
      </c>
      <c r="F847" t="str">
        <f>IF(E847="","",IF(E847&gt;=0.9,"Expected",IF(E847&gt;=0.7,"Moderate","Poor")))</f>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14332.3158676147</v>
      </c>
      <c r="E848" s="9">
        <f>IF(OR(C848="",D848="",D848=0),"",C848/D848)</f>
        <v>0.52335715102044877</v>
      </c>
      <c r="F848" t="str">
        <f>IF(E848="","",IF(E848&gt;=0.9,"Expected",IF(E848&gt;=0.7,"Moderate","Poor")))</f>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16098.748842133795</v>
      </c>
      <c r="E849" s="9">
        <f>IF(OR(C849="",D849="",D849=0),"",C849/D849)</f>
        <v>0.59936334771224875</v>
      </c>
      <c r="F849" t="str">
        <f>IF(E849="","",IF(E849&gt;=0.9,"Expected",IF(E849&gt;=0.7,"Moderate","Poor")))</f>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20032.997569693009</v>
      </c>
      <c r="E850" s="9">
        <f>IF(OR(C850="",D850="",D850=0),"",C850/D850)</f>
        <v>0.67009442562447796</v>
      </c>
      <c r="F850" t="str">
        <f>IF(E850="","",IF(E850&gt;=0.9,"Expected",IF(E850&gt;=0.7,"Moderate","Poor")))</f>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25583.732317003753</v>
      </c>
      <c r="E851" s="9">
        <f>IF(OR(C851="",D851="",D851=0),"",C851/D851)</f>
        <v>0.76013146788105312</v>
      </c>
      <c r="F851" t="str">
        <f>IF(E851="","",IF(E851&gt;=0.9,"Expected",IF(E851&gt;=0.7,"Moderate","Poor")))</f>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31637.657248748408</v>
      </c>
      <c r="E852" s="9">
        <f>IF(OR(C852="",D852="",D852=0),"",C852/D852)</f>
        <v>1.0644909556737898</v>
      </c>
      <c r="F852" t="str">
        <f>IF(E852="","",IF(E852&gt;=0.9,"Expected",IF(E852&gt;=0.7,"Moderate","Poor")))</f>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35531.889884493947</v>
      </c>
      <c r="E853" s="9">
        <f>IF(OR(C853="",D853="",D853=0),"",C853/D853)</f>
        <v>1.130364867463115</v>
      </c>
      <c r="F853" t="str">
        <f>IF(E853="","",IF(E853&gt;=0.9,"Expected",IF(E853&gt;=0.7,"Moderate","Poor")))</f>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38395.345335109872</v>
      </c>
      <c r="E854" s="9">
        <f>IF(OR(C854="",D854="",D854=0),"",C854/D854)</f>
        <v>1.1064362002535022</v>
      </c>
      <c r="F854" t="str">
        <f>IF(E854="","",IF(E854&gt;=0.9,"Expected",IF(E854&gt;=0.7,"Moderate","Poor")))</f>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37870.514556835027</v>
      </c>
      <c r="E855" s="9">
        <f>IF(OR(C855="",D855="",D855=0),"",C855/D855)</f>
        <v>1.0752164441518228</v>
      </c>
      <c r="F855" t="str">
        <f>IF(E855="","",IF(E855&gt;=0.9,"Expected",IF(E855&gt;=0.7,"Moderate","Poor")))</f>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31601.353613660624</v>
      </c>
      <c r="E856" s="9">
        <f>IF(OR(C856="",D856="",D856=0),"",C856/D856)</f>
        <v>0.94495952183172505</v>
      </c>
      <c r="F856" t="str">
        <f>IF(E856="","",IF(E856&gt;=0.9,"Expected",IF(E856&gt;=0.7,"Moderate","Poor")))</f>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30776.824619921455</v>
      </c>
      <c r="E857" s="9">
        <f>IF(OR(C857="",D857="",D857=0),"",C857/D857)</f>
        <v>1.0005255701417641</v>
      </c>
      <c r="F857" t="str">
        <f>IF(E857="","",IF(E857&gt;=0.9,"Expected",IF(E857&gt;=0.7,"Moderate","Poor")))</f>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22543.531963174737</v>
      </c>
      <c r="E858" s="9">
        <f>IF(OR(C858="",D858="",D858=0),"",C858/D858)</f>
        <v>0.87197560844106992</v>
      </c>
      <c r="F858" t="str">
        <f>IF(E858="","",IF(E858&gt;=0.9,"Expected",IF(E858&gt;=0.7,"Moderate","Poor")))</f>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17128.584140858206</v>
      </c>
      <c r="E859" s="9">
        <f>IF(OR(C859="",D859="",D859=0),"",C859/D859)</f>
        <v>0.84879695136737432</v>
      </c>
      <c r="F859" t="str">
        <f>IF(E859="","",IF(E859&gt;=0.9,"Expected",IF(E859&gt;=0.7,"Moderate","Poor")))</f>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14232.058085348699</v>
      </c>
      <c r="E860" s="9">
        <f>IF(OR(C860="",D860="",D860=0),"",C860/D860)</f>
        <v>1.0215451562108904</v>
      </c>
      <c r="F860" t="str">
        <f>IF(E860="","",IF(E860&gt;=0.9,"Expected",IF(E860&gt;=0.7,"Moderate","Poor")))</f>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25573.896258970093</v>
      </c>
      <c r="E861" s="9">
        <f>IF(OR(C861="",D861="",D861=0),"",C861/D861)</f>
        <v>0.32806889943714351</v>
      </c>
      <c r="F861" t="str">
        <f>IF(E861="","",IF(E861&gt;=0.9,"Expected",IF(E861&gt;=0.7,"Moderate","Poor")))</f>
        <v>Poor</v>
      </c>
      <c r="G861" t="s">
        <v>875</v>
      </c>
    </row>
    <row r="862" spans="1:7" ht="15" hidden="1"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19892.862233085201</v>
      </c>
      <c r="E862" s="9">
        <f>IF(OR(C862="",D862="",D862=0),"",C862/D862)</f>
        <v>1.0338884248538953</v>
      </c>
      <c r="F862" t="str">
        <f>IF(E862="","",IF(E862&gt;=0.9,"Expected",IF(E862&gt;=0.7,"Moderate","Poor")))</f>
        <v>Expected</v>
      </c>
      <c r="G862" t="s">
        <v>874</v>
      </c>
    </row>
    <row r="863" spans="1:7" ht="15" customHeight="1" x14ac:dyDescent="0.3">
      <c r="A863" t="s">
        <v>113</v>
      </c>
      <c r="B863" s="2">
        <v>46266</v>
      </c>
      <c r="C863" cm="1">
        <f t="array" ref="C863">IFERROR(IF(SUMPRODUCT((measured[Site Name]=A863)*(measured[Date]=B863)*ISNUMBER(measured[Measured Value (kWh)]))=0,"",SUMIFS(measured[Measured Value (kWh)],measured[Site Name],A863,measured[Date],B863)),"")</f>
        <v>24320.29</v>
      </c>
      <c r="D863" cm="1">
        <f t="array" ref="D863">IFERROR(IF(SUMPRODUCT((expected_production[Site Name]=A863)*(expected_production[Date]=B863)*ISNUMBER(expected_production[Expected Production (kWh)]))=0,"",SUMIFS(expected_production[Expected Production (kWh)],expected_production[Site Name],A863,expected_production[Date],B863)),"")</f>
        <v>25404.76833882451</v>
      </c>
      <c r="E863" s="9">
        <f>IF(OR(C863="",D863="",D863=0),"",C863/D863)</f>
        <v>0.95731201621834239</v>
      </c>
      <c r="F863" t="str">
        <f>IF(E863="","",IF(E863&gt;=0.9,"Expected",IF(E863&gt;=0.7,"Moderate","Poor")))</f>
        <v>Expected</v>
      </c>
      <c r="G863" t="s">
        <v>874</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31416.344700158919</v>
      </c>
      <c r="E864" s="9" t="str">
        <f>IF(OR(C864="",D864="",D864=0),"",C864/D864)</f>
        <v/>
      </c>
      <c r="F864" t="str">
        <f>IF(E864="","",IF(E864&gt;=0.9,"Expected",IF(E864&gt;=0.7,"Moderate","Poor")))</f>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35283.336300241128</v>
      </c>
      <c r="E865" s="9" t="str">
        <f>IF(OR(C865="",D865="",D865=0),"",C865/D865)</f>
        <v/>
      </c>
      <c r="F865" t="str">
        <f>IF(E865="","",IF(E865&gt;=0.9,"Expected",IF(E865&gt;=0.7,"Moderate","Poor")))</f>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38126.761234104</v>
      </c>
      <c r="E866" s="9" t="str">
        <f>IF(OR(C866="",D866="",D866=0),"",C866/D866)</f>
        <v/>
      </c>
      <c r="F866" t="str">
        <f>IF(E866="","",IF(E866&gt;=0.9,"Expected",IF(E866&gt;=0.7,"Moderate","Poor")))</f>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29258.200055500169</v>
      </c>
      <c r="E867" s="9">
        <f>IF(OR(C867="",D867="",D867=0),"",C867/D867)</f>
        <v>0.61111073019130535</v>
      </c>
      <c r="F867" t="str">
        <f>IF(E867="","",IF(E867&gt;=0.9,"Expected",IF(E867&gt;=0.7,"Moderate","Poor")))</f>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25545.485614889956</v>
      </c>
      <c r="E868" s="9">
        <f>IF(OR(C868="",D868="",D868=0),"",C868/D868)</f>
        <v>0.73555070681638102</v>
      </c>
      <c r="F868" t="str">
        <f>IF(E868="","",IF(E868&gt;=0.9,"Expected",IF(E868&gt;=0.7,"Moderate","Poor")))</f>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24067.20012571989</v>
      </c>
      <c r="E869" s="9">
        <f>IF(OR(C869="",D869="",D869=0),"",C869/D869)</f>
        <v>0.93945286040304188</v>
      </c>
      <c r="F869" t="str">
        <f>IF(E869="","",IF(E869&gt;=0.9,"Expected",IF(E869&gt;=0.7,"Moderate","Poor")))</f>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21415.39466978686</v>
      </c>
      <c r="E870" s="9">
        <f>IF(OR(C870="",D870="",D870=0),"",C870/D870)</f>
        <v>0.93530846892392816</v>
      </c>
      <c r="F870" t="str">
        <f>IF(E870="","",IF(E870&gt;=0.9,"Expected",IF(E870&gt;=0.7,"Moderate","Poor")))</f>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19169.331496491213</v>
      </c>
      <c r="E871" s="9">
        <f>IF(OR(C871="",D871="",D871=0),"",C871/D871)</f>
        <v>0.9296098824970398</v>
      </c>
      <c r="F871" t="str">
        <f>IF(E871="","",IF(E871&gt;=0.9,"Expected",IF(E871&gt;=0.7,"Moderate","Poor")))</f>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16949.646098593916</v>
      </c>
      <c r="E872" s="9">
        <f>IF(OR(C872="",D872="",D872=0),"",C872/D872)</f>
        <v>0.64898110178905277</v>
      </c>
      <c r="F872" t="str">
        <f>IF(E872="","",IF(E872&gt;=0.9,"Expected",IF(E872&gt;=0.7,"Moderate","Poor")))</f>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18858.483341154104</v>
      </c>
      <c r="E873" s="9">
        <f>IF(OR(C873="",D873="",D873=0),"",C873/D873)</f>
        <v>0.92584327616090678</v>
      </c>
      <c r="F873" t="str">
        <f>IF(E873="","",IF(E873&gt;=0.9,"Expected",IF(E873&gt;=0.7,"Moderate","Poor")))</f>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21979.081666616978</v>
      </c>
      <c r="E874" s="9">
        <f>IF(OR(C874="",D874="",D874=0),"",C874/D874)</f>
        <v>1.1051417146737741</v>
      </c>
      <c r="F874" t="str">
        <f>IF(E874="","",IF(E874&gt;=0.9,"Expected",IF(E874&gt;=0.7,"Moderate","Poor")))</f>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24435.181558452754</v>
      </c>
      <c r="E875" s="9">
        <f>IF(OR(C875="",D875="",D875=0),"",C875/D875)</f>
        <v>0.92121271725166354</v>
      </c>
      <c r="F875" t="str">
        <f>IF(E875="","",IF(E875&gt;=0.9,"Expected",IF(E875&gt;=0.7,"Moderate","Poor")))</f>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27182.964095431431</v>
      </c>
      <c r="E876" s="9">
        <f>IF(OR(C876="",D876="",D876=0),"",C876/D876)</f>
        <v>1.1691145928173883</v>
      </c>
      <c r="F876" t="str">
        <f>IF(E876="","",IF(E876&gt;=0.9,"Expected",IF(E876&gt;=0.7,"Moderate","Poor")))</f>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28526.837319854669</v>
      </c>
      <c r="E877" s="9">
        <f>IF(OR(C877="",D877="",D877=0),"",C877/D877)</f>
        <v>1.0551467610133707</v>
      </c>
      <c r="F877" t="str">
        <f>IF(E877="","",IF(E877&gt;=0.9,"Expected",IF(E877&gt;=0.7,"Moderate","Poor")))</f>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28018.118602027509</v>
      </c>
      <c r="E878" s="9">
        <f>IF(OR(C878="",D878="",D878=0),"",C878/D878)</f>
        <v>0.64122792308759469</v>
      </c>
      <c r="F878" t="str">
        <f>IF(E878="","",IF(E878&gt;=0.9,"Expected",IF(E878&gt;=0.7,"Moderate","Poor")))</f>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29052.973584425617</v>
      </c>
      <c r="E879" s="9">
        <f>IF(OR(C879="",D879="",D879=0),"",C879/D879)</f>
        <v>0.71620896014425572</v>
      </c>
      <c r="F879" t="str">
        <f>IF(E879="","",IF(E879&gt;=0.9,"Expected",IF(E879&gt;=0.7,"Moderate","Poor")))</f>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25366.301322804837</v>
      </c>
      <c r="E880" s="9">
        <f>IF(OR(C880="",D880="",D880=0),"",C880/D880)</f>
        <v>0.8490792459615264</v>
      </c>
      <c r="F880" t="str">
        <f>IF(E880="","",IF(E880&gt;=0.9,"Expected",IF(E880&gt;=0.7,"Moderate","Poor")))</f>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23898.844632285018</v>
      </c>
      <c r="E881" s="9">
        <f>IF(OR(C881="",D881="",D881=0),"",C881/D881)</f>
        <v>0.94824667671950302</v>
      </c>
      <c r="F881" t="str">
        <f>IF(E881="","",IF(E881&gt;=0.9,"Expected",IF(E881&gt;=0.7,"Moderate","Poor")))</f>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21265.589153652829</v>
      </c>
      <c r="E882" s="9">
        <f>IF(OR(C882="",D882="",D882=0),"",C882/D882)</f>
        <v>0.81883459114082136</v>
      </c>
      <c r="F882" t="str">
        <f>IF(E882="","",IF(E882&gt;=0.9,"Expected",IF(E882&gt;=0.7,"Moderate","Poor")))</f>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19035.237698872457</v>
      </c>
      <c r="E883" s="9">
        <f>IF(OR(C883="",D883="",D883=0),"",C883/D883)</f>
        <v>1.0732726495561524</v>
      </c>
      <c r="F883" t="str">
        <f>IF(E883="","",IF(E883&gt;=0.9,"Expected",IF(E883&gt;=0.7,"Moderate","Poor")))</f>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16831.079501001797</v>
      </c>
      <c r="E884" s="9">
        <f>IF(OR(C884="",D884="",D884=0),"",C884/D884)</f>
        <v>1.0931408171950525</v>
      </c>
      <c r="F884" t="str">
        <f>IF(E884="","",IF(E884&gt;=0.9,"Expected",IF(E884&gt;=0.7,"Moderate","Poor")))</f>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18726.563996496297</v>
      </c>
      <c r="E885" s="9">
        <f>IF(OR(C885="",D885="",D885=0),"",C885/D885)</f>
        <v>1.0207425133396804</v>
      </c>
      <c r="F885" t="str">
        <f>IF(E885="","",IF(E885&gt;=0.9,"Expected",IF(E885&gt;=0.7,"Moderate","Poor")))</f>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21825.333032795868</v>
      </c>
      <c r="E886" s="9">
        <f>IF(OR(C886="",D886="",D886=0),"",C886/D886)</f>
        <v>1.0053454839396412</v>
      </c>
      <c r="F886" t="str">
        <f>IF(E886="","",IF(E886&gt;=0.9,"Expected",IF(E886&gt;=0.7,"Moderate","Poor")))</f>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24264.251951894668</v>
      </c>
      <c r="E887" s="9">
        <f>IF(OR(C887="",D887="",D887=0),"",C887/D887)</f>
        <v>0.89460825097907104</v>
      </c>
      <c r="F887" t="str">
        <f>IF(E887="","",IF(E887&gt;=0.9,"Expected",IF(E887&gt;=0.7,"Moderate","Poor")))</f>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26992.813130242172</v>
      </c>
      <c r="E888" s="9">
        <f>IF(OR(C888="",D888="",D888=0),"",C888/D888)</f>
        <v>1.0518355335180019</v>
      </c>
      <c r="F888" t="str">
        <f>IF(E888="","",IF(E888&gt;=0.9,"Expected",IF(E888&gt;=0.7,"Moderate","Poor")))</f>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28327.285658338878</v>
      </c>
      <c r="E889" s="9">
        <f>IF(OR(C889="",D889="",D889=0),"",C889/D889)</f>
        <v>0.86965621405198212</v>
      </c>
      <c r="F889" t="str">
        <f>IF(E889="","",IF(E889&gt;=0.9,"Expected",IF(E889&gt;=0.7,"Moderate","Poor")))</f>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27822.125542688624</v>
      </c>
      <c r="E890" s="9">
        <f>IF(OR(C890="",D890="",D890=0),"",C890/D890)</f>
        <v>0.50125573542546498</v>
      </c>
      <c r="F890" t="str">
        <f>IF(E890="","",IF(E890&gt;=0.9,"Expected",IF(E890&gt;=0.7,"Moderate","Poor")))</f>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28849.741481064779</v>
      </c>
      <c r="E891" s="9">
        <f>IF(OR(C891="",D891="",D891=0),"",C891/D891)</f>
        <v>0.89342221721179538</v>
      </c>
      <c r="F891" t="str">
        <f>IF(E891="","",IF(E891&gt;=0.9,"Expected",IF(E891&gt;=0.7,"Moderate","Poor")))</f>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25188.858323473367</v>
      </c>
      <c r="E892" s="9">
        <f>IF(OR(C892="",D892="",D892=0),"",C892/D892)</f>
        <v>0.96832495092761517</v>
      </c>
      <c r="F892" t="str">
        <f>IF(E892="","",IF(E892&gt;=0.9,"Expected",IF(E892&gt;=0.7,"Moderate","Poor")))</f>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23731.666823500695</v>
      </c>
      <c r="E893" s="9">
        <f>IF(OR(C893="",D893="",D893=0),"",C893/D893)</f>
        <v>0.96234285479620307</v>
      </c>
      <c r="F893" t="str">
        <f>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21116.831560894025</v>
      </c>
      <c r="E894" s="9">
        <f>IF(OR(C894="",D894="",D894=0),"",C894/D894)</f>
        <v>0.90155665375748195</v>
      </c>
      <c r="F894" t="str">
        <f>IF(E894="","",IF(E894&gt;=0.9,"Expected",IF(E894&gt;=0.7,"Moderate","Poor")))</f>
        <v>Expected</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18902.081917614007</v>
      </c>
      <c r="E895" s="9">
        <f>IF(OR(C895="",D895="",D895=0),"",C895/D895)</f>
        <v>1.0523708492376986</v>
      </c>
      <c r="F895" t="str">
        <f>IF(E895="","",IF(E895&gt;=0.9,"Expected",IF(E895&gt;=0.7,"Moderate","Poor")))</f>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16713.342303503508</v>
      </c>
      <c r="E896" s="9">
        <f>IF(OR(C896="",D896="",D896=0),"",C896/D896)</f>
        <v>0.79182247091450064</v>
      </c>
      <c r="F896" t="str">
        <f>IF(E896="","",IF(E896&gt;=0.9,"Expected",IF(E896&gt;=0.7,"Moderate","Poor")))</f>
        <v>Moderate</v>
      </c>
    </row>
    <row r="897" spans="1:7" ht="15" hidden="1"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21672.659905347609</v>
      </c>
      <c r="E897" s="9">
        <f>IF(OR(C897="",D897="",D897=0),"",C897/D897)</f>
        <v>1.0712575245215441</v>
      </c>
      <c r="F897" t="str">
        <f>IF(E897="","",IF(E897&gt;=0.9,"Expected",IF(E897&gt;=0.7,"Moderate","Poor")))</f>
        <v>Expected</v>
      </c>
      <c r="G897" t="s">
        <v>874</v>
      </c>
    </row>
    <row r="898" spans="1:7" ht="15" customHeight="1" x14ac:dyDescent="0.3">
      <c r="A898" t="s">
        <v>114</v>
      </c>
      <c r="B898" s="2">
        <v>46266</v>
      </c>
      <c r="C898" cm="1">
        <f t="array" ref="C898">IFERROR(IF(SUMPRODUCT((measured[Site Name]=A898)*(measured[Date]=B898)*ISNUMBER(measured[Measured Value (kWh)]))=0,"",SUMIFS(measured[Measured Value (kWh)],measured[Site Name],A898,measured[Date],B898)),"")</f>
        <v>22918</v>
      </c>
      <c r="D898" cm="1">
        <f t="array" ref="D898">IFERROR(IF(SUMPRODUCT((expected_production[Site Name]=A898)*(expected_production[Date]=B898)*ISNUMBER(expected_production[Expected Production (kWh)]))=0,"",SUMIFS(expected_production[Expected Production (kWh)],expected_production[Site Name],A898,expected_production[Date],B898)),"")</f>
        <v>24094.51803648904</v>
      </c>
      <c r="E898" s="9">
        <f>IF(OR(C898="",D898="",D898=0),"",C898/D898)</f>
        <v>0.95117071714373758</v>
      </c>
      <c r="F898" t="str">
        <f>IF(E898="","",IF(E898&gt;=0.9,"Expected",IF(E898&gt;=0.7,"Moderate","Poor")))</f>
        <v>Expected</v>
      </c>
      <c r="G898" t="s">
        <v>874</v>
      </c>
    </row>
    <row r="899" spans="1:7"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26803.992313944527</v>
      </c>
      <c r="E899" s="9" t="str">
        <f>IF(OR(C899="",D899="",D899=0),"",C899/D899)</f>
        <v/>
      </c>
      <c r="F899" t="str">
        <f>IF(E899="","",IF(E899&gt;=0.9,"Expected",IF(E899&gt;=0.7,"Moderate","Poor")))</f>
        <v/>
      </c>
    </row>
    <row r="900" spans="1:7"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28129.129905705911</v>
      </c>
      <c r="E900" s="9" t="str">
        <f>IF(OR(C900="",D900="",D900=0),"",C900/D900)</f>
        <v/>
      </c>
      <c r="F900" t="str">
        <f>IF(E900="","",IF(E900&gt;=0.9,"Expected",IF(E900&gt;=0.7,"Moderate","Poor")))</f>
        <v/>
      </c>
    </row>
    <row r="901" spans="1:7"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27627.503499007664</v>
      </c>
      <c r="E901" s="9" t="str">
        <f>IF(OR(C901="",D901="",D901=0),"",C901/D901)</f>
        <v/>
      </c>
      <c r="F901" t="str">
        <f>IF(E901="","",IF(E901&gt;=0.9,"Expected",IF(E901&gt;=0.7,"Moderate","Poor")))</f>
        <v/>
      </c>
    </row>
    <row r="902" spans="1:7"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IF(OR(C902="",D902="",D902=0),"",C902/D902)</f>
        <v/>
      </c>
      <c r="F902" t="str">
        <f>IF(E902="","",IF(E902&gt;=0.9,"Expected",IF(E902&gt;=0.7,"Moderate","Poor")))</f>
        <v/>
      </c>
    </row>
    <row r="903" spans="1:7"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IF(OR(C903="",D903="",D903=0),"",C903/D903)</f>
        <v/>
      </c>
      <c r="F903" t="str">
        <f>IF(E903="","",IF(E903&gt;=0.9,"Expected",IF(E903&gt;=0.7,"Moderate","Poor")))</f>
        <v/>
      </c>
    </row>
    <row r="904" spans="1:7"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IF(OR(C904="",D904="",D904=0),"",C904/D904)</f>
        <v/>
      </c>
      <c r="F904" t="str">
        <f>IF(E904="","",IF(E904&gt;=0.9,"Expected",IF(E904&gt;=0.7,"Moderate","Poor")))</f>
        <v/>
      </c>
    </row>
    <row r="905" spans="1:7"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IF(OR(C905="",D905="",D905=0),"",C905/D905)</f>
        <v/>
      </c>
      <c r="F905" t="str">
        <f>IF(E905="","",IF(E905&gt;=0.9,"Expected",IF(E905&gt;=0.7,"Moderate","Poor")))</f>
        <v/>
      </c>
    </row>
    <row r="906" spans="1:7"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IF(OR(C906="",D906="",D906=0),"",C906/D906)</f>
        <v/>
      </c>
      <c r="F906" t="str">
        <f>IF(E906="","",IF(E906&gt;=0.9,"Expected",IF(E906&gt;=0.7,"Moderate","Poor")))</f>
        <v/>
      </c>
    </row>
    <row r="907" spans="1:7"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IF(OR(C907="",D907="",D907=0),"",C907/D907)</f>
        <v>0.26497399695477641</v>
      </c>
      <c r="F907" t="str">
        <f>IF(E907="","",IF(E907&gt;=0.9,"Expected",IF(E907&gt;=0.7,"Moderate","Poor")))</f>
        <v>Poor</v>
      </c>
    </row>
    <row r="908" spans="1:7"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22349.471339029715</v>
      </c>
      <c r="E908" s="9">
        <f>IF(OR(C908="",D908="",D908=0),"",C908/D908)</f>
        <v>1.0116570390868851</v>
      </c>
      <c r="F908" t="str">
        <f>IF(E908="","",IF(E908&gt;=0.9,"Expected",IF(E908&gt;=0.7,"Moderate","Poor")))</f>
        <v>Expected</v>
      </c>
    </row>
    <row r="909" spans="1:7"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26946.724758045122</v>
      </c>
      <c r="E909" s="9">
        <f>IF(OR(C909="",D909="",D909=0),"",C909/D909)</f>
        <v>0.87172004059554231</v>
      </c>
      <c r="F909" t="str">
        <f>IF(E909="","",IF(E909&gt;=0.9,"Expected",IF(E909&gt;=0.7,"Moderate","Poor")))</f>
        <v>Moderate</v>
      </c>
    </row>
    <row r="910" spans="1:7"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28800.037462674052</v>
      </c>
      <c r="E910" s="9">
        <f>IF(OR(C910="",D910="",D910=0),"",C910/D910)</f>
        <v>0.72013795214259124</v>
      </c>
      <c r="F910" t="str">
        <f>IF(E910="","",IF(E910&gt;=0.9,"Expected",IF(E910&gt;=0.7,"Moderate","Poor")))</f>
        <v>Moderate</v>
      </c>
    </row>
    <row r="911" spans="1:7"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30198.120294102901</v>
      </c>
      <c r="E911" s="9">
        <f>IF(OR(C911="",D911="",D911=0),"",C911/D911)</f>
        <v>1.0643046549581534</v>
      </c>
      <c r="F911" t="str">
        <f>IF(E911="","",IF(E911&gt;=0.9,"Expected",IF(E911&gt;=0.7,"Moderate","Poor")))</f>
        <v>Expected</v>
      </c>
    </row>
    <row r="912" spans="1:7"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29304.879981113027</v>
      </c>
      <c r="E912" s="9">
        <f>IF(OR(C912="",D912="",D912=0),"",C912/D912)</f>
        <v>1.1022055036846192</v>
      </c>
      <c r="F912" t="str">
        <f>IF(E912="","",IF(E912&gt;=0.9,"Expected",IF(E912&gt;=0.7,"Moderate","Poor")))</f>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31120.88649238745</v>
      </c>
      <c r="E913" s="9">
        <f>IF(OR(C913="",D913="",D913=0),"",C913/D913)</f>
        <v>0.95543550815216338</v>
      </c>
      <c r="F913" t="str">
        <f>IF(E913="","",IF(E913&gt;=0.9,"Expected",IF(E913&gt;=0.7,"Moderate","Poor")))</f>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30101.697418124109</v>
      </c>
      <c r="E914" s="9">
        <f>IF(OR(C914="",D914="",D914=0),"",C914/D914)</f>
        <v>0.99662153875538995</v>
      </c>
      <c r="F914" t="str">
        <f>IF(E914="","",IF(E914&gt;=0.9,"Expected",IF(E914&gt;=0.7,"Moderate","Poor")))</f>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26267.280505718216</v>
      </c>
      <c r="E915" s="9">
        <f>IF(OR(C915="",D915="",D915=0),"",C915/D915)</f>
        <v>0.78272282490470313</v>
      </c>
      <c r="F915" t="str">
        <f>IF(E915="","",IF(E915&gt;=0.9,"Expected",IF(E915&gt;=0.7,"Moderate","Poor")))</f>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27431.767528187003</v>
      </c>
      <c r="E916" s="9">
        <f>IF(OR(C916="",D916="",D916=0),"",C916/D916)</f>
        <v>0.72817035867175017</v>
      </c>
      <c r="F916" t="str">
        <f>IF(E916="","",IF(E916&gt;=0.9,"Expected",IF(E916&gt;=0.7,"Moderate","Poor")))</f>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23617.59137853462</v>
      </c>
      <c r="E917" s="9">
        <f>IF(OR(C917="",D917="",D917=0),"",C917/D917)</f>
        <v>0.80888858198144209</v>
      </c>
      <c r="F917" t="str">
        <f>IF(E917="","",IF(E917&gt;=0.9,"Expected",IF(E917&gt;=0.7,"Moderate","Poor")))</f>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22432.98423460409</v>
      </c>
      <c r="E918" s="9">
        <f>IF(OR(C918="",D918="",D918=0),"",C918/D918)</f>
        <v>1.0386491496774866</v>
      </c>
      <c r="F918" t="str">
        <f>IF(E918="","",IF(E918&gt;=0.9,"Expected",IF(E918&gt;=0.7,"Moderate","Poor")))</f>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20094.239166341529</v>
      </c>
      <c r="E919" s="9">
        <f>IF(OR(C919="",D919="",D919=0),"",C919/D919)</f>
        <v>0.89318485021633642</v>
      </c>
      <c r="F919" t="str">
        <f>IF(E919="","",IF(E919&gt;=0.9,"Expected",IF(E919&gt;=0.7,"Moderate","Poor")))</f>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22193.131745905634</v>
      </c>
      <c r="E920" s="9">
        <f>IF(OR(C920="",D920="",D920=0),"",C920/D920)</f>
        <v>0.6239317712586735</v>
      </c>
      <c r="F920" t="str">
        <f>IF(E920="","",IF(E920&gt;=0.9,"Expected",IF(E920&gt;=0.7,"Moderate","Poor")))</f>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26758.226340306606</v>
      </c>
      <c r="E921" s="9">
        <f>IF(OR(C921="",D921="",D921=0),"",C921/D921)</f>
        <v>0.84482430608444326</v>
      </c>
      <c r="F921" t="str">
        <f>IF(E921="","",IF(E921&gt;=0.9,"Expected",IF(E921&gt;=0.7,"Moderate","Poor")))</f>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28598.574704536695</v>
      </c>
      <c r="E922" s="9">
        <f>IF(OR(C922="",D922="",D922=0),"",C922/D922)</f>
        <v>0.82706918943928487</v>
      </c>
      <c r="F922" t="str">
        <f>IF(E922="","",IF(E922&gt;=0.9,"Expected",IF(E922&gt;=0.7,"Moderate","Poor")))</f>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29986.877631210591</v>
      </c>
      <c r="E923" s="9">
        <f>IF(OR(C923="",D923="",D923=0),"",C923/D923)</f>
        <v>0.98319672900235033</v>
      </c>
      <c r="F923" t="str">
        <f>IF(E923="","",IF(E923&gt;=0.9,"Expected",IF(E923&gt;=0.7,"Moderate","Poor")))</f>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29099.8857356878</v>
      </c>
      <c r="E924" s="9">
        <f>IF(OR(C924="",D924="",D924=0),"",C924/D924)</f>
        <v>0.76264904273430645</v>
      </c>
      <c r="F924" t="str">
        <f>IF(E924="","",IF(E924&gt;=0.9,"Expected",IF(E924&gt;=0.7,"Moderate","Poor")))</f>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30903.188871800612</v>
      </c>
      <c r="E925" s="9">
        <f>IF(OR(C925="",D925="",D925=0),"",C925/D925)</f>
        <v>0.90272237327120042</v>
      </c>
      <c r="F925" t="str">
        <f>IF(E925="","",IF(E925&gt;=0.9,"Expected",IF(E925&gt;=0.7,"Moderate","Poor")))</f>
        <v>Expected</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29891.129254998243</v>
      </c>
      <c r="E926" s="9">
        <f>IF(OR(C926="",D926="",D926=0),"",C926/D926)</f>
        <v>0.87985969936556507</v>
      </c>
      <c r="F926" t="str">
        <f>IF(E926="","",IF(E926&gt;=0.9,"Expected",IF(E926&gt;=0.7,"Moderate","Poor")))</f>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26083.534953778984</v>
      </c>
      <c r="E927" s="9">
        <f>IF(OR(C927="",D927="",D927=0),"",C927/D927)</f>
        <v>1.040039973418929</v>
      </c>
      <c r="F927" t="str">
        <f>IF(E927="","",IF(E927&gt;=0.9,"Expected",IF(E927&gt;=0.7,"Moderate","Poor")))</f>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27239.876126865947</v>
      </c>
      <c r="E928" s="9">
        <f>IF(OR(C928="",D928="",D928=0),"",C928/D928)</f>
        <v>0.84802147749919832</v>
      </c>
      <c r="F928" t="str">
        <f>IF(E928="","",IF(E928&gt;=0.9,"Expected",IF(E928&gt;=0.7,"Moderate","Poor")))</f>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23452.380999699271</v>
      </c>
      <c r="E929" s="9">
        <f>IF(OR(C929="",D929="",D929=0),"",C929/D929)</f>
        <v>0.85198428254496705</v>
      </c>
      <c r="F929" t="str">
        <f>IF(E929="","",IF(E929&gt;=0.9,"Expected",IF(E929&gt;=0.7,"Moderate","Poor")))</f>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22276.060449938443</v>
      </c>
      <c r="E930" s="9">
        <f>IF(OR(C930="",D930="",D930=0),"",C930/D930)</f>
        <v>0.92175634224662639</v>
      </c>
      <c r="F930" t="str">
        <f>IF(E930="","",IF(E930&gt;=0.9,"Expected",IF(E930&gt;=0.7,"Moderate","Poor")))</f>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19953.675430951618</v>
      </c>
      <c r="E931" s="9">
        <f>IF(OR(C931="",D931="",D931=0),"",C931/D931)</f>
        <v>0.7517963320547294</v>
      </c>
      <c r="F931" t="str">
        <f>IF(E931="","",IF(E931&gt;=0.9,"Expected",IF(E931&gt;=0.7,"Moderate","Poor")))</f>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2983.3188806313765</v>
      </c>
      <c r="E932" s="9">
        <f>IF(OR(C932="",D932="",D932=0),"",C932/D932)</f>
        <v>0.87084220760543396</v>
      </c>
      <c r="F932" t="str">
        <f>IF(E932="","",IF(E932&gt;=0.9,"Expected",IF(E932&gt;=0.7,"Moderate","Poor")))</f>
        <v>Moderate</v>
      </c>
      <c r="G932" t="s">
        <v>874</v>
      </c>
    </row>
    <row r="933" spans="1:7" ht="15" hidden="1"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26571.046511517547</v>
      </c>
      <c r="E933" s="9">
        <f>IF(OR(C933="",D933="",D933=0),"",C933/D933)</f>
        <v>0.90104354714151691</v>
      </c>
      <c r="F933" t="str">
        <f>IF(E933="","",IF(E933&gt;=0.9,"Expected",IF(E933&gt;=0.7,"Moderate","Poor")))</f>
        <v>Expected</v>
      </c>
      <c r="G933" t="s">
        <v>874</v>
      </c>
    </row>
    <row r="934" spans="1:7" ht="15" customHeight="1" x14ac:dyDescent="0.3">
      <c r="A934" t="s">
        <v>208</v>
      </c>
      <c r="B934" s="2">
        <v>46266</v>
      </c>
      <c r="C934" cm="1">
        <f t="array" ref="C934">IFERROR(IF(SUMPRODUCT((measured[Site Name]=A934)*(measured[Date]=B934)*ISNUMBER(measured[Measured Value (kWh)]))=0,"",SUMIFS(measured[Measured Value (kWh)],measured[Site Name],A934,measured[Date],B934)),"")</f>
        <v>11994.93</v>
      </c>
      <c r="D934" cm="1">
        <f t="array" ref="D934">IFERROR(IF(SUMPRODUCT((expected_production[Site Name]=A934)*(expected_production[Date]=B934)*ISNUMBER(expected_production[Expected Production (kWh)]))=0,"",SUMIFS(expected_production[Expected Production (kWh)],expected_production[Site Name],A934,expected_production[Date],B934)),"")</f>
        <v>16028.71814187468</v>
      </c>
      <c r="E934" s="9">
        <f>IF(OR(C934="",D934="",D934=0),"",C934/D934)</f>
        <v>0.74833994171146501</v>
      </c>
      <c r="F934" t="str">
        <f>IF(E934="","",IF(E934&gt;=0.9,"Expected",IF(E934&gt;=0.7,"Moderate","Poor")))</f>
        <v>Moderate</v>
      </c>
      <c r="G934" t="s">
        <v>874</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29777.112658392729</v>
      </c>
      <c r="E935" s="9" t="str">
        <f>IF(OR(C935="",D935="",D935=0),"",C935/D935)</f>
        <v/>
      </c>
      <c r="F935" t="str">
        <f>IF(E935="","",IF(E935&gt;=0.9,"Expected",IF(E935&gt;=0.7,"Moderate","Poor")))</f>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28896.325471247455</v>
      </c>
      <c r="E936" s="9" t="str">
        <f>IF(OR(C936="",D936="",D936=0),"",C936/D936)</f>
        <v/>
      </c>
      <c r="F936" t="str">
        <f>IF(E936="","",IF(E936&gt;=0.9,"Expected",IF(E936&gt;=0.7,"Moderate","Poor")))</f>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30687.014095173272</v>
      </c>
      <c r="E937" s="9" t="str">
        <f>IF(OR(C937="",D937="",D937=0),"",C937/D937)</f>
        <v/>
      </c>
      <c r="F937" t="str">
        <f>IF(E937="","",IF(E937&gt;=0.9,"Expected",IF(E937&gt;=0.7,"Moderate","Poor")))</f>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IF(OR(C938="",D938="",D938=0),"",C938/D938)</f>
        <v/>
      </c>
      <c r="F938" t="str">
        <f>IF(E938="","",IF(E938&gt;=0.9,"Expected",IF(E938&gt;=0.7,"Moderate","Poor")))</f>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IF(OR(C939="",D939="",D939=0),"",C939/D939)</f>
        <v/>
      </c>
      <c r="F939" t="str">
        <f>IF(E939="","",IF(E939&gt;=0.9,"Expected",IF(E939&gt;=0.7,"Moderate","Poor")))</f>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IF(OR(C940="",D940="",D940=0),"",C940/D940)</f>
        <v/>
      </c>
      <c r="F940" t="str">
        <f>IF(E940="","",IF(E940&gt;=0.9,"Expected",IF(E940&gt;=0.7,"Moderate","Poor")))</f>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IF(OR(C941="",D941="",D941=0),"",C941/D941)</f>
        <v/>
      </c>
      <c r="F941" t="str">
        <f>IF(E941="","",IF(E941&gt;=0.9,"Expected",IF(E941&gt;=0.7,"Moderate","Poor")))</f>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IF(OR(C942="",D942="",D942=0),"",C942/D942)</f>
        <v/>
      </c>
      <c r="F942" t="str">
        <f>IF(E942="","",IF(E942&gt;=0.9,"Expected",IF(E942&gt;=0.7,"Moderate","Poor")))</f>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IF(OR(C943="",D943="",D943=0),"",C943/D943)</f>
        <v/>
      </c>
      <c r="F943" t="str">
        <f>IF(E943="","",IF(E943&gt;=0.9,"Expected",IF(E943&gt;=0.7,"Moderate","Poor")))</f>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IF(OR(C944="",D944="",D944=0),"",C944/D944)</f>
        <v/>
      </c>
      <c r="F944" t="str">
        <f>IF(E944="","",IF(E944&gt;=0.9,"Expected",IF(E944&gt;=0.7,"Moderate","Poor")))</f>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IF(OR(C945="",D945="",D945=0),"",C945/D945)</f>
        <v/>
      </c>
      <c r="F945" t="str">
        <f>IF(E945="","",IF(E945&gt;=0.9,"Expected",IF(E945&gt;=0.7,"Moderate","Poor")))</f>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IF(OR(C946="",D946="",D946=0),"",C946/D946)</f>
        <v/>
      </c>
      <c r="F946" t="str">
        <f>IF(E946="","",IF(E946&gt;=0.9,"Expected",IF(E946&gt;=0.7,"Moderate","Poor")))</f>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IF(OR(C947="",D947="",D947=0),"",C947/D947)</f>
        <v/>
      </c>
      <c r="F947" t="str">
        <f>IF(E947="","",IF(E947&gt;=0.9,"Expected",IF(E947&gt;=0.7,"Moderate","Poor")))</f>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IF(OR(C948="",D948="",D948=0),"",C948/D948)</f>
        <v/>
      </c>
      <c r="F948" t="str">
        <f>IF(E948="","",IF(E948&gt;=0.9,"Expected",IF(E948&gt;=0.7,"Moderate","Poor")))</f>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IF(OR(C949="",D949="",D949=0),"",C949/D949)</f>
        <v/>
      </c>
      <c r="F949" t="str">
        <f>IF(E949="","",IF(E949&gt;=0.9,"Expected",IF(E949&gt;=0.7,"Moderate","Poor")))</f>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IF(OR(C950="",D950="",D950=0),"",C950/D950)</f>
        <v/>
      </c>
      <c r="F950" t="str">
        <f>IF(E950="","",IF(E950&gt;=0.9,"Expected",IF(E950&gt;=0.7,"Moderate","Poor")))</f>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IF(OR(C951="",D951="",D951=0),"",C951/D951)</f>
        <v/>
      </c>
      <c r="F951" t="str">
        <f>IF(E951="","",IF(E951&gt;=0.9,"Expected",IF(E951&gt;=0.7,"Moderate","Poor")))</f>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IF(OR(C952="",D952="",D952=0),"",C952/D952)</f>
        <v/>
      </c>
      <c r="F952" t="str">
        <f>IF(E952="","",IF(E952&gt;=0.9,"Expected",IF(E952&gt;=0.7,"Moderate","Poor")))</f>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IF(OR(C953="",D953="",D953=0),"",C953/D953)</f>
        <v/>
      </c>
      <c r="F953" t="str">
        <f>IF(E953="","",IF(E953&gt;=0.9,"Expected",IF(E953&gt;=0.7,"Moderate","Poor")))</f>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IF(OR(C954="",D954="",D954=0),"",C954/D954)</f>
        <v/>
      </c>
      <c r="F954" t="str">
        <f>IF(E954="","",IF(E954&gt;=0.9,"Expected",IF(E954&gt;=0.7,"Moderate","Poor")))</f>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IF(OR(C955="",D955="",D955=0),"",C955/D955)</f>
        <v/>
      </c>
      <c r="F955" t="str">
        <f>IF(E955="","",IF(E955&gt;=0.9,"Expected",IF(E955&gt;=0.7,"Moderate","Poor")))</f>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IF(OR(C956="",D956="",D956=0),"",C956/D956)</f>
        <v/>
      </c>
      <c r="F956" t="str">
        <f>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IF(OR(C957="",D957="",D957=0),"",C957/D957)</f>
        <v/>
      </c>
      <c r="F957" t="str">
        <f>IF(E957="","",IF(E957&gt;=0.9,"Expected",IF(E957&gt;=0.7,"Moderate","Poor")))</f>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IF(OR(C958="",D958="",D958=0),"",C958/D958)</f>
        <v/>
      </c>
      <c r="F958" t="str">
        <f>IF(E958="","",IF(E958&gt;=0.9,"Expected",IF(E958&gt;=0.7,"Moderate","Poor")))</f>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IF(OR(C959="",D959="",D959=0),"",C959/D959)</f>
        <v/>
      </c>
      <c r="F959" t="str">
        <f>IF(E959="","",IF(E959&gt;=0.9,"Expected",IF(E959&gt;=0.7,"Moderate","Poor")))</f>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7548.7338688308964</v>
      </c>
      <c r="E960" s="9" t="str">
        <f>IF(OR(C960="",D960="",D960=0),"",C960/D960)</f>
        <v/>
      </c>
      <c r="F960" t="str">
        <f>IF(E960="","",IF(E960&gt;=0.9,"Expected",IF(E960&gt;=0.7,"Moderate","Poor")))</f>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7406.8332442898654</v>
      </c>
      <c r="E961" s="9">
        <f>IF(OR(C961="",D961="",D961=0),"",C961/D961)</f>
        <v>0.78576090591573677</v>
      </c>
      <c r="F961" t="str">
        <f>IF(E961="","",IF(E961&gt;=0.9,"Expected",IF(E961&gt;=0.7,"Moderate","Poor")))</f>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7560.547687881578</v>
      </c>
      <c r="E962" s="9">
        <f>IF(OR(C962="",D962="",D962=0),"",C962/D962)</f>
        <v>1.0467495645434461</v>
      </c>
      <c r="F962" t="str">
        <f>IF(E962="","",IF(E962&gt;=0.9,"Expected",IF(E962&gt;=0.7,"Moderate","Poor")))</f>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6498.7343693641287</v>
      </c>
      <c r="E963" s="9">
        <f>IF(OR(C963="",D963="",D963=0),"",C963/D963)</f>
        <v>1.2454732783288018</v>
      </c>
      <c r="F963" t="str">
        <f>IF(E963="","",IF(E963&gt;=0.9,"Expected",IF(E963&gt;=0.7,"Moderate","Poor")))</f>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6821.9045550846959</v>
      </c>
      <c r="E964" s="9">
        <f>IF(OR(C964="",D964="",D964=0),"",C964/D964)</f>
        <v>0.95442554896887799</v>
      </c>
      <c r="F964" t="str">
        <f>IF(E964="","",IF(E964&gt;=0.9,"Expected",IF(E964&gt;=0.7,"Moderate","Poor")))</f>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6161.7510614195962</v>
      </c>
      <c r="E965" s="9">
        <f>IF(OR(C965="",D965="",D965=0),"",C965/D965)</f>
        <v>0.98910195157995806</v>
      </c>
      <c r="F965" t="str">
        <f>IF(E965="","",IF(E965&gt;=0.9,"Expected",IF(E965&gt;=0.7,"Moderate","Poor")))</f>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5900.9331073405119</v>
      </c>
      <c r="E966" s="9">
        <f>IF(OR(C966="",D966="",D966=0),"",C966/D966)</f>
        <v>1.2061990655589505</v>
      </c>
      <c r="F966" t="str">
        <f>IF(E966="","",IF(E966&gt;=0.9,"Expected",IF(E966&gt;=0.7,"Moderate","Poor")))</f>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5271.2130886990308</v>
      </c>
      <c r="E967" s="9">
        <f>IF(OR(C967="",D967="",D967=0),"",C967/D967)</f>
        <v>1.1209943329113981</v>
      </c>
      <c r="F967" t="str">
        <f>IF(E967="","",IF(E967&gt;=0.9,"Expected",IF(E967&gt;=0.7,"Moderate","Poor")))</f>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15986.134462777507</v>
      </c>
      <c r="E968" s="9">
        <f>IF(OR(C968="",D968="",D968=0),"",C968/D968)</f>
        <v>0.8855173858922033</v>
      </c>
      <c r="F968" t="str">
        <f>IF(E968="","",IF(E968&gt;=0.9,"Expected",IF(E968&gt;=0.7,"Moderate","Poor")))</f>
        <v>Moderate</v>
      </c>
      <c r="G968" t="s">
        <v>874</v>
      </c>
    </row>
    <row r="969" spans="1:7" ht="15" hidden="1"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6547.2882457275055</v>
      </c>
      <c r="E969" s="9">
        <f>IF(OR(C969="",D969="",D969=0),"",C969/D969)</f>
        <v>1.2122576098859499</v>
      </c>
      <c r="F969" t="str">
        <f>IF(E969="","",IF(E969&gt;=0.9,"Expected",IF(E969&gt;=0.7,"Moderate","Poor")))</f>
        <v>Expected</v>
      </c>
      <c r="G969" t="s">
        <v>874</v>
      </c>
    </row>
    <row r="970" spans="1:7" ht="15" customHeight="1" x14ac:dyDescent="0.3">
      <c r="A970" t="s">
        <v>225</v>
      </c>
      <c r="B970" s="2">
        <v>46266</v>
      </c>
      <c r="C970" cm="1">
        <f t="array" ref="C970">IFERROR(IF(SUMPRODUCT((measured[Site Name]=A970)*(measured[Date]=B970)*ISNUMBER(measured[Measured Value (kWh)]))=0,"",SUMIFS(measured[Measured Value (kWh)],measured[Site Name],A970,measured[Date],B970)),"")</f>
        <v>7314.8</v>
      </c>
      <c r="D970" cm="1">
        <f t="array" ref="D970">IFERROR(IF(SUMPRODUCT((expected_production[Site Name]=A970)*(expected_production[Date]=B970)*ISNUMBER(expected_production[Expected Production (kWh)]))=0,"",SUMIFS(expected_production[Expected Production (kWh)],expected_production[Site Name],A970,expected_production[Date],B970)),"")</f>
        <v>6973.9777126450681</v>
      </c>
      <c r="E970" s="9">
        <f>IF(OR(C970="",D970="",D970=0),"",C970/D970)</f>
        <v>1.0488705730643446</v>
      </c>
      <c r="F970" t="str">
        <f>IF(E970="","",IF(E970&gt;=0.9,"Expected",IF(E970&gt;=0.7,"Moderate","Poor")))</f>
        <v>Expected</v>
      </c>
      <c r="G970" t="s">
        <v>874</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7427.5580959715326</v>
      </c>
      <c r="E971" s="9" t="str">
        <f>IF(OR(C971="",D971="",D971=0),"",C971/D971)</f>
        <v/>
      </c>
      <c r="F971" t="str">
        <f>IF(E971="","",IF(E971&gt;=0.9,"Expected",IF(E971&gt;=0.7,"Moderate","Poor")))</f>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7495.9287727392493</v>
      </c>
      <c r="E972" s="9" t="str">
        <f>IF(OR(C972="",D972="",D972=0),"",C972/D972)</f>
        <v/>
      </c>
      <c r="F972" t="str">
        <f>IF(E972="","",IF(E972&gt;=0.9,"Expected",IF(E972&gt;=0.7,"Moderate","Poor")))</f>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7355.0207750737382</v>
      </c>
      <c r="E973" s="9" t="str">
        <f>IF(OR(C973="",D973="",D973=0),"",C973/D973)</f>
        <v/>
      </c>
      <c r="F973" t="str">
        <f>IF(E973="","",IF(E973&gt;=0.9,"Expected",IF(E973&gt;=0.7,"Moderate","Poor")))</f>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IF(OR(C974="",D974="",D974=0),"",C974/D974)</f>
        <v/>
      </c>
      <c r="F974" t="str">
        <f>IF(E974="","",IF(E974&gt;=0.9,"Expected",IF(E974&gt;=0.7,"Moderate","Poor")))</f>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IF(OR(C975="",D975="",D975=0),"",C975/D975)</f>
        <v/>
      </c>
      <c r="F975" t="str">
        <f>IF(E975="","",IF(E975&gt;=0.9,"Expected",IF(E975&gt;=0.7,"Moderate","Poor")))</f>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IF(OR(C976="",D976="",D976=0),"",C976/D976)</f>
        <v/>
      </c>
      <c r="F976" t="str">
        <f>IF(E976="","",IF(E976&gt;=0.9,"Expected",IF(E976&gt;=0.7,"Moderate","Poor")))</f>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IF(OR(C977="",D977="",D977=0),"",C977/D977)</f>
        <v/>
      </c>
      <c r="F977" t="str">
        <f>IF(E977="","",IF(E977&gt;=0.9,"Expected",IF(E977&gt;=0.7,"Moderate","Poor")))</f>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IF(OR(C978="",D978="",D978=0),"",C978/D978)</f>
        <v/>
      </c>
      <c r="F978" t="str">
        <f>IF(E978="","",IF(E978&gt;=0.9,"Expected",IF(E978&gt;=0.7,"Moderate","Poor")))</f>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IF(OR(C979="",D979="",D979=0),"",C979/D979)</f>
        <v/>
      </c>
      <c r="F979" t="str">
        <f>IF(E979="","",IF(E979&gt;=0.9,"Expected",IF(E979&gt;=0.7,"Moderate","Poor")))</f>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IF(OR(C980="",D980="",D980=0),"",C980/D980)</f>
        <v/>
      </c>
      <c r="F980" t="str">
        <f>IF(E980="","",IF(E980&gt;=0.9,"Expected",IF(E980&gt;=0.7,"Moderate","Poor")))</f>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IF(OR(C981="",D981="",D981=0),"",C981/D981)</f>
        <v/>
      </c>
      <c r="F981" t="str">
        <f>IF(E981="","",IF(E981&gt;=0.9,"Expected",IF(E981&gt;=0.7,"Moderate","Poor")))</f>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IF(OR(C982="",D982="",D982=0),"",C982/D982)</f>
        <v/>
      </c>
      <c r="F982" t="str">
        <f>IF(E982="","",IF(E982&gt;=0.9,"Expected",IF(E982&gt;=0.7,"Moderate","Poor")))</f>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IF(OR(C983="",D983="",D983=0),"",C983/D983)</f>
        <v/>
      </c>
      <c r="F983" t="str">
        <f>IF(E983="","",IF(E983&gt;=0.9,"Expected",IF(E983&gt;=0.7,"Moderate","Poor")))</f>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IF(OR(C984="",D984="",D984=0),"",C984/D984)</f>
        <v/>
      </c>
      <c r="F984" t="str">
        <f>IF(E984="","",IF(E984&gt;=0.9,"Expected",IF(E984&gt;=0.7,"Moderate","Poor")))</f>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IF(OR(C985="",D985="",D985=0),"",C985/D985)</f>
        <v/>
      </c>
      <c r="F985" t="str">
        <f>IF(E985="","",IF(E985&gt;=0.9,"Expected",IF(E985&gt;=0.7,"Moderate","Poor")))</f>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IF(OR(C986="",D986="",D986=0),"",C986/D986)</f>
        <v/>
      </c>
      <c r="F986" t="str">
        <f>IF(E986="","",IF(E986&gt;=0.9,"Expected",IF(E986&gt;=0.7,"Moderate","Poor")))</f>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IF(OR(C987="",D987="",D987=0),"",C987/D987)</f>
        <v/>
      </c>
      <c r="F987" t="str">
        <f>IF(E987="","",IF(E987&gt;=0.9,"Expected",IF(E987&gt;=0.7,"Moderate","Poor")))</f>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IF(OR(C988="",D988="",D988=0),"",C988/D988)</f>
        <v/>
      </c>
      <c r="F988" t="str">
        <f>IF(E988="","",IF(E988&gt;=0.9,"Expected",IF(E988&gt;=0.7,"Moderate","Poor")))</f>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IF(OR(C989="",D989="",D989=0),"",C989/D989)</f>
        <v/>
      </c>
      <c r="F989" t="str">
        <f>IF(E989="","",IF(E989&gt;=0.9,"Expected",IF(E989&gt;=0.7,"Moderate","Poor")))</f>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IF(OR(C990="",D990="",D990=0),"",C990/D990)</f>
        <v/>
      </c>
      <c r="F990" t="str">
        <f>IF(E990="","",IF(E990&gt;=0.9,"Expected",IF(E990&gt;=0.7,"Moderate","Poor")))</f>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IF(OR(C991="",D991="",D991=0),"",C991/D991)</f>
        <v/>
      </c>
      <c r="F991" t="str">
        <f>IF(E991="","",IF(E991&gt;=0.9,"Expected",IF(E991&gt;=0.7,"Moderate","Poor")))</f>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IF(OR(C992="",D992="",D992=0),"",C992/D992)</f>
        <v/>
      </c>
      <c r="F992" t="str">
        <f>IF(E992="","",IF(E992&gt;=0.9,"Expected",IF(E992&gt;=0.7,"Moderate","Poor")))</f>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IF(OR(C993="",D993="",D993=0),"",C993/D993)</f>
        <v/>
      </c>
      <c r="F993" t="str">
        <f>IF(E993="","",IF(E993&gt;=0.9,"Expected",IF(E993&gt;=0.7,"Moderate","Poor")))</f>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IF(OR(C994="",D994="",D994=0),"",C994/D994)</f>
        <v/>
      </c>
      <c r="F994" t="str">
        <f>IF(E994="","",IF(E994&gt;=0.9,"Expected",IF(E994&gt;=0.7,"Moderate","Poor")))</f>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IF(OR(C995="",D995="",D995=0),"",C995/D995)</f>
        <v/>
      </c>
      <c r="F995" t="str">
        <f>IF(E995="","",IF(E995&gt;=0.9,"Expected",IF(E995&gt;=0.7,"Moderate","Poor")))</f>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7548.7338688308964</v>
      </c>
      <c r="E996" s="9" t="str">
        <f>IF(OR(C996="",D996="",D996=0),"",C996/D996)</f>
        <v/>
      </c>
      <c r="F996" t="str">
        <f>IF(E996="","",IF(E996&gt;=0.9,"Expected",IF(E996&gt;=0.7,"Moderate","Poor")))</f>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7406.8332442898654</v>
      </c>
      <c r="E997" s="9">
        <f>IF(OR(C997="",D997="",D997=0),"",C997/D997)</f>
        <v>0.78576090591573677</v>
      </c>
      <c r="F997" t="str">
        <f>IF(E997="","",IF(E997&gt;=0.9,"Expected",IF(E997&gt;=0.7,"Moderate","Poor")))</f>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7560.547687881578</v>
      </c>
      <c r="E998" s="9">
        <f>IF(OR(C998="",D998="",D998=0),"",C998/D998)</f>
        <v>0.7808958085752471</v>
      </c>
      <c r="F998" t="str">
        <f>IF(E998="","",IF(E998&gt;=0.9,"Expected",IF(E998&gt;=0.7,"Moderate","Poor")))</f>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6498.7343693641287</v>
      </c>
      <c r="E999" s="9">
        <f>IF(OR(C999="",D999="",D999=0),"",C999/D999)</f>
        <v>0.83185428004021533</v>
      </c>
      <c r="F999" t="str">
        <f>IF(E999="","",IF(E999&gt;=0.9,"Expected",IF(E999&gt;=0.7,"Moderate","Poor")))</f>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6821.9045550846959</v>
      </c>
      <c r="E1000" s="9">
        <f>IF(OR(C1000="",D1000="",D1000=0),"",C1000/D1000)</f>
        <v>0.60320398310657852</v>
      </c>
      <c r="F1000" t="str">
        <f>IF(E1000="","",IF(E1000&gt;=0.9,"Expected",IF(E1000&gt;=0.7,"Moderate","Poor")))</f>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6161.7510614195962</v>
      </c>
      <c r="E1001" s="9">
        <f>IF(OR(C1001="",D1001="",D1001=0),"",C1001/D1001)</f>
        <v>0.71035002166926065</v>
      </c>
      <c r="F1001" t="str">
        <f>IF(E1001="","",IF(E1001&gt;=0.9,"Expected",IF(E1001&gt;=0.7,"Moderate","Poor")))</f>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5900.9331073405119</v>
      </c>
      <c r="E1002" s="9">
        <f>IF(OR(C1002="",D1002="",D1002=0),"",C1002/D1002)</f>
        <v>0.72869831292460874</v>
      </c>
      <c r="F1002" t="str">
        <f>IF(E1002="","",IF(E1002&gt;=0.9,"Expected",IF(E1002&gt;=0.7,"Moderate","Poor")))</f>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5271.2130886990308</v>
      </c>
      <c r="E1003" s="9">
        <f>IF(OR(C1003="",D1003="",D1003=0),"",C1003/D1003)</f>
        <v>0.59563139398238552</v>
      </c>
      <c r="F1003" t="str">
        <f>IF(E1003="","",IF(E1003&gt;=0.9,"Expected",IF(E1003&gt;=0.7,"Moderate","Poor")))</f>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18595.567457409863</v>
      </c>
      <c r="E1004" s="9">
        <f>IF(OR(C1004="",D1004="",D1004=0),"",C1004/D1004)</f>
        <v>0.96662820541340444</v>
      </c>
      <c r="F1004" t="str">
        <f>IF(E1004="","",IF(E1004&gt;=0.9,"Expected",IF(E1004&gt;=0.7,"Moderate","Poor")))</f>
        <v>Expected</v>
      </c>
      <c r="G1004" t="s">
        <v>874</v>
      </c>
    </row>
    <row r="1005" spans="1:7" ht="15" hidden="1"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6547.2882457275055</v>
      </c>
      <c r="E1005" s="9">
        <f>IF(OR(C1005="",D1005="",D1005=0),"",C1005/D1005)</f>
        <v>0.80659347836811157</v>
      </c>
      <c r="F1005" t="str">
        <f>IF(E1005="","",IF(E1005&gt;=0.9,"Expected",IF(E1005&gt;=0.7,"Moderate","Poor")))</f>
        <v>Moderate</v>
      </c>
      <c r="G1005" t="s">
        <v>874</v>
      </c>
    </row>
    <row r="1006" spans="1:7" ht="15" customHeight="1" x14ac:dyDescent="0.3">
      <c r="A1006" t="s">
        <v>223</v>
      </c>
      <c r="B1006" s="2">
        <v>46266</v>
      </c>
      <c r="C1006" cm="1">
        <f t="array" ref="C1006">IFERROR(IF(SUMPRODUCT((measured[Site Name]=A1006)*(measured[Date]=B1006)*ISNUMBER(measured[Measured Value (kWh)]))=0,"",SUMIFS(measured[Measured Value (kWh)],measured[Site Name],A1006,measured[Date],B1006)),"")</f>
        <v>4730</v>
      </c>
      <c r="D1006" cm="1">
        <f t="array" ref="D1006">IFERROR(IF(SUMPRODUCT((expected_production[Site Name]=A1006)*(expected_production[Date]=B1006)*ISNUMBER(expected_production[Expected Production (kWh)]))=0,"",SUMIFS(expected_production[Expected Production (kWh)],expected_production[Site Name],A1006,expected_production[Date],B1006)),"")</f>
        <v>6973.9777126450681</v>
      </c>
      <c r="E1006" s="9">
        <f>IF(OR(C1006="",D1006="",D1006=0),"",C1006/D1006)</f>
        <v>0.67823560597615107</v>
      </c>
      <c r="F1006" t="str">
        <f>IF(E1006="","",IF(E1006&gt;=0.9,"Expected",IF(E1006&gt;=0.7,"Moderate","Poor")))</f>
        <v>Poor</v>
      </c>
      <c r="G1006" t="s">
        <v>874</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7427.5580959715326</v>
      </c>
      <c r="E1007" s="9" t="str">
        <f>IF(OR(C1007="",D1007="",D1007=0),"",C1007/D1007)</f>
        <v/>
      </c>
      <c r="F1007" t="str">
        <f>IF(E1007="","",IF(E1007&gt;=0.9,"Expected",IF(E1007&gt;=0.7,"Moderate","Poor")))</f>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7495.9287727392493</v>
      </c>
      <c r="E1008" s="9" t="str">
        <f>IF(OR(C1008="",D1008="",D1008=0),"",C1008/D1008)</f>
        <v/>
      </c>
      <c r="F1008" t="str">
        <f>IF(E1008="","",IF(E1008&gt;=0.9,"Expected",IF(E1008&gt;=0.7,"Moderate","Poor")))</f>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7355.0207750737382</v>
      </c>
      <c r="E1009" s="9" t="str">
        <f>IF(OR(C1009="",D1009="",D1009=0),"",C1009/D1009)</f>
        <v/>
      </c>
      <c r="F1009" t="str">
        <f>IF(E1009="","",IF(E1009&gt;=0.9,"Expected",IF(E1009&gt;=0.7,"Moderate","Poor")))</f>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IF(OR(C1010="",D1010="",D1010=0),"",C1010/D1010)</f>
        <v>1.1159420289855073</v>
      </c>
      <c r="F1010" t="str">
        <f>IF(E1010="","",IF(E1010&gt;=0.9,"Expected",IF(E1010&gt;=0.7,"Moderate","Poor")))</f>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IF(OR(C1011="",D1011="",D1011=0),"",C1011/D1011)</f>
        <v>1.1365592923702759</v>
      </c>
      <c r="F1011" t="str">
        <f>IF(E1011="","",IF(E1011&gt;=0.9,"Expected",IF(E1011&gt;=0.7,"Moderate","Poor")))</f>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IF(OR(C1012="",D1012="",D1012=0),"",C1012/D1012)</f>
        <v>1.1703440027874301</v>
      </c>
      <c r="F1012" t="str">
        <f>IF(E1012="","",IF(E1012&gt;=0.9,"Expected",IF(E1012&gt;=0.7,"Moderate","Poor")))</f>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IF(OR(C1013="",D1013="",D1013=0),"",C1013/D1013)</f>
        <v>0.99392745773838831</v>
      </c>
      <c r="F1013" t="str">
        <f>IF(E1013="","",IF(E1013&gt;=0.9,"Expected",IF(E1013&gt;=0.7,"Moderate","Poor")))</f>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IF(OR(C1014="",D1014="",D1014=0),"",C1014/D1014)</f>
        <v>0.93667085602569466</v>
      </c>
      <c r="F1014" t="str">
        <f>IF(E1014="","",IF(E1014&gt;=0.9,"Expected",IF(E1014&gt;=0.7,"Moderate","Poor")))</f>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IF(OR(C1015="",D1015="",D1015=0),"",C1015/D1015)</f>
        <v>0.85930786657292391</v>
      </c>
      <c r="F1015" t="str">
        <f>IF(E1015="","",IF(E1015&gt;=0.9,"Expected",IF(E1015&gt;=0.7,"Moderate","Poor")))</f>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IF(OR(C1016="",D1016="",D1016=0),"",C1016/D1016)</f>
        <v>0.91592697844671322</v>
      </c>
      <c r="F1016" t="str">
        <f>IF(E1016="","",IF(E1016&gt;=0.9,"Expected",IF(E1016&gt;=0.7,"Moderate","Poor")))</f>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IF(OR(C1017="",D1017="",D1017=0),"",C1017/D1017)</f>
        <v>0.87684551674468847</v>
      </c>
      <c r="F1017" t="str">
        <f>IF(E1017="","",IF(E1017&gt;=0.9,"Expected",IF(E1017&gt;=0.7,"Moderate","Poor")))</f>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IF(OR(C1018="",D1018="",D1018=0),"",C1018/D1018)</f>
        <v>0.86040796494080496</v>
      </c>
      <c r="F1018" t="str">
        <f>IF(E1018="","",IF(E1018&gt;=0.9,"Expected",IF(E1018&gt;=0.7,"Moderate","Poor")))</f>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IF(OR(C1019="",D1019="",D1019=0),"",C1019/D1019)</f>
        <v>1.0882956878850103</v>
      </c>
      <c r="F1019" t="str">
        <f>IF(E1019="","",IF(E1019&gt;=0.9,"Expected",IF(E1019&gt;=0.7,"Moderate","Poor")))</f>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IF(OR(C1020="",D1020="",D1020=0),"",C1020/D1020)</f>
        <v>1.1055872968761595</v>
      </c>
      <c r="F1020" t="str">
        <f>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IF(OR(C1021="",D1021="",D1021=0),"",C1021/D1021)</f>
        <v>1.0669528491310669</v>
      </c>
      <c r="F1021" t="str">
        <f>IF(E1021="","",IF(E1021&gt;=0.9,"Expected",IF(E1021&gt;=0.7,"Moderate","Poor")))</f>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IF(OR(C1022="",D1022="",D1022=0),"",C1022/D1022)</f>
        <v>1.0755752067469091</v>
      </c>
      <c r="F1022" t="str">
        <f>IF(E1022="","",IF(E1022&gt;=0.9,"Expected",IF(E1022&gt;=0.7,"Moderate","Poor")))</f>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IF(OR(C1023="",D1023="",D1023=0),"",C1023/D1023)</f>
        <v>1.0050612553805403</v>
      </c>
      <c r="F1023" t="str">
        <f>IF(E1023="","",IF(E1023&gt;=0.9,"Expected",IF(E1023&gt;=0.7,"Moderate","Poor")))</f>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IF(OR(C1024="",D1024="",D1024=0),"",C1024/D1024)</f>
        <v>0.98125076513075493</v>
      </c>
      <c r="F1024" t="str">
        <f>IF(E1024="","",IF(E1024&gt;=0.9,"Expected",IF(E1024&gt;=0.7,"Moderate","Poor")))</f>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IF(OR(C1025="",D1025="",D1025=0),"",C1025/D1025)</f>
        <v>0.80868756496526073</v>
      </c>
      <c r="F1025" t="str">
        <f>IF(E1025="","",IF(E1025&gt;=0.9,"Expected",IF(E1025&gt;=0.7,"Moderate","Poor")))</f>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IF(OR(C1026="",D1026="",D1026=0),"",C1026/D1026)</f>
        <v>0.92480100544616661</v>
      </c>
      <c r="F1026" t="str">
        <f>IF(E1026="","",IF(E1026&gt;=0.9,"Expected",IF(E1026&gt;=0.7,"Moderate","Poor")))</f>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IF(OR(C1027="",D1027="",D1027=0),"",C1027/D1027)</f>
        <v>0.832048277478322</v>
      </c>
      <c r="F1027" t="str">
        <f>IF(E1027="","",IF(E1027&gt;=0.9,"Expected",IF(E1027&gt;=0.7,"Moderate","Poor")))</f>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IF(OR(C1028="",D1028="",D1028=0),"",C1028/D1028)</f>
        <v>0.83570150510472585</v>
      </c>
      <c r="F1028" t="str">
        <f>IF(E1028="","",IF(E1028&gt;=0.9,"Expected",IF(E1028&gt;=0.7,"Moderate","Poor")))</f>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IF(OR(C1029="",D1029="",D1029=0),"",C1029/D1029)</f>
        <v>0.73980714600088016</v>
      </c>
      <c r="F1029" t="str">
        <f>IF(E1029="","",IF(E1029&gt;=0.9,"Expected",IF(E1029&gt;=0.7,"Moderate","Poor")))</f>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IF(OR(C1030="",D1030="",D1030=0),"",C1030/D1030)</f>
        <v>0.76248142853138234</v>
      </c>
      <c r="F1030" t="str">
        <f>IF(E1030="","",IF(E1030&gt;=0.9,"Expected",IF(E1030&gt;=0.7,"Moderate","Poor")))</f>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IF(OR(C1031="",D1031="",D1031=0),"",C1031/D1031)</f>
        <v>0.91819403249930287</v>
      </c>
      <c r="F1031" t="str">
        <f>IF(E1031="","",IF(E1031&gt;=0.9,"Expected",IF(E1031&gt;=0.7,"Moderate","Poor")))</f>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IF(OR(C1032="",D1032="",D1032=0),"",C1032/D1032)</f>
        <v>0.87490621882548869</v>
      </c>
      <c r="F1032" t="str">
        <f>IF(E1032="","",IF(E1032&gt;=0.9,"Expected",IF(E1032&gt;=0.7,"Moderate","Poor")))</f>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IF(OR(C1033="",D1033="",D1033=0),"",C1033/D1033)</f>
        <v>0.86439413172086432</v>
      </c>
      <c r="F1033" t="str">
        <f>IF(E1033="","",IF(E1033&gt;=0.9,"Expected",IF(E1033&gt;=0.7,"Moderate","Poor")))</f>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IF(OR(C1034="",D1034="",D1034=0),"",C1034/D1034)</f>
        <v>1.0936706787849013</v>
      </c>
      <c r="F1034" t="str">
        <f>IF(E1034="","",IF(E1034&gt;=0.9,"Expected",IF(E1034&gt;=0.7,"Moderate","Poor")))</f>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IF(OR(C1035="",D1035="",D1035=0),"",C1035/D1035)</f>
        <v>0.88595619885530486</v>
      </c>
      <c r="F1035" t="str">
        <f>IF(E1035="","",IF(E1035&gt;=0.9,"Expected",IF(E1035&gt;=0.7,"Moderate","Poor")))</f>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IF(OR(C1036="",D1036="",D1036=0),"",C1036/D1036)</f>
        <v>0.73584390390899412</v>
      </c>
      <c r="F1036" t="str">
        <f>IF(E1036="","",IF(E1036&gt;=0.9,"Expected",IF(E1036&gt;=0.7,"Moderate","Poor")))</f>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IF(OR(C1037="",D1037="",D1037=0),"",C1037/D1037)</f>
        <v>0.61267684227802399</v>
      </c>
      <c r="F1037" t="str">
        <f>IF(E1037="","",IF(E1037&gt;=0.9,"Expected",IF(E1037&gt;=0.7,"Moderate","Poor")))</f>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IF(OR(C1038="",D1038="",D1038=0),"",C1038/D1038)</f>
        <v>0.68283759251501186</v>
      </c>
      <c r="F1038" t="str">
        <f>IF(E1038="","",IF(E1038&gt;=0.9,"Expected",IF(E1038&gt;=0.7,"Moderate","Poor")))</f>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IF(OR(C1039="",D1039="",D1039=0),"",C1039/D1039)</f>
        <v>0.60481082207119241</v>
      </c>
      <c r="F1039" t="str">
        <f>IF(E1039="","",IF(E1039&gt;=0.9,"Expected",IF(E1039&gt;=0.7,"Moderate","Poor")))</f>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22037.88578349914</v>
      </c>
      <c r="E1040" s="9">
        <f>IF(OR(C1040="",D1040="",D1040=0),"",C1040/D1040)</f>
        <v>0.94613250131335191</v>
      </c>
      <c r="F1040" t="str">
        <f>IF(E1040="","",IF(E1040&gt;=0.9,"Expected",IF(E1040&gt;=0.7,"Moderate","Poor")))</f>
        <v>Expected</v>
      </c>
      <c r="G1040" t="s">
        <v>874</v>
      </c>
    </row>
    <row r="1041" spans="1:7" ht="15" hidden="1"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IF(OR(C1041="",D1041="",D1041=0),"",C1041/D1041)</f>
        <v>0.83910183651422388</v>
      </c>
      <c r="F1041" t="str">
        <f>IF(E1041="","",IF(E1041&gt;=0.9,"Expected",IF(E1041&gt;=0.7,"Moderate","Poor")))</f>
        <v>Moderate</v>
      </c>
      <c r="G1041" t="s">
        <v>874</v>
      </c>
    </row>
    <row r="1042" spans="1:7" ht="15" customHeight="1" x14ac:dyDescent="0.3">
      <c r="A1042" t="s">
        <v>85</v>
      </c>
      <c r="B1042" s="2">
        <v>46266</v>
      </c>
      <c r="C1042" cm="1">
        <f t="array" ref="C1042">IFERROR(IF(SUMPRODUCT((measured[Site Name]=A1042)*(measured[Date]=B1042)*ISNUMBER(measured[Measured Value (kWh)]))=0,"",SUMIFS(measured[Measured Value (kWh)],measured[Site Name],A1042,measured[Date],B1042)),"")</f>
        <v>3663</v>
      </c>
      <c r="D1042" cm="1">
        <f t="array" ref="D1042">IFERROR(IF(SUMPRODUCT((expected_production[Site Name]=A1042)*(expected_production[Date]=B1042)*ISNUMBER(expected_production[Expected Production (kWh)]))=0,"",SUMIFS(expected_production[Expected Production (kWh)],expected_production[Site Name],A1042,expected_production[Date],B1042)),"")</f>
        <v>4881.0692856714049</v>
      </c>
      <c r="E1042" s="9">
        <f>IF(OR(C1042="",D1042="",D1042=0),"",C1042/D1042)</f>
        <v>0.75045031848920862</v>
      </c>
      <c r="F1042" t="str">
        <f>IF(E1042="","",IF(E1042&gt;=0.9,"Expected",IF(E1042&gt;=0.7,"Moderate","Poor")))</f>
        <v>Moderate</v>
      </c>
      <c r="G1042" t="s">
        <v>875</v>
      </c>
    </row>
    <row r="1043" spans="1:7"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IF(OR(C1043="",D1043="",D1043=0),"",C1043/D1043)</f>
        <v/>
      </c>
      <c r="F1043" t="str">
        <f>IF(E1043="","",IF(E1043&gt;=0.9,"Expected",IF(E1043&gt;=0.7,"Moderate","Poor")))</f>
        <v/>
      </c>
    </row>
    <row r="1044" spans="1:7"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IF(OR(C1044="",D1044="",D1044=0),"",C1044/D1044)</f>
        <v/>
      </c>
      <c r="F1044" t="str">
        <f>IF(E1044="","",IF(E1044&gt;=0.9,"Expected",IF(E1044&gt;=0.7,"Moderate","Poor")))</f>
        <v/>
      </c>
    </row>
    <row r="1045" spans="1:7"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IF(OR(C1045="",D1045="",D1045=0),"",C1045/D1045)</f>
        <v/>
      </c>
      <c r="F1045" t="str">
        <f>IF(E1045="","",IF(E1045&gt;=0.9,"Expected",IF(E1045&gt;=0.7,"Moderate","Poor")))</f>
        <v/>
      </c>
    </row>
    <row r="1046" spans="1:7"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16525.845134320549</v>
      </c>
      <c r="E1046" s="9" t="str">
        <f>IF(OR(C1046="",D1046="",D1046=0),"",C1046/D1046)</f>
        <v/>
      </c>
      <c r="F1046" t="str">
        <f>IF(E1046="","",IF(E1046&gt;=0.9,"Expected",IF(E1046&gt;=0.7,"Moderate","Poor")))</f>
        <v/>
      </c>
    </row>
    <row r="1047" spans="1:7"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14887.678739198493</v>
      </c>
      <c r="E1047" s="9" t="str">
        <f>IF(OR(C1047="",D1047="",D1047=0),"",C1047/D1047)</f>
        <v/>
      </c>
      <c r="F1047" t="str">
        <f>IF(E1047="","",IF(E1047&gt;=0.9,"Expected",IF(E1047&gt;=0.7,"Moderate","Poor")))</f>
        <v/>
      </c>
    </row>
    <row r="1048" spans="1:7"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16240.881290611918</v>
      </c>
      <c r="E1048" s="9" t="str">
        <f>IF(OR(C1048="",D1048="",D1048=0),"",C1048/D1048)</f>
        <v/>
      </c>
      <c r="F1048" t="str">
        <f>IF(E1048="","",IF(E1048&gt;=0.9,"Expected",IF(E1048&gt;=0.7,"Moderate","Poor")))</f>
        <v/>
      </c>
    </row>
    <row r="1049" spans="1:7"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15003.951545025689</v>
      </c>
      <c r="E1049" s="9" t="str">
        <f>IF(OR(C1049="",D1049="",D1049=0),"",C1049/D1049)</f>
        <v/>
      </c>
      <c r="F1049" t="str">
        <f>IF(E1049="","",IF(E1049&gt;=0.9,"Expected",IF(E1049&gt;=0.7,"Moderate","Poor")))</f>
        <v/>
      </c>
    </row>
    <row r="1050" spans="1:7"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15164.804314742873</v>
      </c>
      <c r="E1050" s="9" t="str">
        <f>IF(OR(C1050="",D1050="",D1050=0),"",C1050/D1050)</f>
        <v/>
      </c>
      <c r="F1050" t="str">
        <f>IF(E1050="","",IF(E1050&gt;=0.9,"Expected",IF(E1050&gt;=0.7,"Moderate","Poor")))</f>
        <v/>
      </c>
    </row>
    <row r="1051" spans="1:7"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14061.054360224987</v>
      </c>
      <c r="E1051" s="9" t="str">
        <f>IF(OR(C1051="",D1051="",D1051=0),"",C1051/D1051)</f>
        <v/>
      </c>
      <c r="F1051" t="str">
        <f>IF(E1051="","",IF(E1051&gt;=0.9,"Expected",IF(E1051&gt;=0.7,"Moderate","Poor")))</f>
        <v/>
      </c>
    </row>
    <row r="1052" spans="1:7"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15048.078492939927</v>
      </c>
      <c r="E1052" s="9" t="str">
        <f>IF(OR(C1052="",D1052="",D1052=0),"",C1052/D1052)</f>
        <v/>
      </c>
      <c r="F1052" t="str">
        <f>IF(E1052="","",IF(E1052&gt;=0.9,"Expected",IF(E1052&gt;=0.7,"Moderate","Poor")))</f>
        <v/>
      </c>
    </row>
    <row r="1053" spans="1:7"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16222.862785000845</v>
      </c>
      <c r="E1053" s="9" t="str">
        <f>IF(OR(C1053="",D1053="",D1053=0),"",C1053/D1053)</f>
        <v/>
      </c>
      <c r="F1053" t="str">
        <f>IF(E1053="","",IF(E1053&gt;=0.9,"Expected",IF(E1053&gt;=0.7,"Moderate","Poor")))</f>
        <v/>
      </c>
    </row>
    <row r="1054" spans="1:7"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16132.437947582552</v>
      </c>
      <c r="E1054" s="9" t="str">
        <f>IF(OR(C1054="",D1054="",D1054=0),"",C1054/D1054)</f>
        <v/>
      </c>
      <c r="F1054" t="str">
        <f>IF(E1054="","",IF(E1054&gt;=0.9,"Expected",IF(E1054&gt;=0.7,"Moderate","Poor")))</f>
        <v/>
      </c>
    </row>
    <row r="1055" spans="1:7"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15734.158822662082</v>
      </c>
      <c r="E1055" s="9" t="str">
        <f>IF(OR(C1055="",D1055="",D1055=0),"",C1055/D1055)</f>
        <v/>
      </c>
      <c r="F1055" t="str">
        <f>IF(E1055="","",IF(E1055&gt;=0.9,"Expected",IF(E1055&gt;=0.7,"Moderate","Poor")))</f>
        <v/>
      </c>
    </row>
    <row r="1056" spans="1:7"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15182.652288887581</v>
      </c>
      <c r="E1056" s="9" t="str">
        <f>IF(OR(C1056="",D1056="",D1056=0),"",C1056/D1056)</f>
        <v/>
      </c>
      <c r="F1056" t="str">
        <f>IF(E1056="","",IF(E1056&gt;=0.9,"Expected",IF(E1056&gt;=0.7,"Moderate","Poor")))</f>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16082.179430435643</v>
      </c>
      <c r="E1057" s="9" t="str">
        <f>IF(OR(C1057="",D1057="",D1057=0),"",C1057/D1057)</f>
        <v/>
      </c>
      <c r="F1057" t="str">
        <f>IF(E1057="","",IF(E1057&gt;=0.9,"Expected",IF(E1057&gt;=0.7,"Moderate","Poor")))</f>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16409.92751560143</v>
      </c>
      <c r="E1058" s="9" t="str">
        <f>IF(OR(C1058="",D1058="",D1058=0),"",C1058/D1058)</f>
        <v/>
      </c>
      <c r="F1058" t="str">
        <f>IF(E1058="","",IF(E1058&gt;=0.9,"Expected",IF(E1058&gt;=0.7,"Moderate","Poor")))</f>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14783.251749009703</v>
      </c>
      <c r="E1059" s="9" t="str">
        <f>IF(OR(C1059="",D1059="",D1059=0),"",C1059/D1059)</f>
        <v/>
      </c>
      <c r="F1059" t="str">
        <f>IF(E1059="","",IF(E1059&gt;=0.9,"Expected",IF(E1059&gt;=0.7,"Moderate","Poor")))</f>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16127.272662719381</v>
      </c>
      <c r="E1060" s="9" t="str">
        <f>IF(OR(C1060="",D1060="",D1060=0),"",C1060/D1060)</f>
        <v/>
      </c>
      <c r="F1060" t="str">
        <f>IF(E1060="","",IF(E1060&gt;=0.9,"Expected",IF(E1060&gt;=0.7,"Moderate","Poor")))</f>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14898.99551970323</v>
      </c>
      <c r="E1061" s="9" t="str">
        <f>IF(OR(C1061="",D1061="",D1061=0),"",C1061/D1061)</f>
        <v/>
      </c>
      <c r="F1061" t="str">
        <f>IF(E1061="","",IF(E1061&gt;=0.9,"Expected",IF(E1061&gt;=0.7,"Moderate","Poor")))</f>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15058.723088014576</v>
      </c>
      <c r="E1062" s="9" t="str">
        <f>IF(OR(C1062="",D1062="",D1062=0),"",C1062/D1062)</f>
        <v/>
      </c>
      <c r="F1062" t="str">
        <f>IF(E1062="","",IF(E1062&gt;=0.9,"Expected",IF(E1062&gt;=0.7,"Moderate","Poor")))</f>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13962.694113388445</v>
      </c>
      <c r="E1063" s="9" t="str">
        <f>IF(OR(C1063="",D1063="",D1063=0),"",C1063/D1063)</f>
        <v/>
      </c>
      <c r="F1063" t="str">
        <f>IF(E1063="","",IF(E1063&gt;=0.9,"Expected",IF(E1063&gt;=0.7,"Moderate","Poor")))</f>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14942.813789663613</v>
      </c>
      <c r="E1064" s="9" t="str">
        <f>IF(OR(C1064="",D1064="",D1064=0),"",C1064/D1064)</f>
        <v/>
      </c>
      <c r="F1064" t="str">
        <f>IF(E1064="","",IF(E1064&gt;=0.9,"Expected",IF(E1064&gt;=0.7,"Moderate","Poor")))</f>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16109.38020061928</v>
      </c>
      <c r="E1065" s="9" t="str">
        <f>IF(OR(C1065="",D1065="",D1065=0),"",C1065/D1065)</f>
        <v/>
      </c>
      <c r="F1065" t="str">
        <f>IF(E1065="","",IF(E1065&gt;=0.9,"Expected",IF(E1065&gt;=0.7,"Moderate","Poor")))</f>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16019.587905334794</v>
      </c>
      <c r="E1066" s="9" t="str">
        <f>IF(OR(C1066="",D1066="",D1066=0),"",C1066/D1066)</f>
        <v/>
      </c>
      <c r="F1066" t="str">
        <f>IF(E1066="","",IF(E1066&gt;=0.9,"Expected",IF(E1066&gt;=0.7,"Moderate","Poor")))</f>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15624.094832728284</v>
      </c>
      <c r="E1067" s="9" t="str">
        <f>IF(OR(C1067="",D1067="",D1067=0),"",C1067/D1067)</f>
        <v/>
      </c>
      <c r="F1067" t="str">
        <f>IF(E1067="","",IF(E1067&gt;=0.9,"Expected",IF(E1067&gt;=0.7,"Moderate","Poor")))</f>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15076.446211554385</v>
      </c>
      <c r="E1068" s="9" t="str">
        <f>IF(OR(C1068="",D1068="",D1068=0),"",C1068/D1068)</f>
        <v/>
      </c>
      <c r="F1068" t="str">
        <f>IF(E1068="","",IF(E1068&gt;=0.9,"Expected",IF(E1068&gt;=0.7,"Moderate","Poor")))</f>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15969.680957851551</v>
      </c>
      <c r="E1069" s="9" t="str">
        <f>IF(OR(C1069="",D1069="",D1069=0),"",C1069/D1069)</f>
        <v/>
      </c>
      <c r="F1069" t="str">
        <f>IF(E1069="","",IF(E1069&gt;=0.9,"Expected",IF(E1069&gt;=0.7,"Moderate","Poor")))</f>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16295.136371235321</v>
      </c>
      <c r="E1070" s="9">
        <f>IF(OR(C1070="",D1070="",D1070=0),"",C1070/D1070)</f>
        <v>0.82196305049913565</v>
      </c>
      <c r="F1070" t="str">
        <f>IF(E1070="","",IF(E1070&gt;=0.9,"Expected",IF(E1070&gt;=0.7,"Moderate","Poor")))</f>
        <v>Moderate</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14679.839568541038</v>
      </c>
      <c r="E1071" s="9">
        <f>IF(OR(C1071="",D1071="",D1071=0),"",C1071/D1071)</f>
        <v>1.094358008818255</v>
      </c>
      <c r="F1071" t="str">
        <f>IF(E1071="","",IF(E1071&gt;=0.9,"Expected",IF(E1071&gt;=0.7,"Moderate","Poor")))</f>
        <v>Expected</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16014.458752804314</v>
      </c>
      <c r="E1072" s="9">
        <f>IF(OR(C1072="",D1072="",D1072=0),"",C1072/D1072)</f>
        <v>4.5771137901968954E-2</v>
      </c>
      <c r="F1072" t="str">
        <f>IF(E1072="","",IF(E1072&gt;=0.9,"Expected",IF(E1072&gt;=0.7,"Moderate","Poor")))</f>
        <v>Poor</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14794.773685451602</v>
      </c>
      <c r="E1073" s="9">
        <f>IF(OR(C1073="",D1073="",D1073=0),"",C1073/D1073)</f>
        <v>0.32428343292049167</v>
      </c>
      <c r="F1073" t="str">
        <f>IF(E1073="","",IF(E1073&gt;=0.9,"Expected",IF(E1073&gt;=0.7,"Moderate","Poor")))</f>
        <v>Poor</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14953.383923394738</v>
      </c>
      <c r="E1074" s="9">
        <f>IF(OR(C1074="",D1074="",D1074=0),"",C1074/D1074)</f>
        <v>0.39924541699619959</v>
      </c>
      <c r="F1074" t="str">
        <f>IF(E1074="","",IF(E1074&gt;=0.9,"Expected",IF(E1074&gt;=0.7,"Moderate","Poor")))</f>
        <v>Poor</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13865.02191866449</v>
      </c>
      <c r="E1075" s="9">
        <f>IF(OR(C1075="",D1075="",D1075=0),"",C1075/D1075)</f>
        <v>0.36497598270565362</v>
      </c>
      <c r="F1075" t="str">
        <f>IF(E1075="","",IF(E1075&gt;=0.9,"Expected",IF(E1075&gt;=0.7,"Moderate","Poor")))</f>
        <v>Poor</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5755.2368588585223</v>
      </c>
      <c r="E1076" s="9">
        <f>IF(OR(C1076="",D1076="",D1076=0),"",C1076/D1076)</f>
        <v>1.270321305498805</v>
      </c>
      <c r="F1076" t="str">
        <f>IF(E1076="","",IF(E1076&gt;=0.9,"Expected",IF(E1076&gt;=0.7,"Moderate","Poor")))</f>
        <v>Expected</v>
      </c>
      <c r="G1076" t="s">
        <v>874</v>
      </c>
    </row>
    <row r="1077" spans="1:7" ht="15" hidden="1"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15996.691452512396</v>
      </c>
      <c r="E1077" s="9">
        <f>IF(OR(C1077="",D1077="",D1077=0),"",C1077/D1077)</f>
        <v>0.44299804875507637</v>
      </c>
      <c r="F1077" t="str">
        <f>IF(E1077="","",IF(E1077&gt;=0.9,"Expected",IF(E1077&gt;=0.7,"Moderate","Poor")))</f>
        <v>Poor</v>
      </c>
      <c r="G1077" t="s">
        <v>874</v>
      </c>
    </row>
    <row r="1078" spans="1:7" ht="15" customHeight="1" x14ac:dyDescent="0.3">
      <c r="A1078" t="s">
        <v>236</v>
      </c>
      <c r="B1078" s="2">
        <v>46266</v>
      </c>
      <c r="C1078" cm="1">
        <f t="array" ref="C1078">IFERROR(IF(SUMPRODUCT((measured[Site Name]=A1078)*(measured[Date]=B1078)*ISNUMBER(measured[Measured Value (kWh)]))=0,"",SUMIFS(measured[Measured Value (kWh)],measured[Site Name],A1078,measured[Date],B1078)),"")</f>
        <v>4821.7015000000001</v>
      </c>
      <c r="D1078" cm="1">
        <f t="array" ref="D1078">IFERROR(IF(SUMPRODUCT((expected_production[Site Name]=A1078)*(expected_production[Date]=B1078)*ISNUMBER(expected_production[Expected Production (kWh)]))=0,"",SUMIFS(expected_production[Expected Production (kWh)],expected_production[Site Name],A1078,expected_production[Date],B1078)),"")</f>
        <v>15907.527274586817</v>
      </c>
      <c r="E1078" s="9">
        <f>IF(OR(C1078="",D1078="",D1078=0),"",C1078/D1078)</f>
        <v>0.30310817116768007</v>
      </c>
      <c r="F1078" t="str">
        <f>IF(E1078="","",IF(E1078&gt;=0.9,"Expected",IF(E1078&gt;=0.7,"Moderate","Poor")))</f>
        <v>Poor</v>
      </c>
      <c r="G1078" t="s">
        <v>874</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15514.800765229915</v>
      </c>
      <c r="E1079" s="9" t="str">
        <f>IF(OR(C1079="",D1079="",D1079=0),"",C1079/D1079)</f>
        <v/>
      </c>
      <c r="F1079" t="str">
        <f>IF(E1079="","",IF(E1079&gt;=0.9,"Expected",IF(E1079&gt;=0.7,"Moderate","Poor")))</f>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14970.983069687789</v>
      </c>
      <c r="E1080" s="9" t="str">
        <f>IF(OR(C1080="",D1080="",D1080=0),"",C1080/D1080)</f>
        <v/>
      </c>
      <c r="F1080" t="str">
        <f>IF(E1080="","",IF(E1080&gt;=0.9,"Expected",IF(E1080&gt;=0.7,"Moderate","Poor")))</f>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15857.969437458143</v>
      </c>
      <c r="E1081" s="9" t="str">
        <f>IF(OR(C1081="",D1081="",D1081=0),"",C1081/D1081)</f>
        <v/>
      </c>
      <c r="F1081" t="str">
        <f>IF(E1081="","",IF(E1081&gt;=0.9,"Expected",IF(E1081&gt;=0.7,"Moderate","Poor")))</f>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22065.734844183549</v>
      </c>
      <c r="E1082" s="9">
        <f>IF(OR(C1082="",D1082="",D1082=0),"",C1082/D1082)</f>
        <v>0.85616908448348661</v>
      </c>
      <c r="F1082" t="str">
        <f>IF(E1082="","",IF(E1082&gt;=0.9,"Expected",IF(E1082&gt;=0.7,"Moderate","Poor")))</f>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19285.413597458697</v>
      </c>
      <c r="E1083" s="9">
        <f>IF(OR(C1083="",D1083="",D1083=0),"",C1083/D1083)</f>
        <v>0.96435577624587321</v>
      </c>
      <c r="F1083" t="str">
        <f>IF(E1083="","",IF(E1083&gt;=0.9,"Expected",IF(E1083&gt;=0.7,"Moderate","Poor")))</f>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19397.735675375086</v>
      </c>
      <c r="E1084" s="9">
        <f>IF(OR(C1084="",D1084="",D1084=0),"",C1084/D1084)</f>
        <v>0.95877169950354924</v>
      </c>
      <c r="F1084" t="str">
        <f>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15639.963108358883</v>
      </c>
      <c r="E1085" s="9">
        <f>IF(OR(C1085="",D1085="",D1085=0),"",C1085/D1085)</f>
        <v>1.002432032056443</v>
      </c>
      <c r="F1085" t="str">
        <f>IF(E1085="","",IF(E1085&gt;=0.9,"Expected",IF(E1085&gt;=0.7,"Moderate","Poor")))</f>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13339.793421998704</v>
      </c>
      <c r="E1086" s="9">
        <f>IF(OR(C1086="",D1086="",D1086=0),"",C1086/D1086)</f>
        <v>1.0935701579863204</v>
      </c>
      <c r="F1086" t="str">
        <f>IF(E1086="","",IF(E1086&gt;=0.9,"Expected",IF(E1086&gt;=0.7,"Moderate","Poor")))</f>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11993.761810386935</v>
      </c>
      <c r="E1087" s="9">
        <f>IF(OR(C1087="",D1087="",D1087=0),"",C1087/D1087)</f>
        <v>1.0626357436048524</v>
      </c>
      <c r="F1087" t="str">
        <f>IF(E1087="","",IF(E1087&gt;=0.9,"Expected",IF(E1087&gt;=0.7,"Moderate","Poor")))</f>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12950.453602559139</v>
      </c>
      <c r="E1088" s="9">
        <f>IF(OR(C1088="",D1088="",D1088=0),"",C1088/D1088)</f>
        <v>1.1430487652629233</v>
      </c>
      <c r="F1088" t="str">
        <f>IF(E1088="","",IF(E1088&gt;=0.9,"Expected",IF(E1088&gt;=0.7,"Moderate","Poor")))</f>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15265.40216000582</v>
      </c>
      <c r="E1089" s="9">
        <f>IF(OR(C1089="",D1089="",D1089=0),"",C1089/D1089)</f>
        <v>1.0442567993239114</v>
      </c>
      <c r="F1089" t="str">
        <f>IF(E1089="","",IF(E1089&gt;=0.9,"Expected",IF(E1089&gt;=0.7,"Moderate","Poor")))</f>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16375.176215228932</v>
      </c>
      <c r="E1090" s="9">
        <f>IF(OR(C1090="",D1090="",D1090=0),"",C1090/D1090)</f>
        <v>0.84927330351819208</v>
      </c>
      <c r="F1090" t="str">
        <f>IF(E1090="","",IF(E1090&gt;=0.9,"Expected",IF(E1090&gt;=0.7,"Moderate","Poor")))</f>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19177.730523572722</v>
      </c>
      <c r="E1091" s="9">
        <f>IF(OR(C1091="",D1091="",D1091=0),"",C1091/D1091)</f>
        <v>1.0376097409201113</v>
      </c>
      <c r="F1091" t="str">
        <f>IF(E1091="","",IF(E1091&gt;=0.9,"Expected",IF(E1091&gt;=0.7,"Moderate","Poor")))</f>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19736.176211625752</v>
      </c>
      <c r="E1092" s="9">
        <f>IF(OR(C1092="",D1092="",D1092=0),"",C1092/D1092)</f>
        <v>0.91826298091747383</v>
      </c>
      <c r="F1092" t="str">
        <f>IF(E1092="","",IF(E1092&gt;=0.9,"Expected",IF(E1092&gt;=0.7,"Moderate","Poor")))</f>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22164.442339386773</v>
      </c>
      <c r="E1093" s="9">
        <f>IF(OR(C1093="",D1093="",D1093=0),"",C1093/D1093)</f>
        <v>0.85294273190015424</v>
      </c>
      <c r="F1093" t="str">
        <f>IF(E1093="","",IF(E1093&gt;=0.9,"Expected",IF(E1093&gt;=0.7,"Moderate","Poor")))</f>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21910.958648616204</v>
      </c>
      <c r="E1094" s="9">
        <f>IF(OR(C1094="",D1094="",D1094=0),"",C1094/D1094)</f>
        <v>0.90854080459219133</v>
      </c>
      <c r="F1094" t="str">
        <f>IF(E1094="","",IF(E1094&gt;=0.9,"Expected",IF(E1094&gt;=0.7,"Moderate","Poor")))</f>
        <v>Expected</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19150.139473681025</v>
      </c>
      <c r="E1095" s="9">
        <f>IF(OR(C1095="",D1095="",D1095=0),"",C1095/D1095)</f>
        <v>0.79597331502202384</v>
      </c>
      <c r="F1095" t="str">
        <f>IF(E1095="","",IF(E1095&gt;=0.9,"Expected",IF(E1095&gt;=0.7,"Moderate","Poor")))</f>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19262.04413900659</v>
      </c>
      <c r="E1096" s="9">
        <f>IF(OR(C1096="",D1096="",D1096=0),"",C1096/D1096)</f>
        <v>0.9335976945242036</v>
      </c>
      <c r="F1096" t="str">
        <f>IF(E1096="","",IF(E1096&gt;=0.9,"Expected",IF(E1096&gt;=0.7,"Moderate","Poor")))</f>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15530.558038693258</v>
      </c>
      <c r="E1097" s="9">
        <f>IF(OR(C1097="",D1097="",D1097=0),"",C1097/D1097)</f>
        <v>0.87846167317423207</v>
      </c>
      <c r="F1097" t="str">
        <f>IF(E1097="","",IF(E1097&gt;=0.9,"Expected",IF(E1097&gt;=0.7,"Moderate","Poor")))</f>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13246.478558111408</v>
      </c>
      <c r="E1098" s="9">
        <f>IF(OR(C1098="",D1098="",D1098=0),"",C1098/D1098)</f>
        <v>1.2073397416407528</v>
      </c>
      <c r="F1098" t="str">
        <f>IF(E1098="","",IF(E1098&gt;=0.9,"Expected",IF(E1098&gt;=0.7,"Moderate","Poor")))</f>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11909.862741231393</v>
      </c>
      <c r="E1099" s="9">
        <f>IF(OR(C1099="",D1099="",D1099=0),"",C1099/D1099)</f>
        <v>1.1167920478170674</v>
      </c>
      <c r="F1099" t="str">
        <f>IF(E1099="","",IF(E1099&gt;=0.9,"Expected",IF(E1099&gt;=0.7,"Moderate","Poor")))</f>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12859.86225852763</v>
      </c>
      <c r="E1100" s="9">
        <f>IF(OR(C1100="",D1100="",D1100=0),"",C1100/D1100)</f>
        <v>0.95327615129554077</v>
      </c>
      <c r="F1100" t="str">
        <f>IF(E1100="","",IF(E1100&gt;=0.9,"Expected",IF(E1100&gt;=0.7,"Moderate","Poor")))</f>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15158.617228659235</v>
      </c>
      <c r="E1101" s="9">
        <f>IF(OR(C1101="",D1101="",D1101=0),"",C1101/D1101)</f>
        <v>0.98247747636525495</v>
      </c>
      <c r="F1101" t="str">
        <f>IF(E1101="","",IF(E1101&gt;=0.9,"Expected",IF(E1101&gt;=0.7,"Moderate","Poor")))</f>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16260.62816404737</v>
      </c>
      <c r="E1102" s="9">
        <f>IF(OR(C1102="",D1102="",D1102=0),"",C1102/D1102)</f>
        <v>0.84314085911595538</v>
      </c>
      <c r="F1102" t="str">
        <f>IF(E1102="","",IF(E1102&gt;=0.9,"Expected",IF(E1102&gt;=0.7,"Moderate","Poor")))</f>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19043.57797286506</v>
      </c>
      <c r="E1103" s="9">
        <f>IF(OR(C1103="",D1103="",D1103=0),"",C1103/D1103)</f>
        <v>0.90907286564886269</v>
      </c>
      <c r="F1103" t="str">
        <f>IF(E1103="","",IF(E1103&gt;=0.9,"Expected",IF(E1103&gt;=0.7,"Moderate","Poor")))</f>
        <v>Expected</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19598.11720736813</v>
      </c>
      <c r="E1104" s="9">
        <f>IF(OR(C1104="",D1104="",D1104=0),"",C1104/D1104)</f>
        <v>1.0076478159124143</v>
      </c>
      <c r="F1104" t="str">
        <f>IF(E1104="","",IF(E1104&gt;=0.9,"Expected",IF(E1104&gt;=0.7,"Moderate","Poor")))</f>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22009.397065850011</v>
      </c>
      <c r="E1105" s="9">
        <f>IF(OR(C1105="",D1105="",D1105=0),"",C1105/D1105)</f>
        <v>0.90007009009517047</v>
      </c>
      <c r="F1105" t="str">
        <f>IF(E1105="","",IF(E1105&gt;=0.9,"Expected",IF(E1105&gt;=0.7,"Moderate","Poor")))</f>
        <v>Expected</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21757.686550671722</v>
      </c>
      <c r="E1106" s="9">
        <f>IF(OR(C1106="",D1106="",D1106=0),"",C1106/D1106)</f>
        <v>0.98845675296926427</v>
      </c>
      <c r="F1106" t="str">
        <f>IF(E1106="","",IF(E1106&gt;=0.9,"Expected",IF(E1106&gt;=0.7,"Moderate","Poor")))</f>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19016.179928590747</v>
      </c>
      <c r="E1107" s="9">
        <f>IF(OR(C1107="",D1107="",D1107=0),"",C1107/D1107)</f>
        <v>1.1183413640310473</v>
      </c>
      <c r="F1107" t="str">
        <f>IF(E1107="","",IF(E1107&gt;=0.9,"Expected",IF(E1107&gt;=0.7,"Moderate","Poor")))</f>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19127.301795541338</v>
      </c>
      <c r="E1108" s="9">
        <f>IF(OR(C1108="",D1108="",D1108=0),"",C1108/D1108)</f>
        <v>0.95904797216490156</v>
      </c>
      <c r="F1108" t="str">
        <f>IF(E1108="","",IF(E1108&gt;=0.9,"Expected",IF(E1108&gt;=0.7,"Moderate","Poor")))</f>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15421.918282167158</v>
      </c>
      <c r="E1109" s="9">
        <f>IF(OR(C1109="",D1109="",D1109=0),"",C1109/D1109)</f>
        <v>0.95708910720060147</v>
      </c>
      <c r="F1109" t="str">
        <f>IF(E1109="","",IF(E1109&gt;=0.9,"Expected",IF(E1109&gt;=0.7,"Moderate","Poor")))</f>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13153.816452744941</v>
      </c>
      <c r="E1110" s="9">
        <f>IF(OR(C1110="",D1110="",D1110=0),"",C1110/D1110)</f>
        <v>1.0842222142322713</v>
      </c>
      <c r="F1110" t="str">
        <f>IF(E1110="","",IF(E1110&gt;=0.9,"Expected",IF(E1110&gt;=0.7,"Moderate","Poor")))</f>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11826.550564988722</v>
      </c>
      <c r="E1111" s="9">
        <f>IF(OR(C1111="",D1111="",D1111=0),"",C1111/D1111)</f>
        <v>1.0393588504486915</v>
      </c>
      <c r="F1111" t="str">
        <f>IF(E1111="","",IF(E1111&gt;=0.9,"Expected",IF(E1111&gt;=0.7,"Moderate","Poor")))</f>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5755.2368588585223</v>
      </c>
      <c r="E1112" s="9">
        <f>IF(OR(C1112="",D1112="",D1112=0),"",C1112/D1112)</f>
        <v>0.66739216720296957</v>
      </c>
      <c r="F1112" t="str">
        <f>IF(E1112="","",IF(E1112&gt;=0.9,"Expected",IF(E1112&gt;=0.7,"Moderate","Poor")))</f>
        <v>Poor</v>
      </c>
      <c r="G1112" t="s">
        <v>874</v>
      </c>
    </row>
    <row r="1113" spans="1:7" ht="15" hidden="1"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15052.579281993641</v>
      </c>
      <c r="E1113" s="9">
        <f>IF(OR(C1113="",D1113="",D1113=0),"",C1113/D1113)</f>
        <v>1.032981451796785</v>
      </c>
      <c r="F1113" t="str">
        <f>IF(E1113="","",IF(E1113&gt;=0.9,"Expected",IF(E1113&gt;=0.7,"Moderate","Poor")))</f>
        <v>Expected</v>
      </c>
      <c r="G1113" t="s">
        <v>874</v>
      </c>
    </row>
    <row r="1114" spans="1:7" ht="15" customHeight="1" x14ac:dyDescent="0.3">
      <c r="A1114" t="s">
        <v>109</v>
      </c>
      <c r="B1114" s="2">
        <v>46266</v>
      </c>
      <c r="C1114" cm="1">
        <f t="array" ref="C1114">IFERROR(IF(SUMPRODUCT((measured[Site Name]=A1114)*(measured[Date]=B1114)*ISNUMBER(measured[Measured Value (kWh)]))=0,"",SUMIFS(measured[Measured Value (kWh)],measured[Site Name],A1114,measured[Date],B1114)),"")</f>
        <v>2916.4</v>
      </c>
      <c r="D1114" cm="1">
        <f t="array" ref="D1114">IFERROR(IF(SUMPRODUCT((expected_production[Site Name]=A1114)*(expected_production[Date]=B1114)*ISNUMBER(expected_production[Expected Production (kWh)]))=0,"",SUMIFS(expected_production[Expected Production (kWh)],expected_production[Site Name],A1114,expected_production[Date],B1114)),"")</f>
        <v>3847.312219316882</v>
      </c>
      <c r="E1114" s="9">
        <f>IF(OR(C1114="",D1114="",D1114=0),"",C1114/D1114)</f>
        <v>0.75803569706589291</v>
      </c>
      <c r="F1114" t="str">
        <f>IF(E1114="","",IF(E1114&gt;=0.9,"Expected",IF(E1114&gt;=0.7,"Moderate","Poor")))</f>
        <v>Moderate</v>
      </c>
      <c r="G1114" t="s">
        <v>874</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18910.363849508813</v>
      </c>
      <c r="E1115" s="9" t="str">
        <f>IF(OR(C1115="",D1115="",D1115=0),"",C1115/D1115)</f>
        <v/>
      </c>
      <c r="F1115" t="str">
        <f>IF(E1115="","",IF(E1115&gt;=0.9,"Expected",IF(E1115&gt;=0.7,"Moderate","Poor")))</f>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19461.023956985635</v>
      </c>
      <c r="E1116" s="9" t="str">
        <f>IF(OR(C1116="",D1116="",D1116=0),"",C1116/D1116)</f>
        <v/>
      </c>
      <c r="F1116" t="str">
        <f>IF(E1116="","",IF(E1116&gt;=0.9,"Expected",IF(E1116&gt;=0.7,"Moderate","Poor")))</f>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21855.43636897338</v>
      </c>
      <c r="E1117" s="9" t="str">
        <f>IF(OR(C1117="",D1117="",D1117=0),"",C1117/D1117)</f>
        <v/>
      </c>
      <c r="F1117" t="str">
        <f>IF(E1117="","",IF(E1117&gt;=0.9,"Expected",IF(E1117&gt;=0.7,"Moderate","Poor")))</f>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60599.517197149158</v>
      </c>
      <c r="E1118" s="9">
        <f>IF(OR(C1118="",D1118="",D1118=0),"",C1118/D1118)</f>
        <v>0.87096403471813433</v>
      </c>
      <c r="F1118" t="str">
        <f>IF(E1118="","",IF(E1118&gt;=0.9,"Expected",IF(E1118&gt;=0.7,"Moderate","Poor")))</f>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54968.163644157772</v>
      </c>
      <c r="E1119" s="9">
        <f>IF(OR(C1119="",D1119="",D1119=0),"",C1119/D1119)</f>
        <v>0.73542569589363616</v>
      </c>
      <c r="F1119" t="str">
        <f>IF(E1119="","",IF(E1119&gt;=0.9,"Expected",IF(E1119&gt;=0.7,"Moderate","Poor")))</f>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57292.530781107016</v>
      </c>
      <c r="E1120" s="9">
        <f>IF(OR(C1120="",D1120="",D1120=0),"",C1120/D1120)</f>
        <v>0.92214463700078098</v>
      </c>
      <c r="F1120" t="str">
        <f>IF(E1120="","",IF(E1120&gt;=0.9,"Expected",IF(E1120&gt;=0.7,"Moderate","Poor")))</f>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48300.22744688041</v>
      </c>
      <c r="E1121" s="9">
        <f>IF(OR(C1121="",D1121="",D1121=0),"",C1121/D1121)</f>
        <v>0.95883606450783232</v>
      </c>
      <c r="F1121" t="str">
        <f>IF(E1121="","",IF(E1121&gt;=0.9,"Expected",IF(E1121&gt;=0.7,"Moderate","Poor")))</f>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43700.307850468962</v>
      </c>
      <c r="E1122" s="9">
        <f>IF(OR(C1122="",D1122="",D1122=0),"",C1122/D1122)</f>
        <v>1.0499010706513281</v>
      </c>
      <c r="F1122" t="str">
        <f>IF(E1122="","",IF(E1122&gt;=0.9,"Expected",IF(E1122&gt;=0.7,"Moderate","Poor")))</f>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40345.701224679993</v>
      </c>
      <c r="E1123" s="9">
        <f>IF(OR(C1123="",D1123="",D1123=0),"",C1123/D1123)</f>
        <v>0.89660109756307549</v>
      </c>
      <c r="F1123" t="str">
        <f>IF(E1123="","",IF(E1123&gt;=0.9,"Expected",IF(E1123&gt;=0.7,"Moderate","Poor")))</f>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43320.843613044897</v>
      </c>
      <c r="E1124" s="9">
        <f>IF(OR(C1124="",D1124="",D1124=0),"",C1124/D1124)</f>
        <v>1.1414597656890915</v>
      </c>
      <c r="F1124" t="str">
        <f>IF(E1124="","",IF(E1124&gt;=0.9,"Expected",IF(E1124&gt;=0.7,"Moderate","Poor")))</f>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47866.531910754617</v>
      </c>
      <c r="E1125" s="9">
        <f>IF(OR(C1125="",D1125="",D1125=0),"",C1125/D1125)</f>
        <v>1.0450307971604078</v>
      </c>
      <c r="F1125" t="str">
        <f>IF(E1125="","",IF(E1125&gt;=0.9,"Expected",IF(E1125&gt;=0.7,"Moderate","Poor")))</f>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49520.666206152186</v>
      </c>
      <c r="E1126" s="9">
        <f>IF(OR(C1126="",D1126="",D1126=0),"",C1126/D1126)</f>
        <v>0.83155181775167919</v>
      </c>
      <c r="F1126" t="str">
        <f>IF(E1126="","",IF(E1126&gt;=0.9,"Expected",IF(E1126&gt;=0.7,"Moderate","Poor")))</f>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54309.836409500858</v>
      </c>
      <c r="E1127" s="9">
        <f>IF(OR(C1127="",D1127="",D1127=0),"",C1127/D1127)</f>
        <v>0.71806513475665279</v>
      </c>
      <c r="F1127" t="str">
        <f>IF(E1127="","",IF(E1127&gt;=0.9,"Expected",IF(E1127&gt;=0.7,"Moderate","Poor")))</f>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55607.317355018589</v>
      </c>
      <c r="E1128" s="9">
        <f>IF(OR(C1128="",D1128="",D1128=0),"",C1128/D1128)</f>
        <v>0.97828851646788484</v>
      </c>
      <c r="F1128" t="str">
        <f>IF(E1128="","",IF(E1128&gt;=0.9,"Expected",IF(E1128&gt;=0.7,"Moderate","Poor")))</f>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59987.434066964619</v>
      </c>
      <c r="E1129" s="9">
        <f>IF(OR(C1129="",D1129="",D1129=0),"",C1129/D1129)</f>
        <v>0.80198462808553217</v>
      </c>
      <c r="F1129" t="str">
        <f>IF(E1129="","",IF(E1129&gt;=0.9,"Expected",IF(E1129&gt;=0.7,"Moderate","Poor")))</f>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60174.452598520358</v>
      </c>
      <c r="E1130" s="9">
        <f>IF(OR(C1130="",D1130="",D1130=0),"",C1130/D1130)</f>
        <v>0.84088841385229673</v>
      </c>
      <c r="F1130" t="str">
        <f>IF(E1130="","",IF(E1130&gt;=0.9,"Expected",IF(E1130&gt;=0.7,"Moderate","Poor")))</f>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54582.599179332872</v>
      </c>
      <c r="E1131" s="9">
        <f>IF(OR(C1131="",D1131="",D1131=0),"",C1131/D1131)</f>
        <v>0.7227578128037796</v>
      </c>
      <c r="F1131" t="str">
        <f>IF(E1131="","",IF(E1131&gt;=0.9,"Expected",IF(E1131&gt;=0.7,"Moderate","Poor")))</f>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56891.756605490387</v>
      </c>
      <c r="E1132" s="9">
        <f>IF(OR(C1132="",D1132="",D1132=0),"",C1132/D1132)</f>
        <v>0.89055081127712155</v>
      </c>
      <c r="F1132" t="str">
        <f>IF(E1132="","",IF(E1132&gt;=0.9,"Expected",IF(E1132&gt;=0.7,"Moderate","Poor")))</f>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47962.356461374868</v>
      </c>
      <c r="E1133" s="9">
        <f>IF(OR(C1133="",D1133="",D1133=0),"",C1133/D1133)</f>
        <v>0.69056240025806626</v>
      </c>
      <c r="F1133" t="str">
        <f>IF(E1133="","",IF(E1133&gt;=0.9,"Expected",IF(E1133&gt;=0.7,"Moderate","Poor")))</f>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43394.614340090113</v>
      </c>
      <c r="E1134" s="9">
        <f>IF(OR(C1134="",D1134="",D1134=0),"",C1134/D1134)</f>
        <v>1.132675119884426</v>
      </c>
      <c r="F1134" t="str">
        <f>IF(E1134="","",IF(E1134&gt;=0.9,"Expected",IF(E1134&gt;=0.7,"Moderate","Poor")))</f>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40063.473944307727</v>
      </c>
      <c r="E1135" s="9">
        <f>IF(OR(C1135="",D1135="",D1135=0),"",C1135/D1135)</f>
        <v>0.99840093886025016</v>
      </c>
      <c r="F1135" t="str">
        <f>IF(E1135="","",IF(E1135&gt;=0.9,"Expected",IF(E1135&gt;=0.7,"Moderate","Poor")))</f>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43017.804540598117</v>
      </c>
      <c r="E1136" s="9">
        <f>IF(OR(C1136="",D1136="",D1136=0),"",C1136/D1136)</f>
        <v>0.98215147079685339</v>
      </c>
      <c r="F1136" t="str">
        <f>IF(E1136="","",IF(E1136&gt;=0.9,"Expected",IF(E1136&gt;=0.7,"Moderate","Poor")))</f>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47531.694723347871</v>
      </c>
      <c r="E1137" s="9">
        <f>IF(OR(C1137="",D1137="",D1137=0),"",C1137/D1137)</f>
        <v>0.90310266128412364</v>
      </c>
      <c r="F1137" t="str">
        <f>IF(E1137="","",IF(E1137&gt;=0.9,"Expected",IF(E1137&gt;=0.7,"Moderate","Poor")))</f>
        <v>Expected</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49174.257976245506</v>
      </c>
      <c r="E1138" s="9">
        <f>IF(OR(C1138="",D1138="",D1138=0),"",C1138/D1138)</f>
        <v>0.82395345994997216</v>
      </c>
      <c r="F1138" t="str">
        <f>IF(E1138="","",IF(E1138&gt;=0.9,"Expected",IF(E1138&gt;=0.7,"Moderate","Poor")))</f>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53929.926853784928</v>
      </c>
      <c r="E1139" s="9">
        <f>IF(OR(C1139="",D1139="",D1139=0),"",C1139/D1139)</f>
        <v>0.86756431409319323</v>
      </c>
      <c r="F1139" t="str">
        <f>IF(E1139="","",IF(E1139&gt;=0.9,"Expected",IF(E1139&gt;=0.7,"Moderate","Poor")))</f>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55218.331627431231</v>
      </c>
      <c r="E1140" s="9">
        <f>IF(OR(C1140="",D1140="",D1140=0),"",C1140/D1140)</f>
        <v>0.96426310666635706</v>
      </c>
      <c r="F1140" t="str">
        <f>IF(E1140="","",IF(E1140&gt;=0.9,"Expected",IF(E1140&gt;=0.7,"Moderate","Poor")))</f>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59567.808435005762</v>
      </c>
      <c r="E1141" s="9">
        <f>IF(OR(C1141="",D1141="",D1141=0),"",C1141/D1141)</f>
        <v>0.81184789688486581</v>
      </c>
      <c r="F1141" t="str">
        <f>IF(E1141="","",IF(E1141&gt;=0.9,"Expected",IF(E1141&gt;=0.7,"Moderate","Poor")))</f>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59753.518729749689</v>
      </c>
      <c r="E1142" s="9">
        <f>IF(OR(C1142="",D1142="",D1142=0),"",C1142/D1142)</f>
        <v>0.83144344326729691</v>
      </c>
      <c r="F1142" t="str">
        <f>IF(E1142="","",IF(E1142&gt;=0.9,"Expected",IF(E1142&gt;=0.7,"Moderate","Poor")))</f>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54200.781586518075</v>
      </c>
      <c r="E1143" s="9">
        <f>IF(OR(C1143="",D1143="",D1143=0),"",C1143/D1143)</f>
        <v>1.0712176500134101</v>
      </c>
      <c r="F1143" t="str">
        <f>IF(E1143="","",IF(E1143&gt;=0.9,"Expected",IF(E1143&gt;=0.7,"Moderate","Poor")))</f>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56493.785935630112</v>
      </c>
      <c r="E1144" s="9">
        <f>IF(OR(C1144="",D1144="",D1144=0),"",C1144/D1144)</f>
        <v>0.89978037687045376</v>
      </c>
      <c r="F1144" t="str">
        <f>IF(E1144="","",IF(E1144&gt;=0.9,"Expected",IF(E1144&gt;=0.7,"Moderate","Poor")))</f>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47626.848959622526</v>
      </c>
      <c r="E1145" s="9">
        <f>IF(OR(C1145="",D1145="",D1145=0),"",C1145/D1145)</f>
        <v>0.86951416910047497</v>
      </c>
      <c r="F1145" t="str">
        <f>IF(E1145="","",IF(E1145&gt;=0.9,"Expected",IF(E1145&gt;=0.7,"Moderate","Poor")))</f>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43091.059224768062</v>
      </c>
      <c r="E1146" s="9">
        <f>IF(OR(C1146="",D1146="",D1146=0),"",C1146/D1146)</f>
        <v>1.0744908765989893</v>
      </c>
      <c r="F1146" t="str">
        <f>IF(E1146="","",IF(E1146&gt;=0.9,"Expected",IF(E1146&gt;=0.7,"Moderate","Poor")))</f>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39783.220907420357</v>
      </c>
      <c r="E1147" s="9">
        <f>IF(OR(C1147="",D1147="",D1147=0),"",C1147/D1147)</f>
        <v>0.9429065607154824</v>
      </c>
      <c r="F1147" t="str">
        <f>IF(E1147="","",IF(E1147&gt;=0.9,"Expected",IF(E1147&gt;=0.7,"Moderate","Poor")))</f>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IF(OR(C1148="",D1148="",D1148=0),"",C1148/D1148)</f>
        <v>0.76976692511899336</v>
      </c>
      <c r="F1148" t="str">
        <f>IF(E1148="","",IF(E1148&gt;=0.9,"Expected",IF(E1148&gt;=0.7,"Moderate","Poor")))</f>
        <v>Moderate</v>
      </c>
      <c r="G1148" t="s">
        <v>875</v>
      </c>
    </row>
    <row r="1149" spans="1:7" ht="15" hidden="1"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47199.19979759233</v>
      </c>
      <c r="E1149" s="9">
        <f>IF(OR(C1149="",D1149="",D1149=0),"",C1149/D1149)</f>
        <v>1.058029060114434</v>
      </c>
      <c r="F1149" t="str">
        <f>IF(E1149="","",IF(E1149&gt;=0.9,"Expected",IF(E1149&gt;=0.7,"Moderate","Poor")))</f>
        <v>Expected</v>
      </c>
      <c r="G1149" t="s">
        <v>874</v>
      </c>
    </row>
    <row r="1150" spans="1:7" ht="15" customHeight="1" x14ac:dyDescent="0.3">
      <c r="A1150" t="s">
        <v>201</v>
      </c>
      <c r="B1150" s="2">
        <v>46266</v>
      </c>
      <c r="C1150" cm="1">
        <f t="array" ref="C1150">IFERROR(IF(SUMPRODUCT((measured[Site Name]=A1150)*(measured[Date]=B1150)*ISNUMBER(measured[Measured Value (kWh)]))=0,"",SUMIFS(measured[Measured Value (kWh)],measured[Site Name],A1150,measured[Date],B1150)),"")</f>
        <v>10023.98</v>
      </c>
      <c r="D1150" cm="1">
        <f t="array" ref="D1150">IFERROR(IF(SUMPRODUCT((expected_production[Site Name]=A1150)*(expected_production[Date]=B1150)*ISNUMBER(expected_production[Expected Production (kWh)]))=0,"",SUMIFS(expected_production[Expected Production (kWh)],expected_production[Site Name],A1150,expected_production[Date],B1150)),"")</f>
        <v>13089.170946757928</v>
      </c>
      <c r="E1150" s="9">
        <f>IF(OR(C1150="",D1150="",D1150=0),"",C1150/D1150)</f>
        <v>0.76582237643422724</v>
      </c>
      <c r="F1150" t="str">
        <f>IF(E1150="","",IF(E1150&gt;=0.9,"Expected",IF(E1150&gt;=0.7,"Moderate","Poor")))</f>
        <v>Moderate</v>
      </c>
      <c r="G1150" t="s">
        <v>875</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53552.674851102958</v>
      </c>
      <c r="E1151" s="9" t="str">
        <f>IF(OR(C1151="",D1151="",D1151=0),"",C1151/D1151)</f>
        <v/>
      </c>
      <c r="F1151" t="str">
        <f>IF(E1151="","",IF(E1151&gt;=0.9,"Expected",IF(E1151&gt;=0.7,"Moderate","Poor")))</f>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54832.066942747289</v>
      </c>
      <c r="E1152" s="9" t="str">
        <f>IF(OR(C1152="",D1152="",D1152=0),"",C1152/D1152)</f>
        <v/>
      </c>
      <c r="F1152" t="str">
        <f>IF(E1152="","",IF(E1152&gt;=0.9,"Expected",IF(E1152&gt;=0.7,"Moderate","Poor")))</f>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59151.118178992467</v>
      </c>
      <c r="E1153" s="9" t="str">
        <f>IF(OR(C1153="",D1153="",D1153=0),"",C1153/D1153)</f>
        <v/>
      </c>
      <c r="F1153" t="str">
        <f>IF(E1153="","",IF(E1153&gt;=0.9,"Expected",IF(E1153&gt;=0.7,"Moderate","Poor")))</f>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IF(OR(C1154="",D1154="",D1154=0),"",C1154/D1154)</f>
        <v/>
      </c>
      <c r="F1154" t="str">
        <f>IF(E1154="","",IF(E1154&gt;=0.9,"Expected",IF(E1154&gt;=0.7,"Moderate","Poor")))</f>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IF(OR(C1155="",D1155="",D1155=0),"",C1155/D1155)</f>
        <v/>
      </c>
      <c r="F1155" t="str">
        <f>IF(E1155="","",IF(E1155&gt;=0.9,"Expected",IF(E1155&gt;=0.7,"Moderate","Poor")))</f>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IF(OR(C1156="",D1156="",D1156=0),"",C1156/D1156)</f>
        <v/>
      </c>
      <c r="F1156" t="str">
        <f>IF(E1156="","",IF(E1156&gt;=0.9,"Expected",IF(E1156&gt;=0.7,"Moderate","Poor")))</f>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IF(OR(C1157="",D1157="",D1157=0),"",C1157/D1157)</f>
        <v>0.45030439170491909</v>
      </c>
      <c r="F1157" t="str">
        <f>IF(E1157="","",IF(E1157&gt;=0.9,"Expected",IF(E1157&gt;=0.7,"Moderate","Poor")))</f>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15193.308607336432</v>
      </c>
      <c r="E1158" s="9">
        <f>IF(OR(C1158="",D1158="",D1158=0),"",C1158/D1158)</f>
        <v>0.93995326291892056</v>
      </c>
      <c r="F1158" t="str">
        <f>IF(E1158="","",IF(E1158&gt;=0.9,"Expected",IF(E1158&gt;=0.7,"Moderate","Poor")))</f>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14476.565751400651</v>
      </c>
      <c r="E1159" s="9">
        <f>IF(OR(C1159="",D1159="",D1159=0),"",C1159/D1159)</f>
        <v>0.8392183760036146</v>
      </c>
      <c r="F1159" t="str">
        <f>IF(E1159="","",IF(E1159&gt;=0.9,"Expected",IF(E1159&gt;=0.7,"Moderate","Poor")))</f>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15368.715768078422</v>
      </c>
      <c r="E1160" s="9">
        <f>IF(OR(C1160="",D1160="",D1160=0),"",C1160/D1160)</f>
        <v>1.0151140951154842</v>
      </c>
      <c r="F1160" t="str">
        <f>IF(E1160="","",IF(E1160&gt;=0.9,"Expected",IF(E1160&gt;=0.7,"Moderate","Poor")))</f>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15581.402902468755</v>
      </c>
      <c r="E1161" s="9">
        <f>IF(OR(C1161="",D1161="",D1161=0),"",C1161/D1161)</f>
        <v>0.49456393934714588</v>
      </c>
      <c r="F1161" t="str">
        <f>IF(E1161="","",IF(E1161&gt;=0.9,"Expected",IF(E1161&gt;=0.7,"Moderate","Poor")))</f>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15151.126694086284</v>
      </c>
      <c r="E1162" s="9">
        <f>IF(OR(C1162="",D1162="",D1162=0),"",C1162/D1162)</f>
        <v>6.6001692163944169E-5</v>
      </c>
      <c r="F1162" t="str">
        <f>IF(E1162="","",IF(E1162&gt;=0.9,"Expected",IF(E1162&gt;=0.7,"Moderate","Poor")))</f>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14303.585859183031</v>
      </c>
      <c r="E1163" s="9">
        <f>IF(OR(C1163="",D1163="",D1163=0),"",C1163/D1163)</f>
        <v>0.51106065793333311</v>
      </c>
      <c r="F1163" t="str">
        <f>IF(E1163="","",IF(E1163&gt;=0.9,"Expected",IF(E1163&gt;=0.7,"Moderate","Poor")))</f>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13207.509856850957</v>
      </c>
      <c r="E1164" s="9">
        <f>IF(OR(C1164="",D1164="",D1164=0),"",C1164/D1164)</f>
        <v>1.0425886597281069</v>
      </c>
      <c r="F1164" t="str">
        <f>IF(E1164="","",IF(E1164&gt;=0.9,"Expected",IF(E1164&gt;=0.7,"Moderate","Poor")))</f>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13778.747869012896</v>
      </c>
      <c r="E1165" s="9" t="str">
        <f>IF(OR(C1165="",D1165="",D1165=0),"",C1165/D1165)</f>
        <v/>
      </c>
      <c r="F1165" t="str">
        <f>IF(E1165="","",IF(E1165&gt;=0.9,"Expected",IF(E1165&gt;=0.7,"Moderate","Poor")))</f>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15791.742281470919</v>
      </c>
      <c r="E1166" s="9">
        <f>IF(OR(C1166="",D1166="",D1166=0),"",C1166/D1166)</f>
        <v>0.29762390471092587</v>
      </c>
      <c r="F1166" t="str">
        <f>IF(E1166="","",IF(E1166&gt;=0.9,"Expected",IF(E1166&gt;=0.7,"Moderate","Poor")))</f>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14743.241590424366</v>
      </c>
      <c r="E1167" s="9">
        <f>IF(OR(C1167="",D1167="",D1167=0),"",C1167/D1167)</f>
        <v>0.83428057015553247</v>
      </c>
      <c r="F1167" t="str">
        <f>IF(E1167="","",IF(E1167&gt;=0.9,"Expected",IF(E1167&gt;=0.7,"Moderate","Poor")))</f>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17208.631469319502</v>
      </c>
      <c r="E1168" s="9">
        <f>IF(OR(C1168="",D1168="",D1168=0),"",C1168/D1168)</f>
        <v>0.78762800076024753</v>
      </c>
      <c r="F1168" t="str">
        <f>IF(E1168="","",IF(E1168&gt;=0.9,"Expected",IF(E1168&gt;=0.7,"Moderate","Poor")))</f>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15255.757570557145</v>
      </c>
      <c r="E1169" s="9">
        <f>IF(OR(C1169="",D1169="",D1169=0),"",C1169/D1169)</f>
        <v>0.64493683479795072</v>
      </c>
      <c r="F1169" t="str">
        <f>IF(E1169="","",IF(E1169&gt;=0.9,"Expected",IF(E1169&gt;=0.7,"Moderate","Poor")))</f>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15087.027986652063</v>
      </c>
      <c r="E1170" s="9" t="str">
        <f>IF(OR(C1170="",D1170="",D1170=0),"",C1170/D1170)</f>
        <v/>
      </c>
      <c r="F1170" t="str">
        <f>IF(E1170="","",IF(E1170&gt;=0.9,"Expected",IF(E1170&gt;=0.7,"Moderate","Poor")))</f>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14375.298908660816</v>
      </c>
      <c r="E1171" s="9">
        <f>IF(OR(C1171="",D1171="",D1171=0),"",C1171/D1171)</f>
        <v>0.87690698329794514</v>
      </c>
      <c r="F1171" t="str">
        <f>IF(E1171="","",IF(E1171&gt;=0.9,"Expected",IF(E1171&gt;=0.7,"Moderate","Poor")))</f>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15261.208134740133</v>
      </c>
      <c r="E1172" s="9">
        <f>IF(OR(C1172="",D1172="",D1172=0),"",C1172/D1172)</f>
        <v>0.52839853364186584</v>
      </c>
      <c r="F1172" t="str">
        <f>IF(E1172="","",IF(E1172&gt;=0.9,"Expected",IF(E1172&gt;=0.7,"Moderate","Poor")))</f>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15472.407474652067</v>
      </c>
      <c r="E1173" s="9">
        <f>IF(OR(C1173="",D1173="",D1173=0),"",C1173/D1173)</f>
        <v>0.87213318432227005</v>
      </c>
      <c r="F1173" t="str">
        <f>IF(E1173="","",IF(E1173&gt;=0.9,"Expected",IF(E1173&gt;=0.7,"Moderate","Poor")))</f>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15045.141145399581</v>
      </c>
      <c r="E1174" s="9">
        <f>IF(OR(C1174="",D1174="",D1174=0),"",C1174/D1174)</f>
        <v>0.780630762217291</v>
      </c>
      <c r="F1174" t="str">
        <f>IF(E1174="","",IF(E1174&gt;=0.9,"Expected",IF(E1174&gt;=0.7,"Moderate","Poor")))</f>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14203.5290498063</v>
      </c>
      <c r="E1175" s="9">
        <f>IF(OR(C1175="",D1175="",D1175=0),"",C1175/D1175)</f>
        <v>0.92948730936555812</v>
      </c>
      <c r="F1175" t="str">
        <f>IF(E1175="","",IF(E1175&gt;=0.9,"Expected",IF(E1175&gt;=0.7,"Moderate","Poor")))</f>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13115.120346339518</v>
      </c>
      <c r="E1176" s="9">
        <f>IF(OR(C1176="",D1176="",D1176=0),"",C1176/D1176)</f>
        <v>0.8208083277714302</v>
      </c>
      <c r="F1176" t="str">
        <f>IF(E1176="","",IF(E1176&gt;=0.9,"Expected",IF(E1176&gt;=0.7,"Moderate","Poor")))</f>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13682.362419758942</v>
      </c>
      <c r="E1177" s="9">
        <f>IF(OR(C1177="",D1177="",D1177=0),"",C1177/D1177)</f>
        <v>0.96701136792670239</v>
      </c>
      <c r="F1177" t="str">
        <f>IF(E1177="","",IF(E1177&gt;=0.9,"Expected",IF(E1177&gt;=0.7,"Moderate","Poor")))</f>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15681.27548225433</v>
      </c>
      <c r="E1178" s="9">
        <f>IF(OR(C1178="",D1178="",D1178=0),"",C1178/D1178)</f>
        <v>0.7473888213533979</v>
      </c>
      <c r="F1178" t="str">
        <f>IF(E1178="","",IF(E1178&gt;=0.9,"Expected",IF(E1178&gt;=0.7,"Moderate","Poor")))</f>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14640.109290039625</v>
      </c>
      <c r="E1179" s="9">
        <f>IF(OR(C1179="",D1179="",D1179=0),"",C1179/D1179)</f>
        <v>1.0609893472972809</v>
      </c>
      <c r="F1179" t="str">
        <f>IF(E1179="","",IF(E1179&gt;=0.9,"Expected",IF(E1179&gt;=0.7,"Moderate","Poor")))</f>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17088.253210642873</v>
      </c>
      <c r="E1180" s="9">
        <f>IF(OR(C1180="",D1180="",D1180=0),"",C1180/D1180)</f>
        <v>0.73494931548521458</v>
      </c>
      <c r="F1180" t="str">
        <f>IF(E1180="","",IF(E1180&gt;=0.9,"Expected",IF(E1180&gt;=0.7,"Moderate","Poor")))</f>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15149.040105289168</v>
      </c>
      <c r="E1181" s="9">
        <f>IF(OR(C1181="",D1181="",D1181=0),"",C1181/D1181)</f>
        <v>0.76420749562594259</v>
      </c>
      <c r="F1181" t="str">
        <f>IF(E1181="","",IF(E1181&gt;=0.9,"Expected",IF(E1181&gt;=0.7,"Moderate","Poor")))</f>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14981.490822881853</v>
      </c>
      <c r="E1182" s="9">
        <f>IF(OR(C1182="",D1182="",D1182=0),"",C1182/D1182)</f>
        <v>0.93227637790678275</v>
      </c>
      <c r="F1182" t="str">
        <f>IF(E1182="","",IF(E1182&gt;=0.9,"Expected",IF(E1182&gt;=0.7,"Moderate","Poor")))</f>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14274.740450327517</v>
      </c>
      <c r="E1183" s="9">
        <f>IF(OR(C1183="",D1183="",D1183=0),"",C1183/D1183)</f>
        <v>0.79228761036706019</v>
      </c>
      <c r="F1183" t="str">
        <f>IF(E1183="","",IF(E1183&gt;=0.9,"Expected",IF(E1183&gt;=0.7,"Moderate","Poor")))</f>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14838.285436730037</v>
      </c>
      <c r="E1184" s="9">
        <f>IF(OR(C1184="",D1184="",D1184=0),"",C1184/D1184)</f>
        <v>0.40506049203785449</v>
      </c>
      <c r="F1184" t="str">
        <f>IF(E1184="","",IF(E1184&gt;=0.9,"Expected",IF(E1184&gt;=0.7,"Moderate","Poor")))</f>
        <v>Poor</v>
      </c>
      <c r="G1184" t="s">
        <v>874</v>
      </c>
    </row>
    <row r="1185" spans="1:7" ht="15" hidden="1"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15364.174494437775</v>
      </c>
      <c r="E1185" s="9">
        <f>IF(OR(C1185="",D1185="",D1185=0),"",C1185/D1185)</f>
        <v>0.95859494470932505</v>
      </c>
      <c r="F1185" t="str">
        <f>IF(E1185="","",IF(E1185&gt;=0.9,"Expected",IF(E1185&gt;=0.7,"Moderate","Poor")))</f>
        <v>Expected</v>
      </c>
      <c r="G1185" t="s">
        <v>874</v>
      </c>
    </row>
    <row r="1186" spans="1:7" ht="15" customHeight="1" x14ac:dyDescent="0.3">
      <c r="A1186" t="s">
        <v>60</v>
      </c>
      <c r="B1186" s="2">
        <v>46266</v>
      </c>
      <c r="C1186" cm="1">
        <f t="array" ref="C1186">IFERROR(IF(SUMPRODUCT((measured[Site Name]=A1186)*(measured[Date]=B1186)*ISNUMBER(measured[Measured Value (kWh)]))=0,"",SUMIFS(measured[Measured Value (kWh)],measured[Site Name],A1186,measured[Date],B1186)),"")</f>
        <v>36563.599999999999</v>
      </c>
      <c r="D1186" cm="1">
        <f t="array" ref="D1186">IFERROR(IF(SUMPRODUCT((expected_production[Site Name]=A1186)*(expected_production[Date]=B1186)*ISNUMBER(expected_production[Expected Production (kWh)]))=0,"",SUMIFS(expected_production[Expected Production (kWh)],expected_production[Site Name],A1186,expected_production[Date],B1186)),"")</f>
        <v>47682.577048471794</v>
      </c>
      <c r="E1186" s="9">
        <f>IF(OR(C1186="",D1186="",D1186=0),"",C1186/D1186)</f>
        <v>0.76681258151863763</v>
      </c>
      <c r="F1186" t="str">
        <f>IF(E1186="","",IF(E1186&gt;=0.9,"Expected",IF(E1186&gt;=0.7,"Moderate","Poor")))</f>
        <v>Moderate</v>
      </c>
      <c r="G1186" t="s">
        <v>874</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14104.172160379796</v>
      </c>
      <c r="E1187" s="9" t="str">
        <f>IF(OR(C1187="",D1187="",D1187=0),"",C1187/D1187)</f>
        <v/>
      </c>
      <c r="F1187" t="str">
        <f>IF(E1187="","",IF(E1187&gt;=0.9,"Expected",IF(E1187&gt;=0.7,"Moderate","Poor")))</f>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13023.377121293324</v>
      </c>
      <c r="E1188" s="9" t="str">
        <f>IF(OR(C1188="",D1188="",D1188=0),"",C1188/D1188)</f>
        <v/>
      </c>
      <c r="F1188" t="str">
        <f>IF(E1188="","",IF(E1188&gt;=0.9,"Expected",IF(E1188&gt;=0.7,"Moderate","Poor")))</f>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13586.65120846305</v>
      </c>
      <c r="E1189" s="9" t="str">
        <f>IF(OR(C1189="",D1189="",D1189=0),"",C1189/D1189)</f>
        <v/>
      </c>
      <c r="F1189" t="str">
        <f>IF(E1189="","",IF(E1189&gt;=0.9,"Expected",IF(E1189&gt;=0.7,"Moderate","Poor")))</f>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IF(OR(C1190="",D1190="",D1190=0),"",C1190/D1190)</f>
        <v/>
      </c>
      <c r="F1190" t="str">
        <f>IF(E1190="","",IF(E1190&gt;=0.9,"Expected",IF(E1190&gt;=0.7,"Moderate","Poor")))</f>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IF(OR(C1191="",D1191="",D1191=0),"",C1191/D1191)</f>
        <v/>
      </c>
      <c r="F1191" t="str">
        <f>IF(E1191="","",IF(E1191&gt;=0.9,"Expected",IF(E1191&gt;=0.7,"Moderate","Poor")))</f>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IF(OR(C1192="",D1192="",D1192=0),"",C1192/D1192)</f>
        <v/>
      </c>
      <c r="F1192" t="str">
        <f>IF(E1192="","",IF(E1192&gt;=0.9,"Expected",IF(E1192&gt;=0.7,"Moderate","Poor")))</f>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IF(OR(C1193="",D1193="",D1193=0),"",C1193/D1193)</f>
        <v/>
      </c>
      <c r="F1193" t="str">
        <f>IF(E1193="","",IF(E1193&gt;=0.9,"Expected",IF(E1193&gt;=0.7,"Moderate","Poor")))</f>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IF(OR(C1194="",D1194="",D1194=0),"",C1194/D1194)</f>
        <v/>
      </c>
      <c r="F1194" t="str">
        <f>IF(E1194="","",IF(E1194&gt;=0.9,"Expected",IF(E1194&gt;=0.7,"Moderate","Poor")))</f>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IF(OR(C1195="",D1195="",D1195=0),"",C1195/D1195)</f>
        <v/>
      </c>
      <c r="F1195" t="str">
        <f>IF(E1195="","",IF(E1195&gt;=0.9,"Expected",IF(E1195&gt;=0.7,"Moderate","Poor")))</f>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IF(OR(C1196="",D1196="",D1196=0),"",C1196/D1196)</f>
        <v/>
      </c>
      <c r="F1196" t="str">
        <f>IF(E1196="","",IF(E1196&gt;=0.9,"Expected",IF(E1196&gt;=0.7,"Moderate","Poor")))</f>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IF(OR(C1197="",D1197="",D1197=0),"",C1197/D1197)</f>
        <v/>
      </c>
      <c r="F1197" t="str">
        <f>IF(E1197="","",IF(E1197&gt;=0.9,"Expected",IF(E1197&gt;=0.7,"Moderate","Poor")))</f>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IF(OR(C1198="",D1198="",D1198=0),"",C1198/D1198)</f>
        <v/>
      </c>
      <c r="F1198" t="str">
        <f>IF(E1198="","",IF(E1198&gt;=0.9,"Expected",IF(E1198&gt;=0.7,"Moderate","Poor")))</f>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IF(OR(C1199="",D1199="",D1199=0),"",C1199/D1199)</f>
        <v/>
      </c>
      <c r="F1199" t="str">
        <f>IF(E1199="","",IF(E1199&gt;=0.9,"Expected",IF(E1199&gt;=0.7,"Moderate","Poor")))</f>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IF(OR(C1200="",D1200="",D1200=0),"",C1200/D1200)</f>
        <v/>
      </c>
      <c r="F1200" t="str">
        <f>IF(E1200="","",IF(E1200&gt;=0.9,"Expected",IF(E1200&gt;=0.7,"Moderate","Poor")))</f>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IF(OR(C1201="",D1201="",D1201=0),"",C1201/D1201)</f>
        <v/>
      </c>
      <c r="F1201" t="str">
        <f>IF(E1201="","",IF(E1201&gt;=0.9,"Expected",IF(E1201&gt;=0.7,"Moderate","Poor")))</f>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IF(OR(C1202="",D1202="",D1202=0),"",C1202/D1202)</f>
        <v/>
      </c>
      <c r="F1202" t="str">
        <f>IF(E1202="","",IF(E1202&gt;=0.9,"Expected",IF(E1202&gt;=0.7,"Moderate","Poor")))</f>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IF(OR(C1203="",D1203="",D1203=0),"",C1203/D1203)</f>
        <v/>
      </c>
      <c r="F1203" t="str">
        <f>IF(E1203="","",IF(E1203&gt;=0.9,"Expected",IF(E1203&gt;=0.7,"Moderate","Poor")))</f>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40927.951316554027</v>
      </c>
      <c r="E1204" s="9" t="str">
        <f>IF(OR(C1204="",D1204="",D1204=0),"",C1204/D1204)</f>
        <v/>
      </c>
      <c r="F1204" t="str">
        <f>IF(E1204="","",IF(E1204&gt;=0.9,"Expected",IF(E1204&gt;=0.7,"Moderate","Poor")))</f>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29061.231365051372</v>
      </c>
      <c r="E1205" s="9" t="str">
        <f>IF(OR(C1205="",D1205="",D1205=0),"",C1205/D1205)</f>
        <v/>
      </c>
      <c r="F1205" t="str">
        <f>IF(E1205="","",IF(E1205&gt;=0.9,"Expected",IF(E1205&gt;=0.7,"Moderate","Poor")))</f>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21407.621542447388</v>
      </c>
      <c r="E1206" s="9" t="str">
        <f>IF(OR(C1206="",D1206="",D1206=0),"",C1206/D1206)</f>
        <v/>
      </c>
      <c r="F1206" t="str">
        <f>IF(E1206="","",IF(E1206&gt;=0.9,"Expected",IF(E1206&gt;=0.7,"Moderate","Poor")))</f>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17451.150085567358</v>
      </c>
      <c r="E1207" s="9" t="str">
        <f>IF(OR(C1207="",D1207="",D1207=0),"",C1207/D1207)</f>
        <v/>
      </c>
      <c r="F1207" t="str">
        <f>IF(E1207="","",IF(E1207&gt;=0.9,"Expected",IF(E1207&gt;=0.7,"Moderate","Poor")))</f>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19735.916437409844</v>
      </c>
      <c r="E1208" s="9" t="str">
        <f>IF(OR(C1208="",D1208="",D1208=0),"",C1208/D1208)</f>
        <v/>
      </c>
      <c r="F1208" t="str">
        <f>IF(E1208="","",IF(E1208&gt;=0.9,"Expected",IF(E1208&gt;=0.7,"Moderate","Poor")))</f>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25447.047066493375</v>
      </c>
      <c r="E1209" s="9" t="str">
        <f>IF(OR(C1209="",D1209="",D1209=0),"",C1209/D1209)</f>
        <v/>
      </c>
      <c r="F1209" t="str">
        <f>IF(E1209="","",IF(E1209&gt;=0.9,"Expected",IF(E1209&gt;=0.7,"Moderate","Poor")))</f>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33261.41962776523</v>
      </c>
      <c r="E1210" s="9" t="str">
        <f>IF(OR(C1210="",D1210="",D1210=0),"",C1210/D1210)</f>
        <v/>
      </c>
      <c r="F1210" t="str">
        <f>IF(E1210="","",IF(E1210&gt;=0.9,"Expected",IF(E1210&gt;=0.7,"Moderate","Poor")))</f>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42857.934393407304</v>
      </c>
      <c r="E1211" s="9" t="str">
        <f>IF(OR(C1211="",D1211="",D1211=0),"",C1211/D1211)</f>
        <v/>
      </c>
      <c r="F1211" t="str">
        <f>IF(E1211="","",IF(E1211&gt;=0.9,"Expected",IF(E1211&gt;=0.7,"Moderate","Poor")))</f>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49328.904514825794</v>
      </c>
      <c r="E1212" s="9" t="str">
        <f>IF(OR(C1212="",D1212="",D1212=0),"",C1212/D1212)</f>
        <v/>
      </c>
      <c r="F1212" t="str">
        <f>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53846.194186877568</v>
      </c>
      <c r="E1213" s="9">
        <f>IF(OR(C1213="",D1213="",D1213=0),"",C1213/D1213)</f>
        <v>0.82457081081545358</v>
      </c>
      <c r="F1213" t="str">
        <f>IF(E1213="","",IF(E1213&gt;=0.9,"Expected",IF(E1213&gt;=0.7,"Moderate","Poor")))</f>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53044.701385229288</v>
      </c>
      <c r="E1214" s="9">
        <f>IF(OR(C1214="",D1214="",D1214=0),"",C1214/D1214)</f>
        <v>0.84781889285030254</v>
      </c>
      <c r="F1214" t="str">
        <f>IF(E1214="","",IF(E1214&gt;=0.9,"Expected",IF(E1214&gt;=0.7,"Moderate","Poor")))</f>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43464.810984619537</v>
      </c>
      <c r="E1215" s="9">
        <f>IF(OR(C1215="",D1215="",D1215=0),"",C1215/D1215)</f>
        <v>1.0211478893973731</v>
      </c>
      <c r="F1215" t="str">
        <f>IF(E1215="","",IF(E1215&gt;=0.9,"Expected",IF(E1215&gt;=0.7,"Moderate","Poor")))</f>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40641.651065457794</v>
      </c>
      <c r="E1216" s="9">
        <f>IF(OR(C1216="",D1216="",D1216=0),"",C1216/D1216)</f>
        <v>1.0378761416966775</v>
      </c>
      <c r="F1216" t="str">
        <f>IF(E1216="","",IF(E1216&gt;=0.9,"Expected",IF(E1216&gt;=0.7,"Moderate","Poor")))</f>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28857.941496652442</v>
      </c>
      <c r="E1217" s="9">
        <f>IF(OR(C1217="",D1217="",D1217=0),"",C1217/D1217)</f>
        <v>1.0201295890566187</v>
      </c>
      <c r="F1217" t="str">
        <f>IF(E1217="","",IF(E1217&gt;=0.9,"Expected",IF(E1217&gt;=0.7,"Moderate","Poor")))</f>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21257.87040109239</v>
      </c>
      <c r="E1218" s="9">
        <f>IF(OR(C1218="",D1218="",D1218=0),"",C1218/D1218)</f>
        <v>0.96334202879267028</v>
      </c>
      <c r="F1218" t="str">
        <f>IF(E1218="","",IF(E1218&gt;=0.9,"Expected",IF(E1218&gt;=0.7,"Moderate","Poor")))</f>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17329.075354468001</v>
      </c>
      <c r="E1219" s="9">
        <f>IF(OR(C1219="",D1219="",D1219=0),"",C1219/D1219)</f>
        <v>1.0588649206415386</v>
      </c>
      <c r="F1219" t="str">
        <f>IF(E1219="","",IF(E1219&gt;=0.9,"Expected",IF(E1219&gt;=0.7,"Moderate","Poor")))</f>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12769.904621381247</v>
      </c>
      <c r="E1220" s="9">
        <f>IF(OR(C1220="",D1220="",D1220=0),"",C1220/D1220)</f>
        <v>0.98703876996041784</v>
      </c>
      <c r="F1220" t="str">
        <f>IF(E1220="","",IF(E1220&gt;=0.9,"Expected",IF(E1220&gt;=0.7,"Moderate","Poor")))</f>
        <v>Expected</v>
      </c>
      <c r="G1220" t="s">
        <v>874</v>
      </c>
    </row>
    <row r="1221" spans="1:7" ht="15" hidden="1"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25269.039232471936</v>
      </c>
      <c r="E1221" s="9">
        <f>IF(OR(C1221="",D1221="",D1221=0),"",C1221/D1221)</f>
        <v>1.0510122587435615</v>
      </c>
      <c r="F1221" t="str">
        <f>IF(E1221="","",IF(E1221&gt;=0.9,"Expected",IF(E1221&gt;=0.7,"Moderate","Poor")))</f>
        <v>Expected</v>
      </c>
      <c r="G1221" t="s">
        <v>874</v>
      </c>
    </row>
    <row r="1222" spans="1:7" ht="15" customHeight="1" x14ac:dyDescent="0.3">
      <c r="A1222" t="s">
        <v>234</v>
      </c>
      <c r="B1222" s="2">
        <v>46266</v>
      </c>
      <c r="C1222" cm="1">
        <f t="array" ref="C1222">IFERROR(IF(SUMPRODUCT((measured[Site Name]=A1222)*(measured[Date]=B1222)*ISNUMBER(measured[Measured Value (kWh)]))=0,"",SUMIFS(measured[Measured Value (kWh)],measured[Site Name],A1222,measured[Date],B1222)),"")</f>
        <v>31565.57</v>
      </c>
      <c r="D1222" cm="1">
        <f t="array" ref="D1222">IFERROR(IF(SUMPRODUCT((expected_production[Site Name]=A1222)*(expected_production[Date]=B1222)*ISNUMBER(expected_production[Expected Production (kWh)]))=0,"",SUMIFS(expected_production[Expected Production (kWh)],expected_production[Site Name],A1222,expected_production[Date],B1222)),"")</f>
        <v>33028.74849508152</v>
      </c>
      <c r="E1222" s="9">
        <f>IF(OR(C1222="",D1222="",D1222=0),"",C1222/D1222)</f>
        <v>0.95569985053174478</v>
      </c>
      <c r="F1222" t="str">
        <f>IF(E1222="","",IF(E1222&gt;=0.9,"Expected",IF(E1222&gt;=0.7,"Moderate","Poor")))</f>
        <v>Expected</v>
      </c>
      <c r="G1222" t="s">
        <v>874</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42558.133475364884</v>
      </c>
      <c r="E1223" s="9" t="str">
        <f>IF(OR(C1223="",D1223="",D1223=0),"",C1223/D1223)</f>
        <v/>
      </c>
      <c r="F1223" t="str">
        <f>IF(E1223="","",IF(E1223&gt;=0.9,"Expected",IF(E1223&gt;=0.7,"Moderate","Poor")))</f>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48983.837701203374</v>
      </c>
      <c r="E1224" s="9" t="str">
        <f>IF(OR(C1224="",D1224="",D1224=0),"",C1224/D1224)</f>
        <v/>
      </c>
      <c r="F1224" t="str">
        <f>IF(E1224="","",IF(E1224&gt;=0.9,"Expected",IF(E1224&gt;=0.7,"Moderate","Poor")))</f>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53469.527913087208</v>
      </c>
      <c r="E1225" s="9" t="str">
        <f>IF(OR(C1225="",D1225="",D1225=0),"",C1225/D1225)</f>
        <v/>
      </c>
      <c r="F1225" t="str">
        <f>IF(E1225="","",IF(E1225&gt;=0.9,"Expected",IF(E1225&gt;=0.7,"Moderate","Poor")))</f>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5059.1670031160165</v>
      </c>
      <c r="E1226" s="9">
        <f>IF(OR(C1226="",D1226="",D1226=0),"",C1226/D1226)</f>
        <v>0.75585565719509584</v>
      </c>
      <c r="F1226" t="str">
        <f>IF(E1226="","",IF(E1226&gt;=0.9,"Expected",IF(E1226&gt;=0.7,"Moderate","Poor")))</f>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4591.8717852437885</v>
      </c>
      <c r="E1227" s="9">
        <f>IF(OR(C1227="",D1227="",D1227=0),"",C1227/D1227)</f>
        <v>0.8157893284472707</v>
      </c>
      <c r="F1227" t="str">
        <f>IF(E1227="","",IF(E1227&gt;=0.9,"Expected",IF(E1227&gt;=0.7,"Moderate","Poor")))</f>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5061.815406276186</v>
      </c>
      <c r="E1228" s="9">
        <f>IF(OR(C1228="",D1228="",D1228=0),"",C1228/D1228)</f>
        <v>0.75052124486594063</v>
      </c>
      <c r="F1228" t="str">
        <f>IF(E1228="","",IF(E1228&gt;=0.9,"Expected",IF(E1228&gt;=0.7,"Moderate","Poor")))</f>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4851.9362253926229</v>
      </c>
      <c r="E1229" s="9">
        <f>IF(OR(C1229="",D1229="",D1229=0),"",C1229/D1229)</f>
        <v>0.79432206462856614</v>
      </c>
      <c r="F1229" t="str">
        <f>IF(E1229="","",IF(E1229&gt;=0.9,"Expected",IF(E1229&gt;=0.7,"Moderate","Poor")))</f>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5156.7100277993886</v>
      </c>
      <c r="E1230" s="9">
        <f>IF(OR(C1230="",D1230="",D1230=0),"",C1230/D1230)</f>
        <v>0.8515119090133999</v>
      </c>
      <c r="F1230" t="str">
        <f>IF(E1230="","",IF(E1230&gt;=0.9,"Expected",IF(E1230&gt;=0.7,"Moderate","Poor")))</f>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4983.4293129044099</v>
      </c>
      <c r="E1231" s="9">
        <f>IF(OR(C1231="",D1231="",D1231=0),"",C1231/D1231)</f>
        <v>0.83617118621703013</v>
      </c>
      <c r="F1231" t="str">
        <f>IF(E1231="","",IF(E1231&gt;=0.9,"Expected",IF(E1231&gt;=0.7,"Moderate","Poor")))</f>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5360.5496050192478</v>
      </c>
      <c r="E1232" s="9">
        <f>IF(OR(C1232="",D1232="",D1232=0),"",C1232/D1232)</f>
        <v>0.84226438195301212</v>
      </c>
      <c r="F1232" t="str">
        <f>IF(E1232="","",IF(E1232&gt;=0.9,"Expected",IF(E1232&gt;=0.7,"Moderate","Poor")))</f>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5610.2514918090792</v>
      </c>
      <c r="E1233" s="9">
        <f>IF(OR(C1233="",D1233="",D1233=0),"",C1233/D1233)</f>
        <v>0.73312221493188778</v>
      </c>
      <c r="F1233" t="str">
        <f>IF(E1233="","",IF(E1233&gt;=0.9,"Expected",IF(E1233&gt;=0.7,"Moderate","Poor")))</f>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5556.1893450482203</v>
      </c>
      <c r="E1234" s="9">
        <f>IF(OR(C1234="",D1234="",D1234=0),"",C1234/D1234)</f>
        <v>0.65152567257741345</v>
      </c>
      <c r="F1234" t="str">
        <f>IF(E1234="","",IF(E1234&gt;=0.9,"Expected",IF(E1234&gt;=0.7,"Moderate","Poor")))</f>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5458.3649683371059</v>
      </c>
      <c r="E1235" s="9">
        <f>IF(OR(C1235="",D1235="",D1235=0),"",C1235/D1235)</f>
        <v>0.87205601450467629</v>
      </c>
      <c r="F1235" t="str">
        <f>IF(E1235="","",IF(E1235&gt;=0.9,"Expected",IF(E1235&gt;=0.7,"Moderate","Poor")))</f>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5076.0147369249025</v>
      </c>
      <c r="E1236" s="9">
        <f>IF(OR(C1236="",D1236="",D1236=0),"",C1236/D1236)</f>
        <v>0.77147136148236439</v>
      </c>
      <c r="F1236" t="str">
        <f>IF(E1236="","",IF(E1236&gt;=0.9,"Expected",IF(E1236&gt;=0.7,"Moderate","Poor")))</f>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5185.3158389777454</v>
      </c>
      <c r="E1237" s="9">
        <f>IF(OR(C1237="",D1237="",D1237=0),"",C1237/D1237)</f>
        <v>0.79532281698254703</v>
      </c>
      <c r="F1237" t="str">
        <f>IF(E1237="","",IF(E1237&gt;=0.9,"Expected",IF(E1237&gt;=0.7,"Moderate","Poor")))</f>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5023.6803706964965</v>
      </c>
      <c r="E1238" s="9">
        <f>IF(OR(C1238="",D1238="",D1238=0),"",C1238/D1238)</f>
        <v>0.61309633032504818</v>
      </c>
      <c r="F1238" t="str">
        <f>IF(E1238="","",IF(E1238&gt;=0.9,"Expected",IF(E1238&gt;=0.7,"Moderate","Poor")))</f>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4559.6629125064101</v>
      </c>
      <c r="E1239" s="9">
        <f>IF(OR(C1239="",D1239="",D1239=0),"",C1239/D1239)</f>
        <v>0.52635469903206933</v>
      </c>
      <c r="F1239" t="str">
        <f>IF(E1239="","",IF(E1239&gt;=0.9,"Expected",IF(E1239&gt;=0.7,"Moderate","Poor")))</f>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5026.4068657750759</v>
      </c>
      <c r="E1240" s="9">
        <f>IF(OR(C1240="",D1240="",D1240=0),"",C1240/D1240)</f>
        <v>0.56342434578528755</v>
      </c>
      <c r="F1240" t="str">
        <f>IF(E1240="","",IF(E1240&gt;=0.9,"Expected",IF(E1240&gt;=0.7,"Moderate","Poor")))</f>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4817.9958371017738</v>
      </c>
      <c r="E1241" s="9">
        <f>IF(OR(C1241="",D1241="",D1241=0),"",C1241/D1241)</f>
        <v>0.55832343799162509</v>
      </c>
      <c r="F1241" t="str">
        <f>IF(E1241="","",IF(E1241&gt;=0.9,"Expected",IF(E1241&gt;=0.7,"Moderate","Poor")))</f>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5120.6376780164601</v>
      </c>
      <c r="E1242" s="9">
        <f>IF(OR(C1242="",D1242="",D1242=0),"",C1242/D1242)</f>
        <v>0.70245157462367869</v>
      </c>
      <c r="F1242" t="str">
        <f>IF(E1242="","",IF(E1242&gt;=0.9,"Expected",IF(E1242&gt;=0.7,"Moderate","Poor")))</f>
        <v>Moderate</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4948.5691008070653</v>
      </c>
      <c r="E1243" s="9">
        <f>IF(OR(C1243="",D1243="",D1243=0),"",C1243/D1243)</f>
        <v>0.97627615207233975</v>
      </c>
      <c r="F1243" t="str">
        <f>IF(E1243="","",IF(E1243&gt;=0.9,"Expected",IF(E1243&gt;=0.7,"Moderate","Poor")))</f>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5323.0513514159684</v>
      </c>
      <c r="E1244" s="9">
        <f>IF(OR(C1244="",D1244="",D1244=0),"",C1244/D1244)</f>
        <v>0.96786592123135018</v>
      </c>
      <c r="F1244" t="str">
        <f>IF(E1244="","",IF(E1244&gt;=0.9,"Expected",IF(E1244&gt;=0.7,"Moderate","Poor")))</f>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5571.0065171853848</v>
      </c>
      <c r="E1245" s="9">
        <f>IF(OR(C1245="",D1245="",D1245=0),"",C1245/D1245)</f>
        <v>1.0613880959858217</v>
      </c>
      <c r="F1245" t="str">
        <f>IF(E1245="","",IF(E1245&gt;=0.9,"Expected",IF(E1245&gt;=0.7,"Moderate","Poor")))</f>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5517.3225473352813</v>
      </c>
      <c r="E1246" s="9">
        <f>IF(OR(C1246="",D1246="",D1246=0),"",C1246/D1246)</f>
        <v>0.93577998308139343</v>
      </c>
      <c r="F1246" t="str">
        <f>IF(E1246="","",IF(E1246&gt;=0.9,"Expected",IF(E1246&gt;=0.7,"Moderate","Poor")))</f>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5420.1824742043555</v>
      </c>
      <c r="E1247" s="9">
        <f>IF(OR(C1247="",D1247="",D1247=0),"",C1247/D1247)</f>
        <v>1.0809599174721622</v>
      </c>
      <c r="F1247" t="str">
        <f>IF(E1247="","",IF(E1247&gt;=0.9,"Expected",IF(E1247&gt;=0.7,"Moderate","Poor")))</f>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5040.5068689031286</v>
      </c>
      <c r="E1248" s="9">
        <f>IF(OR(C1248="",D1248="",D1248=0),"",C1248/D1248)</f>
        <v>0.92550216105848826</v>
      </c>
      <c r="F1248" t="str">
        <f>IF(E1248="","",IF(E1248&gt;=0.9,"Expected",IF(E1248&gt;=0.7,"Moderate","Poor")))</f>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5149.0433850933478</v>
      </c>
      <c r="E1249" s="9">
        <f>IF(OR(C1249="",D1249="",D1249=0),"",C1249/D1249)</f>
        <v>1.0627216728920215</v>
      </c>
      <c r="F1249" t="str">
        <f>IF(E1249="","",IF(E1249&gt;=0.9,"Expected",IF(E1249&gt;=0.7,"Moderate","Poor")))</f>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4988.5385933709385</v>
      </c>
      <c r="E1250" s="9">
        <f>IF(OR(C1250="",D1250="",D1250=0),"",C1250/D1250)</f>
        <v>1.1184979118763543</v>
      </c>
      <c r="F1250" t="str">
        <f>IF(E1250="","",IF(E1250&gt;=0.9,"Expected",IF(E1250&gt;=0.7,"Moderate","Poor")))</f>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4527.7670419638562</v>
      </c>
      <c r="E1251" s="9">
        <f>IF(OR(C1251="",D1251="",D1251=0),"",C1251/D1251)</f>
        <v>1.0572540405973947</v>
      </c>
      <c r="F1251" t="str">
        <f>IF(E1251="","",IF(E1251&gt;=0.9,"Expected",IF(E1251&gt;=0.7,"Moderate","Poor")))</f>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4991.2460160014607</v>
      </c>
      <c r="E1252" s="9">
        <f>IF(OR(C1252="",D1252="",D1252=0),"",C1252/D1252)</f>
        <v>0.8827455080103811</v>
      </c>
      <c r="F1252" t="str">
        <f>IF(E1252="","",IF(E1252&gt;=0.9,"Expected",IF(E1252&gt;=0.7,"Moderate","Poor")))</f>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4784.2928694825532</v>
      </c>
      <c r="E1253" s="9">
        <f>IF(OR(C1253="",D1253="",D1253=0),"",C1253/D1253)</f>
        <v>0.94199918837481922</v>
      </c>
      <c r="F1253" t="str">
        <f>IF(E1253="","",IF(E1253&gt;=0.9,"Expected",IF(E1253&gt;=0.7,"Moderate","Poor")))</f>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5084.8176624566786</v>
      </c>
      <c r="E1254" s="9">
        <f>IF(OR(C1254="",D1254="",D1254=0),"",C1254/D1254)</f>
        <v>1.0115249634172738</v>
      </c>
      <c r="F1254" t="str">
        <f>IF(E1254="","",IF(E1254&gt;=0.9,"Expected",IF(E1254&gt;=0.7,"Moderate","Poor")))</f>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4913.9527437563502</v>
      </c>
      <c r="E1255" s="9">
        <f>IF(OR(C1255="",D1255="",D1255=0),"",C1255/D1255)</f>
        <v>0.98098216473996602</v>
      </c>
      <c r="F1255" t="str">
        <f>IF(E1255="","",IF(E1255&gt;=0.9,"Expected",IF(E1255&gt;=0.7,"Moderate","Poor")))</f>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42716.885294816071</v>
      </c>
      <c r="E1256" s="9">
        <f>IF(OR(C1256="",D1256="",D1256=0),"",C1256/D1256)</f>
        <v>0.95974044167904782</v>
      </c>
      <c r="F1256" t="str">
        <f>IF(E1256="","",IF(E1256&gt;=0.9,"Expected",IF(E1256&gt;=0.7,"Moderate","Poor")))</f>
        <v>Expected</v>
      </c>
      <c r="G1256" t="s">
        <v>874</v>
      </c>
    </row>
    <row r="1257" spans="1:7" ht="15" hidden="1"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5532.0360700112115</v>
      </c>
      <c r="E1257" s="9">
        <f>IF(OR(C1257="",D1257="",D1257=0),"",C1257/D1257)</f>
        <v>1.0950760123998473</v>
      </c>
      <c r="F1257" t="str">
        <f>IF(E1257="","",IF(E1257&gt;=0.9,"Expected",IF(E1257&gt;=0.7,"Moderate","Poor")))</f>
        <v>Expected</v>
      </c>
      <c r="G1257" t="s">
        <v>874</v>
      </c>
    </row>
    <row r="1258" spans="1:7" ht="15" customHeight="1" x14ac:dyDescent="0.3">
      <c r="A1258" t="s">
        <v>131</v>
      </c>
      <c r="B1258" s="2">
        <v>46266</v>
      </c>
      <c r="C1258" cm="1">
        <f t="array" ref="C1258">IFERROR(IF(SUMPRODUCT((measured[Site Name]=A1258)*(measured[Date]=B1258)*ISNUMBER(measured[Measured Value (kWh)]))=0,"",SUMIFS(measured[Measured Value (kWh)],measured[Site Name],A1258,measured[Date],B1258)),"")</f>
        <v>5214.57</v>
      </c>
      <c r="D1258" cm="1">
        <f t="array" ref="D1258">IFERROR(IF(SUMPRODUCT((expected_production[Site Name]=A1258)*(expected_production[Date]=B1258)*ISNUMBER(expected_production[Expected Production (kWh)]))=0,"",SUMIFS(expected_production[Expected Production (kWh)],expected_production[Site Name],A1258,expected_production[Date],B1258)),"")</f>
        <v>5478.7276316390717</v>
      </c>
      <c r="E1258" s="9">
        <f>IF(OR(C1258="",D1258="",D1258=0),"",C1258/D1258)</f>
        <v>0.9517848578356789</v>
      </c>
      <c r="F1258" t="str">
        <f>IF(E1258="","",IF(E1258&gt;=0.9,"Expected",IF(E1258&gt;=0.7,"Moderate","Poor")))</f>
        <v>Expected</v>
      </c>
      <c r="G1258" t="s">
        <v>874</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5382.2670752304412</v>
      </c>
      <c r="E1259" s="9" t="str">
        <f>IF(OR(C1259="",D1259="",D1259=0),"",C1259/D1259)</f>
        <v/>
      </c>
      <c r="F1259" t="str">
        <f>IF(E1259="","",IF(E1259&gt;=0.9,"Expected",IF(E1259&gt;=0.7,"Moderate","Poor")))</f>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5005.2473864272606</v>
      </c>
      <c r="E1260" s="9" t="str">
        <f>IF(OR(C1260="",D1260="",D1260=0),"",C1260/D1260)</f>
        <v/>
      </c>
      <c r="F1260" t="str">
        <f>IF(E1260="","",IF(E1260&gt;=0.9,"Expected",IF(E1260&gt;=0.7,"Moderate","Poor")))</f>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5113.024665205422</v>
      </c>
      <c r="E1261" s="9" t="str">
        <f>IF(OR(C1261="",D1261="",D1261=0),"",C1261/D1261)</f>
        <v/>
      </c>
      <c r="F1261" t="str">
        <f>IF(E1261="","",IF(E1261&gt;=0.9,"Expected",IF(E1261&gt;=0.7,"Moderate","Poor")))</f>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IF(OR(C1262="",D1262="",D1262=0),"",C1262/D1262)</f>
        <v/>
      </c>
      <c r="F1262" t="str">
        <f>IF(E1262="","",IF(E1262&gt;=0.9,"Expected",IF(E1262&gt;=0.7,"Moderate","Poor")))</f>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IF(OR(C1263="",D1263="",D1263=0),"",C1263/D1263)</f>
        <v/>
      </c>
      <c r="F1263" t="str">
        <f>IF(E1263="","",IF(E1263&gt;=0.9,"Expected",IF(E1263&gt;=0.7,"Moderate","Poor")))</f>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35131.724327970885</v>
      </c>
      <c r="E1264" s="9">
        <f>IF(OR(C1264="",D1264="",D1264=0),"",C1264/D1264)</f>
        <v>1.1827145064701088</v>
      </c>
      <c r="F1264" t="str">
        <f>IF(E1264="","",IF(E1264&gt;=0.9,"Expected",IF(E1264&gt;=0.7,"Moderate","Poor")))</f>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29885.002059349728</v>
      </c>
      <c r="E1265" s="9">
        <f>IF(OR(C1265="",D1265="",D1265=0),"",C1265/D1265)</f>
        <v>0.85151742501013283</v>
      </c>
      <c r="F1265" t="str">
        <f>IF(E1265="","",IF(E1265&gt;=0.9,"Expected",IF(E1265&gt;=0.7,"Moderate","Poor")))</f>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28349.475765743915</v>
      </c>
      <c r="E1266" s="9">
        <f>IF(OR(C1266="",D1266="",D1266=0),"",C1266/D1266)</f>
        <v>0.98964792971238869</v>
      </c>
      <c r="F1266" t="str">
        <f>IF(E1266="","",IF(E1266&gt;=0.9,"Expected",IF(E1266&gt;=0.7,"Moderate","Poor")))</f>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25596.077675612563</v>
      </c>
      <c r="E1267" s="9">
        <f>IF(OR(C1267="",D1267="",D1267=0),"",C1267/D1267)</f>
        <v>1.0642646246520295</v>
      </c>
      <c r="F1267" t="str">
        <f>IF(E1267="","",IF(E1267&gt;=0.9,"Expected",IF(E1267&gt;=0.7,"Moderate","Poor")))</f>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28294.687458230856</v>
      </c>
      <c r="E1268" s="9">
        <f>IF(OR(C1268="",D1268="",D1268=0),"",C1268/D1268)</f>
        <v>1.098368732500683</v>
      </c>
      <c r="F1268" t="str">
        <f>IF(E1268="","",IF(E1268&gt;=0.9,"Expected",IF(E1268&gt;=0.7,"Moderate","Poor")))</f>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32908.986288671804</v>
      </c>
      <c r="E1269" s="9">
        <f>IF(OR(C1269="",D1269="",D1269=0),"",C1269/D1269)</f>
        <v>1.018414839825583</v>
      </c>
      <c r="F1269" t="str">
        <f>IF(E1269="","",IF(E1269&gt;=0.9,"Expected",IF(E1269&gt;=0.7,"Moderate","Poor")))</f>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36391.389390796634</v>
      </c>
      <c r="E1270" s="9">
        <f>IF(OR(C1270="",D1270="",D1270=0),"",C1270/D1270)</f>
        <v>0.94101930630492892</v>
      </c>
      <c r="F1270" t="str">
        <f>IF(E1270="","",IF(E1270&gt;=0.9,"Expected",IF(E1270&gt;=0.7,"Moderate","Poor")))</f>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39519.05219702734</v>
      </c>
      <c r="E1271" s="9">
        <f>IF(OR(C1271="",D1271="",D1271=0),"",C1271/D1271)</f>
        <v>1.1667283863520463</v>
      </c>
      <c r="F1271" t="str">
        <f>IF(E1271="","",IF(E1271&gt;=0.9,"Expected",IF(E1271&gt;=0.7,"Moderate","Poor")))</f>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39560.887747883608</v>
      </c>
      <c r="E1272" s="9">
        <f>IF(OR(C1272="",D1272="",D1272=0),"",C1272/D1272)</f>
        <v>1.0849604860623028</v>
      </c>
      <c r="F1272" t="str">
        <f>IF(E1272="","",IF(E1272&gt;=0.9,"Expected",IF(E1272&gt;=0.7,"Moderate","Poor")))</f>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42294.498486470082</v>
      </c>
      <c r="E1273" s="9">
        <f>IF(OR(C1273="",D1273="",D1273=0),"",C1273/D1273)</f>
        <v>1.0435872649990081</v>
      </c>
      <c r="F1273" t="str">
        <f>IF(E1273="","",IF(E1273&gt;=0.9,"Expected",IF(E1273&gt;=0.7,"Moderate","Poor")))</f>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40178.371893722498</v>
      </c>
      <c r="E1274" s="9">
        <f>IF(OR(C1274="",D1274="",D1274=0),"",C1274/D1274)</f>
        <v>1.0229384134507824</v>
      </c>
      <c r="F1274" t="str">
        <f>IF(E1274="","",IF(E1274&gt;=0.9,"Expected",IF(E1274&gt;=0.7,"Moderate","Poor")))</f>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33768.273189652842</v>
      </c>
      <c r="E1275" s="9">
        <f>IF(OR(C1275="",D1275="",D1275=0),"",C1275/D1275)</f>
        <v>0.91506011653175889</v>
      </c>
      <c r="F1275" t="str">
        <f>IF(E1275="","",IF(E1275&gt;=0.9,"Expected",IF(E1275&gt;=0.7,"Moderate","Poor")))</f>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34885.969992046586</v>
      </c>
      <c r="E1276" s="9">
        <f>IF(OR(C1276="",D1276="",D1276=0),"",C1276/D1276)</f>
        <v>0.90560761266499601</v>
      </c>
      <c r="F1276" t="str">
        <f>IF(E1276="","",IF(E1276&gt;=0.9,"Expected",IF(E1276&gt;=0.7,"Moderate","Poor")))</f>
        <v>Expected</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29675.949729135911</v>
      </c>
      <c r="E1277" s="9">
        <f>IF(OR(C1277="",D1277="",D1277=0),"",C1277/D1277)</f>
        <v>0.86420149090698528</v>
      </c>
      <c r="F1277" t="str">
        <f>IF(E1277="","",IF(E1277&gt;=0.9,"Expected",IF(E1277&gt;=0.7,"Moderate","Poor")))</f>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28151.164788304493</v>
      </c>
      <c r="E1278" s="9">
        <f>IF(OR(C1278="",D1278="",D1278=0),"",C1278/D1278)</f>
        <v>1.1787789332889849</v>
      </c>
      <c r="F1278" t="str">
        <f>IF(E1278="","",IF(E1278&gt;=0.9,"Expected",IF(E1278&gt;=0.7,"Moderate","Poor")))</f>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25417.027338865253</v>
      </c>
      <c r="E1279" s="9">
        <f>IF(OR(C1279="",D1279="",D1279=0),"",C1279/D1279)</f>
        <v>1.1551114773798232</v>
      </c>
      <c r="F1279" t="str">
        <f>IF(E1279="","",IF(E1279&gt;=0.9,"Expected",IF(E1279&gt;=0.7,"Moderate","Poor")))</f>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28096.75973736044</v>
      </c>
      <c r="E1280" s="9">
        <f>IF(OR(C1280="",D1280="",D1280=0),"",C1280/D1280)</f>
        <v>0.8359326918672827</v>
      </c>
      <c r="F1280" t="str">
        <f>IF(E1280="","",IF(E1280&gt;=0.9,"Expected",IF(E1280&gt;=0.7,"Moderate","Poor")))</f>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32678.780506689294</v>
      </c>
      <c r="E1281" s="9">
        <f>IF(OR(C1281="",D1281="",D1281=0),"",C1281/D1281)</f>
        <v>1.0501003852630171</v>
      </c>
      <c r="F1281" t="str">
        <f>IF(E1281="","",IF(E1281&gt;=0.9,"Expected",IF(E1281&gt;=0.7,"Moderate","Poor")))</f>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36136.823413630023</v>
      </c>
      <c r="E1282" s="9">
        <f>IF(OR(C1282="",D1282="",D1282=0),"",C1282/D1282)</f>
        <v>0.93070438469460137</v>
      </c>
      <c r="F1282" t="str">
        <f>IF(E1282="","",IF(E1282&gt;=0.9,"Expected",IF(E1282&gt;=0.7,"Moderate","Poor")))</f>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39242.607513061019</v>
      </c>
      <c r="E1283" s="9">
        <f>IF(OR(C1283="",D1283="",D1283=0),"",C1283/D1283)</f>
        <v>1.0537780902106615</v>
      </c>
      <c r="F1283" t="str">
        <f>IF(E1283="","",IF(E1283&gt;=0.9,"Expected",IF(E1283&gt;=0.7,"Moderate","Poor")))</f>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39284.150414802687</v>
      </c>
      <c r="E1284" s="9">
        <f>IF(OR(C1284="",D1284="",D1284=0),"",C1284/D1284)</f>
        <v>1.1310922988233136</v>
      </c>
      <c r="F1284" t="str">
        <f>IF(E1284="","",IF(E1284&gt;=0.9,"Expected",IF(E1284&gt;=0.7,"Moderate","Poor")))</f>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41998.638929684304</v>
      </c>
      <c r="E1285" s="9">
        <f>IF(OR(C1285="",D1285="",D1285=0),"",C1285/D1285)</f>
        <v>0.9655312894280218</v>
      </c>
      <c r="F1285" t="str">
        <f>IF(E1285="","",IF(E1285&gt;=0.9,"Expected",IF(E1285&gt;=0.7,"Moderate","Poor")))</f>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39897.315119762796</v>
      </c>
      <c r="E1286" s="9">
        <f>IF(OR(C1286="",D1286="",D1286=0),"",C1286/D1286)</f>
        <v>1.0732802413260381</v>
      </c>
      <c r="F1286" t="str">
        <f>IF(E1286="","",IF(E1286&gt;=0.9,"Expected",IF(E1286&gt;=0.7,"Moderate","Poor")))</f>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33532.056501978732</v>
      </c>
      <c r="E1287" s="9">
        <f>IF(OR(C1287="",D1287="",D1287=0),"",C1287/D1287)</f>
        <v>1.1669132192262348</v>
      </c>
      <c r="F1287" t="str">
        <f>IF(E1287="","",IF(E1287&gt;=0.9,"Expected",IF(E1287&gt;=0.7,"Moderate","Poor")))</f>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34641.934763133999</v>
      </c>
      <c r="E1288" s="9">
        <f>IF(OR(C1288="",D1288="",D1288=0),"",C1288/D1288)</f>
        <v>0.92185959642142379</v>
      </c>
      <c r="F1288" t="str">
        <f>IF(E1288="","",IF(E1288&gt;=0.9,"Expected",IF(E1288&gt;=0.7,"Moderate","Poor")))</f>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29468.359767125421</v>
      </c>
      <c r="E1289" s="9">
        <f>IF(OR(C1289="",D1289="",D1289=0),"",C1289/D1289)</f>
        <v>0.89971142640852497</v>
      </c>
      <c r="F1289" t="str">
        <f>IF(E1289="","",IF(E1289&gt;=0.9,"Expected",IF(E1289&gt;=0.7,"Moderate","Poor")))</f>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27954.241040882931</v>
      </c>
      <c r="E1290" s="9">
        <f>IF(OR(C1290="",D1290="",D1290=0),"",C1290/D1290)</f>
        <v>1.0726229324612331</v>
      </c>
      <c r="F1290" t="str">
        <f>IF(E1290="","",IF(E1290&gt;=0.9,"Expected",IF(E1290&gt;=0.7,"Moderate","Poor")))</f>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25239.22949960977</v>
      </c>
      <c r="E1291" s="9">
        <f>IF(OR(C1291="",D1291="",D1291=0),"",C1291/D1291)</f>
        <v>0.91702957890841519</v>
      </c>
      <c r="F1291" t="str">
        <f>IF(E1291="","",IF(E1291&gt;=0.9,"Expected",IF(E1291&gt;=0.7,"Moderate","Poor")))</f>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15154.452541546278</v>
      </c>
      <c r="E1292" s="9">
        <f>IF(OR(C1292="",D1292="",D1292=0),"",C1292/D1292)</f>
        <v>0.87782781750310823</v>
      </c>
      <c r="F1292" t="str">
        <f>IF(E1292="","",IF(E1292&gt;=0.9,"Expected",IF(E1292&gt;=0.7,"Moderate","Poor")))</f>
        <v>Moderate</v>
      </c>
      <c r="G1292" t="s">
        <v>874</v>
      </c>
    </row>
    <row r="1293" spans="1:7" ht="15" hidden="1"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32450.18506607657</v>
      </c>
      <c r="E1293" s="9">
        <f>IF(OR(C1293="",D1293="",D1293=0),"",C1293/D1293)</f>
        <v>1.0994051629399055</v>
      </c>
      <c r="F1293" t="str">
        <f>IF(E1293="","",IF(E1293&gt;=0.9,"Expected",IF(E1293&gt;=0.7,"Moderate","Poor")))</f>
        <v>Expected</v>
      </c>
      <c r="G1293" t="s">
        <v>874</v>
      </c>
    </row>
    <row r="1294" spans="1:7" ht="15" customHeight="1" x14ac:dyDescent="0.3">
      <c r="A1294" t="s">
        <v>134</v>
      </c>
      <c r="B1294" s="2">
        <v>46266</v>
      </c>
      <c r="C1294" cm="1">
        <f t="array" ref="C1294">IFERROR(IF(SUMPRODUCT((measured[Site Name]=A1294)*(measured[Date]=B1294)*ISNUMBER(measured[Measured Value (kWh)]))=0,"",SUMIFS(measured[Measured Value (kWh)],measured[Site Name],A1294,measured[Date],B1294)),"")</f>
        <v>33460.18</v>
      </c>
      <c r="D1294" cm="1">
        <f t="array" ref="D1294">IFERROR(IF(SUMPRODUCT((expected_production[Site Name]=A1294)*(expected_production[Date]=B1294)*ISNUMBER(expected_production[Expected Production (kWh)]))=0,"",SUMIFS(expected_production[Expected Production (kWh)],expected_production[Site Name],A1294,expected_production[Date],B1294)),"")</f>
        <v>35884.038182893157</v>
      </c>
      <c r="E1294" s="9">
        <f>IF(OR(C1294="",D1294="",D1294=0),"",C1294/D1294)</f>
        <v>0.93245302631383686</v>
      </c>
      <c r="F1294" t="str">
        <f>IF(E1294="","",IF(E1294&gt;=0.9,"Expected",IF(E1294&gt;=0.7,"Moderate","Poor")))</f>
        <v>Expected</v>
      </c>
      <c r="G1294" t="s">
        <v>874</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38968.096622013407</v>
      </c>
      <c r="E1295" s="9" t="str">
        <f>IF(OR(C1295="",D1295="",D1295=0),"",C1295/D1295)</f>
        <v/>
      </c>
      <c r="F1295" t="str">
        <f>IF(E1295="","",IF(E1295&gt;=0.9,"Expected",IF(E1295&gt;=0.7,"Moderate","Poor")))</f>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39009.348921787052</v>
      </c>
      <c r="E1296" s="9" t="str">
        <f>IF(OR(C1296="",D1296="",D1296=0),"",C1296/D1296)</f>
        <v/>
      </c>
      <c r="F1296" t="str">
        <f>IF(E1296="","",IF(E1296&gt;=0.9,"Expected",IF(E1296&gt;=0.7,"Moderate","Poor")))</f>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41704.848977231806</v>
      </c>
      <c r="E1297" s="9" t="str">
        <f>IF(OR(C1297="",D1297="",D1297=0),"",C1297/D1297)</f>
        <v/>
      </c>
      <c r="F1297" t="str">
        <f>IF(E1297="","",IF(E1297&gt;=0.9,"Expected",IF(E1297&gt;=0.7,"Moderate","Poor")))</f>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23494.243946532799</v>
      </c>
      <c r="E1298" s="9" t="str">
        <f>IF(OR(C1298="",D1298="",D1298=0),"",C1298/D1298)</f>
        <v/>
      </c>
      <c r="F1298" t="str">
        <f>IF(E1298="","",IF(E1298&gt;=0.9,"Expected",IF(E1298&gt;=0.7,"Moderate","Poor")))</f>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21618.296787266903</v>
      </c>
      <c r="E1299" s="9" t="str">
        <f>IF(OR(C1299="",D1299="",D1299=0),"",C1299/D1299)</f>
        <v/>
      </c>
      <c r="F1299" t="str">
        <f>IF(E1299="","",IF(E1299&gt;=0.9,"Expected",IF(E1299&gt;=0.7,"Moderate","Poor")))</f>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24132.968155926719</v>
      </c>
      <c r="E1300" s="9" t="str">
        <f>IF(OR(C1300="",D1300="",D1300=0),"",C1300/D1300)</f>
        <v/>
      </c>
      <c r="F1300" t="str">
        <f>IF(E1300="","",IF(E1300&gt;=0.9,"Expected",IF(E1300&gt;=0.7,"Moderate","Poor")))</f>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20780.513262710025</v>
      </c>
      <c r="E1301" s="9" t="str">
        <f>IF(OR(C1301="",D1301="",D1301=0),"",C1301/D1301)</f>
        <v/>
      </c>
      <c r="F1301" t="str">
        <f>IF(E1301="","",IF(E1301&gt;=0.9,"Expected",IF(E1301&gt;=0.7,"Moderate","Poor")))</f>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19923.290441978101</v>
      </c>
      <c r="E1302" s="9" t="str">
        <f>IF(OR(C1302="",D1302="",D1302=0),"",C1302/D1302)</f>
        <v/>
      </c>
      <c r="F1302" t="str">
        <f>IF(E1302="","",IF(E1302&gt;=0.9,"Expected",IF(E1302&gt;=0.7,"Moderate","Poor")))</f>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18392.090670460297</v>
      </c>
      <c r="E1303" s="9" t="str">
        <f>IF(OR(C1303="",D1303="",D1303=0),"",C1303/D1303)</f>
        <v/>
      </c>
      <c r="F1303" t="str">
        <f>IF(E1303="","",IF(E1303&gt;=0.9,"Expected",IF(E1303&gt;=0.7,"Moderate","Poor")))</f>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19903.90827636376</v>
      </c>
      <c r="E1304" s="9" t="str">
        <f>IF(OR(C1304="",D1304="",D1304=0),"",C1304/D1304)</f>
        <v/>
      </c>
      <c r="F1304" t="str">
        <f>IF(E1304="","",IF(E1304&gt;=0.9,"Expected",IF(E1304&gt;=0.7,"Moderate","Poor")))</f>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20921.62931390612</v>
      </c>
      <c r="E1305" s="9" t="str">
        <f>IF(OR(C1305="",D1305="",D1305=0),"",C1305/D1305)</f>
        <v/>
      </c>
      <c r="F1305" t="str">
        <f>IF(E1305="","",IF(E1305&gt;=0.9,"Expected",IF(E1305&gt;=0.7,"Moderate","Poor")))</f>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21257.777918405372</v>
      </c>
      <c r="E1306" s="9" t="str">
        <f>IF(OR(C1306="",D1306="",D1306=0),"",C1306/D1306)</f>
        <v/>
      </c>
      <c r="F1306" t="str">
        <f>IF(E1306="","",IF(E1306&gt;=0.9,"Expected",IF(E1306&gt;=0.7,"Moderate","Poor")))</f>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20807.761232657806</v>
      </c>
      <c r="E1307" s="9" t="str">
        <f>IF(OR(C1307="",D1307="",D1307=0),"",C1307/D1307)</f>
        <v/>
      </c>
      <c r="F1307" t="str">
        <f>IF(E1307="","",IF(E1307&gt;=0.9,"Expected",IF(E1307&gt;=0.7,"Moderate","Poor")))</f>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19698.15160600279</v>
      </c>
      <c r="E1308" s="9" t="str">
        <f>IF(OR(C1308="",D1308="",D1308=0),"",C1308/D1308)</f>
        <v/>
      </c>
      <c r="F1308" t="str">
        <f>IF(E1308="","",IF(E1308&gt;=0.9,"Expected",IF(E1308&gt;=0.7,"Moderate","Poor")))</f>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21003.47258202832</v>
      </c>
      <c r="E1309" s="9" t="str">
        <f>IF(OR(C1309="",D1309="",D1309=0),"",C1309/D1309)</f>
        <v/>
      </c>
      <c r="F1309" t="str">
        <f>IF(E1309="","",IF(E1309&gt;=0.9,"Expected",IF(E1309&gt;=0.7,"Moderate","Poor")))</f>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23329.447726445258</v>
      </c>
      <c r="E1310" s="9">
        <f>IF(OR(C1310="",D1310="",D1310=0),"",C1310/D1310)</f>
        <v>0.90572225488423974</v>
      </c>
      <c r="F1310" t="str">
        <f>IF(E1310="","",IF(E1310&gt;=0.9,"Expected",IF(E1310&gt;=0.7,"Moderate","Poor")))</f>
        <v>Expected</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21466.659066837172</v>
      </c>
      <c r="E1311" s="9">
        <f>IF(OR(C1311="",D1311="",D1311=0),"",C1311/D1311)</f>
        <v>0.79844748764276863</v>
      </c>
      <c r="F1311" t="str">
        <f>IF(E1311="","",IF(E1311&gt;=0.9,"Expected",IF(E1311&gt;=0.7,"Moderate","Poor")))</f>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23964.15260028603</v>
      </c>
      <c r="E1312" s="9" t="str">
        <f>IF(OR(C1312="",D1312="",D1312=0),"",C1312/D1312)</f>
        <v/>
      </c>
      <c r="F1312" t="str">
        <f>IF(E1312="","",IF(E1312&gt;=0.9,"Expected",IF(E1312&gt;=0.7,"Moderate","Poor")))</f>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20635.148885221235</v>
      </c>
      <c r="E1313" s="9" t="str">
        <f>IF(OR(C1313="",D1313="",D1313=0),"",C1313/D1313)</f>
        <v/>
      </c>
      <c r="F1313" t="str">
        <f>IF(E1313="","",IF(E1313&gt;=0.9,"Expected",IF(E1313&gt;=0.7,"Moderate","Poor")))</f>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19783.922531474003</v>
      </c>
      <c r="E1314" s="9" t="str">
        <f>IF(OR(C1314="",D1314="",D1314=0),"",C1314/D1314)</f>
        <v/>
      </c>
      <c r="F1314" t="str">
        <f>IF(E1314="","",IF(E1314&gt;=0.9,"Expected",IF(E1314&gt;=0.7,"Moderate","Poor")))</f>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18263.433847732704</v>
      </c>
      <c r="E1315" s="9" t="str">
        <f>IF(OR(C1315="",D1315="",D1315=0),"",C1315/D1315)</f>
        <v/>
      </c>
      <c r="F1315" t="str">
        <f>IF(E1315="","",IF(E1315&gt;=0.9,"Expected",IF(E1315&gt;=0.7,"Moderate","Poor")))</f>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19764.675948479944</v>
      </c>
      <c r="E1316" s="9" t="str">
        <f>IF(OR(C1316="",D1316="",D1316=0),"",C1316/D1316)</f>
        <v/>
      </c>
      <c r="F1316" t="str">
        <f>IF(E1316="","",IF(E1316&gt;=0.9,"Expected",IF(E1316&gt;=0.7,"Moderate","Poor")))</f>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20775.277797809322</v>
      </c>
      <c r="E1317" s="9" t="str">
        <f>IF(OR(C1317="",D1317="",D1317=0),"",C1317/D1317)</f>
        <v/>
      </c>
      <c r="F1317" t="str">
        <f>IF(E1317="","",IF(E1317&gt;=0.9,"Expected",IF(E1317&gt;=0.7,"Moderate","Poor")))</f>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21109.074966999011</v>
      </c>
      <c r="E1318" s="9" t="str">
        <f>IF(OR(C1318="",D1318="",D1318=0),"",C1318/D1318)</f>
        <v/>
      </c>
      <c r="F1318" t="str">
        <f>IF(E1318="","",IF(E1318&gt;=0.9,"Expected",IF(E1318&gt;=0.7,"Moderate","Poor")))</f>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20662.206249473227</v>
      </c>
      <c r="E1319" s="9" t="str">
        <f>IF(OR(C1319="",D1319="",D1319=0),"",C1319/D1319)</f>
        <v/>
      </c>
      <c r="F1319" t="str">
        <f>IF(E1319="","",IF(E1319&gt;=0.9,"Expected",IF(E1319&gt;=0.7,"Moderate","Poor")))</f>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19560.358592438264</v>
      </c>
      <c r="E1320" s="9" t="str">
        <f>IF(OR(C1320="",D1320="",D1320=0),"",C1320/D1320)</f>
        <v/>
      </c>
      <c r="F1320" t="str">
        <f>IF(E1320="","",IF(E1320&gt;=0.9,"Expected",IF(E1320&gt;=0.7,"Moderate","Poor")))</f>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20856.548553810582</v>
      </c>
      <c r="E1321" s="9" t="str">
        <f>IF(OR(C1321="",D1321="",D1321=0),"",C1321/D1321)</f>
        <v/>
      </c>
      <c r="F1321" t="str">
        <f>IF(E1321="","",IF(E1321&gt;=0.9,"Expected",IF(E1321&gt;=0.7,"Moderate","Poor")))</f>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23166.252977449447</v>
      </c>
      <c r="E1322" s="9">
        <f>IF(OR(C1322="",D1322="",D1322=0),"",C1322/D1322)</f>
        <v>0.42432412395602964</v>
      </c>
      <c r="F1322" t="str">
        <f>IF(E1322="","",IF(E1322&gt;=0.9,"Expected",IF(E1322&gt;=0.7,"Moderate","Poor")))</f>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21316.494944682665</v>
      </c>
      <c r="E1323" s="9">
        <f>IF(OR(C1323="",D1323="",D1323=0),"",C1323/D1323)</f>
        <v>0.94762295829684839</v>
      </c>
      <c r="F1323" t="str">
        <f>IF(E1323="","",IF(E1323&gt;=0.9,"Expected",IF(E1323&gt;=0.7,"Moderate","Poor")))</f>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23796.517947534787</v>
      </c>
      <c r="E1324" s="9">
        <f>IF(OR(C1324="",D1324="",D1324=0),"",C1324/D1324)</f>
        <v>0.68068782313918497</v>
      </c>
      <c r="F1324" t="str">
        <f>IF(E1324="","",IF(E1324&gt;=0.9,"Expected",IF(E1324&gt;=0.7,"Moderate","Poor")))</f>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20490.80136434111</v>
      </c>
      <c r="E1325" s="9" t="str">
        <f>IF(OR(C1325="",D1325="",D1325=0),"",C1325/D1325)</f>
        <v/>
      </c>
      <c r="F1325" t="str">
        <f>IF(E1325="","",IF(E1325&gt;=0.9,"Expected",IF(E1325&gt;=0.7,"Moderate","Poor")))</f>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19645.529530939464</v>
      </c>
      <c r="E1326" s="9" t="str">
        <f>IF(OR(C1326="",D1326="",D1326=0),"",C1326/D1326)</f>
        <v/>
      </c>
      <c r="F1326" t="str">
        <f>IF(E1326="","",IF(E1326&gt;=0.9,"Expected",IF(E1326&gt;=0.7,"Moderate","Poor")))</f>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18135.677008499697</v>
      </c>
      <c r="E1327" s="9" t="str">
        <f>IF(OR(C1327="",D1327="",D1327=0),"",C1327/D1327)</f>
        <v/>
      </c>
      <c r="F1327" t="str">
        <f>IF(E1327="","",IF(E1327&gt;=0.9,"Expected",IF(E1327&gt;=0.7,"Moderate","Poor")))</f>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19597.859250331454</v>
      </c>
      <c r="E1328" s="9">
        <f>IF(OR(C1328="",D1328="",D1328=0),"",C1328/D1328)</f>
        <v>1.0388241766587683</v>
      </c>
      <c r="F1328" t="str">
        <f>IF(E1328="","",IF(E1328&gt;=0.9,"Expected",IF(E1328&gt;=0.7,"Moderate","Poor")))</f>
        <v>Expected</v>
      </c>
      <c r="G1328" t="s">
        <v>874</v>
      </c>
    </row>
    <row r="1329" spans="1:7" ht="15" hidden="1"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20629.950043578414</v>
      </c>
      <c r="E1329" s="9" t="str">
        <f>IF(OR(C1329="",D1329="",D1329=0),"",C1329/D1329)</f>
        <v/>
      </c>
      <c r="F1329" t="str">
        <f>IF(E1329="","",IF(E1329&gt;=0.9,"Expected",IF(E1329&gt;=0.7,"Moderate","Poor")))</f>
        <v/>
      </c>
      <c r="G1329" t="s">
        <v>874</v>
      </c>
    </row>
    <row r="1330" spans="1:7" ht="15"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20961.412226278917</v>
      </c>
      <c r="E1330" s="9" t="str">
        <f>IF(OR(C1330="",D1330="",D1330=0),"",C1330/D1330)</f>
        <v/>
      </c>
      <c r="F1330" t="str">
        <f>IF(E1330="","",IF(E1330&gt;=0.9,"Expected",IF(E1330&gt;=0.7,"Moderate","Poor")))</f>
        <v/>
      </c>
      <c r="G1330" t="s">
        <v>874</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20517.669456227148</v>
      </c>
      <c r="E1331" s="9" t="str">
        <f>IF(OR(C1331="",D1331="",D1331=0),"",C1331/D1331)</f>
        <v/>
      </c>
      <c r="F1331" t="str">
        <f>IF(E1331="","",IF(E1331&gt;=0.9,"Expected",IF(E1331&gt;=0.7,"Moderate","Poor")))</f>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19423.529472083967</v>
      </c>
      <c r="E1332" s="9" t="str">
        <f>IF(OR(C1332="",D1332="",D1332=0),"",C1332/D1332)</f>
        <v/>
      </c>
      <c r="F1332" t="str">
        <f>IF(E1332="","",IF(E1332&gt;=0.9,"Expected",IF(E1332&gt;=0.7,"Moderate","Poor")))</f>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20710.652292310155</v>
      </c>
      <c r="E1333" s="9" t="str">
        <f>IF(OR(C1333="",D1333="",D1333=0),"",C1333/D1333)</f>
        <v/>
      </c>
      <c r="F1333" t="str">
        <f>IF(E1333="","",IF(E1333&gt;=0.9,"Expected",IF(E1333&gt;=0.7,"Moderate","Poor")))</f>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IF(OR(C1334="",D1334="",D1334=0),"",C1334/D1334)</f>
        <v/>
      </c>
      <c r="F1334" t="str">
        <f>IF(E1334="","",IF(E1334&gt;=0.9,"Expected",IF(E1334&gt;=0.7,"Moderate","Poor")))</f>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IF(OR(C1335="",D1335="",D1335=0),"",C1335/D1335)</f>
        <v/>
      </c>
      <c r="F1335" t="str">
        <f>IF(E1335="","",IF(E1335&gt;=0.9,"Expected",IF(E1335&gt;=0.7,"Moderate","Poor")))</f>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IF(OR(C1336="",D1336="",D1336=0),"",C1336/D1336)</f>
        <v/>
      </c>
      <c r="F1336" t="str">
        <f>IF(E1336="","",IF(E1336&gt;=0.9,"Expected",IF(E1336&gt;=0.7,"Moderate","Poor")))</f>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IF(OR(C1337="",D1337="",D1337=0),"",C1337/D1337)</f>
        <v/>
      </c>
      <c r="F1337" t="str">
        <f>IF(E1337="","",IF(E1337&gt;=0.9,"Expected",IF(E1337&gt;=0.7,"Moderate","Poor")))</f>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IF(OR(C1338="",D1338="",D1338=0),"",C1338/D1338)</f>
        <v/>
      </c>
      <c r="F1338" t="str">
        <f>IF(E1338="","",IF(E1338&gt;=0.9,"Expected",IF(E1338&gt;=0.7,"Moderate","Poor")))</f>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IF(OR(C1339="",D1339="",D1339=0),"",C1339/D1339)</f>
        <v/>
      </c>
      <c r="F1339" t="str">
        <f>IF(E1339="","",IF(E1339&gt;=0.9,"Expected",IF(E1339&gt;=0.7,"Moderate","Poor")))</f>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IF(OR(C1340="",D1340="",D1340=0),"",C1340/D1340)</f>
        <v/>
      </c>
      <c r="F1340" t="str">
        <f>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IF(OR(C1341="",D1341="",D1341=0),"",C1341/D1341)</f>
        <v/>
      </c>
      <c r="F1341" t="str">
        <f>IF(E1341="","",IF(E1341&gt;=0.9,"Expected",IF(E1341&gt;=0.7,"Moderate","Poor")))</f>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IF(OR(C1342="",D1342="",D1342=0),"",C1342/D1342)</f>
        <v/>
      </c>
      <c r="F1342" t="str">
        <f>IF(E1342="","",IF(E1342&gt;=0.9,"Expected",IF(E1342&gt;=0.7,"Moderate","Poor")))</f>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IF(OR(C1343="",D1343="",D1343=0),"",C1343/D1343)</f>
        <v/>
      </c>
      <c r="F1343" t="str">
        <f>IF(E1343="","",IF(E1343&gt;=0.9,"Expected",IF(E1343&gt;=0.7,"Moderate","Poor")))</f>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IF(OR(C1344="",D1344="",D1344=0),"",C1344/D1344)</f>
        <v/>
      </c>
      <c r="F1344" t="str">
        <f>IF(E1344="","",IF(E1344&gt;=0.9,"Expected",IF(E1344&gt;=0.7,"Moderate","Poor")))</f>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IF(OR(C1345="",D1345="",D1345=0),"",C1345/D1345)</f>
        <v/>
      </c>
      <c r="F1345" t="str">
        <f>IF(E1345="","",IF(E1345&gt;=0.9,"Expected",IF(E1345&gt;=0.7,"Moderate","Poor")))</f>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IF(OR(C1346="",D1346="",D1346=0),"",C1346/D1346)</f>
        <v/>
      </c>
      <c r="F1346" t="str">
        <f>IF(E1346="","",IF(E1346&gt;=0.9,"Expected",IF(E1346&gt;=0.7,"Moderate","Poor")))</f>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IF(OR(C1347="",D1347="",D1347=0),"",C1347/D1347)</f>
        <v/>
      </c>
      <c r="F1347" t="str">
        <f>IF(E1347="","",IF(E1347&gt;=0.9,"Expected",IF(E1347&gt;=0.7,"Moderate","Poor")))</f>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IF(OR(C1348="",D1348="",D1348=0),"",C1348/D1348)</f>
        <v/>
      </c>
      <c r="F1348" t="str">
        <f>IF(E1348="","",IF(E1348&gt;=0.9,"Expected",IF(E1348&gt;=0.7,"Moderate","Poor")))</f>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IF(OR(C1349="",D1349="",D1349=0),"",C1349/D1349)</f>
        <v/>
      </c>
      <c r="F1349" t="str">
        <f>IF(E1349="","",IF(E1349&gt;=0.9,"Expected",IF(E1349&gt;=0.7,"Moderate","Poor")))</f>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IF(OR(C1350="",D1350="",D1350=0),"",C1350/D1350)</f>
        <v/>
      </c>
      <c r="F1350" t="str">
        <f>IF(E1350="","",IF(E1350&gt;=0.9,"Expected",IF(E1350&gt;=0.7,"Moderate","Poor")))</f>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IF(OR(C1351="",D1351="",D1351=0),"",C1351/D1351)</f>
        <v/>
      </c>
      <c r="F1351" t="str">
        <f>IF(E1351="","",IF(E1351&gt;=0.9,"Expected",IF(E1351&gt;=0.7,"Moderate","Poor")))</f>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IF(OR(C1352="",D1352="",D1352=0),"",C1352/D1352)</f>
        <v/>
      </c>
      <c r="F1352" t="str">
        <f>IF(E1352="","",IF(E1352&gt;=0.9,"Expected",IF(E1352&gt;=0.7,"Moderate","Poor")))</f>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IF(OR(C1353="",D1353="",D1353=0),"",C1353/D1353)</f>
        <v/>
      </c>
      <c r="F1353" t="str">
        <f>IF(E1353="","",IF(E1353&gt;=0.9,"Expected",IF(E1353&gt;=0.7,"Moderate","Poor")))</f>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IF(OR(C1354="",D1354="",D1354=0),"",C1354/D1354)</f>
        <v/>
      </c>
      <c r="F1354" t="str">
        <f>IF(E1354="","",IF(E1354&gt;=0.9,"Expected",IF(E1354&gt;=0.7,"Moderate","Poor")))</f>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46206.07902166569</v>
      </c>
      <c r="E1355" s="9">
        <f>IF(OR(C1355="",D1355="",D1355=0),"",C1355/D1355)</f>
        <v>0.91329974093263211</v>
      </c>
      <c r="F1355" t="str">
        <f>IF(E1355="","",IF(E1355&gt;=0.9,"Expected",IF(E1355&gt;=0.7,"Moderate","Poor")))</f>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46619.216861782712</v>
      </c>
      <c r="E1356" s="9">
        <f>IF(OR(C1356="",D1356="",D1356=0),"",C1356/D1356)</f>
        <v>0.80764977480490852</v>
      </c>
      <c r="F1356" t="str">
        <f>IF(E1356="","",IF(E1356&gt;=0.9,"Expected",IF(E1356&gt;=0.7,"Moderate","Poor")))</f>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47594.515191383573</v>
      </c>
      <c r="E1357" s="9">
        <f>IF(OR(C1357="",D1357="",D1357=0),"",C1357/D1357)</f>
        <v>0.68430153913819536</v>
      </c>
      <c r="F1357" t="str">
        <f>IF(E1357="","",IF(E1357&gt;=0.9,"Expected",IF(E1357&gt;=0.7,"Moderate","Poor")))</f>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46782.840506110784</v>
      </c>
      <c r="E1358" s="9">
        <f>IF(OR(C1358="",D1358="",D1358=0),"",C1358/D1358)</f>
        <v>0.94008822944932824</v>
      </c>
      <c r="F1358" t="str">
        <f>IF(E1358="","",IF(E1358&gt;=0.9,"Expected",IF(E1358&gt;=0.7,"Moderate","Poor")))</f>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40887.245596598244</v>
      </c>
      <c r="E1359" s="9">
        <f>IF(OR(C1359="",D1359="",D1359=0),"",C1359/D1359)</f>
        <v>0.86918271899823807</v>
      </c>
      <c r="F1359" t="str">
        <f>IF(E1359="","",IF(E1359&gt;=0.9,"Expected",IF(E1359&gt;=0.7,"Moderate","Poor")))</f>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39868.367303162486</v>
      </c>
      <c r="E1360" s="9">
        <f>IF(OR(C1360="",D1360="",D1360=0),"",C1360/D1360)</f>
        <v>0.85478795108062389</v>
      </c>
      <c r="F1360" t="str">
        <f>IF(E1360="","",IF(E1360&gt;=0.9,"Expected",IF(E1360&gt;=0.7,"Moderate","Poor")))</f>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34656.995580389419</v>
      </c>
      <c r="E1361" s="9">
        <f>IF(OR(C1361="",D1361="",D1361=0),"",C1361/D1361)</f>
        <v>0.76132594756511562</v>
      </c>
      <c r="F1361" t="str">
        <f>IF(E1361="","",IF(E1361&gt;=0.9,"Expected",IF(E1361&gt;=0.7,"Moderate","Poor")))</f>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32003.918929189436</v>
      </c>
      <c r="E1362" s="9">
        <f>IF(OR(C1362="",D1362="",D1362=0),"",C1362/D1362)</f>
        <v>0.92286198028898825</v>
      </c>
      <c r="F1362" t="str">
        <f>IF(E1362="","",IF(E1362&gt;=0.9,"Expected",IF(E1362&gt;=0.7,"Moderate","Poor")))</f>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28221.183370542451</v>
      </c>
      <c r="E1363" s="9">
        <f>IF(OR(C1363="",D1363="",D1363=0),"",C1363/D1363)</f>
        <v>0.65762656924486262</v>
      </c>
      <c r="F1363" t="str">
        <f>IF(E1363="","",IF(E1363&gt;=0.9,"Expected",IF(E1363&gt;=0.7,"Moderate","Poor")))</f>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5285.8154065546842</v>
      </c>
      <c r="E1364" s="9">
        <f>IF(OR(C1364="",D1364="",D1364=0),"",C1364/D1364)</f>
        <v>1.0764658926499979</v>
      </c>
      <c r="F1364" t="str">
        <f>IF(E1364="","",IF(E1364&gt;=0.9,"Expected",IF(E1364&gt;=0.7,"Moderate","Poor")))</f>
        <v>Expected</v>
      </c>
      <c r="G1364" t="s">
        <v>874</v>
      </c>
    </row>
    <row r="1365" spans="1:7" ht="15" hidden="1"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36595.854750677878</v>
      </c>
      <c r="E1365" s="9">
        <f>IF(OR(C1365="",D1365="",D1365=0),"",C1365/D1365)</f>
        <v>0.96129563688762754</v>
      </c>
      <c r="F1365" t="str">
        <f>IF(E1365="","",IF(E1365&gt;=0.9,"Expected",IF(E1365&gt;=0.7,"Moderate","Poor")))</f>
        <v>Expected</v>
      </c>
      <c r="G1365" t="s">
        <v>874</v>
      </c>
    </row>
    <row r="1366" spans="1:7" ht="15" customHeight="1" x14ac:dyDescent="0.3">
      <c r="A1366" t="s">
        <v>250</v>
      </c>
      <c r="B1366" s="2">
        <v>46266</v>
      </c>
      <c r="C1366" cm="1">
        <f t="array" ref="C1366">IFERROR(IF(SUMPRODUCT((measured[Site Name]=A1366)*(measured[Date]=B1366)*ISNUMBER(measured[Measured Value (kWh)]))=0,"",SUMIFS(measured[Measured Value (kWh)],measured[Site Name],A1366,measured[Date],B1366)),"")</f>
        <v>21788</v>
      </c>
      <c r="D1366" cm="1">
        <f t="array" ref="D1366">IFERROR(IF(SUMPRODUCT((expected_production[Site Name]=A1366)*(expected_production[Date]=B1366)*ISNUMBER(expected_production[Expected Production (kWh)]))=0,"",SUMIFS(expected_production[Expected Production (kWh)],expected_production[Site Name],A1366,expected_production[Date],B1366)),"")</f>
        <v>28181.7250957082</v>
      </c>
      <c r="E1366" s="9">
        <f>IF(OR(C1366="",D1366="",D1366=0),"",C1366/D1366)</f>
        <v>0.77312513432040042</v>
      </c>
      <c r="F1366" t="str">
        <f>IF(E1366="","",IF(E1366&gt;=0.9,"Expected",IF(E1366&gt;=0.7,"Moderate","Poor")))</f>
        <v>Moderate</v>
      </c>
      <c r="G1366" t="s">
        <v>874</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45882.857076746972</v>
      </c>
      <c r="E1367" s="9" t="str">
        <f>IF(OR(C1367="",D1367="",D1367=0),"",C1367/D1367)</f>
        <v/>
      </c>
      <c r="F1367" t="str">
        <f>IF(E1367="","",IF(E1367&gt;=0.9,"Expected",IF(E1367&gt;=0.7,"Moderate","Poor")))</f>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46293.104924485728</v>
      </c>
      <c r="E1368" s="9" t="str">
        <f>IF(OR(C1368="",D1368="",D1368=0),"",C1368/D1368)</f>
        <v/>
      </c>
      <c r="F1368" t="str">
        <f>IF(E1368="","",IF(E1368&gt;=0.9,"Expected",IF(E1368&gt;=0.7,"Moderate","Poor")))</f>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47261.58082228445</v>
      </c>
      <c r="E1369" s="9" t="str">
        <f>IF(OR(C1369="",D1369="",D1369=0),"",C1369/D1369)</f>
        <v/>
      </c>
      <c r="F1369" t="str">
        <f>IF(E1369="","",IF(E1369&gt;=0.9,"Expected",IF(E1369&gt;=0.7,"Moderate","Poor")))</f>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IF(OR(C1370="",D1370="",D1370=0),"",C1370/D1370)</f>
        <v/>
      </c>
      <c r="F1370" t="str">
        <f>IF(E1370="","",IF(E1370&gt;=0.9,"Expected",IF(E1370&gt;=0.7,"Moderate","Poor")))</f>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IF(OR(C1371="",D1371="",D1371=0),"",C1371/D1371)</f>
        <v/>
      </c>
      <c r="F1371" t="str">
        <f>IF(E1371="","",IF(E1371&gt;=0.9,"Expected",IF(E1371&gt;=0.7,"Moderate","Poor")))</f>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IF(OR(C1372="",D1372="",D1372=0),"",C1372/D1372)</f>
        <v/>
      </c>
      <c r="F1372" t="str">
        <f>IF(E1372="","",IF(E1372&gt;=0.9,"Expected",IF(E1372&gt;=0.7,"Moderate","Poor")))</f>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IF(OR(C1373="",D1373="",D1373=0),"",C1373/D1373)</f>
        <v/>
      </c>
      <c r="F1373" t="str">
        <f>IF(E1373="","",IF(E1373&gt;=0.9,"Expected",IF(E1373&gt;=0.7,"Moderate","Poor")))</f>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IF(OR(C1374="",D1374="",D1374=0),"",C1374/D1374)</f>
        <v/>
      </c>
      <c r="F1374" t="str">
        <f>IF(E1374="","",IF(E1374&gt;=0.9,"Expected",IF(E1374&gt;=0.7,"Moderate","Poor")))</f>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IF(OR(C1375="",D1375="",D1375=0),"",C1375/D1375)</f>
        <v/>
      </c>
      <c r="F1375" t="str">
        <f>IF(E1375="","",IF(E1375&gt;=0.9,"Expected",IF(E1375&gt;=0.7,"Moderate","Poor")))</f>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IF(OR(C1376="",D1376="",D1376=0),"",C1376/D1376)</f>
        <v/>
      </c>
      <c r="F1376" t="str">
        <f>IF(E1376="","",IF(E1376&gt;=0.9,"Expected",IF(E1376&gt;=0.7,"Moderate","Poor")))</f>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IF(OR(C1377="",D1377="",D1377=0),"",C1377/D1377)</f>
        <v/>
      </c>
      <c r="F1377" t="str">
        <f>IF(E1377="","",IF(E1377&gt;=0.9,"Expected",IF(E1377&gt;=0.7,"Moderate","Poor")))</f>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IF(OR(C1378="",D1378="",D1378=0),"",C1378/D1378)</f>
        <v/>
      </c>
      <c r="F1378" t="str">
        <f>IF(E1378="","",IF(E1378&gt;=0.9,"Expected",IF(E1378&gt;=0.7,"Moderate","Poor")))</f>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IF(OR(C1379="",D1379="",D1379=0),"",C1379/D1379)</f>
        <v/>
      </c>
      <c r="F1379" t="str">
        <f>IF(E1379="","",IF(E1379&gt;=0.9,"Expected",IF(E1379&gt;=0.7,"Moderate","Poor")))</f>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IF(OR(C1380="",D1380="",D1380=0),"",C1380/D1380)</f>
        <v/>
      </c>
      <c r="F1380" t="str">
        <f>IF(E1380="","",IF(E1380&gt;=0.9,"Expected",IF(E1380&gt;=0.7,"Moderate","Poor")))</f>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IF(OR(C1381="",D1381="",D1381=0),"",C1381/D1381)</f>
        <v/>
      </c>
      <c r="F1381" t="str">
        <f>IF(E1381="","",IF(E1381&gt;=0.9,"Expected",IF(E1381&gt;=0.7,"Moderate","Poor")))</f>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IF(OR(C1382="",D1382="",D1382=0),"",C1382/D1382)</f>
        <v/>
      </c>
      <c r="F1382" t="str">
        <f>IF(E1382="","",IF(E1382&gt;=0.9,"Expected",IF(E1382&gt;=0.7,"Moderate","Poor")))</f>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IF(OR(C1383="",D1383="",D1383=0),"",C1383/D1383)</f>
        <v/>
      </c>
      <c r="F1383" t="str">
        <f>IF(E1383="","",IF(E1383&gt;=0.9,"Expected",IF(E1383&gt;=0.7,"Moderate","Poor")))</f>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IF(OR(C1384="",D1384="",D1384=0),"",C1384/D1384)</f>
        <v/>
      </c>
      <c r="F1384" t="str">
        <f>IF(E1384="","",IF(E1384&gt;=0.9,"Expected",IF(E1384&gt;=0.7,"Moderate","Poor")))</f>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IF(OR(C1385="",D1385="",D1385=0),"",C1385/D1385)</f>
        <v/>
      </c>
      <c r="F1385" t="str">
        <f>IF(E1385="","",IF(E1385&gt;=0.9,"Expected",IF(E1385&gt;=0.7,"Moderate","Poor")))</f>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IF(OR(C1386="",D1386="",D1386=0),"",C1386/D1386)</f>
        <v/>
      </c>
      <c r="F1386" t="str">
        <f>IF(E1386="","",IF(E1386&gt;=0.9,"Expected",IF(E1386&gt;=0.7,"Moderate","Poor")))</f>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IF(OR(C1387="",D1387="",D1387=0),"",C1387/D1387)</f>
        <v/>
      </c>
      <c r="F1387" t="str">
        <f>IF(E1387="","",IF(E1387&gt;=0.9,"Expected",IF(E1387&gt;=0.7,"Moderate","Poor")))</f>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IF(OR(C1388="",D1388="",D1388=0),"",C1388/D1388)</f>
        <v/>
      </c>
      <c r="F1388" t="str">
        <f>IF(E1388="","",IF(E1388&gt;=0.9,"Expected",IF(E1388&gt;=0.7,"Moderate","Poor")))</f>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IF(OR(C1389="",D1389="",D1389=0),"",C1389/D1389)</f>
        <v/>
      </c>
      <c r="F1389" t="str">
        <f>IF(E1389="","",IF(E1389&gt;=0.9,"Expected",IF(E1389&gt;=0.7,"Moderate","Poor")))</f>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IF(OR(C1390="",D1390="",D1390=0),"",C1390/D1390)</f>
        <v/>
      </c>
      <c r="F1390" t="str">
        <f>IF(E1390="","",IF(E1390&gt;=0.9,"Expected",IF(E1390&gt;=0.7,"Moderate","Poor")))</f>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12188.858946938706</v>
      </c>
      <c r="E1391" s="9">
        <f>IF(OR(C1391="",D1391="",D1391=0),"",C1391/D1391)</f>
        <v>0.96809718213726892</v>
      </c>
      <c r="F1391" t="str">
        <f>IF(E1391="","",IF(E1391&gt;=0.9,"Expected",IF(E1391&gt;=0.7,"Moderate","Poor")))</f>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12254.440823324096</v>
      </c>
      <c r="E1392" s="9">
        <f>IF(OR(C1392="",D1392="",D1392=0),"",C1392/D1392)</f>
        <v>0.81097131589103821</v>
      </c>
      <c r="F1392" t="str">
        <f>IF(E1392="","",IF(E1392&gt;=0.9,"Expected",IF(E1392&gt;=0.7,"Moderate","Poor")))</f>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12523.311303851551</v>
      </c>
      <c r="E1393" s="9">
        <f>IF(OR(C1393="",D1393="",D1393=0),"",C1393/D1393)</f>
        <v>0.72616577032650587</v>
      </c>
      <c r="F1393" t="str">
        <f>IF(E1393="","",IF(E1393&gt;=0.9,"Expected",IF(E1393&gt;=0.7,"Moderate","Poor")))</f>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12346.070658909113</v>
      </c>
      <c r="E1394" s="9">
        <f>IF(OR(C1394="",D1394="",D1394=0),"",C1394/D1394)</f>
        <v>0.95865918371844061</v>
      </c>
      <c r="F1394" t="str">
        <f>IF(E1394="","",IF(E1394&gt;=0.9,"Expected",IF(E1394&gt;=0.7,"Moderate","Poor")))</f>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10774.827016739244</v>
      </c>
      <c r="E1395" s="9">
        <f>IF(OR(C1395="",D1395="",D1395=0),"",C1395/D1395)</f>
        <v>0.87981261650628928</v>
      </c>
      <c r="F1395" t="str">
        <f>IF(E1395="","",IF(E1395&gt;=0.9,"Expected",IF(E1395&gt;=0.7,"Moderate","Poor")))</f>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10505.229095164099</v>
      </c>
      <c r="E1396" s="9">
        <f>IF(OR(C1396="",D1396="",D1396=0),"",C1396/D1396)</f>
        <v>0.8608094043529988</v>
      </c>
      <c r="F1396" t="str">
        <f>IF(E1396="","",IF(E1396&gt;=0.9,"Expected",IF(E1396&gt;=0.7,"Moderate","Poor")))</f>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9140.4149231760857</v>
      </c>
      <c r="E1397" s="9">
        <f>IF(OR(C1397="",D1397="",D1397=0),"",C1397/D1397)</f>
        <v>0.77013134077221923</v>
      </c>
      <c r="F1397" t="str">
        <f>IF(E1397="","",IF(E1397&gt;=0.9,"Expected",IF(E1397&gt;=0.7,"Moderate","Poor")))</f>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8467.4608245024319</v>
      </c>
      <c r="E1398" s="9">
        <f>IF(OR(C1398="",D1398="",D1398=0),"",C1398/D1398)</f>
        <v>0.96189520906092985</v>
      </c>
      <c r="F1398" t="str">
        <f>IF(E1398="","",IF(E1398&gt;=0.9,"Expected",IF(E1398&gt;=0.7,"Moderate","Poor")))</f>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7509.4071784508033</v>
      </c>
      <c r="E1399" s="9">
        <f>IF(OR(C1399="",D1399="",D1399=0),"",C1399/D1399)</f>
        <v>0.74573130300750112</v>
      </c>
      <c r="F1399" t="str">
        <f>IF(E1399="","",IF(E1399&gt;=0.9,"Expected",IF(E1399&gt;=0.7,"Moderate","Poor")))</f>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27900.216565541741</v>
      </c>
      <c r="E1400" s="9">
        <f>IF(OR(C1400="",D1400="",D1400=0),"",C1400/D1400)</f>
        <v>0.97942931503081698</v>
      </c>
      <c r="F1400" t="str">
        <f>IF(E1400="","",IF(E1400&gt;=0.9,"Expected",IF(E1400&gt;=0.7,"Moderate","Poor")))</f>
        <v>Expected</v>
      </c>
      <c r="G1400" t="s">
        <v>874</v>
      </c>
    </row>
    <row r="1401" spans="1:7" ht="15" hidden="1"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9662.930307584993</v>
      </c>
      <c r="E1401" s="9">
        <f>IF(OR(C1401="",D1401="",D1401=0),"",C1401/D1401)</f>
        <v>0.99249653621861678</v>
      </c>
      <c r="F1401" t="str">
        <f>IF(E1401="","",IF(E1401&gt;=0.9,"Expected",IF(E1401&gt;=0.7,"Moderate","Poor")))</f>
        <v>Expected</v>
      </c>
      <c r="G1401" t="s">
        <v>874</v>
      </c>
    </row>
    <row r="1402" spans="1:7" ht="15" customHeight="1" x14ac:dyDescent="0.3">
      <c r="A1402" t="s">
        <v>194</v>
      </c>
      <c r="B1402" s="2">
        <v>46266</v>
      </c>
      <c r="C1402" cm="1">
        <f t="array" ref="C1402">IFERROR(IF(SUMPRODUCT((measured[Site Name]=A1402)*(measured[Date]=B1402)*ISNUMBER(measured[Measured Value (kWh)]))=0,"",SUMIFS(measured[Measured Value (kWh)],measured[Site Name],A1402,measured[Date],B1402)),"")</f>
        <v>4853.26</v>
      </c>
      <c r="D1402" cm="1">
        <f t="array" ref="D1402">IFERROR(IF(SUMPRODUCT((expected_production[Site Name]=A1402)*(expected_production[Date]=B1402)*ISNUMBER(expected_production[Expected Production (kWh)]))=0,"",SUMIFS(expected_production[Expected Production (kWh)],expected_production[Site Name],A1402,expected_production[Date],B1402)),"")</f>
        <v>6201.3597513117256</v>
      </c>
      <c r="E1402" s="9">
        <f>IF(OR(C1402="",D1402="",D1402=0),"",C1402/D1402)</f>
        <v>0.78261223257906098</v>
      </c>
      <c r="F1402" t="str">
        <f>IF(E1402="","",IF(E1402&gt;=0.9,"Expected",IF(E1402&gt;=0.7,"Moderate","Poor")))</f>
        <v>Moderate</v>
      </c>
      <c r="G1402" t="s">
        <v>874</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12103.595129307218</v>
      </c>
      <c r="E1403" s="9" t="str">
        <f>IF(OR(C1403="",D1403="",D1403=0),"",C1403/D1403)</f>
        <v/>
      </c>
      <c r="F1403" t="str">
        <f>IF(E1403="","",IF(E1403&gt;=0.9,"Expected",IF(E1403&gt;=0.7,"Moderate","Poor")))</f>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12168.718245674758</v>
      </c>
      <c r="E1404" s="9" t="str">
        <f>IF(OR(C1404="",D1404="",D1404=0),"",C1404/D1404)</f>
        <v/>
      </c>
      <c r="F1404" t="str">
        <f>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12435.70791654497</v>
      </c>
      <c r="E1405" s="9" t="str">
        <f>IF(OR(C1405="",D1405="",D1405=0),"",C1405/D1405)</f>
        <v/>
      </c>
      <c r="F1405" t="str">
        <f>IF(E1405="","",IF(E1405&gt;=0.9,"Expected",IF(E1405&gt;=0.7,"Moderate","Poor")))</f>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5672.4123127778821</v>
      </c>
      <c r="E1406" s="9">
        <f>IF(OR(C1406="",D1406="",D1406=0),"",C1406/D1406)</f>
        <v>5.9410349850778928E-2</v>
      </c>
      <c r="F1406" t="str">
        <f>IF(E1406="","",IF(E1406&gt;=0.9,"Expected",IF(E1406&gt;=0.7,"Moderate","Poor")))</f>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4767.1196556375544</v>
      </c>
      <c r="E1407" s="9">
        <f>IF(OR(C1407="",D1407="",D1407=0),"",C1407/D1407)</f>
        <v>0.88565010005719058</v>
      </c>
      <c r="F1407" t="str">
        <f>IF(E1407="","",IF(E1407&gt;=0.9,"Expected",IF(E1407&gt;=0.7,"Moderate","Poor")))</f>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4918.7325630500081</v>
      </c>
      <c r="E1408" s="9">
        <f>IF(OR(C1408="",D1408="",D1408=0),"",C1408/D1408)</f>
        <v>1.0998768342561334</v>
      </c>
      <c r="F1408" t="str">
        <f>IF(E1408="","",IF(E1408&gt;=0.9,"Expected",IF(E1408&gt;=0.7,"Moderate","Poor")))</f>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4342.1114950565761</v>
      </c>
      <c r="E1409" s="9">
        <f>IF(OR(C1409="",D1409="",D1409=0),"",C1409/D1409)</f>
        <v>1.1052226561808889</v>
      </c>
      <c r="F1409" t="str">
        <f>IF(E1409="","",IF(E1409&gt;=0.9,"Expected",IF(E1409&gt;=0.7,"Moderate","Poor")))</f>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4174.7663865462173</v>
      </c>
      <c r="E1410" s="9">
        <f>IF(OR(C1410="",D1410="",D1410=0),"",C1410/D1410)</f>
        <v>1.0462860901813587</v>
      </c>
      <c r="F1410" t="str">
        <f>IF(E1410="","",IF(E1410&gt;=0.9,"Expected",IF(E1410&gt;=0.7,"Moderate","Poor")))</f>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3798.9219029459723</v>
      </c>
      <c r="E1411" s="9">
        <f>IF(OR(C1411="",D1411="",D1411=0),"",C1411/D1411)</f>
        <v>0.8705101301070447</v>
      </c>
      <c r="F1411" t="str">
        <f>IF(E1411="","",IF(E1411&gt;=0.9,"Expected",IF(E1411&gt;=0.7,"Moderate","Poor")))</f>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4193.1369119823676</v>
      </c>
      <c r="E1412" s="9">
        <f>IF(OR(C1412="",D1412="",D1412=0),"",C1412/D1412)</f>
        <v>0.91077398142826471</v>
      </c>
      <c r="F1412" t="str">
        <f>IF(E1412="","",IF(E1412&gt;=0.9,"Expected",IF(E1412&gt;=0.7,"Moderate","Poor")))</f>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4813.9570474027714</v>
      </c>
      <c r="E1413" s="9">
        <f>IF(OR(C1413="",D1413="",D1413=0),"",C1413/D1413)</f>
        <v>1.0691827844157671</v>
      </c>
      <c r="F1413" t="str">
        <f>IF(E1413="","",IF(E1413&gt;=0.9,"Expected",IF(E1413&gt;=0.7,"Moderate","Poor")))</f>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5263.3282747339335</v>
      </c>
      <c r="E1414" s="9">
        <f>IF(OR(C1414="",D1414="",D1414=0),"",C1414/D1414)</f>
        <v>0.77916477672244555</v>
      </c>
      <c r="F1414" t="str">
        <f>IF(E1414="","",IF(E1414&gt;=0.9,"Expected",IF(E1414&gt;=0.7,"Moderate","Poor")))</f>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5624.734424846456</v>
      </c>
      <c r="E1415" s="9">
        <f>IF(OR(C1415="",D1415="",D1415=0),"",C1415/D1415)</f>
        <v>1.1717886574137979</v>
      </c>
      <c r="F1415" t="str">
        <f>IF(E1415="","",IF(E1415&gt;=0.9,"Expected",IF(E1415&gt;=0.7,"Moderate","Poor")))</f>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5578.5319606063595</v>
      </c>
      <c r="E1416" s="9">
        <f>IF(OR(C1416="",D1416="",D1416=0),"",C1416/D1416)</f>
        <v>0.88912280776121466</v>
      </c>
      <c r="F1416" t="str">
        <f>IF(E1416="","",IF(E1416&gt;=0.9,"Expected",IF(E1416&gt;=0.7,"Moderate","Poor")))</f>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5943.7899621587394</v>
      </c>
      <c r="E1417" s="9">
        <f>IF(OR(C1417="",D1417="",D1417=0),"",C1417/D1417)</f>
        <v>0.10969432031598884</v>
      </c>
      <c r="F1417" t="str">
        <f>IF(E1417="","",IF(E1417&gt;=0.9,"Expected",IF(E1417&gt;=0.7,"Moderate","Poor")))</f>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5632.6241795631604</v>
      </c>
      <c r="E1418" s="9">
        <f>IF(OR(C1418="",D1418="",D1418=0),"",C1418/D1418)</f>
        <v>0.12782674239342554</v>
      </c>
      <c r="F1418" t="str">
        <f>IF(E1418="","",IF(E1418&gt;=0.9,"Expected",IF(E1418&gt;=0.7,"Moderate","Poor")))</f>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4733.6815376993081</v>
      </c>
      <c r="E1419" s="9">
        <f>IF(OR(C1419="",D1419="",D1419=0),"",C1419/D1419)</f>
        <v>0.79768779752666541</v>
      </c>
      <c r="F1419" t="str">
        <f>IF(E1419="","",IF(E1419&gt;=0.9,"Expected",IF(E1419&gt;=0.7,"Moderate","Poor")))</f>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4884.3249193107813</v>
      </c>
      <c r="E1420" s="9">
        <f>IF(OR(C1420="",D1420="",D1420=0),"",C1420/D1420)</f>
        <v>0.90391201915023156</v>
      </c>
      <c r="F1420" t="str">
        <f>IF(E1420="","",IF(E1420&gt;=0.9,"Expected",IF(E1420&gt;=0.7,"Moderate","Poor")))</f>
        <v>Expected</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4311.7374457495998</v>
      </c>
      <c r="E1421" s="9">
        <f>IF(OR(C1421="",D1421="",D1421=0),"",C1421/D1421)</f>
        <v>0.82356591621794706</v>
      </c>
      <c r="F1421" t="str">
        <f>IF(E1421="","",IF(E1421&gt;=0.9,"Expected",IF(E1421&gt;=0.7,"Moderate","Poor")))</f>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4145.5629540193404</v>
      </c>
      <c r="E1422" s="9">
        <f>IF(OR(C1422="",D1422="",D1422=0),"",C1422/D1422)</f>
        <v>1.1047956696832815</v>
      </c>
      <c r="F1422" t="str">
        <f>IF(E1422="","",IF(E1422&gt;=0.9,"Expected",IF(E1422&gt;=0.7,"Moderate","Poor")))</f>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3772.3475873567018</v>
      </c>
      <c r="E1423" s="9">
        <f>IF(OR(C1423="",D1423="",D1423=0),"",C1423/D1423)</f>
        <v>1.0512817040751146</v>
      </c>
      <c r="F1423" t="str">
        <f>IF(E1423="","",IF(E1423&gt;=0.9,"Expected",IF(E1423&gt;=0.7,"Moderate","Poor")))</f>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4163.8049734864417</v>
      </c>
      <c r="E1424" s="9">
        <f>IF(OR(C1424="",D1424="",D1424=0),"",C1424/D1424)</f>
        <v>0.96426226145701432</v>
      </c>
      <c r="F1424" t="str">
        <f>IF(E1424="","",IF(E1424&gt;=0.9,"Expected",IF(E1424&gt;=0.7,"Moderate","Poor")))</f>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4780.2823320284788</v>
      </c>
      <c r="E1425" s="9">
        <f>IF(OR(C1425="",D1425="",D1425=0),"",C1425/D1425)</f>
        <v>0.96082190987472349</v>
      </c>
      <c r="F1425" t="str">
        <f>IF(E1425="","",IF(E1425&gt;=0.9,"Expected",IF(E1425&gt;=0.7,"Moderate","Poor")))</f>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5226.5101062650729</v>
      </c>
      <c r="E1426" s="9">
        <f>IF(OR(C1426="",D1426="",D1426=0),"",C1426/D1426)</f>
        <v>0.84721925529085074</v>
      </c>
      <c r="F1426" t="str">
        <f>IF(E1426="","",IF(E1426&gt;=0.9,"Expected",IF(E1426&gt;=0.7,"Moderate","Poor")))</f>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5585.3881388394202</v>
      </c>
      <c r="E1427" s="9">
        <f>IF(OR(C1427="",D1427="",D1427=0),"",C1427/D1427)</f>
        <v>1.0745895989328949</v>
      </c>
      <c r="F1427" t="str">
        <f>IF(E1427="","",IF(E1427&gt;=0.9,"Expected",IF(E1427&gt;=0.7,"Moderate","Poor")))</f>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5539.50887125803</v>
      </c>
      <c r="E1428" s="9">
        <f>IF(OR(C1428="",D1428="",D1428=0),"",C1428/D1428)</f>
        <v>0.77371480028456807</v>
      </c>
      <c r="F1428" t="str">
        <f>IF(E1428="","",IF(E1428&gt;=0.9,"Expected",IF(E1428&gt;=0.7,"Moderate","Poor")))</f>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5902.2118107025972</v>
      </c>
      <c r="E1429" s="9">
        <f>IF(OR(C1429="",D1429="",D1429=0),"",C1429/D1429)</f>
        <v>0.16688658956865629</v>
      </c>
      <c r="F1429" t="str">
        <f>IF(E1429="","",IF(E1429&gt;=0.9,"Expected",IF(E1429&gt;=0.7,"Moderate","Poor")))</f>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5593.222702942282</v>
      </c>
      <c r="E1430" s="9">
        <f>IF(OR(C1430="",D1430="",D1430=0),"",C1430/D1430)</f>
        <v>0.26760958386524053</v>
      </c>
      <c r="F1430" t="str">
        <f>IF(E1430="","",IF(E1430&gt;=0.9,"Expected",IF(E1430&gt;=0.7,"Moderate","Poor")))</f>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4700.5683676221934</v>
      </c>
      <c r="E1431" s="9">
        <f>IF(OR(C1431="",D1431="",D1431=0),"",C1431/D1431)</f>
        <v>1.0073249934231303</v>
      </c>
      <c r="F1431" t="str">
        <f>IF(E1431="","",IF(E1431&gt;=0.9,"Expected",IF(E1431&gt;=0.7,"Moderate","Poor")))</f>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4850.1579648004372</v>
      </c>
      <c r="E1432" s="9">
        <f>IF(OR(C1432="",D1432="",D1432=0),"",C1432/D1432)</f>
        <v>0.978731009268338</v>
      </c>
      <c r="F1432" t="str">
        <f>IF(E1432="","",IF(E1432&gt;=0.9,"Expected",IF(E1432&gt;=0.7,"Moderate","Poor")))</f>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4281.5758697686433</v>
      </c>
      <c r="E1433" s="9">
        <f>IF(OR(C1433="",D1433="",D1433=0),"",C1433/D1433)</f>
        <v>0.94285378159563848</v>
      </c>
      <c r="F1433" t="str">
        <f>IF(E1433="","",IF(E1433&gt;=0.9,"Expected",IF(E1433&gt;=0.7,"Moderate","Poor")))</f>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4116.5638060900637</v>
      </c>
      <c r="E1434" s="9">
        <f>IF(OR(C1434="",D1434="",D1434=0),"",C1434/D1434)</f>
        <v>1.0154099867992059</v>
      </c>
      <c r="F1434" t="str">
        <f>IF(E1434="","",IF(E1434&gt;=0.9,"Expected",IF(E1434&gt;=0.7,"Moderate","Poor")))</f>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3745.9591650990342</v>
      </c>
      <c r="E1435" s="9">
        <f>IF(OR(C1435="",D1435="",D1435=0),"",C1435/D1435)</f>
        <v>0.84464348396503452</v>
      </c>
      <c r="F1435" t="str">
        <f>IF(E1435="","",IF(E1435&gt;=0.9,"Expected",IF(E1435&gt;=0.7,"Moderate","Poor")))</f>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19626.417582134673</v>
      </c>
      <c r="E1436" s="9">
        <f>IF(OR(C1436="",D1436="",D1436=0),"",C1436/D1436)</f>
        <v>0</v>
      </c>
      <c r="F1436" t="str">
        <f>IF(E1436="","",IF(E1436&gt;=0.9,"Expected",IF(E1436&gt;=0.7,"Moderate","Poor")))</f>
        <v>Poor</v>
      </c>
      <c r="G1436" t="s">
        <v>874</v>
      </c>
    </row>
    <row r="1437" spans="1:7" ht="15" hidden="1"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4746.8431788838379</v>
      </c>
      <c r="E1437" s="9">
        <f>IF(OR(C1437="",D1437="",D1437=0),"",C1437/D1437)</f>
        <v>1.0324756507233952</v>
      </c>
      <c r="F1437" t="str">
        <f>IF(E1437="","",IF(E1437&gt;=0.9,"Expected",IF(E1437&gt;=0.7,"Moderate","Poor")))</f>
        <v>Expected</v>
      </c>
      <c r="G1437" t="s">
        <v>874</v>
      </c>
    </row>
    <row r="1438" spans="1:7" ht="15" customHeight="1" x14ac:dyDescent="0.3">
      <c r="A1438" t="s">
        <v>142</v>
      </c>
      <c r="B1438" s="2">
        <v>46266</v>
      </c>
      <c r="C1438" cm="1">
        <f t="array" ref="C1438">IFERROR(IF(SUMPRODUCT((measured[Site Name]=A1438)*(measured[Date]=B1438)*ISNUMBER(measured[Measured Value (kWh)]))=0,"",SUMIFS(measured[Measured Value (kWh)],measured[Site Name],A1438,measured[Date],B1438)),"")</f>
        <v>4904</v>
      </c>
      <c r="D1438" cm="1">
        <f t="array" ref="D1438">IFERROR(IF(SUMPRODUCT((expected_production[Site Name]=A1438)*(expected_production[Date]=B1438)*ISNUMBER(expected_production[Expected Production (kWh)]))=0,"",SUMIFS(expected_production[Expected Production (kWh)],expected_production[Site Name],A1438,expected_production[Date],B1438)),"")</f>
        <v>5189.9494891892937</v>
      </c>
      <c r="E1438" s="9">
        <f>IF(OR(C1438="",D1438="",D1438=0),"",C1438/D1438)</f>
        <v>0.94490322308821528</v>
      </c>
      <c r="F1438" t="str">
        <f>IF(E1438="","",IF(E1438&gt;=0.9,"Expected",IF(E1438&gt;=0.7,"Moderate","Poor")))</f>
        <v>Expected</v>
      </c>
      <c r="G1438" t="s">
        <v>874</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5546.317088977883</v>
      </c>
      <c r="E1439" s="9" t="str">
        <f>IF(OR(C1439="",D1439="",D1439=0),"",C1439/D1439)</f>
        <v/>
      </c>
      <c r="F1439" t="str">
        <f>IF(E1439="","",IF(E1439&gt;=0.9,"Expected",IF(E1439&gt;=0.7,"Moderate","Poor")))</f>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5500.7587572216717</v>
      </c>
      <c r="E1440" s="9" t="str">
        <f>IF(OR(C1440="",D1440="",D1440=0),"",C1440/D1440)</f>
        <v/>
      </c>
      <c r="F1440" t="str">
        <f>IF(E1440="","",IF(E1440&gt;=0.9,"Expected",IF(E1440&gt;=0.7,"Moderate","Poor")))</f>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5860.924507794185</v>
      </c>
      <c r="E1441" s="9" t="str">
        <f>IF(OR(C1441="",D1441="",D1441=0),"",C1441/D1441)</f>
        <v/>
      </c>
      <c r="F1441" t="str">
        <f>IF(E1441="","",IF(E1441&gt;=0.9,"Expected",IF(E1441&gt;=0.7,"Moderate","Poor")))</f>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41057.38334802485</v>
      </c>
      <c r="E1442" s="9">
        <f>IF(OR(C1442="",D1442="",D1442=0),"",C1442/D1442)</f>
        <v>0.66579985792774721</v>
      </c>
      <c r="F1442" t="str">
        <f>IF(E1442="","",IF(E1442&gt;=0.9,"Expected",IF(E1442&gt;=0.7,"Moderate","Poor")))</f>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35822.874352265928</v>
      </c>
      <c r="E1443" s="9">
        <f>IF(OR(C1443="",D1443="",D1443=0),"",C1443/D1443)</f>
        <v>0.96790111421661518</v>
      </c>
      <c r="F1443" t="str">
        <f>IF(E1443="","",IF(E1443&gt;=0.9,"Expected",IF(E1443&gt;=0.7,"Moderate","Poor")))</f>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36383.918599643985</v>
      </c>
      <c r="E1444" s="9">
        <f>IF(OR(C1444="",D1444="",D1444=0),"",C1444/D1444)</f>
        <v>0.97117081831712737</v>
      </c>
      <c r="F1444" t="str">
        <f>IF(E1444="","",IF(E1444&gt;=0.9,"Expected",IF(E1444&gt;=0.7,"Moderate","Poor")))</f>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33422.350703269716</v>
      </c>
      <c r="E1445" s="9">
        <f>IF(OR(C1445="",D1445="",D1445=0),"",C1445/D1445)</f>
        <v>0.6987539627999676</v>
      </c>
      <c r="F1445" t="str">
        <f>IF(E1445="","",IF(E1445&gt;=0.9,"Expected",IF(E1445&gt;=0.7,"Moderate","Poor")))</f>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32761.454157855402</v>
      </c>
      <c r="E1446" s="9">
        <f>IF(OR(C1446="",D1446="",D1446=0),"",C1446/D1446)</f>
        <v>0.75338536198894135</v>
      </c>
      <c r="F1446" t="str">
        <f>IF(E1446="","",IF(E1446&gt;=0.9,"Expected",IF(E1446&gt;=0.7,"Moderate","Poor")))</f>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29820.851842680007</v>
      </c>
      <c r="E1447" s="9">
        <f>IF(OR(C1447="",D1447="",D1447=0),"",C1447/D1447)</f>
        <v>0.70433937000883362</v>
      </c>
      <c r="F1447" t="str">
        <f>IF(E1447="","",IF(E1447&gt;=0.9,"Expected",IF(E1447&gt;=0.7,"Moderate","Poor")))</f>
        <v>Moderate</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32227.786990866716</v>
      </c>
      <c r="E1448" s="9">
        <f>IF(OR(C1448="",D1448="",D1448=0),"",C1448/D1448)</f>
        <v>0.77122887795689643</v>
      </c>
      <c r="F1448" t="str">
        <f>IF(E1448="","",IF(E1448&gt;=0.9,"Expected",IF(E1448&gt;=0.7,"Moderate","Poor")))</f>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36223.577021832592</v>
      </c>
      <c r="E1449" s="9">
        <f>IF(OR(C1449="",D1449="",D1449=0),"",C1449/D1449)</f>
        <v>0.76756638316646741</v>
      </c>
      <c r="F1449" t="str">
        <f>IF(E1449="","",IF(E1449&gt;=0.9,"Expected",IF(E1449&gt;=0.7,"Moderate","Poor")))</f>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37059.526648582301</v>
      </c>
      <c r="E1450" s="9">
        <f>IF(OR(C1450="",D1450="",D1450=0),"",C1450/D1450)</f>
        <v>0.67065076776825971</v>
      </c>
      <c r="F1450" t="str">
        <f>IF(E1450="","",IF(E1450&gt;=0.9,"Expected",IF(E1450&gt;=0.7,"Moderate","Poor")))</f>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39825.230230078167</v>
      </c>
      <c r="E1451" s="9">
        <f>IF(OR(C1451="",D1451="",D1451=0),"",C1451/D1451)</f>
        <v>1.0381107594646253</v>
      </c>
      <c r="F1451" t="str">
        <f>IF(E1451="","",IF(E1451&gt;=0.9,"Expected",IF(E1451&gt;=0.7,"Moderate","Poor")))</f>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39947.64244179157</v>
      </c>
      <c r="E1452" s="9">
        <f>IF(OR(C1452="",D1452="",D1452=0),"",C1452/D1452)</f>
        <v>1.0166807730688836</v>
      </c>
      <c r="F1452" t="str">
        <f>IF(E1452="","",IF(E1452&gt;=0.9,"Expected",IF(E1452&gt;=0.7,"Moderate","Poor")))</f>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42172.635161375096</v>
      </c>
      <c r="E1453" s="9">
        <f>IF(OR(C1453="",D1453="",D1453=0),"",C1453/D1453)</f>
        <v>0.48500644841689494</v>
      </c>
      <c r="F1453" t="str">
        <f>IF(E1453="","",IF(E1453&gt;=0.9,"Expected",IF(E1453&gt;=0.7,"Moderate","Poor")))</f>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40769.393591987682</v>
      </c>
      <c r="E1454" s="9">
        <f>IF(OR(C1454="",D1454="",D1454=0),"",C1454/D1454)</f>
        <v>0.87075123940466792</v>
      </c>
      <c r="F1454" t="str">
        <f>IF(E1454="","",IF(E1454&gt;=0.9,"Expected",IF(E1454&gt;=0.7,"Moderate","Poor")))</f>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35571.601134053017</v>
      </c>
      <c r="E1455" s="9">
        <f>IF(OR(C1455="",D1455="",D1455=0),"",C1455/D1455)</f>
        <v>0.93248543620506463</v>
      </c>
      <c r="F1455" t="str">
        <f>IF(E1455="","",IF(E1455&gt;=0.9,"Expected",IF(E1455&gt;=0.7,"Moderate","Poor")))</f>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36129.404882346593</v>
      </c>
      <c r="E1456" s="9">
        <f>IF(OR(C1456="",D1456="",D1456=0),"",C1456/D1456)</f>
        <v>0.81822548963280783</v>
      </c>
      <c r="F1456" t="str">
        <f>IF(E1456="","",IF(E1456&gt;=0.9,"Expected",IF(E1456&gt;=0.7,"Moderate","Poor")))</f>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33188.553821413523</v>
      </c>
      <c r="E1457" s="9">
        <f>IF(OR(C1457="",D1457="",D1457=0),"",C1457/D1457)</f>
        <v>0.71289638371450748</v>
      </c>
      <c r="F1457" t="str">
        <f>IF(E1457="","",IF(E1457&gt;=0.9,"Expected",IF(E1457&gt;=0.7,"Moderate","Poor")))</f>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32532.280396405051</v>
      </c>
      <c r="E1458" s="9">
        <f>IF(OR(C1458="",D1458="",D1458=0),"",C1458/D1458)</f>
        <v>0.83059040653620853</v>
      </c>
      <c r="F1458" t="str">
        <f>IF(E1458="","",IF(E1458&gt;=0.9,"Expected",IF(E1458&gt;=0.7,"Moderate","Poor")))</f>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29612.248257701405</v>
      </c>
      <c r="E1459" s="9">
        <f>IF(OR(C1459="",D1459="",D1459=0),"",C1459/D1459)</f>
        <v>0.77727532876582195</v>
      </c>
      <c r="F1459" t="str">
        <f>IF(E1459="","",IF(E1459&gt;=0.9,"Expected",IF(E1459&gt;=0.7,"Moderate","Poor")))</f>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32002.346351622473</v>
      </c>
      <c r="E1460" s="9">
        <f>IF(OR(C1460="",D1460="",D1460=0),"",C1460/D1460)</f>
        <v>0.74932005723962325</v>
      </c>
      <c r="F1460" t="str">
        <f>IF(E1460="","",IF(E1460&gt;=0.9,"Expected",IF(E1460&gt;=0.7,"Moderate","Poor")))</f>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35970.184930038355</v>
      </c>
      <c r="E1461" s="9">
        <f>IF(OR(C1461="",D1461="",D1461=0),"",C1461/D1461)</f>
        <v>0.74575652174639506</v>
      </c>
      <c r="F1461" t="str">
        <f>IF(E1461="","",IF(E1461&gt;=0.9,"Expected",IF(E1461&gt;=0.7,"Moderate","Poor")))</f>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36800.286900593623</v>
      </c>
      <c r="E1462" s="9">
        <f>IF(OR(C1462="",D1462="",D1462=0),"",C1462/D1462)</f>
        <v>0.81491212503335808</v>
      </c>
      <c r="F1462" t="str">
        <f>IF(E1462="","",IF(E1462&gt;=0.9,"Expected",IF(E1462&gt;=0.7,"Moderate","Poor")))</f>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39546.643761709674</v>
      </c>
      <c r="E1463" s="9">
        <f>IF(OR(C1463="",D1463="",D1463=0),"",C1463/D1463)</f>
        <v>0.99708031451656409</v>
      </c>
      <c r="F1463" t="str">
        <f>IF(E1463="","",IF(E1463&gt;=0.9,"Expected",IF(E1463&gt;=0.7,"Moderate","Poor")))</f>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39668.199672391049</v>
      </c>
      <c r="E1464" s="9">
        <f>IF(OR(C1464="",D1464="",D1464=0),"",C1464/D1464)</f>
        <v>0.93104805121028122</v>
      </c>
      <c r="F1464" t="str">
        <f>IF(E1464="","",IF(E1464&gt;=0.9,"Expected",IF(E1464&gt;=0.7,"Moderate","Poor")))</f>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41877.628066035642</v>
      </c>
      <c r="E1465" s="9">
        <f>IF(OR(C1465="",D1465="",D1465=0),"",C1465/D1465)</f>
        <v>0.58604083214312941</v>
      </c>
      <c r="F1465" t="str">
        <f>IF(E1465="","",IF(E1465&gt;=0.9,"Expected",IF(E1465&gt;=0.7,"Moderate","Poor")))</f>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40484.20248793879</v>
      </c>
      <c r="E1466" s="9">
        <f>IF(OR(C1466="",D1466="",D1466=0),"",C1466/D1466)</f>
        <v>0.95244159277900065</v>
      </c>
      <c r="F1466" t="str">
        <f>IF(E1466="","",IF(E1466&gt;=0.9,"Expected",IF(E1466&gt;=0.7,"Moderate","Poor")))</f>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35322.769760652336</v>
      </c>
      <c r="E1467" s="9">
        <f>IF(OR(C1467="",D1467="",D1467=0),"",C1467/D1467)</f>
        <v>0.99906080692773724</v>
      </c>
      <c r="F1467" t="str">
        <f>IF(E1467="","",IF(E1467&gt;=0.9,"Expected",IF(E1467&gt;=0.7,"Moderate","Poor")))</f>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35876.671545909361</v>
      </c>
      <c r="E1468" s="9">
        <f>IF(OR(C1468="",D1468="",D1468=0),"",C1468/D1468)</f>
        <v>0.92210337733440029</v>
      </c>
      <c r="F1468" t="str">
        <f>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32956.392401480734</v>
      </c>
      <c r="E1469" s="9">
        <f>IF(OR(C1469="",D1469="",D1469=0),"",C1469/D1469)</f>
        <v>0.81801034747931767</v>
      </c>
      <c r="F1469" t="str">
        <f>IF(E1469="","",IF(E1469&gt;=0.9,"Expected",IF(E1469&gt;=0.7,"Moderate","Poor")))</f>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32304.70975710807</v>
      </c>
      <c r="E1470" s="9">
        <f>IF(OR(C1470="",D1470="",D1470=0),"",C1470/D1470)</f>
        <v>0.87493620009326634</v>
      </c>
      <c r="F1470" t="str">
        <f>IF(E1470="","",IF(E1470&gt;=0.9,"Expected",IF(E1470&gt;=0.7,"Moderate","Poor")))</f>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29405.103901851991</v>
      </c>
      <c r="E1471" s="9">
        <f>IF(OR(C1471="",D1471="",D1471=0),"",C1471/D1471)</f>
        <v>0.6892453115502688</v>
      </c>
      <c r="F1471" t="str">
        <f>IF(E1471="","",IF(E1471&gt;=0.9,"Expected",IF(E1471&gt;=0.7,"Moderate","Poor")))</f>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31061.381498944545</v>
      </c>
      <c r="E1472" s="9">
        <f>IF(OR(C1472="",D1472="",D1472=0),"",C1472/D1472)</f>
        <v>0.89234899938181544</v>
      </c>
      <c r="F1472" t="str">
        <f>IF(E1472="","",IF(E1472&gt;=0.9,"Expected",IF(E1472&gt;=0.7,"Moderate","Poor")))</f>
        <v>Moderate</v>
      </c>
      <c r="G1472" t="s">
        <v>875</v>
      </c>
    </row>
    <row r="1473" spans="1:7" ht="15" hidden="1"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35718.565373080899</v>
      </c>
      <c r="E1473" s="9">
        <f>IF(OR(C1473="",D1473="",D1473=0),"",C1473/D1473)</f>
        <v>0.69893378245293891</v>
      </c>
      <c r="F1473" t="str">
        <f>IF(E1473="","",IF(E1473&gt;=0.9,"Expected",IF(E1473&gt;=0.7,"Moderate","Poor")))</f>
        <v>Poor</v>
      </c>
      <c r="G1473" t="s">
        <v>875</v>
      </c>
    </row>
    <row r="1474" spans="1:7" ht="15" customHeight="1" x14ac:dyDescent="0.3">
      <c r="A1474" t="s">
        <v>145</v>
      </c>
      <c r="B1474" s="2">
        <v>46266</v>
      </c>
      <c r="C1474" cm="1">
        <f t="array" ref="C1474">IFERROR(IF(SUMPRODUCT((measured[Site Name]=A1474)*(measured[Date]=B1474)*ISNUMBER(measured[Measured Value (kWh)]))=0,"",SUMIFS(measured[Measured Value (kWh)],measured[Site Name],A1474,measured[Date],B1474)),"")</f>
        <v>22767.148420000001</v>
      </c>
      <c r="D1474" cm="1">
        <f t="array" ref="D1474">IFERROR(IF(SUMPRODUCT((expected_production[Site Name]=A1474)*(expected_production[Date]=B1474)*ISNUMBER(expected_production[Expected Production (kWh)]))=0,"",SUMIFS(expected_production[Expected Production (kWh)],expected_production[Site Name],A1474,expected_production[Date],B1474)),"")</f>
        <v>36542.86059311578</v>
      </c>
      <c r="E1474" s="9">
        <f>IF(OR(C1474="",D1474="",D1474=0),"",C1474/D1474)</f>
        <v>0.62302589481155857</v>
      </c>
      <c r="F1474" t="str">
        <f>IF(E1474="","",IF(E1474&gt;=0.9,"Expected",IF(E1474&gt;=0.7,"Moderate","Poor")))</f>
        <v>Poor</v>
      </c>
      <c r="G1474" t="s">
        <v>874</v>
      </c>
    </row>
    <row r="1475" spans="1:7"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39270.00606852489</v>
      </c>
      <c r="E1475" s="9" t="str">
        <f>IF(OR(C1475="",D1475="",D1475=0),"",C1475/D1475)</f>
        <v/>
      </c>
      <c r="F1475" t="str">
        <f>IF(E1475="","",IF(E1475&gt;=0.9,"Expected",IF(E1475&gt;=0.7,"Moderate","Poor")))</f>
        <v/>
      </c>
    </row>
    <row r="1476" spans="1:7"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39390.711668193107</v>
      </c>
      <c r="E1476" s="9" t="str">
        <f>IF(OR(C1476="",D1476="",D1476=0),"",C1476/D1476)</f>
        <v/>
      </c>
      <c r="F1476" t="str">
        <f>IF(E1476="","",IF(E1476&gt;=0.9,"Expected",IF(E1476&gt;=0.7,"Moderate","Poor")))</f>
        <v/>
      </c>
    </row>
    <row r="1477" spans="1:7"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41584.684611869365</v>
      </c>
      <c r="E1477" s="9" t="str">
        <f>IF(OR(C1477="",D1477="",D1477=0),"",C1477/D1477)</f>
        <v/>
      </c>
      <c r="F1477" t="str">
        <f>IF(E1477="","",IF(E1477&gt;=0.9,"Expected",IF(E1477&gt;=0.7,"Moderate","Poor")))</f>
        <v/>
      </c>
    </row>
    <row r="1478" spans="1:7"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11292.6340757449</v>
      </c>
      <c r="E1478" s="9">
        <f>IF(OR(C1478="",D1478="",D1478=0),"",C1478/D1478)</f>
        <v>1.0877001696514967</v>
      </c>
      <c r="F1478" t="str">
        <f>IF(E1478="","",IF(E1478&gt;=0.9,"Expected",IF(E1478&gt;=0.7,"Moderate","Poor")))</f>
        <v>Expected</v>
      </c>
    </row>
    <row r="1479" spans="1:7"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9644.3615304485174</v>
      </c>
      <c r="E1479" s="9">
        <f>IF(OR(C1479="",D1479="",D1479=0),"",C1479/D1479)</f>
        <v>1.2185358214639084</v>
      </c>
      <c r="F1479" t="str">
        <f>IF(E1479="","",IF(E1479&gt;=0.9,"Expected",IF(E1479&gt;=0.7,"Moderate","Poor")))</f>
        <v>Expected</v>
      </c>
    </row>
    <row r="1480" spans="1:7"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10111.163565904926</v>
      </c>
      <c r="E1480" s="9">
        <f>IF(OR(C1480="",D1480="",D1480=0),"",C1480/D1480)</f>
        <v>1.1168843156766104</v>
      </c>
      <c r="F1480" t="str">
        <f>IF(E1480="","",IF(E1480&gt;=0.9,"Expected",IF(E1480&gt;=0.7,"Moderate","Poor")))</f>
        <v>Expected</v>
      </c>
    </row>
    <row r="1481" spans="1:7"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8614.660990069644</v>
      </c>
      <c r="E1481" s="9">
        <f>IF(OR(C1481="",D1481="",D1481=0),"",C1481/D1481)</f>
        <v>1.1647585449463962</v>
      </c>
      <c r="F1481" t="str">
        <f>IF(E1481="","",IF(E1481&gt;=0.9,"Expected",IF(E1481&gt;=0.7,"Moderate","Poor")))</f>
        <v>Expected</v>
      </c>
    </row>
    <row r="1482" spans="1:7"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8334.9478468330108</v>
      </c>
      <c r="E1482" s="9">
        <f>IF(OR(C1482="",D1482="",D1482=0),"",C1482/D1482)</f>
        <v>0.94613669394421041</v>
      </c>
      <c r="F1482" t="str">
        <f>IF(E1482="","",IF(E1482&gt;=0.9,"Expected",IF(E1482&gt;=0.7,"Moderate","Poor")))</f>
        <v>Expected</v>
      </c>
    </row>
    <row r="1483" spans="1:7"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7512.3266669254726</v>
      </c>
      <c r="E1483" s="9">
        <f>IF(OR(C1483="",D1483="",D1483=0),"",C1483/D1483)</f>
        <v>1.2069496444981938</v>
      </c>
      <c r="F1483" t="str">
        <f>IF(E1483="","",IF(E1483&gt;=0.9,"Expected",IF(E1483&gt;=0.7,"Moderate","Poor")))</f>
        <v>Expected</v>
      </c>
    </row>
    <row r="1484" spans="1:7"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8275.5639818759628</v>
      </c>
      <c r="E1484" s="9">
        <f>IF(OR(C1484="",D1484="",D1484=0),"",C1484/D1484)</f>
        <v>1.081738963000646</v>
      </c>
      <c r="F1484" t="str">
        <f>IF(E1484="","",IF(E1484&gt;=0.9,"Expected",IF(E1484&gt;=0.7,"Moderate","Poor")))</f>
        <v>Expected</v>
      </c>
    </row>
    <row r="1485" spans="1:7"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9560.1453120931837</v>
      </c>
      <c r="E1485" s="9">
        <f>IF(OR(C1485="",D1485="",D1485=0),"",C1485/D1485)</f>
        <v>0.93638744054194389</v>
      </c>
      <c r="F1485" t="str">
        <f>IF(E1485="","",IF(E1485&gt;=0.9,"Expected",IF(E1485&gt;=0.7,"Moderate","Poor")))</f>
        <v>Expected</v>
      </c>
    </row>
    <row r="1486" spans="1:7"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10427.063521174501</v>
      </c>
      <c r="E1486" s="9">
        <f>IF(OR(C1486="",D1486="",D1486=0),"",C1486/D1486)</f>
        <v>0.77778369562349148</v>
      </c>
      <c r="F1486" t="str">
        <f>IF(E1486="","",IF(E1486&gt;=0.9,"Expected",IF(E1486&gt;=0.7,"Moderate","Poor")))</f>
        <v>Moderate</v>
      </c>
    </row>
    <row r="1487" spans="1:7"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11106.202898719344</v>
      </c>
      <c r="E1487" s="9">
        <f>IF(OR(C1487="",D1487="",D1487=0),"",C1487/D1487)</f>
        <v>1.1498079151311478</v>
      </c>
      <c r="F1487" t="str">
        <f>IF(E1487="","",IF(E1487&gt;=0.9,"Expected",IF(E1487&gt;=0.7,"Moderate","Poor")))</f>
        <v>Expected</v>
      </c>
    </row>
    <row r="1488" spans="1:7"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11031.490107179579</v>
      </c>
      <c r="E1488" s="9">
        <f>IF(OR(C1488="",D1488="",D1488=0),"",C1488/D1488)</f>
        <v>0.99270360518864131</v>
      </c>
      <c r="F1488" t="str">
        <f>IF(E1488="","",IF(E1488&gt;=0.9,"Expected",IF(E1488&gt;=0.7,"Moderate","Poor")))</f>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11766.098394115954</v>
      </c>
      <c r="E1489" s="9">
        <f>IF(OR(C1489="",D1489="",D1489=0),"",C1489/D1489)</f>
        <v>0.94636298516494166</v>
      </c>
      <c r="F1489" t="str">
        <f>IF(E1489="","",IF(E1489&gt;=0.9,"Expected",IF(E1489&gt;=0.7,"Moderate","Poor")))</f>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11213.423890699163</v>
      </c>
      <c r="E1490" s="9">
        <f>IF(OR(C1490="",D1490="",D1490=0),"",C1490/D1490)</f>
        <v>0.91800685502830515</v>
      </c>
      <c r="F1490" t="str">
        <f>IF(E1490="","",IF(E1490&gt;=0.9,"Expected",IF(E1490&gt;=0.7,"Moderate","Poor")))</f>
        <v>Expected</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9576.7128617366161</v>
      </c>
      <c r="E1491" s="9">
        <f>IF(OR(C1491="",D1491="",D1491=0),"",C1491/D1491)</f>
        <v>0.83034754354721307</v>
      </c>
      <c r="F1491" t="str">
        <f>IF(E1491="","",IF(E1491&gt;=0.9,"Expected",IF(E1491&gt;=0.7,"Moderate","Poor")))</f>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10040.433696105096</v>
      </c>
      <c r="E1492" s="9">
        <f>IF(OR(C1492="",D1492="",D1492=0),"",C1492/D1492)</f>
        <v>0.98163090343630854</v>
      </c>
      <c r="F1492" t="str">
        <f>IF(E1492="","",IF(E1492&gt;=0.9,"Expected",IF(E1492&gt;=0.7,"Moderate","Poor")))</f>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8554.3994933362792</v>
      </c>
      <c r="E1493" s="9">
        <f>IF(OR(C1493="",D1493="",D1493=0),"",C1493/D1493)</f>
        <v>0.90468068577210348</v>
      </c>
      <c r="F1493" t="str">
        <f>IF(E1493="","",IF(E1493&gt;=0.9,"Expected",IF(E1493&gt;=0.7,"Moderate","Poor")))</f>
        <v>Expected</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8276.6430066281919</v>
      </c>
      <c r="E1494" s="9">
        <f>IF(OR(C1494="",D1494="",D1494=0),"",C1494/D1494)</f>
        <v>1.1102327347743721</v>
      </c>
      <c r="F1494" t="str">
        <f>IF(E1494="","",IF(E1494&gt;=0.9,"Expected",IF(E1494&gt;=0.7,"Moderate","Poor")))</f>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7459.7762474230976</v>
      </c>
      <c r="E1495" s="9">
        <f>IF(OR(C1495="",D1495="",D1495=0),"",C1495/D1495)</f>
        <v>1.0263471377770608</v>
      </c>
      <c r="F1495" t="str">
        <f>IF(E1495="","",IF(E1495&gt;=0.9,"Expected",IF(E1495&gt;=0.7,"Moderate","Poor")))</f>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8217.67454520104</v>
      </c>
      <c r="E1496" s="9">
        <f>IF(OR(C1496="",D1496="",D1496=0),"",C1496/D1496)</f>
        <v>0.99273826860959236</v>
      </c>
      <c r="F1496" t="str">
        <f>IF(E1496="","",IF(E1496&gt;=0.9,"Expected",IF(E1496&gt;=0.7,"Moderate","Poor")))</f>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9493.2699392654777</v>
      </c>
      <c r="E1497" s="9">
        <f>IF(OR(C1497="",D1497="",D1497=0),"",C1497/D1497)</f>
        <v>0.57187881886144465</v>
      </c>
      <c r="F1497" t="str">
        <f>IF(E1497="","",IF(E1497&gt;=0.9,"Expected",IF(E1497&gt;=0.7,"Moderate","Poor")))</f>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10354.123859933721</v>
      </c>
      <c r="E1498" s="9">
        <f>IF(OR(C1498="",D1498="",D1498=0),"",C1498/D1498)</f>
        <v>0.70010752218743522</v>
      </c>
      <c r="F1498" t="str">
        <f>IF(E1498="","",IF(E1498&gt;=0.9,"Expected",IF(E1498&gt;=0.7,"Moderate","Poor")))</f>
        <v>Moderate</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11028.512504347149</v>
      </c>
      <c r="E1499" s="9">
        <f>IF(OR(C1499="",D1499="",D1499=0),"",C1499/D1499)</f>
        <v>0.73509460109007763</v>
      </c>
      <c r="F1499" t="str">
        <f>IF(E1499="","",IF(E1499&gt;=0.9,"Expected",IF(E1499&gt;=0.7,"Moderate","Poor")))</f>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10954.322345636292</v>
      </c>
      <c r="E1500" s="9">
        <f>IF(OR(C1500="",D1500="",D1500=0),"",C1500/D1500)</f>
        <v>0.21041922332313034</v>
      </c>
      <c r="F1500" t="str">
        <f>IF(E1500="","",IF(E1500&gt;=0.9,"Expected",IF(E1500&gt;=0.7,"Moderate","Poor")))</f>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11683.79188190859</v>
      </c>
      <c r="E1501" s="9">
        <f>IF(OR(C1501="",D1501="",D1501=0),"",C1501/D1501)</f>
        <v>0.65398289161855683</v>
      </c>
      <c r="F1501" t="str">
        <f>IF(E1501="","",IF(E1501&gt;=0.9,"Expected",IF(E1501&gt;=0.7,"Moderate","Poor")))</f>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11134.983461303491</v>
      </c>
      <c r="E1502" s="9">
        <f>IF(OR(C1502="",D1502="",D1502=0),"",C1502/D1502)</f>
        <v>0.87265509048744483</v>
      </c>
      <c r="F1502" t="str">
        <f>IF(E1502="","",IF(E1502&gt;=0.9,"Expected",IF(E1502&gt;=0.7,"Moderate","Poor")))</f>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9509.7215951622074</v>
      </c>
      <c r="E1503" s="9">
        <f>IF(OR(C1503="",D1503="",D1503=0),"",C1503/D1503)</f>
        <v>0.84597639578561989</v>
      </c>
      <c r="F1503" t="str">
        <f>IF(E1503="","",IF(E1503&gt;=0.9,"Expected",IF(E1503&gt;=0.7,"Moderate","Poor")))</f>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9970.1985976982196</v>
      </c>
      <c r="E1504" s="9">
        <f>IF(OR(C1504="",D1504="",D1504=0),"",C1504/D1504)</f>
        <v>0.70560279527673031</v>
      </c>
      <c r="F1504" t="str">
        <f>IF(E1504="","",IF(E1504&gt;=0.9,"Expected",IF(E1504&gt;=0.7,"Moderate","Poor")))</f>
        <v>Moderate</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8494.5595393650419</v>
      </c>
      <c r="E1505" s="9">
        <f>IF(OR(C1505="",D1505="",D1505=0),"",C1505/D1505)</f>
        <v>0.44058081912976388</v>
      </c>
      <c r="F1505" t="str">
        <f>IF(E1505="","",IF(E1505&gt;=0.9,"Expected",IF(E1505&gt;=0.7,"Moderate","Poor")))</f>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8218.7460219317436</v>
      </c>
      <c r="E1506" s="9">
        <f>IF(OR(C1506="",D1506="",D1506=0),"",C1506/D1506)</f>
        <v>0.7350440059686969</v>
      </c>
      <c r="F1506" t="str">
        <f>IF(E1506="","",IF(E1506&gt;=0.9,"Expected",IF(E1506&gt;=0.7,"Moderate","Poor")))</f>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7407.5934299583223</v>
      </c>
      <c r="E1507" s="9">
        <f>IF(OR(C1507="",D1507="",D1507=0),"",C1507/D1507)</f>
        <v>0.4500786971537068</v>
      </c>
      <c r="F1507" t="str">
        <f>IF(E1507="","",IF(E1507&gt;=0.9,"Expected",IF(E1507&gt;=0.7,"Moderate","Poor")))</f>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8262.3865597065669</v>
      </c>
      <c r="E1508" s="9">
        <f>IF(OR(C1508="",D1508="",D1508=0),"",C1508/D1508)</f>
        <v>0.96419760591338488</v>
      </c>
      <c r="F1508" t="str">
        <f>IF(E1508="","",IF(E1508&gt;=0.9,"Expected",IF(E1508&gt;=0.7,"Moderate","Poor")))</f>
        <v>Expected</v>
      </c>
      <c r="G1508" t="s">
        <v>875</v>
      </c>
    </row>
    <row r="1509" spans="1:7" ht="15" hidden="1"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9426.8623747549937</v>
      </c>
      <c r="E1509" s="9">
        <f>IF(OR(C1509="",D1509="",D1509=0),"",C1509/D1509)</f>
        <v>0.70267282332868042</v>
      </c>
      <c r="F1509" t="str">
        <f>IF(E1509="","",IF(E1509&gt;=0.9,"Expected",IF(E1509&gt;=0.7,"Moderate","Poor")))</f>
        <v>Moderate</v>
      </c>
      <c r="G1509" t="s">
        <v>875</v>
      </c>
    </row>
    <row r="1510" spans="1:7" ht="15" customHeight="1" x14ac:dyDescent="0.3">
      <c r="A1510" t="s">
        <v>152</v>
      </c>
      <c r="B1510" s="2">
        <v>46266</v>
      </c>
      <c r="C1510" cm="1">
        <f t="array" ref="C1510">IFERROR(IF(SUMPRODUCT((measured[Site Name]=A1510)*(measured[Date]=B1510)*ISNUMBER(measured[Measured Value (kWh)]))=0,"",SUMIFS(measured[Measured Value (kWh)],measured[Site Name],A1510,measured[Date],B1510)),"")</f>
        <v>6723.42</v>
      </c>
      <c r="D1510" cm="1">
        <f t="array" ref="D1510">IFERROR(IF(SUMPRODUCT((expected_production[Site Name]=A1510)*(expected_production[Date]=B1510)*ISNUMBER(expected_production[Expected Production (kWh)]))=0,"",SUMIFS(expected_production[Expected Production (kWh)],expected_production[Site Name],A1510,expected_production[Date],B1510)),"")</f>
        <v>10281.694428075461</v>
      </c>
      <c r="E1510" s="9">
        <f>IF(OR(C1510="",D1510="",D1510=0),"",C1510/D1510)</f>
        <v>0.65392139856256137</v>
      </c>
      <c r="F1510" t="str">
        <f>IF(E1510="","",IF(E1510&gt;=0.9,"Expected",IF(E1510&gt;=0.7,"Moderate","Poor")))</f>
        <v>Poor</v>
      </c>
      <c r="G1510" t="s">
        <v>874</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10951.365571807297</v>
      </c>
      <c r="E1511" s="9" t="str">
        <f>IF(OR(C1511="",D1511="",D1511=0),"",C1511/D1511)</f>
        <v/>
      </c>
      <c r="F1511" t="str">
        <f>IF(E1511="","",IF(E1511&gt;=0.9,"Expected",IF(E1511&gt;=0.7,"Moderate","Poor")))</f>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10877.694389990826</v>
      </c>
      <c r="E1512" s="9" t="str">
        <f>IF(OR(C1512="",D1512="",D1512=0),"",C1512/D1512)</f>
        <v/>
      </c>
      <c r="F1512" t="str">
        <f>IF(E1512="","",IF(E1512&gt;=0.9,"Expected",IF(E1512&gt;=0.7,"Moderate","Poor")))</f>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11602.061122319028</v>
      </c>
      <c r="E1513" s="9" t="str">
        <f>IF(OR(C1513="",D1513="",D1513=0),"",C1513/D1513)</f>
        <v/>
      </c>
      <c r="F1513" t="str">
        <f>IF(E1513="","",IF(E1513&gt;=0.9,"Expected",IF(E1513&gt;=0.7,"Moderate","Poor")))</f>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8491.8061461740599</v>
      </c>
      <c r="E1514" s="9">
        <f>IF(OR(C1514="",D1514="",D1514=0),"",C1514/D1514)</f>
        <v>0.52427009323638718</v>
      </c>
      <c r="F1514" t="str">
        <f>IF(E1514="","",IF(E1514&gt;=0.9,"Expected",IF(E1514&gt;=0.7,"Moderate","Poor")))</f>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7375.8449085576594</v>
      </c>
      <c r="E1515" s="9">
        <f>IF(OR(C1515="",D1515="",D1515=0),"",C1515/D1515)</f>
        <v>0.93629951356318075</v>
      </c>
      <c r="F1515" t="str">
        <f>IF(E1515="","",IF(E1515&gt;=0.9,"Expected",IF(E1515&gt;=0.7,"Moderate","Poor")))</f>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7831.2020831736218</v>
      </c>
      <c r="E1516" s="9">
        <f>IF(OR(C1516="",D1516="",D1516=0),"",C1516/D1516)</f>
        <v>0.86219202726329447</v>
      </c>
      <c r="F1516" t="str">
        <f>IF(E1516="","",IF(E1516&gt;=0.9,"Expected",IF(E1516&gt;=0.7,"Moderate","Poor")))</f>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6894.3777887979795</v>
      </c>
      <c r="E1517" s="9">
        <f>IF(OR(C1517="",D1517="",D1517=0),"",C1517/D1517)</f>
        <v>0.92104033090810788</v>
      </c>
      <c r="F1517" t="str">
        <f>IF(E1517="","",IF(E1517&gt;=0.9,"Expected",IF(E1517&gt;=0.7,"Moderate","Poor")))</f>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6763.5571148332356</v>
      </c>
      <c r="E1518" s="9">
        <f>IF(OR(C1518="",D1518="",D1518=0),"",C1518/D1518)</f>
        <v>1.0698512450099142</v>
      </c>
      <c r="F1518" t="str">
        <f>IF(E1518="","",IF(E1518&gt;=0.9,"Expected",IF(E1518&gt;=0.7,"Moderate","Poor")))</f>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6283.4237940448729</v>
      </c>
      <c r="E1519" s="9">
        <f>IF(OR(C1519="",D1519="",D1519=0),"",C1519/D1519)</f>
        <v>0.95521171207461875</v>
      </c>
      <c r="F1519" t="str">
        <f>IF(E1519="","",IF(E1519&gt;=0.9,"Expected",IF(E1519&gt;=0.7,"Moderate","Poor")))</f>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6842.503684002103</v>
      </c>
      <c r="E1520" s="9">
        <f>IF(OR(C1520="",D1520="",D1520=0),"",C1520/D1520)</f>
        <v>1.0437699897331623</v>
      </c>
      <c r="F1520" t="str">
        <f>IF(E1520="","",IF(E1520&gt;=0.9,"Expected",IF(E1520&gt;=0.7,"Moderate","Poor")))</f>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7730.2269863567444</v>
      </c>
      <c r="E1521" s="9">
        <f>IF(OR(C1521="",D1521="",D1521=0),"",C1521/D1521)</f>
        <v>0.86077679371431104</v>
      </c>
      <c r="F1521" t="str">
        <f>IF(E1521="","",IF(E1521&gt;=0.9,"Expected",IF(E1521&gt;=0.7,"Moderate","Poor")))</f>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8212.021787785834</v>
      </c>
      <c r="E1522" s="9">
        <f>IF(OR(C1522="",D1522="",D1522=0),"",C1522/D1522)</f>
        <v>0.7763009116076468</v>
      </c>
      <c r="F1522" t="str">
        <f>IF(E1522="","",IF(E1522&gt;=0.9,"Expected",IF(E1522&gt;=0.7,"Moderate","Poor")))</f>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8639.4997150284034</v>
      </c>
      <c r="E1523" s="9">
        <f>IF(OR(C1523="",D1523="",D1523=0),"",C1523/D1523)</f>
        <v>0.72978762752112336</v>
      </c>
      <c r="F1523" t="str">
        <f>IF(E1523="","",IF(E1523&gt;=0.9,"Expected",IF(E1523&gt;=0.7,"Moderate","Poor")))</f>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8403.5949387715409</v>
      </c>
      <c r="E1524" s="9">
        <f>IF(OR(C1524="",D1524="",D1524=0),"",C1524/D1524)</f>
        <v>0.84178260036818187</v>
      </c>
      <c r="F1524" t="str">
        <f>IF(E1524="","",IF(E1524&gt;=0.9,"Expected",IF(E1524&gt;=0.7,"Moderate","Poor")))</f>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8946.024561087268</v>
      </c>
      <c r="E1525" s="9">
        <f>IF(OR(C1525="",D1525="",D1525=0),"",C1525/D1525)</f>
        <v>0.37681541974106769</v>
      </c>
      <c r="F1525" t="str">
        <f>IF(E1525="","",IF(E1525&gt;=0.9,"Expected",IF(E1525&gt;=0.7,"Moderate","Poor")))</f>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8432.2418734189796</v>
      </c>
      <c r="E1526" s="9">
        <f>IF(OR(C1526="",D1526="",D1526=0),"",C1526/D1526)</f>
        <v>0.60280528906828201</v>
      </c>
      <c r="F1526" t="str">
        <f>IF(E1526="","",IF(E1526&gt;=0.9,"Expected",IF(E1526&gt;=0.7,"Moderate","Poor")))</f>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7324.1083485879726</v>
      </c>
      <c r="E1527" s="9">
        <f>IF(OR(C1527="",D1527="",D1527=0),"",C1527/D1527)</f>
        <v>0.67953664297709693</v>
      </c>
      <c r="F1527" t="str">
        <f>IF(E1527="","",IF(E1527&gt;=0.9,"Expected",IF(E1527&gt;=0.7,"Moderate","Poor")))</f>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7776.4210582096111</v>
      </c>
      <c r="E1528" s="9">
        <f>IF(OR(C1528="",D1528="",D1528=0),"",C1528/D1528)</f>
        <v>0.68231902057289273</v>
      </c>
      <c r="F1528" t="str">
        <f>IF(E1528="","",IF(E1528&gt;=0.9,"Expected",IF(E1528&gt;=0.7,"Moderate","Poor")))</f>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6846.1500610815729</v>
      </c>
      <c r="E1529" s="9">
        <f>IF(OR(C1529="",D1529="",D1529=0),"",C1529/D1529)</f>
        <v>0.68651723349129767</v>
      </c>
      <c r="F1529" t="str">
        <f>IF(E1529="","",IF(E1529&gt;=0.9,"Expected",IF(E1529&gt;=0.7,"Moderate","Poor")))</f>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6716.2445072388937</v>
      </c>
      <c r="E1530" s="9">
        <f>IF(OR(C1530="",D1530="",D1530=0),"",C1530/D1530)</f>
        <v>0.97792747016891468</v>
      </c>
      <c r="F1530" t="str">
        <f>IF(E1530="","",IF(E1530&gt;=0.9,"Expected",IF(E1530&gt;=0.7,"Moderate","Poor")))</f>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6239.4698273274753</v>
      </c>
      <c r="E1531" s="9">
        <f>IF(OR(C1531="",D1531="",D1531=0),"",C1531/D1531)</f>
        <v>1.0025835805154346</v>
      </c>
      <c r="F1531" t="str">
        <f>IF(E1531="","",IF(E1531&gt;=0.9,"Expected",IF(E1531&gt;=0.7,"Moderate","Poor")))</f>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6794.6388273493758</v>
      </c>
      <c r="E1532" s="9">
        <f>IF(OR(C1532="",D1532="",D1532=0),"",C1532/D1532)</f>
        <v>0.88010564681225734</v>
      </c>
      <c r="F1532" t="str">
        <f>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7676.1523049707339</v>
      </c>
      <c r="E1533" s="9">
        <f>IF(OR(C1533="",D1533="",D1533=0),"",C1533/D1533)</f>
        <v>0.87087902042682142</v>
      </c>
      <c r="F1533" t="str">
        <f>IF(E1533="","",IF(E1533&gt;=0.9,"Expected",IF(E1533&gt;=0.7,"Moderate","Poor")))</f>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8154.5768430910357</v>
      </c>
      <c r="E1534" s="9">
        <f>IF(OR(C1534="",D1534="",D1534=0),"",C1534/D1534)</f>
        <v>0.87288404253995411</v>
      </c>
      <c r="F1534" t="str">
        <f>IF(E1534="","",IF(E1534&gt;=0.9,"Expected",IF(E1534&gt;=0.7,"Moderate","Poor")))</f>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8579.0644658113724</v>
      </c>
      <c r="E1535" s="9">
        <f>IF(OR(C1535="",D1535="",D1535=0),"",C1535/D1535)</f>
        <v>0.89485281648060688</v>
      </c>
      <c r="F1535" t="str">
        <f>IF(E1535="","",IF(E1535&gt;=0.9,"Expected",IF(E1535&gt;=0.7,"Moderate","Poor")))</f>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8344.8098966746929</v>
      </c>
      <c r="E1536" s="9">
        <f>IF(OR(C1536="",D1536="",D1536=0),"",C1536/D1536)</f>
        <v>0.68198078451946464</v>
      </c>
      <c r="F1536" t="str">
        <f>IF(E1536="","",IF(E1536&gt;=0.9,"Expected",IF(E1536&gt;=0.7,"Moderate","Poor")))</f>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8883.4451014328479</v>
      </c>
      <c r="E1537" s="9">
        <f>IF(OR(C1537="",D1537="",D1537=0),"",C1537/D1537)</f>
        <v>0.41425369977312487</v>
      </c>
      <c r="F1537" t="str">
        <f>IF(E1537="","",IF(E1537&gt;=0.9,"Expected",IF(E1537&gt;=0.7,"Moderate","Poor")))</f>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8373.2564395527224</v>
      </c>
      <c r="E1538" s="9">
        <f>IF(OR(C1538="",D1538="",D1538=0),"",C1538/D1538)</f>
        <v>0.66939308982866941</v>
      </c>
      <c r="F1538" t="str">
        <f>IF(E1538="","",IF(E1538&gt;=0.9,"Expected",IF(E1538&gt;=0.7,"Moderate","Poor")))</f>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7272.8745586765617</v>
      </c>
      <c r="E1539" s="9">
        <f>IF(OR(C1539="",D1539="",D1539=0),"",C1539/D1539)</f>
        <v>1.0158294276072855</v>
      </c>
      <c r="F1539" t="str">
        <f>IF(E1539="","",IF(E1539&gt;=0.9,"Expected",IF(E1539&gt;=0.7,"Moderate","Poor")))</f>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7722.0232388715367</v>
      </c>
      <c r="E1540" s="9">
        <f>IF(OR(C1540="",D1540="",D1540=0),"",C1540/D1540)</f>
        <v>0.81836065555838566</v>
      </c>
      <c r="F1540" t="str">
        <f>IF(E1540="","",IF(E1540&gt;=0.9,"Expected",IF(E1540&gt;=0.7,"Moderate","Poor")))</f>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6798.2596971987032</v>
      </c>
      <c r="E1541" s="9">
        <f>IF(OR(C1541="",D1541="",D1541=0),"",C1541/D1541)</f>
        <v>0.64288217789045388</v>
      </c>
      <c r="F1541" t="str">
        <f>IF(E1541="","",IF(E1541&gt;=0.9,"Expected",IF(E1541&gt;=0.7,"Moderate","Poor")))</f>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6669.2628620064233</v>
      </c>
      <c r="E1542" s="9">
        <f>IF(OR(C1542="",D1542="",D1542=0),"",C1542/D1542)</f>
        <v>0.89486951159164729</v>
      </c>
      <c r="F1542" t="str">
        <f>IF(E1542="","",IF(E1542&gt;=0.9,"Expected",IF(E1542&gt;=0.7,"Moderate","Poor")))</f>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6195.8233285214455</v>
      </c>
      <c r="E1543" s="9">
        <f>IF(OR(C1543="",D1543="",D1543=0),"",C1543/D1543)</f>
        <v>0.96129274257749431</v>
      </c>
      <c r="F1543" t="str">
        <f>IF(E1543="","",IF(E1543&gt;=0.9,"Expected",IF(E1543&gt;=0.7,"Moderate","Poor")))</f>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4134.6782185163547</v>
      </c>
      <c r="E1544" s="9">
        <f>IF(OR(C1544="",D1544="",D1544=0),"",C1544/D1544)</f>
        <v>0.92195808199261964</v>
      </c>
      <c r="F1544" t="str">
        <f>IF(E1544="","",IF(E1544&gt;=0.9,"Expected",IF(E1544&gt;=0.7,"Moderate","Poor")))</f>
        <v>Expected</v>
      </c>
      <c r="G1544" t="s">
        <v>874</v>
      </c>
    </row>
    <row r="1545" spans="1:7" ht="15" hidden="1"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7622.4558881780085</v>
      </c>
      <c r="E1545" s="9">
        <f>IF(OR(C1545="",D1545="",D1545=0),"",C1545/D1545)</f>
        <v>0.89223212305471788</v>
      </c>
      <c r="F1545" t="str">
        <f>IF(E1545="","",IF(E1545&gt;=0.9,"Expected",IF(E1545&gt;=0.7,"Moderate","Poor")))</f>
        <v>Moderate</v>
      </c>
      <c r="G1545" t="s">
        <v>874</v>
      </c>
    </row>
    <row r="1546" spans="1:7" ht="15" customHeight="1" x14ac:dyDescent="0.3">
      <c r="A1546" t="s">
        <v>251</v>
      </c>
      <c r="B1546" s="2">
        <v>46266</v>
      </c>
      <c r="C1546" cm="1">
        <f t="array" ref="C1546">IFERROR(IF(SUMPRODUCT((measured[Site Name]=A1546)*(measured[Date]=B1546)*ISNUMBER(measured[Measured Value (kWh)]))=0,"",SUMIFS(measured[Measured Value (kWh)],measured[Site Name],A1546,measured[Date],B1546)),"")</f>
        <v>18541.739600000001</v>
      </c>
      <c r="D1546" cm="1">
        <f t="array" ref="D1546">IFERROR(IF(SUMPRODUCT((expected_production[Site Name]=A1546)*(expected_production[Date]=B1546)*ISNUMBER(expected_production[Expected Production (kWh)]))=0,"",SUMIFS(expected_production[Expected Production (kWh)],expected_production[Site Name],A1546,expected_production[Date],B1546)),"")</f>
        <v>23596.944044916185</v>
      </c>
      <c r="E1546" s="9">
        <f>IF(OR(C1546="",D1546="",D1546=0),"",C1546/D1546)</f>
        <v>0.78576868109303766</v>
      </c>
      <c r="F1546" t="str">
        <f>IF(E1546="","",IF(E1546&gt;=0.9,"Expected",IF(E1546&gt;=0.7,"Moderate","Poor")))</f>
        <v>Moderate</v>
      </c>
      <c r="G1546" t="s">
        <v>874</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8519.0519747942835</v>
      </c>
      <c r="E1547" s="9" t="str">
        <f>IF(OR(C1547="",D1547="",D1547=0),"",C1547/D1547)</f>
        <v/>
      </c>
      <c r="F1547" t="str">
        <f>IF(E1547="","",IF(E1547&gt;=0.9,"Expected",IF(E1547&gt;=0.7,"Moderate","Poor")))</f>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8286.4360692067658</v>
      </c>
      <c r="E1548" s="9" t="str">
        <f>IF(OR(C1548="",D1548="",D1548=0),"",C1548/D1548)</f>
        <v/>
      </c>
      <c r="F1548" t="str">
        <f>IF(E1548="","",IF(E1548&gt;=0.9,"Expected",IF(E1548&gt;=0.7,"Moderate","Poor")))</f>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8821.3033992140245</v>
      </c>
      <c r="E1549" s="9" t="str">
        <f>IF(OR(C1549="",D1549="",D1549=0),"",C1549/D1549)</f>
        <v/>
      </c>
      <c r="F1549" t="str">
        <f>IF(E1549="","",IF(E1549&gt;=0.9,"Expected",IF(E1549&gt;=0.7,"Moderate","Poor")))</f>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4875.5004226916781</v>
      </c>
      <c r="E1550" s="9">
        <f>IF(OR(C1550="",D1550="",D1550=0),"",C1550/D1550)</f>
        <v>0.96400360835272225</v>
      </c>
      <c r="F1550" t="str">
        <f>IF(E1550="","",IF(E1550&gt;=0.9,"Expected",IF(E1550&gt;=0.7,"Moderate","Poor")))</f>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4507.3806371943701</v>
      </c>
      <c r="E1551" s="9">
        <f>IF(OR(C1551="",D1551="",D1551=0),"",C1551/D1551)</f>
        <v>0.9539908754359262</v>
      </c>
      <c r="F1551" t="str">
        <f>IF(E1551="","",IF(E1551&gt;=0.9,"Expected",IF(E1551&gt;=0.7,"Moderate","Poor")))</f>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4730.536137983514</v>
      </c>
      <c r="E1552" s="9">
        <f>IF(OR(C1552="",D1552="",D1552=0),"",C1552/D1552)</f>
        <v>1.0992411532906299</v>
      </c>
      <c r="F1552" t="str">
        <f>IF(E1552="","",IF(E1552&gt;=0.9,"Expected",IF(E1552&gt;=0.7,"Moderate","Poor")))</f>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4148.3084343493883</v>
      </c>
      <c r="E1553" s="9">
        <f>IF(OR(C1553="",D1553="",D1553=0),"",C1553/D1553)</f>
        <v>1.0847795122316575</v>
      </c>
      <c r="F1553" t="str">
        <f>IF(E1553="","",IF(E1553&gt;=0.9,"Expected",IF(E1553&gt;=0.7,"Moderate","Poor")))</f>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4092.1585738901158</v>
      </c>
      <c r="E1554" s="9">
        <f>IF(OR(C1554="",D1554="",D1554=0),"",C1554/D1554)</f>
        <v>1.0507901691386081</v>
      </c>
      <c r="F1554" t="str">
        <f>IF(E1554="","",IF(E1554&gt;=0.9,"Expected",IF(E1554&gt;=0.7,"Moderate","Poor")))</f>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3703.9003194998368</v>
      </c>
      <c r="E1555" s="9">
        <f>IF(OR(C1555="",D1555="",D1555=0),"",C1555/D1555)</f>
        <v>1.0259455363834251</v>
      </c>
      <c r="F1555" t="str">
        <f>IF(E1555="","",IF(E1555&gt;=0.9,"Expected",IF(E1555&gt;=0.7,"Moderate","Poor")))</f>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4075.4781965416919</v>
      </c>
      <c r="E1556" s="9">
        <f>IF(OR(C1556="",D1556="",D1556=0),"",C1556/D1556)</f>
        <v>1.0060169144026132</v>
      </c>
      <c r="F1556" t="str">
        <f>IF(E1556="","",IF(E1556&gt;=0.9,"Expected",IF(E1556&gt;=0.7,"Moderate","Poor")))</f>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4588.2406686280901</v>
      </c>
      <c r="E1557" s="9">
        <f>IF(OR(C1557="",D1557="",D1557=0),"",C1557/D1557)</f>
        <v>0.87179385060374848</v>
      </c>
      <c r="F1557" t="str">
        <f>IF(E1557="","",IF(E1557&gt;=0.9,"Expected",IF(E1557&gt;=0.7,"Moderate","Poor")))</f>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4756.212033798578</v>
      </c>
      <c r="E1558" s="9">
        <f>IF(OR(C1558="",D1558="",D1558=0),"",C1558/D1558)</f>
        <v>0.77792999422798492</v>
      </c>
      <c r="F1558" t="str">
        <f>IF(E1558="","",IF(E1558&gt;=0.9,"Expected",IF(E1558&gt;=0.7,"Moderate","Poor")))</f>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5022.9804928747708</v>
      </c>
      <c r="E1559" s="9">
        <f>IF(OR(C1559="",D1559="",D1559=0),"",C1559/D1559)</f>
        <v>1.0907866370916839</v>
      </c>
      <c r="F1559" t="str">
        <f>IF(E1559="","",IF(E1559&gt;=0.9,"Expected",IF(E1559&gt;=0.7,"Moderate","Poor")))</f>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4815.8786936150345</v>
      </c>
      <c r="E1560" s="9">
        <f>IF(OR(C1560="",D1560="",D1560=0),"",C1560/D1560)</f>
        <v>1.1420553443947796</v>
      </c>
      <c r="F1560" t="str">
        <f>IF(E1560="","",IF(E1560&gt;=0.9,"Expected",IF(E1560&gt;=0.7,"Moderate","Poor")))</f>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5030.3638499160634</v>
      </c>
      <c r="E1561" s="9">
        <f>IF(OR(C1561="",D1561="",D1561=0),"",C1561/D1561)</f>
        <v>0.54508979505443789</v>
      </c>
      <c r="F1561" t="str">
        <f>IF(E1561="","",IF(E1561&gt;=0.9,"Expected",IF(E1561&gt;=0.7,"Moderate","Poor")))</f>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4841.3020870260025</v>
      </c>
      <c r="E1562" s="9">
        <f>IF(OR(C1562="",D1562="",D1562=0),"",C1562/D1562)</f>
        <v>1.0534356064388692</v>
      </c>
      <c r="F1562" t="str">
        <f>IF(E1562="","",IF(E1562&gt;=0.9,"Expected",IF(E1562&gt;=0.7,"Moderate","Poor")))</f>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4475.7644126758951</v>
      </c>
      <c r="E1563" s="9">
        <f>IF(OR(C1563="",D1563="",D1563=0),"",C1563/D1563)</f>
        <v>0.88699932211724319</v>
      </c>
      <c r="F1563" t="str">
        <f>IF(E1563="","",IF(E1563&gt;=0.9,"Expected",IF(E1563&gt;=0.7,"Moderate","Poor")))</f>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4697.4449706868818</v>
      </c>
      <c r="E1564" s="9">
        <f>IF(OR(C1564="",D1564="",D1564=0),"",C1564/D1564)</f>
        <v>0.96648284936398954</v>
      </c>
      <c r="F1564" t="str">
        <f>IF(E1564="","",IF(E1564&gt;=0.9,"Expected",IF(E1564&gt;=0.7,"Moderate","Poor")))</f>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4119.2900811659383</v>
      </c>
      <c r="E1565" s="9">
        <f>IF(OR(C1565="",D1565="",D1565=0),"",C1565/D1565)</f>
        <v>0.85597273572003174</v>
      </c>
      <c r="F1565" t="str">
        <f>IF(E1565="","",IF(E1565&gt;=0.9,"Expected",IF(E1565&gt;=0.7,"Moderate","Poor")))</f>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4063.5330016456419</v>
      </c>
      <c r="E1566" s="9">
        <f>IF(OR(C1566="",D1566="",D1566=0),"",C1566/D1566)</f>
        <v>1.0604072855455953</v>
      </c>
      <c r="F1566" t="str">
        <f>IF(E1566="","",IF(E1566&gt;=0.9,"Expected",IF(E1566&gt;=0.7,"Moderate","Poor")))</f>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3677.9907013196739</v>
      </c>
      <c r="E1567" s="9">
        <f>IF(OR(C1567="",D1567="",D1567=0),"",C1567/D1567)</f>
        <v>0.96900734379813036</v>
      </c>
      <c r="F1567" t="str">
        <f>IF(E1567="","",IF(E1567&gt;=0.9,"Expected",IF(E1567&gt;=0.7,"Moderate","Poor")))</f>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4046.9693072991663</v>
      </c>
      <c r="E1568" s="9">
        <f>IF(OR(C1568="",D1568="",D1568=0),"",C1568/D1568)</f>
        <v>0.85100719538158021</v>
      </c>
      <c r="F1568" t="str">
        <f>IF(E1568="","",IF(E1568&gt;=0.9,"Expected",IF(E1568&gt;=0.7,"Moderate","Poor")))</f>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4556.144890235516</v>
      </c>
      <c r="E1569" s="9">
        <f>IF(OR(C1569="",D1569="",D1569=0),"",C1569/D1569)</f>
        <v>0.97319117517590581</v>
      </c>
      <c r="F1569" t="str">
        <f>IF(E1569="","",IF(E1569&gt;=0.9,"Expected",IF(E1569&gt;=0.7,"Moderate","Poor")))</f>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4722.9412578193096</v>
      </c>
      <c r="E1570" s="9">
        <f>IF(OR(C1570="",D1570="",D1570=0),"",C1570/D1570)</f>
        <v>0.91044960444530465</v>
      </c>
      <c r="F1570" t="str">
        <f>IF(E1570="","",IF(E1570&gt;=0.9,"Expected",IF(E1570&gt;=0.7,"Moderate","Poor")))</f>
        <v>Expected</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4987.8436113524385</v>
      </c>
      <c r="E1571" s="9">
        <f>IF(OR(C1571="",D1571="",D1571=0),"",C1571/D1571)</f>
        <v>0.99361575585891226</v>
      </c>
      <c r="F1571" t="str">
        <f>IF(E1571="","",IF(E1571&gt;=0.9,"Expected",IF(E1571&gt;=0.7,"Moderate","Poor")))</f>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4782.190535892044</v>
      </c>
      <c r="E1572" s="9">
        <f>IF(OR(C1572="",D1572="",D1572=0),"",C1572/D1572)</f>
        <v>0.87261265913186603</v>
      </c>
      <c r="F1572" t="str">
        <f>IF(E1572="","",IF(E1572&gt;=0.9,"Expected",IF(E1572&gt;=0.7,"Moderate","Poor")))</f>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4995.1753201458505</v>
      </c>
      <c r="E1573" s="9">
        <f>IF(OR(C1573="",D1573="",D1573=0),"",C1573/D1573)</f>
        <v>1.0029677997075219</v>
      </c>
      <c r="F1573" t="str">
        <f>IF(E1573="","",IF(E1573&gt;=0.9,"Expected",IF(E1573&gt;=0.7,"Moderate","Poor")))</f>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4807.4360869316451</v>
      </c>
      <c r="E1574" s="9">
        <f>IF(OR(C1574="",D1574="",D1574=0),"",C1574/D1574)</f>
        <v>0.95123469502404256</v>
      </c>
      <c r="F1574" t="str">
        <f>IF(E1574="","",IF(E1574&gt;=0.9,"Expected",IF(E1574&gt;=0.7,"Moderate","Poor")))</f>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4444.455431063654</v>
      </c>
      <c r="E1575" s="9">
        <f>IF(OR(C1575="",D1575="",D1575=0),"",C1575/D1575)</f>
        <v>1.0320206988558522</v>
      </c>
      <c r="F1575" t="str">
        <f>IF(E1575="","",IF(E1575&gt;=0.9,"Expected",IF(E1575&gt;=0.7,"Moderate","Poor")))</f>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4664.5852835694759</v>
      </c>
      <c r="E1576" s="9">
        <f>IF(OR(C1576="",D1576="",D1576=0),"",C1576/D1576)</f>
        <v>0.87660526100853675</v>
      </c>
      <c r="F1576" t="str">
        <f>IF(E1576="","",IF(E1576&gt;=0.9,"Expected",IF(E1576&gt;=0.7,"Moderate","Poor")))</f>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4090.4747179083342</v>
      </c>
      <c r="E1577" s="9">
        <f>IF(OR(C1577="",D1577="",D1577=0),"",C1577/D1577)</f>
        <v>0.20638191364538785</v>
      </c>
      <c r="F1577" t="str">
        <f>IF(E1577="","",IF(E1577&gt;=0.9,"Expected",IF(E1577&gt;=0.7,"Moderate","Poor")))</f>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4035.1076717357514</v>
      </c>
      <c r="E1578" s="9">
        <f>IF(OR(C1578="",D1578="",D1578=0),"",C1578/D1578)</f>
        <v>0</v>
      </c>
      <c r="F1578" t="str">
        <f>IF(E1578="","",IF(E1578&gt;=0.9,"Expected",IF(E1578&gt;=0.7,"Moderate","Poor")))</f>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3652.2623267628087</v>
      </c>
      <c r="E1579" s="9" t="str">
        <f>IF(OR(C1579="",D1579="",D1579=0),"",C1579/D1579)</f>
        <v/>
      </c>
      <c r="F1579" t="str">
        <f>IF(E1579="","",IF(E1579&gt;=0.9,"Expected",IF(E1579&gt;=0.7,"Moderate","Poor")))</f>
        <v/>
      </c>
    </row>
    <row r="1580" spans="1:7" ht="15" hidden="1" customHeight="1" x14ac:dyDescent="0.3">
      <c r="A1580" s="12" t="s">
        <v>145</v>
      </c>
      <c r="B1580" s="42">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31778.482720499745</v>
      </c>
      <c r="E1580" s="43">
        <f>IF(OR(C1580="",D1580="",D1580=0),"",C1580/D1580)</f>
        <v>0.81550894760882564</v>
      </c>
      <c r="F1580" s="12" t="str">
        <f>IF(E1580="","",IF(E1580&gt;=0.9,"Expected",IF(E1580&gt;=0.7,"Moderate","Poor")))</f>
        <v>Moderate</v>
      </c>
      <c r="G1580" s="12" t="s">
        <v>875</v>
      </c>
    </row>
    <row r="1581" spans="1:7" ht="15" hidden="1"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4524.2736290522662</v>
      </c>
      <c r="E1581" s="9" t="str">
        <f>IF(OR(C1581="",D1581="",D1581=0),"",C1581/D1581)</f>
        <v/>
      </c>
      <c r="F1581" t="str">
        <f>IF(E1581="","",IF(E1581&gt;=0.9,"Expected",IF(E1581&gt;=0.7,"Moderate","Poor")))</f>
        <v/>
      </c>
      <c r="G1581" t="s">
        <v>874</v>
      </c>
    </row>
    <row r="1582" spans="1:7" ht="15" customHeight="1" x14ac:dyDescent="0.3">
      <c r="A1582" t="s">
        <v>155</v>
      </c>
      <c r="B1582" s="2">
        <v>46266</v>
      </c>
      <c r="C1582" cm="1">
        <f t="array" ref="C1582">IFERROR(IF(SUMPRODUCT((measured[Site Name]=A1582)*(measured[Date]=B1582)*ISNUMBER(measured[Measured Value (kWh)]))=0,"",SUMIFS(measured[Measured Value (kWh)],measured[Site Name],A1582,measured[Date],B1582)),"")</f>
        <v>0</v>
      </c>
      <c r="D1582" cm="1">
        <f t="array" ref="D1582">IFERROR(IF(SUMPRODUCT((expected_production[Site Name]=A1582)*(expected_production[Date]=B1582)*ISNUMBER(expected_production[Expected Production (kWh)]))=0,"",SUMIFS(expected_production[Expected Production (kWh)],expected_production[Site Name],A1582,expected_production[Date],B1582)),"")</f>
        <v>4689.9032184225152</v>
      </c>
      <c r="E1582" s="9">
        <f>IF(OR(C1582="",D1582="",D1582=0),"",C1582/D1582)</f>
        <v>0</v>
      </c>
      <c r="F1582" t="str">
        <f>IF(E1582="","",IF(E1582&gt;=0.9,"Expected",IF(E1582&gt;=0.7,"Moderate","Poor")))</f>
        <v>Poor</v>
      </c>
      <c r="G1582" t="s">
        <v>874</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4952.952520241769</v>
      </c>
      <c r="E1583" s="9" t="str">
        <f>IF(OR(C1583="",D1583="",D1583=0),"",C1583/D1583)</f>
        <v/>
      </c>
      <c r="F1583" t="str">
        <f>IF(E1583="","",IF(E1583&gt;=0.9,"Expected",IF(E1583&gt;=0.7,"Moderate","Poor")))</f>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4748.7380344309659</v>
      </c>
      <c r="E1584" s="9" t="str">
        <f>IF(OR(C1584="",D1584="",D1584=0),"",C1584/D1584)</f>
        <v/>
      </c>
      <c r="F1584" t="str">
        <f>IF(E1584="","",IF(E1584&gt;=0.9,"Expected",IF(E1584&gt;=0.7,"Moderate","Poor")))</f>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4960.2329420784436</v>
      </c>
      <c r="E1585" s="9" t="str">
        <f>IF(OR(C1585="",D1585="",D1585=0),"",C1585/D1585)</f>
        <v/>
      </c>
      <c r="F1585" t="str">
        <f>IF(E1585="","",IF(E1585&gt;=0.9,"Expected",IF(E1585&gt;=0.7,"Moderate","Poor")))</f>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5831.4971053860845</v>
      </c>
      <c r="E1586" s="9">
        <f>IF(OR(C1586="",D1586="",D1586=0),"",C1586/D1586)</f>
        <v>1.0561610318405932</v>
      </c>
      <c r="F1586" t="str">
        <f>IF(E1586="","",IF(E1586&gt;=0.9,"Expected",IF(E1586&gt;=0.7,"Moderate","Poor")))</f>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5232.3605089452421</v>
      </c>
      <c r="E1587" s="9">
        <f>IF(OR(C1587="",D1587="",D1587=0),"",C1587/D1587)</f>
        <v>0.85907689126453524</v>
      </c>
      <c r="F1587" t="str">
        <f>IF(E1587="","",IF(E1587&gt;=0.9,"Expected",IF(E1587&gt;=0.7,"Moderate","Poor")))</f>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5626.8025492105453</v>
      </c>
      <c r="E1588" s="9">
        <f>IF(OR(C1588="",D1588="",D1588=0),"",C1588/D1588)</f>
        <v>0.8957129659200721</v>
      </c>
      <c r="F1588" t="str">
        <f>IF(E1588="","",IF(E1588&gt;=0.9,"Expected",IF(E1588&gt;=0.7,"Moderate","Poor")))</f>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5015.9594279192534</v>
      </c>
      <c r="E1589" s="9">
        <f>IF(OR(C1589="",D1589="",D1589=0),"",C1589/D1589)</f>
        <v>0.89414598831005521</v>
      </c>
      <c r="F1589" t="str">
        <f>IF(E1589="","",IF(E1589&gt;=0.9,"Expected",IF(E1589&gt;=0.7,"Moderate","Poor")))</f>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5130.0761886185155</v>
      </c>
      <c r="E1590" s="9">
        <f>IF(OR(C1590="",D1590="",D1590=0),"",C1590/D1590)</f>
        <v>0.94754928022014906</v>
      </c>
      <c r="F1590" t="str">
        <f>IF(E1590="","",IF(E1590&gt;=0.9,"Expected",IF(E1590&gt;=0.7,"Moderate","Poor")))</f>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4752.4373848051455</v>
      </c>
      <c r="E1591" s="9">
        <f>IF(OR(C1591="",D1591="",D1591=0),"",C1591/D1591)</f>
        <v>0.82673366987687158</v>
      </c>
      <c r="F1591" t="str">
        <f>IF(E1591="","",IF(E1591&gt;=0.9,"Expected",IF(E1591&gt;=0.7,"Moderate","Poor")))</f>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5221.0860481246846</v>
      </c>
      <c r="E1592" s="9">
        <f>IF(OR(C1592="",D1592="",D1592=0),"",C1592/D1592)</f>
        <v>0.88468183772973008</v>
      </c>
      <c r="F1592" t="str">
        <f>IF(E1592="","",IF(E1592&gt;=0.9,"Expected",IF(E1592&gt;=0.7,"Moderate","Poor")))</f>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5739.3819259215579</v>
      </c>
      <c r="E1593" s="9">
        <f>IF(OR(C1593="",D1593="",D1593=0),"",C1593/D1593)</f>
        <v>0.93285306137565016</v>
      </c>
      <c r="F1593" t="str">
        <f>IF(E1593="","",IF(E1593&gt;=0.9,"Expected",IF(E1593&gt;=0.7,"Moderate","Poor")))</f>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5921.5488170771587</v>
      </c>
      <c r="E1594" s="9">
        <f>IF(OR(C1594="",D1594="",D1594=0),"",C1594/D1594)</f>
        <v>0.82883720992822274</v>
      </c>
      <c r="F1594" t="str">
        <f>IF(E1594="","",IF(E1594&gt;=0.9,"Expected",IF(E1594&gt;=0.7,"Moderate","Poor")))</f>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6023.3893165515155</v>
      </c>
      <c r="E1595" s="9">
        <f>IF(OR(C1595="",D1595="",D1595=0),"",C1595/D1595)</f>
        <v>1.0517334455855638</v>
      </c>
      <c r="F1595" t="str">
        <f>IF(E1595="","",IF(E1595&gt;=0.9,"Expected",IF(E1595&gt;=0.7,"Moderate","Poor")))</f>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5823.0258062264011</v>
      </c>
      <c r="E1596" s="9">
        <f>IF(OR(C1596="",D1596="",D1596=0),"",C1596/D1596)</f>
        <v>1.0001673002672524</v>
      </c>
      <c r="F1596" t="str">
        <f>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6073.0456101982199</v>
      </c>
      <c r="E1597" s="9">
        <f>IF(OR(C1597="",D1597="",D1597=0),"",C1597/D1597)</f>
        <v>1.0029564062176035</v>
      </c>
      <c r="F1597" t="str">
        <f>IF(E1597="","",IF(E1597&gt;=0.9,"Expected",IF(E1597&gt;=0.7,"Moderate","Poor")))</f>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5790.593100021787</v>
      </c>
      <c r="E1598" s="9">
        <f>IF(OR(C1598="",D1598="",D1598=0),"",C1598/D1598)</f>
        <v>0.91683181813966952</v>
      </c>
      <c r="F1598" t="str">
        <f>IF(E1598="","",IF(E1598&gt;=0.9,"Expected",IF(E1598&gt;=0.7,"Moderate","Poor")))</f>
        <v>Expected</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5195.6590413018548</v>
      </c>
      <c r="E1599" s="9">
        <f>IF(OR(C1599="",D1599="",D1599=0),"",C1599/D1599)</f>
        <v>0.72387352020266937</v>
      </c>
      <c r="F1599" t="str">
        <f>IF(E1599="","",IF(E1599&gt;=0.9,"Expected",IF(E1599&gt;=0.7,"Moderate","Poor")))</f>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5587.4417962071002</v>
      </c>
      <c r="E1600" s="9">
        <f>IF(OR(C1600="",D1600="",D1600=0),"",C1600/D1600)</f>
        <v>0.72913511202309733</v>
      </c>
      <c r="F1600" t="str">
        <f>IF(E1600="","",IF(E1600&gt;=0.9,"Expected",IF(E1600&gt;=0.7,"Moderate","Poor")))</f>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4980.8716603299445</v>
      </c>
      <c r="E1601" s="9">
        <f>IF(OR(C1601="",D1601="",D1601=0),"",C1601/D1601)</f>
        <v>0.78339701684695129</v>
      </c>
      <c r="F1601" t="str">
        <f>IF(E1601="","",IF(E1601&gt;=0.9,"Expected",IF(E1601&gt;=0.7,"Moderate","Poor")))</f>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5094.1901485481394</v>
      </c>
      <c r="E1602" s="9">
        <f>IF(OR(C1602="",D1602="",D1602=0),"",C1602/D1602)</f>
        <v>0.99073647681534061</v>
      </c>
      <c r="F1602" t="str">
        <f>IF(E1602="","",IF(E1602&gt;=0.9,"Expected",IF(E1602&gt;=0.7,"Moderate","Poor")))</f>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4719.1930133469905</v>
      </c>
      <c r="E1603" s="9">
        <f>IF(OR(C1603="",D1603="",D1603=0),"",C1603/D1603)</f>
        <v>0.97164069938049169</v>
      </c>
      <c r="F1603" t="str">
        <f>IF(E1603="","",IF(E1603&gt;=0.9,"Expected",IF(E1603&gt;=0.7,"Moderate","Poor")))</f>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5184.5633735590382</v>
      </c>
      <c r="E1604" s="9">
        <f>IF(OR(C1604="",D1604="",D1604=0),"",C1604/D1604)</f>
        <v>0.91618129777807611</v>
      </c>
      <c r="F1604" t="str">
        <f>IF(E1604="","",IF(E1604&gt;=0.9,"Expected",IF(E1604&gt;=0.7,"Moderate","Poor")))</f>
        <v>Expected</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5699.2336547848117</v>
      </c>
      <c r="E1605" s="9">
        <f>IF(OR(C1605="",D1605="",D1605=0),"",C1605/D1605)</f>
        <v>0.86678320265964282</v>
      </c>
      <c r="F1605" t="str">
        <f>IF(E1605="","",IF(E1605&gt;=0.9,"Expected",IF(E1605&gt;=0.7,"Moderate","Poor")))</f>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5880.1262474475352</v>
      </c>
      <c r="E1606" s="9">
        <f>IF(OR(C1606="",D1606="",D1606=0),"",C1606/D1606)</f>
        <v>0.83722692214933181</v>
      </c>
      <c r="F1606" t="str">
        <f>IF(E1606="","",IF(E1606&gt;=0.9,"Expected",IF(E1606&gt;=0.7,"Moderate","Poor")))</f>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5981.2543496571052</v>
      </c>
      <c r="E1607" s="9">
        <f>IF(OR(C1607="",D1607="",D1607=0),"",C1607/D1607)</f>
        <v>0.9484632601061721</v>
      </c>
      <c r="F1607" t="str">
        <f>IF(E1607="","",IF(E1607&gt;=0.9,"Expected",IF(E1607&gt;=0.7,"Moderate","Poor")))</f>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5782.2924272803575</v>
      </c>
      <c r="E1608" s="9">
        <f>IF(OR(C1608="",D1608="",D1608=0),"",C1608/D1608)</f>
        <v>0.80262284524112992</v>
      </c>
      <c r="F1608" t="str">
        <f>IF(E1608="","",IF(E1608&gt;=0.9,"Expected",IF(E1608&gt;=0.7,"Moderate","Poor")))</f>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6030.563286329364</v>
      </c>
      <c r="E1609" s="9">
        <f>IF(OR(C1609="",D1609="",D1609=0),"",C1609/D1609)</f>
        <v>0.8725553070520603</v>
      </c>
      <c r="F1609" t="str">
        <f>IF(E1609="","",IF(E1609&gt;=0.9,"Expected",IF(E1609&gt;=0.7,"Moderate","Poor")))</f>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5750.0865951711085</v>
      </c>
      <c r="E1610" s="9">
        <f>IF(OR(C1610="",D1610="",D1610=0),"",C1610/D1610)</f>
        <v>0.96450721362309577</v>
      </c>
      <c r="F1610" t="str">
        <f>IF(E1610="","",IF(E1610&gt;=0.9,"Expected",IF(E1610&gt;=0.7,"Moderate","Poor")))</f>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5159.3142343842046</v>
      </c>
      <c r="E1611" s="9">
        <f>IF(OR(C1611="",D1611="",D1611=0),"",C1611/D1611)</f>
        <v>1.0081242901113578</v>
      </c>
      <c r="F1611" t="str">
        <f>IF(E1611="","",IF(E1611&gt;=0.9,"Expected",IF(E1611&gt;=0.7,"Moderate","Poor")))</f>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5548.3563805490576</v>
      </c>
      <c r="E1612" s="9">
        <f>IF(OR(C1612="",D1612="",D1612=0),"",C1612/D1612)</f>
        <v>0.82528945257602015</v>
      </c>
      <c r="F1612" t="str">
        <f>IF(E1612="","",IF(E1612&gt;=0.9,"Expected",IF(E1612&gt;=0.7,"Moderate","Poor")))</f>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4946.0293395892577</v>
      </c>
      <c r="E1613" s="9">
        <f>IF(OR(C1613="",D1613="",D1613=0),"",C1613/D1613)</f>
        <v>0.83584421283342336</v>
      </c>
      <c r="F1613" t="str">
        <f>IF(E1613="","",IF(E1613&gt;=0.9,"Expected",IF(E1613&gt;=0.7,"Moderate","Poor")))</f>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5058.5551394224467</v>
      </c>
      <c r="E1614" s="9">
        <f>IF(OR(C1614="",D1614="",D1614=0),"",C1614/D1614)</f>
        <v>0.9223325379295354</v>
      </c>
      <c r="F1614" t="str">
        <f>IF(E1614="","",IF(E1614&gt;=0.9,"Expected",IF(E1614&gt;=0.7,"Moderate","Poor")))</f>
        <v>Expected</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4686.1811937657267</v>
      </c>
      <c r="E1615" s="9">
        <f>IF(OR(C1615="",D1615="",D1615=0),"",C1615/D1615)</f>
        <v>0.80769390757561499</v>
      </c>
      <c r="F1615" t="str">
        <f>IF(E1615="","",IF(E1615&gt;=0.9,"Expected",IF(E1615&gt;=0.7,"Moderate","Poor")))</f>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6747.1087961652456</v>
      </c>
      <c r="E1616" s="9">
        <f>IF(OR(C1616="",D1616="",D1616=0),"",C1616/D1616)</f>
        <v>1.0251798524326914</v>
      </c>
      <c r="F1616" t="str">
        <f>IF(E1616="","",IF(E1616&gt;=0.9,"Expected",IF(E1616&gt;=0.7,"Moderate","Poor")))</f>
        <v>Expected</v>
      </c>
      <c r="G1616" t="s">
        <v>874</v>
      </c>
    </row>
    <row r="1617" spans="1:7" ht="15" hidden="1"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5659.3662298604422</v>
      </c>
      <c r="E1617" s="9">
        <f>IF(OR(C1617="",D1617="",D1617=0),"",C1617/D1617)</f>
        <v>0.92695891853059387</v>
      </c>
      <c r="F1617" t="str">
        <f>IF(E1617="","",IF(E1617&gt;=0.9,"Expected",IF(E1617&gt;=0.7,"Moderate","Poor")))</f>
        <v>Expected</v>
      </c>
      <c r="G1617" t="s">
        <v>874</v>
      </c>
    </row>
    <row r="1618" spans="1:7" ht="15" customHeight="1" x14ac:dyDescent="0.3">
      <c r="A1618" t="s">
        <v>71</v>
      </c>
      <c r="B1618" s="2">
        <v>46266</v>
      </c>
      <c r="C1618" cm="1">
        <f t="array" ref="C1618">IFERROR(IF(SUMPRODUCT((measured[Site Name]=A1618)*(measured[Date]=B1618)*ISNUMBER(measured[Measured Value (kWh)]))=0,"",SUMIFS(measured[Measured Value (kWh)],measured[Site Name],A1618,measured[Date],B1618)),"")</f>
        <v>15296.73</v>
      </c>
      <c r="D1618" cm="1">
        <f t="array" ref="D1618">IFERROR(IF(SUMPRODUCT((expected_production[Site Name]=A1618)*(expected_production[Date]=B1618)*ISNUMBER(expected_production[Expected Production (kWh)]))=0,"",SUMIFS(expected_production[Expected Production (kWh)],expected_production[Site Name],A1618,expected_production[Date],B1618)),"")</f>
        <v>19202.491608828415</v>
      </c>
      <c r="E1618" s="9">
        <f>IF(OR(C1618="",D1618="",D1618=0),"",C1618/D1618)</f>
        <v>0.79660131151768199</v>
      </c>
      <c r="F1618" t="str">
        <f>IF(E1618="","",IF(E1618&gt;=0.9,"Expected",IF(E1618&gt;=0.7,"Moderate","Poor")))</f>
        <v>Moderate</v>
      </c>
      <c r="G1618" t="s">
        <v>874</v>
      </c>
    </row>
    <row r="1619" spans="1:7"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5939.4141263600095</v>
      </c>
      <c r="E1619" s="9" t="str">
        <f>IF(OR(C1619="",D1619="",D1619=0),"",C1619/D1619)</f>
        <v/>
      </c>
      <c r="F1619" t="str">
        <f>IF(E1619="","",IF(E1619&gt;=0.9,"Expected",IF(E1619&gt;=0.7,"Moderate","Poor")))</f>
        <v/>
      </c>
    </row>
    <row r="1620" spans="1:7"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5741.8439875077893</v>
      </c>
      <c r="E1620" s="9" t="str">
        <f>IF(OR(C1620="",D1620="",D1620=0),"",C1620/D1620)</f>
        <v/>
      </c>
      <c r="F1620" t="str">
        <f>IF(E1620="","",IF(E1620&gt;=0.9,"Expected",IF(E1620&gt;=0.7,"Moderate","Poor")))</f>
        <v/>
      </c>
    </row>
    <row r="1621" spans="1:7"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5988.3781358982087</v>
      </c>
      <c r="E1621" s="9" t="str">
        <f>IF(OR(C1621="",D1621="",D1621=0),"",C1621/D1621)</f>
        <v/>
      </c>
      <c r="F1621" t="str">
        <f>IF(E1621="","",IF(E1621&gt;=0.9,"Expected",IF(E1621&gt;=0.7,"Moderate","Poor")))</f>
        <v/>
      </c>
    </row>
    <row r="1622" spans="1:7"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17022.669060659769</v>
      </c>
      <c r="E1622" s="9">
        <f>IF(OR(C1622="",D1622="",D1622=0),"",C1622/D1622)</f>
        <v>0.38771828180886903</v>
      </c>
      <c r="F1622" t="str">
        <f>IF(E1622="","",IF(E1622&gt;=0.9,"Expected",IF(E1622&gt;=0.7,"Moderate","Poor")))</f>
        <v>Poor</v>
      </c>
    </row>
    <row r="1623" spans="1:7"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14954.986275618499</v>
      </c>
      <c r="E1623" s="9">
        <f>IF(OR(C1623="",D1623="",D1623=0),"",C1623/D1623)</f>
        <v>0.88933548683246433</v>
      </c>
      <c r="F1623" t="str">
        <f>IF(E1623="","",IF(E1623&gt;=0.9,"Expected",IF(E1623&gt;=0.7,"Moderate","Poor")))</f>
        <v>Moderate</v>
      </c>
    </row>
    <row r="1624" spans="1:7"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16197.55458576403</v>
      </c>
      <c r="E1624" s="9">
        <f>IF(OR(C1624="",D1624="",D1624=0),"",C1624/D1624)</f>
        <v>0.95199555700541239</v>
      </c>
      <c r="F1624" t="str">
        <f>IF(E1624="","",IF(E1624&gt;=0.9,"Expected",IF(E1624&gt;=0.7,"Moderate","Poor")))</f>
        <v>Expected</v>
      </c>
    </row>
    <row r="1625" spans="1:7"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14161.456419653477</v>
      </c>
      <c r="E1625" s="9">
        <f>IF(OR(C1625="",D1625="",D1625=0),"",C1625/D1625)</f>
        <v>0.90809868836320418</v>
      </c>
      <c r="F1625" t="str">
        <f>IF(E1625="","",IF(E1625&gt;=0.9,"Expected",IF(E1625&gt;=0.7,"Moderate","Poor")))</f>
        <v>Expected</v>
      </c>
    </row>
    <row r="1626" spans="1:7"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14682.611720915475</v>
      </c>
      <c r="E1626" s="9">
        <f>IF(OR(C1626="",D1626="",D1626=0),"",C1626/D1626)</f>
        <v>0.99505457732618241</v>
      </c>
      <c r="F1626" t="str">
        <f>IF(E1626="","",IF(E1626&gt;=0.9,"Expected",IF(E1626&gt;=0.7,"Moderate","Poor")))</f>
        <v>Expected</v>
      </c>
    </row>
    <row r="1627" spans="1:7"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13768.556219070188</v>
      </c>
      <c r="E1627" s="9">
        <f>IF(OR(C1627="",D1627="",D1627=0),"",C1627/D1627)</f>
        <v>0.87227736945762746</v>
      </c>
      <c r="F1627" t="str">
        <f>IF(E1627="","",IF(E1627&gt;=0.9,"Expected",IF(E1627&gt;=0.7,"Moderate","Poor")))</f>
        <v>Moderate</v>
      </c>
    </row>
    <row r="1628" spans="1:7"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14990.038805471615</v>
      </c>
      <c r="E1628" s="9">
        <f>IF(OR(C1628="",D1628="",D1628=0),"",C1628/D1628)</f>
        <v>0.87057813320913702</v>
      </c>
      <c r="F1628" t="str">
        <f>IF(E1628="","",IF(E1628&gt;=0.9,"Expected",IF(E1628&gt;=0.7,"Moderate","Poor")))</f>
        <v>Moderate</v>
      </c>
    </row>
    <row r="1629" spans="1:7"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16620.202526523441</v>
      </c>
      <c r="E1629" s="9">
        <f>IF(OR(C1629="",D1629="",D1629=0),"",C1629/D1629)</f>
        <v>1.0457152957230234</v>
      </c>
      <c r="F1629" t="str">
        <f>IF(E1629="","",IF(E1629&gt;=0.9,"Expected",IF(E1629&gt;=0.7,"Moderate","Poor")))</f>
        <v>Expected</v>
      </c>
    </row>
    <row r="1630" spans="1:7"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16780.425253423226</v>
      </c>
      <c r="E1630" s="9">
        <f>IF(OR(C1630="",D1630="",D1630=0),"",C1630/D1630)</f>
        <v>0.89628241077691539</v>
      </c>
      <c r="F1630" t="str">
        <f>IF(E1630="","",IF(E1630&gt;=0.9,"Expected",IF(E1630&gt;=0.7,"Moderate","Poor")))</f>
        <v>Moderate</v>
      </c>
    </row>
    <row r="1631" spans="1:7"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17412.990734865249</v>
      </c>
      <c r="E1631" s="9">
        <f>IF(OR(C1631="",D1631="",D1631=0),"",C1631/D1631)</f>
        <v>0.92115135442436258</v>
      </c>
      <c r="F1631" t="str">
        <f>IF(E1631="","",IF(E1631&gt;=0.9,"Expected",IF(E1631&gt;=0.7,"Moderate","Poor")))</f>
        <v>Expected</v>
      </c>
    </row>
    <row r="1632" spans="1:7"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16425.939234862391</v>
      </c>
      <c r="E1632" s="9">
        <f>IF(OR(C1632="",D1632="",D1632=0),"",C1632/D1632)</f>
        <v>0.77925528744397743</v>
      </c>
      <c r="F1632" t="str">
        <f>IF(E1632="","",IF(E1632&gt;=0.9,"Expected",IF(E1632&gt;=0.7,"Moderate","Poor")))</f>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17538.023833642143</v>
      </c>
      <c r="E1633" s="9">
        <f>IF(OR(C1633="",D1633="",D1633=0),"",C1633/D1633)</f>
        <v>0.68012223686908391</v>
      </c>
      <c r="F1633" t="str">
        <f>IF(E1633="","",IF(E1633&gt;=0.9,"Expected",IF(E1633&gt;=0.7,"Moderate","Poor")))</f>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16903.266558354015</v>
      </c>
      <c r="E1634" s="9">
        <f>IF(OR(C1634="",D1634="",D1634=0),"",C1634/D1634)</f>
        <v>0.66850983867465896</v>
      </c>
      <c r="F1634" t="str">
        <f>IF(E1634="","",IF(E1634&gt;=0.9,"Expected",IF(E1634&gt;=0.7,"Moderate","Poor")))</f>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14850.087168616305</v>
      </c>
      <c r="E1635" s="9">
        <f>IF(OR(C1635="",D1635="",D1635=0),"",C1635/D1635)</f>
        <v>0.56444113120859307</v>
      </c>
      <c r="F1635" t="str">
        <f>IF(E1635="","",IF(E1635&gt;=0.9,"Expected",IF(E1635&gt;=0.7,"Moderate","Poor")))</f>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16084.249037944599</v>
      </c>
      <c r="E1636" s="9">
        <f>IF(OR(C1636="",D1636="",D1636=0),"",C1636/D1636)</f>
        <v>0.74265201762422151</v>
      </c>
      <c r="F1636" t="str">
        <f>IF(E1636="","",IF(E1636&gt;=0.9,"Expected",IF(E1636&gt;=0.7,"Moderate","Poor")))</f>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14062.393837764721</v>
      </c>
      <c r="E1637" s="9">
        <f>IF(OR(C1637="",D1637="",D1637=0),"",C1637/D1637)</f>
        <v>0.94372268001487603</v>
      </c>
      <c r="F1637" t="str">
        <f>IF(E1637="","",IF(E1637&gt;=0.9,"Expected",IF(E1637&gt;=0.7,"Moderate","Poor")))</f>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14579.903540143516</v>
      </c>
      <c r="E1638" s="9">
        <f>IF(OR(C1638="",D1638="",D1638=0),"",C1638/D1638)</f>
        <v>1.192051782245805</v>
      </c>
      <c r="F1638" t="str">
        <f>IF(E1638="","",IF(E1638&gt;=0.9,"Expected",IF(E1638&gt;=0.7,"Moderate","Poor")))</f>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13672.242062706391</v>
      </c>
      <c r="E1639" s="9">
        <f>IF(OR(C1639="",D1639="",D1639=0),"",C1639/D1639)</f>
        <v>1.1527326628446377</v>
      </c>
      <c r="F1639" t="str">
        <f>IF(E1639="","",IF(E1639&gt;=0.9,"Expected",IF(E1639&gt;=0.7,"Moderate","Poor")))</f>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14885.180102900473</v>
      </c>
      <c r="E1640" s="9">
        <f>IF(OR(C1640="",D1640="",D1640=0),"",C1640/D1640)</f>
        <v>1.030286492604257</v>
      </c>
      <c r="F1640" t="str">
        <f>IF(E1640="","",IF(E1640&gt;=0.9,"Expected",IF(E1640&gt;=0.7,"Moderate","Poor")))</f>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16503.940461026668</v>
      </c>
      <c r="E1641" s="9">
        <f>IF(OR(C1641="",D1641="",D1641=0),"",C1641/D1641)</f>
        <v>1.1132492899733268</v>
      </c>
      <c r="F1641" t="str">
        <f>IF(E1641="","",IF(E1641&gt;=0.9,"Expected",IF(E1641&gt;=0.7,"Moderate","Poor")))</f>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16663.042393812237</v>
      </c>
      <c r="E1642" s="9">
        <f>IF(OR(C1642="",D1642="",D1642=0),"",C1642/D1642)</f>
        <v>0.8897534825636394</v>
      </c>
      <c r="F1642" t="str">
        <f>IF(E1642="","",IF(E1642&gt;=0.9,"Expected",IF(E1642&gt;=0.7,"Moderate","Poor")))</f>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17291.182937031208</v>
      </c>
      <c r="E1643" s="9">
        <f>IF(OR(C1643="",D1643="",D1643=0),"",C1643/D1643)</f>
        <v>0.84742611615187924</v>
      </c>
      <c r="F1643" t="str">
        <f>IF(E1643="","",IF(E1643&gt;=0.9,"Expected",IF(E1643&gt;=0.7,"Moderate","Poor")))</f>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16311.036084908477</v>
      </c>
      <c r="E1644" s="9">
        <f>IF(OR(C1644="",D1644="",D1644=0),"",C1644/D1644)</f>
        <v>0.71197193970680628</v>
      </c>
      <c r="F1644" t="str">
        <f>IF(E1644="","",IF(E1644&gt;=0.9,"Expected",IF(E1644&gt;=0.7,"Moderate","Poor")))</f>
        <v>Moderate</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17415.34140107991</v>
      </c>
      <c r="E1645" s="9">
        <f>IF(OR(C1645="",D1645="",D1645=0),"",C1645/D1645)</f>
        <v>0.72482070315413161</v>
      </c>
      <c r="F1645" t="str">
        <f>IF(E1645="","",IF(E1645&gt;=0.9,"Expected",IF(E1645&gt;=0.7,"Moderate","Poor")))</f>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16785.024396107161</v>
      </c>
      <c r="E1646" s="9">
        <f>IF(OR(C1646="",D1646="",D1646=0),"",C1646/D1646)</f>
        <v>0.83091925700356051</v>
      </c>
      <c r="F1646" t="str">
        <f>IF(E1646="","",IF(E1646&gt;=0.9,"Expected",IF(E1646&gt;=0.7,"Moderate","Poor")))</f>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14746.207459312209</v>
      </c>
      <c r="E1647" s="9">
        <f>IF(OR(C1647="",D1647="",D1647=0),"",C1647/D1647)</f>
        <v>1.0767514321096212</v>
      </c>
      <c r="F1647" t="str">
        <f>IF(E1647="","",IF(E1647&gt;=0.9,"Expected",IF(E1647&gt;=0.7,"Moderate","Poor")))</f>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15971.736087989166</v>
      </c>
      <c r="E1648" s="9">
        <f>IF(OR(C1648="",D1648="",D1648=0),"",C1648/D1648)</f>
        <v>0.95838047383658864</v>
      </c>
      <c r="F1648" t="str">
        <f>IF(E1648="","",IF(E1648&gt;=0.9,"Expected",IF(E1648&gt;=0.7,"Moderate","Poor")))</f>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13964.02422098066</v>
      </c>
      <c r="E1649" s="9">
        <f>IF(OR(C1649="",D1649="",D1649=0),"",C1649/D1649)</f>
        <v>0.96504988724902208</v>
      </c>
      <c r="F1649" t="str">
        <f>IF(E1649="","",IF(E1649&gt;=0.9,"Expected",IF(E1649&gt;=0.7,"Moderate","Poor")))</f>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14477.913826262735</v>
      </c>
      <c r="E1650" s="9">
        <f>IF(OR(C1650="",D1650="",D1650=0),"",C1650/D1650)</f>
        <v>1.173475005023261</v>
      </c>
      <c r="F1650" t="str">
        <f>IF(E1650="","",IF(E1650&gt;=0.9,"Expected",IF(E1650&gt;=0.7,"Moderate","Poor")))</f>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13576.601645590812</v>
      </c>
      <c r="E1651" s="9">
        <f>IF(OR(C1651="",D1651="",D1651=0),"",C1651/D1651)</f>
        <v>1.009015389683245</v>
      </c>
      <c r="F1651" t="str">
        <f>IF(E1651="","",IF(E1651&gt;=0.9,"Expected",IF(E1651&gt;=0.7,"Moderate","Poor")))</f>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8160.1900581930959</v>
      </c>
      <c r="E1652" s="9">
        <f>IF(OR(C1652="",D1652="",D1652=0),"",C1652/D1652)</f>
        <v>0.78282490413152084</v>
      </c>
      <c r="F1652" t="str">
        <f>IF(E1652="","",IF(E1652&gt;=0.9,"Expected",IF(E1652&gt;=0.7,"Moderate","Poor")))</f>
        <v>Moderate</v>
      </c>
      <c r="G1652" t="s">
        <v>874</v>
      </c>
    </row>
    <row r="1653" spans="1:7" ht="15" hidden="1"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16388.491674901914</v>
      </c>
      <c r="E1653" s="9">
        <f>IF(OR(C1653="",D1653="",D1653=0),"",C1653/D1653)</f>
        <v>1.1195661177348595</v>
      </c>
      <c r="F1653" t="str">
        <f>IF(E1653="","",IF(E1653&gt;=0.9,"Expected",IF(E1653&gt;=0.7,"Moderate","Poor")))</f>
        <v>Expected</v>
      </c>
      <c r="G1653" t="s">
        <v>874</v>
      </c>
    </row>
    <row r="1654" spans="1:7" ht="15" customHeight="1" x14ac:dyDescent="0.3">
      <c r="A1654" t="s">
        <v>160</v>
      </c>
      <c r="B1654" s="2">
        <v>46266</v>
      </c>
      <c r="C1654" cm="1">
        <f t="array" ref="C1654">IFERROR(IF(SUMPRODUCT((measured[Site Name]=A1654)*(measured[Date]=B1654)*ISNUMBER(measured[Measured Value (kWh)]))=0,"",SUMIFS(measured[Measured Value (kWh)],measured[Site Name],A1654,measured[Date],B1654)),"")</f>
        <v>16094</v>
      </c>
      <c r="D1654" cm="1">
        <f t="array" ref="D1654">IFERROR(IF(SUMPRODUCT((expected_production[Site Name]=A1654)*(expected_production[Date]=B1654)*ISNUMBER(expected_production[Expected Production (kWh)]))=0,"",SUMIFS(expected_production[Expected Production (kWh)],expected_production[Site Name],A1654,expected_production[Date],B1654)),"")</f>
        <v>16546.480653780891</v>
      </c>
      <c r="E1654" s="9">
        <f>IF(OR(C1654="",D1654="",D1654=0),"",C1654/D1654)</f>
        <v>0.9726539641118489</v>
      </c>
      <c r="F1654" t="str">
        <f>IF(E1654="","",IF(E1654&gt;=0.9,"Expected",IF(E1654&gt;=0.7,"Moderate","Poor")))</f>
        <v>Expected</v>
      </c>
      <c r="G1654" t="s">
        <v>874</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17170.227212217767</v>
      </c>
      <c r="E1655" s="9" t="str">
        <f>IF(OR(C1655="",D1655="",D1655=0),"",C1655/D1655)</f>
        <v/>
      </c>
      <c r="F1655" t="str">
        <f>IF(E1655="","",IF(E1655&gt;=0.9,"Expected",IF(E1655&gt;=0.7,"Moderate","Poor")))</f>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16196.936708405841</v>
      </c>
      <c r="E1656" s="9" t="str">
        <f>IF(OR(C1656="",D1656="",D1656=0),"",C1656/D1656)</f>
        <v/>
      </c>
      <c r="F1656" t="str">
        <f>IF(E1656="","",IF(E1656&gt;=0.9,"Expected",IF(E1656&gt;=0.7,"Moderate","Poor")))</f>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17293.517159805488</v>
      </c>
      <c r="E1657" s="9" t="str">
        <f>IF(OR(C1657="",D1657="",D1657=0),"",C1657/D1657)</f>
        <v/>
      </c>
      <c r="F1657" t="str">
        <f>IF(E1657="","",IF(E1657&gt;=0.9,"Expected",IF(E1657&gt;=0.7,"Moderate","Poor")))</f>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IF(OR(C1658="",D1658="",D1658=0),"",C1658/D1658)</f>
        <v/>
      </c>
      <c r="F1658" t="str">
        <f>IF(E1658="","",IF(E1658&gt;=0.9,"Expected",IF(E1658&gt;=0.7,"Moderate","Poor")))</f>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IF(OR(C1659="",D1659="",D1659=0),"",C1659/D1659)</f>
        <v/>
      </c>
      <c r="F1659" t="str">
        <f>IF(E1659="","",IF(E1659&gt;=0.9,"Expected",IF(E1659&gt;=0.7,"Moderate","Poor")))</f>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IF(OR(C1660="",D1660="",D1660=0),"",C1660/D1660)</f>
        <v/>
      </c>
      <c r="F1660" t="str">
        <f>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IF(OR(C1661="",D1661="",D1661=0),"",C1661/D1661)</f>
        <v/>
      </c>
      <c r="F1661" t="str">
        <f>IF(E1661="","",IF(E1661&gt;=0.9,"Expected",IF(E1661&gt;=0.7,"Moderate","Poor")))</f>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IF(OR(C1662="",D1662="",D1662=0),"",C1662/D1662)</f>
        <v/>
      </c>
      <c r="F1662" t="str">
        <f>IF(E1662="","",IF(E1662&gt;=0.9,"Expected",IF(E1662&gt;=0.7,"Moderate","Poor")))</f>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IF(OR(C1663="",D1663="",D1663=0),"",C1663/D1663)</f>
        <v/>
      </c>
      <c r="F1663" t="str">
        <f>IF(E1663="","",IF(E1663&gt;=0.9,"Expected",IF(E1663&gt;=0.7,"Moderate","Poor")))</f>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IF(OR(C1664="",D1664="",D1664=0),"",C1664/D1664)</f>
        <v/>
      </c>
      <c r="F1664" t="str">
        <f>IF(E1664="","",IF(E1664&gt;=0.9,"Expected",IF(E1664&gt;=0.7,"Moderate","Poor")))</f>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IF(OR(C1665="",D1665="",D1665=0),"",C1665/D1665)</f>
        <v/>
      </c>
      <c r="F1665" t="str">
        <f>IF(E1665="","",IF(E1665&gt;=0.9,"Expected",IF(E1665&gt;=0.7,"Moderate","Poor")))</f>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IF(OR(C1666="",D1666="",D1666=0),"",C1666/D1666)</f>
        <v/>
      </c>
      <c r="F1666" t="str">
        <f>IF(E1666="","",IF(E1666&gt;=0.9,"Expected",IF(E1666&gt;=0.7,"Moderate","Poor")))</f>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IF(OR(C1667="",D1667="",D1667=0),"",C1667/D1667)</f>
        <v/>
      </c>
      <c r="F1667" t="str">
        <f>IF(E1667="","",IF(E1667&gt;=0.9,"Expected",IF(E1667&gt;=0.7,"Moderate","Poor")))</f>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IF(OR(C1668="",D1668="",D1668=0),"",C1668/D1668)</f>
        <v/>
      </c>
      <c r="F1668" t="str">
        <f>IF(E1668="","",IF(E1668&gt;=0.9,"Expected",IF(E1668&gt;=0.7,"Moderate","Poor")))</f>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IF(OR(C1669="",D1669="",D1669=0),"",C1669/D1669)</f>
        <v/>
      </c>
      <c r="F1669" t="str">
        <f>IF(E1669="","",IF(E1669&gt;=0.9,"Expected",IF(E1669&gt;=0.7,"Moderate","Poor")))</f>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IF(OR(C1670="",D1670="",D1670=0),"",C1670/D1670)</f>
        <v/>
      </c>
      <c r="F1670" t="str">
        <f>IF(E1670="","",IF(E1670&gt;=0.9,"Expected",IF(E1670&gt;=0.7,"Moderate","Poor")))</f>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IF(OR(C1671="",D1671="",D1671=0),"",C1671/D1671)</f>
        <v/>
      </c>
      <c r="F1671" t="str">
        <f>IF(E1671="","",IF(E1671&gt;=0.9,"Expected",IF(E1671&gt;=0.7,"Moderate","Poor")))</f>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IF(OR(C1672="",D1672="",D1672=0),"",C1672/D1672)</f>
        <v/>
      </c>
      <c r="F1672" t="str">
        <f>IF(E1672="","",IF(E1672&gt;=0.9,"Expected",IF(E1672&gt;=0.7,"Moderate","Poor")))</f>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IF(OR(C1673="",D1673="",D1673=0),"",C1673/D1673)</f>
        <v/>
      </c>
      <c r="F1673" t="str">
        <f>IF(E1673="","",IF(E1673&gt;=0.9,"Expected",IF(E1673&gt;=0.7,"Moderate","Poor")))</f>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IF(OR(C1674="",D1674="",D1674=0),"",C1674/D1674)</f>
        <v/>
      </c>
      <c r="F1674" t="str">
        <f>IF(E1674="","",IF(E1674&gt;=0.9,"Expected",IF(E1674&gt;=0.7,"Moderate","Poor")))</f>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IF(OR(C1675="",D1675="",D1675=0),"",C1675/D1675)</f>
        <v/>
      </c>
      <c r="F1675" t="str">
        <f>IF(E1675="","",IF(E1675&gt;=0.9,"Expected",IF(E1675&gt;=0.7,"Moderate","Poor")))</f>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IF(OR(C1676="",D1676="",D1676=0),"",C1676/D1676)</f>
        <v/>
      </c>
      <c r="F1676" t="str">
        <f>IF(E1676="","",IF(E1676&gt;=0.9,"Expected",IF(E1676&gt;=0.7,"Moderate","Poor")))</f>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IF(OR(C1677="",D1677="",D1677=0),"",C1677/D1677)</f>
        <v/>
      </c>
      <c r="F1677" t="str">
        <f>IF(E1677="","",IF(E1677&gt;=0.9,"Expected",IF(E1677&gt;=0.7,"Moderate","Poor")))</f>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IF(OR(C1678="",D1678="",D1678=0),"",C1678/D1678)</f>
        <v/>
      </c>
      <c r="F1678" t="str">
        <f>IF(E1678="","",IF(E1678&gt;=0.9,"Expected",IF(E1678&gt;=0.7,"Moderate","Poor")))</f>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IF(OR(C1679="",D1679="",D1679=0),"",C1679/D1679)</f>
        <v/>
      </c>
      <c r="F1679" t="str">
        <f>IF(E1679="","",IF(E1679&gt;=0.9,"Expected",IF(E1679&gt;=0.7,"Moderate","Poor")))</f>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IF(OR(C1680="",D1680="",D1680=0),"",C1680/D1680)</f>
        <v/>
      </c>
      <c r="F1680" t="str">
        <f>IF(E1680="","",IF(E1680&gt;=0.9,"Expected",IF(E1680&gt;=0.7,"Moderate","Poor")))</f>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IF(OR(C1681="",D1681="",D1681=0),"",C1681/D1681)</f>
        <v/>
      </c>
      <c r="F1681" t="str">
        <f>IF(E1681="","",IF(E1681&gt;=0.9,"Expected",IF(E1681&gt;=0.7,"Moderate","Poor")))</f>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IF(OR(C1682="",D1682="",D1682=0),"",C1682/D1682)</f>
        <v/>
      </c>
      <c r="F1682" t="str">
        <f>IF(E1682="","",IF(E1682&gt;=0.9,"Expected",IF(E1682&gt;=0.7,"Moderate","Poor")))</f>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IF(OR(C1683="",D1683="",D1683=0),"",C1683/D1683)</f>
        <v/>
      </c>
      <c r="F1683" t="str">
        <f>IF(E1683="","",IF(E1683&gt;=0.9,"Expected",IF(E1683&gt;=0.7,"Moderate","Poor")))</f>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IF(OR(C1684="",D1684="",D1684=0),"",C1684/D1684)</f>
        <v/>
      </c>
      <c r="F1684" t="str">
        <f>IF(E1684="","",IF(E1684&gt;=0.9,"Expected",IF(E1684&gt;=0.7,"Moderate","Poor")))</f>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IF(OR(C1685="",D1685="",D1685=0),"",C1685/D1685)</f>
        <v>0.5991140642303433</v>
      </c>
      <c r="F1685" t="str">
        <f>IF(E1685="","",IF(E1685&gt;=0.9,"Expected",IF(E1685&gt;=0.7,"Moderate","Poor")))</f>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18113.894373473599</v>
      </c>
      <c r="E1686" s="9">
        <f>IF(OR(C1686="",D1686="",D1686=0),"",C1686/D1686)</f>
        <v>0.65253775672389247</v>
      </c>
      <c r="F1686" t="str">
        <f>IF(E1686="","",IF(E1686&gt;=0.9,"Expected",IF(E1686&gt;=0.7,"Moderate","Poor")))</f>
        <v>Poor</v>
      </c>
    </row>
    <row r="1687" spans="1:7" ht="15" hidden="1" customHeight="1" x14ac:dyDescent="0.3">
      <c r="A1687" t="s">
        <v>244</v>
      </c>
      <c r="B1687" s="2">
        <v>46174</v>
      </c>
      <c r="C1687" cm="1">
        <f t="array" ref="C1687">IFERROR(IF(SUMPRODUCT((measured[Site Name]=A1687)*(measured[Date]=B1687)*ISNUMBER(measured[Measured Value (kWh)]))=0,"",SUMIFS(measured[Measured Value (kWh)],measured[Site Name],A1687,measured[Date],B1687)),"")</f>
        <v>10720</v>
      </c>
      <c r="D1687" cm="1">
        <f t="array" ref="D1687">IFERROR(IF(SUMPRODUCT((expected_production[Site Name]=A1687)*(expected_production[Date]=B1687)*ISNUMBER(expected_production[Expected Production (kWh)]))=0,"",SUMIFS(expected_production[Expected Production (kWh)],expected_production[Site Name],A1687,expected_production[Date],B1687)),"")</f>
        <v>15889.653696235797</v>
      </c>
      <c r="E1687" s="9">
        <f>IF(OR(C1687="",D1687="",D1687=0),"",C1687/D1687)</f>
        <v>0.67465284045425922</v>
      </c>
      <c r="F1687" t="str">
        <f>IF(E1687="","",IF(E1687&gt;=0.9,"Expected",IF(E1687&gt;=0.7,"Moderate","Poor")))</f>
        <v>Poor</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4018.6598441673082</v>
      </c>
      <c r="E1688" s="9">
        <f>IF(OR(C1688="",D1688="",D1688=0),"",C1688/D1688)</f>
        <v>0</v>
      </c>
      <c r="F1688" t="str">
        <f>IF(E1688="","",IF(E1688&gt;=0.9,"Expected",IF(E1688&gt;=0.7,"Moderate","Poor")))</f>
        <v>Poor</v>
      </c>
      <c r="G1688" t="s">
        <v>874</v>
      </c>
    </row>
    <row r="1689" spans="1:7" ht="15" hidden="1"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19359.894854591596</v>
      </c>
      <c r="E1689" s="9">
        <f>IF(OR(C1689="",D1689="",D1689=0),"",C1689/D1689)</f>
        <v>0.47675878765482638</v>
      </c>
      <c r="F1689" t="str">
        <f>IF(E1689="","",IF(E1689&gt;=0.9,"Expected",IF(E1689&gt;=0.7,"Moderate","Poor")))</f>
        <v>Poor</v>
      </c>
      <c r="G1689" t="s">
        <v>874</v>
      </c>
    </row>
    <row r="1690" spans="1:7" ht="15" customHeight="1" x14ac:dyDescent="0.3">
      <c r="A1690" t="s">
        <v>244</v>
      </c>
      <c r="B1690" s="2">
        <v>46266</v>
      </c>
      <c r="C1690" cm="1">
        <f t="array" ref="C1690">IFERROR(IF(SUMPRODUCT((measured[Site Name]=A1690)*(measured[Date]=B1690)*ISNUMBER(measured[Measured Value (kWh)]))=0,"",SUMIFS(measured[Measured Value (kWh)],measured[Site Name],A1690,measured[Date],B1690)),"")</f>
        <v>11370</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19922.674500009034</v>
      </c>
      <c r="E1690" s="9">
        <f>IF(OR(C1690="",D1690="",D1690=0),"",C1690/D1690)</f>
        <v>0.57070650830513969</v>
      </c>
      <c r="F1690" t="str">
        <f>IF(E1690="","",IF(E1690&gt;=0.9,"Expected",IF(E1690&gt;=0.7,"Moderate","Poor")))</f>
        <v>Poor</v>
      </c>
      <c r="G1690" t="s">
        <v>874</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22322.727133958444</v>
      </c>
      <c r="E1691" s="9" t="str">
        <f>IF(OR(C1691="",D1691="",D1691=0),"",C1691/D1691)</f>
        <v/>
      </c>
      <c r="F1691" t="str">
        <f>IF(E1691="","",IF(E1691&gt;=0.9,"Expected",IF(E1691&gt;=0.7,"Moderate","Poor")))</f>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20042.72676903884</v>
      </c>
      <c r="E1692" s="9" t="str">
        <f>IF(OR(C1692="",D1692="",D1692=0),"",C1692/D1692)</f>
        <v/>
      </c>
      <c r="F1692" t="str">
        <f>IF(E1692="","",IF(E1692&gt;=0.9,"Expected",IF(E1692&gt;=0.7,"Moderate","Poor")))</f>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20674.154032144703</v>
      </c>
      <c r="E1693" s="9" t="str">
        <f>IF(OR(C1693="",D1693="",D1693=0),"",C1693/D1693)</f>
        <v/>
      </c>
      <c r="F1693" t="str">
        <f>IF(E1693="","",IF(E1693&gt;=0.9,"Expected",IF(E1693&gt;=0.7,"Moderate","Poor")))</f>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IF(OR(C1694="",D1694="",D1694=0),"",C1694/D1694)</f>
        <v/>
      </c>
      <c r="F1694" t="str">
        <f>IF(E1694="","",IF(E1694&gt;=0.9,"Expected",IF(E1694&gt;=0.7,"Moderate","Poor")))</f>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IF(OR(C1695="",D1695="",D1695=0),"",C1695/D1695)</f>
        <v/>
      </c>
      <c r="F1695" t="str">
        <f>IF(E1695="","",IF(E1695&gt;=0.9,"Expected",IF(E1695&gt;=0.7,"Moderate","Poor")))</f>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IF(OR(C1696="",D1696="",D1696=0),"",C1696/D1696)</f>
        <v/>
      </c>
      <c r="F1696" t="str">
        <f>IF(E1696="","",IF(E1696&gt;=0.9,"Expected",IF(E1696&gt;=0.7,"Moderate","Poor")))</f>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IF(OR(C1697="",D1697="",D1697=0),"",C1697/D1697)</f>
        <v/>
      </c>
      <c r="F1697" t="str">
        <f>IF(E1697="","",IF(E1697&gt;=0.9,"Expected",IF(E1697&gt;=0.7,"Moderate","Poor")))</f>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IF(OR(C1698="",D1698="",D1698=0),"",C1698/D1698)</f>
        <v/>
      </c>
      <c r="F1698" t="str">
        <f>IF(E1698="","",IF(E1698&gt;=0.9,"Expected",IF(E1698&gt;=0.7,"Moderate","Poor")))</f>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IF(OR(C1699="",D1699="",D1699=0),"",C1699/D1699)</f>
        <v/>
      </c>
      <c r="F1699" t="str">
        <f>IF(E1699="","",IF(E1699&gt;=0.9,"Expected",IF(E1699&gt;=0.7,"Moderate","Poor")))</f>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IF(OR(C1700="",D1700="",D1700=0),"",C1700/D1700)</f>
        <v/>
      </c>
      <c r="F1700" t="str">
        <f>IF(E1700="","",IF(E1700&gt;=0.9,"Expected",IF(E1700&gt;=0.7,"Moderate","Poor")))</f>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IF(OR(C1701="",D1701="",D1701=0),"",C1701/D1701)</f>
        <v/>
      </c>
      <c r="F1701" t="str">
        <f>IF(E1701="","",IF(E1701&gt;=0.9,"Expected",IF(E1701&gt;=0.7,"Moderate","Poor")))</f>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IF(OR(C1702="",D1702="",D1702=0),"",C1702/D1702)</f>
        <v/>
      </c>
      <c r="F1702" t="str">
        <f>IF(E1702="","",IF(E1702&gt;=0.9,"Expected",IF(E1702&gt;=0.7,"Moderate","Poor")))</f>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IF(OR(C1703="",D1703="",D1703=0),"",C1703/D1703)</f>
        <v/>
      </c>
      <c r="F1703" t="str">
        <f>IF(E1703="","",IF(E1703&gt;=0.9,"Expected",IF(E1703&gt;=0.7,"Moderate","Poor")))</f>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IF(OR(C1704="",D1704="",D1704=0),"",C1704/D1704)</f>
        <v/>
      </c>
      <c r="F1704" t="str">
        <f>IF(E1704="","",IF(E1704&gt;=0.9,"Expected",IF(E1704&gt;=0.7,"Moderate","Poor")))</f>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IF(OR(C1705="",D1705="",D1705=0),"",C1705/D1705)</f>
        <v/>
      </c>
      <c r="F1705" t="str">
        <f>IF(E1705="","",IF(E1705&gt;=0.9,"Expected",IF(E1705&gt;=0.7,"Moderate","Poor")))</f>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IF(OR(C1706="",D1706="",D1706=0),"",C1706/D1706)</f>
        <v/>
      </c>
      <c r="F1706" t="str">
        <f>IF(E1706="","",IF(E1706&gt;=0.9,"Expected",IF(E1706&gt;=0.7,"Moderate","Poor")))</f>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IF(OR(C1707="",D1707="",D1707=0),"",C1707/D1707)</f>
        <v/>
      </c>
      <c r="F1707" t="str">
        <f>IF(E1707="","",IF(E1707&gt;=0.9,"Expected",IF(E1707&gt;=0.7,"Moderate","Poor")))</f>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IF(OR(C1708="",D1708="",D1708=0),"",C1708/D1708)</f>
        <v/>
      </c>
      <c r="F1708" t="str">
        <f>IF(E1708="","",IF(E1708&gt;=0.9,"Expected",IF(E1708&gt;=0.7,"Moderate","Poor")))</f>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IF(OR(C1709="",D1709="",D1709=0),"",C1709/D1709)</f>
        <v/>
      </c>
      <c r="F1709" t="str">
        <f>IF(E1709="","",IF(E1709&gt;=0.9,"Expected",IF(E1709&gt;=0.7,"Moderate","Poor")))</f>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IF(OR(C1710="",D1710="",D1710=0),"",C1710/D1710)</f>
        <v/>
      </c>
      <c r="F1710" t="str">
        <f>IF(E1710="","",IF(E1710&gt;=0.9,"Expected",IF(E1710&gt;=0.7,"Moderate","Poor")))</f>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IF(OR(C1711="",D1711="",D1711=0),"",C1711/D1711)</f>
        <v/>
      </c>
      <c r="F1711" t="str">
        <f>IF(E1711="","",IF(E1711&gt;=0.9,"Expected",IF(E1711&gt;=0.7,"Moderate","Poor")))</f>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IF(OR(C1712="",D1712="",D1712=0),"",C1712/D1712)</f>
        <v/>
      </c>
      <c r="F1712" t="str">
        <f>IF(E1712="","",IF(E1712&gt;=0.9,"Expected",IF(E1712&gt;=0.7,"Moderate","Poor")))</f>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IF(OR(C1713="",D1713="",D1713=0),"",C1713/D1713)</f>
        <v>1.2379288080399737</v>
      </c>
      <c r="F1713" t="str">
        <f>IF(E1713="","",IF(E1713&gt;=0.9,"Expected",IF(E1713&gt;=0.7,"Moderate","Poor")))</f>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7862.3852450902705</v>
      </c>
      <c r="E1714" s="9">
        <f>IF(OR(C1714="",D1714="",D1714=0),"",C1714/D1714)</f>
        <v>0.9369930078916423</v>
      </c>
      <c r="F1714" t="str">
        <f>IF(E1714="","",IF(E1714&gt;=0.9,"Expected",IF(E1714&gt;=0.7,"Moderate","Poor")))</f>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8999.9272944607237</v>
      </c>
      <c r="E1715" s="9">
        <f>IF(OR(C1715="",D1715="",D1715=0),"",C1715/D1715)</f>
        <v>0.98045236492421406</v>
      </c>
      <c r="F1715" t="str">
        <f>IF(E1715="","",IF(E1715&gt;=0.9,"Expected",IF(E1715&gt;=0.7,"Moderate","Poor")))</f>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8986.4744761828006</v>
      </c>
      <c r="E1716" s="9">
        <f>IF(OR(C1716="",D1716="",D1716=0),"",C1716/D1716)</f>
        <v>0.85528535360229441</v>
      </c>
      <c r="F1716" t="str">
        <f>IF(E1716="","",IF(E1716&gt;=0.9,"Expected",IF(E1716&gt;=0.7,"Moderate","Poor")))</f>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9222.9119327736062</v>
      </c>
      <c r="E1717" s="9">
        <f>IF(OR(C1717="",D1717="",D1717=0),"",C1717/D1717)</f>
        <v>1.0116110907278488</v>
      </c>
      <c r="F1717" t="str">
        <f>IF(E1717="","",IF(E1717&gt;=0.9,"Expected",IF(E1717&gt;=0.7,"Moderate","Poor")))</f>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9283.8434297647691</v>
      </c>
      <c r="E1718" s="9">
        <f>IF(OR(C1718="",D1718="",D1718=0),"",C1718/D1718)</f>
        <v>1.011111407793081</v>
      </c>
      <c r="F1718" t="str">
        <f>IF(E1718="","",IF(E1718&gt;=0.9,"Expected",IF(E1718&gt;=0.7,"Moderate","Poor")))</f>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7976.5475191757214</v>
      </c>
      <c r="E1719" s="9">
        <f>IF(OR(C1719="",D1719="",D1719=0),"",C1719/D1719)</f>
        <v>1.0781606928718837</v>
      </c>
      <c r="F1719" t="str">
        <f>IF(E1719="","",IF(E1719&gt;=0.9,"Expected",IF(E1719&gt;=0.7,"Moderate","Poor")))</f>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7774.9868415836163</v>
      </c>
      <c r="E1720" s="9">
        <f>IF(OR(C1720="",D1720="",D1720=0),"",C1720/D1720)</f>
        <v>0.86804005428070374</v>
      </c>
      <c r="F1720" t="str">
        <f>IF(E1720="","",IF(E1720&gt;=0.9,"Expected",IF(E1720&gt;=0.7,"Moderate","Poor")))</f>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6755.9323510139957</v>
      </c>
      <c r="E1721" s="9">
        <f>IF(OR(C1721="",D1721="",D1721=0),"",C1721/D1721)</f>
        <v>0.9016534925909564</v>
      </c>
      <c r="F1721" t="str">
        <f>IF(E1721="","",IF(E1721&gt;=0.9,"Expected",IF(E1721&gt;=0.7,"Moderate","Poor")))</f>
        <v>Expected</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6213.7713640850643</v>
      </c>
      <c r="E1722" s="9">
        <f>IF(OR(C1722="",D1722="",D1722=0),"",C1722/D1722)</f>
        <v>0.99295092118480066</v>
      </c>
      <c r="F1722" t="str">
        <f>IF(E1722="","",IF(E1722&gt;=0.9,"Expected",IF(E1722&gt;=0.7,"Moderate","Poor")))</f>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5494.0034822044072</v>
      </c>
      <c r="E1723" s="9">
        <f>IF(OR(C1723="",D1723="",D1723=0),"",C1723/D1723)</f>
        <v>0.86021059420656676</v>
      </c>
      <c r="F1723" t="str">
        <f>IF(E1723="","",IF(E1723&gt;=0.9,"Expected",IF(E1723&gt;=0.7,"Moderate","Poor")))</f>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5148.2961833399686</v>
      </c>
      <c r="E1724" s="9">
        <f>IF(OR(C1724="",D1724="",D1724=0),"",C1724/D1724)</f>
        <v>0.89893817977612445</v>
      </c>
      <c r="F1724" t="str">
        <f>IF(E1724="","",IF(E1724&gt;=0.9,"Expected",IF(E1724&gt;=0.7,"Moderate","Poor")))</f>
        <v>Moderate</v>
      </c>
      <c r="G1724" t="s">
        <v>874</v>
      </c>
    </row>
    <row r="1725" spans="1:7" ht="15" hidden="1" customHeight="1" x14ac:dyDescent="0.3">
      <c r="A1725" t="s">
        <v>213</v>
      </c>
      <c r="B1725" s="2">
        <v>46235</v>
      </c>
      <c r="C1725" cm="1">
        <f t="array" ref="C1725">IFERROR(IF(SUMPRODUCT((measured[Site Name]=A1725)*(measured[Date]=B1725)*ISNUMBER(measured[Measured Value (kWh)]))=0,"",SUMIFS(measured[Measured Value (kWh)],measured[Site Name],A1725,measured[Date],B1725)),"")</f>
        <v>6659</v>
      </c>
      <c r="D1725" cm="1">
        <f t="array" ref="D1725">IFERROR(IF(SUMPRODUCT((expected_production[Site Name]=A1725)*(expected_production[Date]=B1725)*ISNUMBER(expected_production[Expected Production (kWh)]))=0,"",SUMIFS(expected_production[Expected Production (kWh)],expected_production[Site Name],A1725,expected_production[Date],B1725)),"")</f>
        <v>7076.7514890459479</v>
      </c>
      <c r="E1725" s="9">
        <f>IF(OR(C1725="",D1725="",D1725=0),"",C1725/D1725)</f>
        <v>0.94096846700176173</v>
      </c>
      <c r="F1725" t="str">
        <f>IF(E1725="","",IF(E1725&gt;=0.9,"Expected",IF(E1725&gt;=0.7,"Moderate","Poor")))</f>
        <v>Expected</v>
      </c>
      <c r="G1725" t="s">
        <v>874</v>
      </c>
    </row>
    <row r="1726" spans="1:7" ht="15" customHeight="1" x14ac:dyDescent="0.3">
      <c r="A1726" t="s">
        <v>117</v>
      </c>
      <c r="B1726" s="2">
        <v>46266</v>
      </c>
      <c r="C1726" cm="1">
        <f t="array" ref="C1726">IFERROR(IF(SUMPRODUCT((measured[Site Name]=A1726)*(measured[Date]=B1726)*ISNUMBER(measured[Measured Value (kWh)]))=0,"",SUMIFS(measured[Measured Value (kWh)],measured[Site Name],A1726,measured[Date],B1726)),"")</f>
        <v>23016.89</v>
      </c>
      <c r="D1726" cm="1">
        <f t="array" ref="D1726">IFERROR(IF(SUMPRODUCT((expected_production[Site Name]=A1726)*(expected_production[Date]=B1726)*ISNUMBER(expected_production[Expected Production (kWh)]))=0,"",SUMIFS(expected_production[Expected Production (kWh)],expected_production[Site Name],A1726,expected_production[Date],B1726)),"")</f>
        <v>28398.521223834094</v>
      </c>
      <c r="E1726" s="9">
        <f>IF(OR(C1726="",D1726="",D1726=0),"",C1726/D1726)</f>
        <v>0.81049607543235591</v>
      </c>
      <c r="F1726" t="str">
        <f>IF(E1726="","",IF(E1726&gt;=0.9,"Expected",IF(E1726&gt;=0.7,"Moderate","Poor")))</f>
        <v>Moderate</v>
      </c>
      <c r="G1726" t="s">
        <v>874</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8936.9707730281516</v>
      </c>
      <c r="E1727" s="9" t="str">
        <f>IF(OR(C1727="",D1727="",D1727=0),"",C1727/D1727)</f>
        <v/>
      </c>
      <c r="F1727" t="str">
        <f>IF(E1727="","",IF(E1727&gt;=0.9,"Expected",IF(E1727&gt;=0.7,"Moderate","Poor")))</f>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8923.6120602484771</v>
      </c>
      <c r="E1728" s="9" t="str">
        <f>IF(OR(C1728="",D1728="",D1728=0),"",C1728/D1728)</f>
        <v/>
      </c>
      <c r="F1728" t="str">
        <f>IF(E1728="","",IF(E1728&gt;=0.9,"Expected",IF(E1728&gt;=0.7,"Moderate","Poor")))</f>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9158.3955835000106</v>
      </c>
      <c r="E1729" s="9" t="str">
        <f>IF(OR(C1729="",D1729="",D1729=0),"",C1729/D1729)</f>
        <v/>
      </c>
      <c r="F1729" t="str">
        <f>IF(E1729="","",IF(E1729&gt;=0.9,"Expected",IF(E1729&gt;=0.7,"Moderate","Poor")))</f>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IF(OR(C1730="",D1730="",D1730=0),"",C1730/D1730)</f>
        <v/>
      </c>
      <c r="F1730" t="str">
        <f>IF(E1730="","",IF(E1730&gt;=0.9,"Expected",IF(E1730&gt;=0.7,"Moderate","Poor")))</f>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IF(OR(C1731="",D1731="",D1731=0),"",C1731/D1731)</f>
        <v/>
      </c>
      <c r="F1731" t="str">
        <f>IF(E1731="","",IF(E1731&gt;=0.9,"Expected",IF(E1731&gt;=0.7,"Moderate","Poor")))</f>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IF(OR(C1732="",D1732="",D1732=0),"",C1732/D1732)</f>
        <v/>
      </c>
      <c r="F1732" t="str">
        <f>IF(E1732="","",IF(E1732&gt;=0.9,"Expected",IF(E1732&gt;=0.7,"Moderate","Poor")))</f>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IF(OR(C1733="",D1733="",D1733=0),"",C1733/D1733)</f>
        <v/>
      </c>
      <c r="F1733" t="str">
        <f>IF(E1733="","",IF(E1733&gt;=0.9,"Expected",IF(E1733&gt;=0.7,"Moderate","Poor")))</f>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IF(OR(C1734="",D1734="",D1734=0),"",C1734/D1734)</f>
        <v/>
      </c>
      <c r="F1734" t="str">
        <f>IF(E1734="","",IF(E1734&gt;=0.9,"Expected",IF(E1734&gt;=0.7,"Moderate","Poor")))</f>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IF(OR(C1735="",D1735="",D1735=0),"",C1735/D1735)</f>
        <v/>
      </c>
      <c r="F1735" t="str">
        <f>IF(E1735="","",IF(E1735&gt;=0.9,"Expected",IF(E1735&gt;=0.7,"Moderate","Poor")))</f>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IF(OR(C1736="",D1736="",D1736=0),"",C1736/D1736)</f>
        <v/>
      </c>
      <c r="F1736" t="str">
        <f>IF(E1736="","",IF(E1736&gt;=0.9,"Expected",IF(E1736&gt;=0.7,"Moderate","Poor")))</f>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IF(OR(C1737="",D1737="",D1737=0),"",C1737/D1737)</f>
        <v/>
      </c>
      <c r="F1737" t="str">
        <f>IF(E1737="","",IF(E1737&gt;=0.9,"Expected",IF(E1737&gt;=0.7,"Moderate","Poor")))</f>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IF(OR(C1738="",D1738="",D1738=0),"",C1738/D1738)</f>
        <v/>
      </c>
      <c r="F1738" t="str">
        <f>IF(E1738="","",IF(E1738&gt;=0.9,"Expected",IF(E1738&gt;=0.7,"Moderate","Poor")))</f>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IF(OR(C1739="",D1739="",D1739=0),"",C1739/D1739)</f>
        <v/>
      </c>
      <c r="F1739" t="str">
        <f>IF(E1739="","",IF(E1739&gt;=0.9,"Expected",IF(E1739&gt;=0.7,"Moderate","Poor")))</f>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IF(OR(C1740="",D1740="",D1740=0),"",C1740/D1740)</f>
        <v/>
      </c>
      <c r="F1740" t="str">
        <f>IF(E1740="","",IF(E1740&gt;=0.9,"Expected",IF(E1740&gt;=0.7,"Moderate","Poor")))</f>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IF(OR(C1741="",D1741="",D1741=0),"",C1741/D1741)</f>
        <v/>
      </c>
      <c r="F1741" t="str">
        <f>IF(E1741="","",IF(E1741&gt;=0.9,"Expected",IF(E1741&gt;=0.7,"Moderate","Poor")))</f>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IF(OR(C1742="",D1742="",D1742=0),"",C1742/D1742)</f>
        <v/>
      </c>
      <c r="F1742" t="str">
        <f>IF(E1742="","",IF(E1742&gt;=0.9,"Expected",IF(E1742&gt;=0.7,"Moderate","Poor")))</f>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IF(OR(C1743="",D1743="",D1743=0),"",C1743/D1743)</f>
        <v/>
      </c>
      <c r="F1743" t="str">
        <f>IF(E1743="","",IF(E1743&gt;=0.9,"Expected",IF(E1743&gt;=0.7,"Moderate","Poor")))</f>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IF(OR(C1744="",D1744="",D1744=0),"",C1744/D1744)</f>
        <v/>
      </c>
      <c r="F1744" t="str">
        <f>IF(E1744="","",IF(E1744&gt;=0.9,"Expected",IF(E1744&gt;=0.7,"Moderate","Poor")))</f>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IF(OR(C1745="",D1745="",D1745=0),"",C1745/D1745)</f>
        <v/>
      </c>
      <c r="F1745" t="str">
        <f>IF(E1745="","",IF(E1745&gt;=0.9,"Expected",IF(E1745&gt;=0.7,"Moderate","Poor")))</f>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IF(OR(C1746="",D1746="",D1746=0),"",C1746/D1746)</f>
        <v/>
      </c>
      <c r="F1746" t="str">
        <f>IF(E1746="","",IF(E1746&gt;=0.9,"Expected",IF(E1746&gt;=0.7,"Moderate","Poor")))</f>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IF(OR(C1747="",D1747="",D1747=0),"",C1747/D1747)</f>
        <v/>
      </c>
      <c r="F1747" t="str">
        <f>IF(E1747="","",IF(E1747&gt;=0.9,"Expected",IF(E1747&gt;=0.7,"Moderate","Poor")))</f>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IF(OR(C1748="",D1748="",D1748=0),"",C1748/D1748)</f>
        <v/>
      </c>
      <c r="F1748" t="str">
        <f>IF(E1748="","",IF(E1748&gt;=0.9,"Expected",IF(E1748&gt;=0.7,"Moderate","Poor")))</f>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IF(OR(C1749="",D1749="",D1749=0),"",C1749/D1749)</f>
        <v>1.1379610299234513</v>
      </c>
      <c r="F1749" t="str">
        <f>IF(E1749="","",IF(E1749&gt;=0.9,"Expected",IF(E1749&gt;=0.7,"Moderate","Poor")))</f>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24774.881590560257</v>
      </c>
      <c r="E1750" s="9">
        <f>IF(OR(C1750="",D1750="",D1750=0),"",C1750/D1750)</f>
        <v>0.86111410551115186</v>
      </c>
      <c r="F1750" t="str">
        <f>IF(E1750="","",IF(E1750&gt;=0.9,"Expected",IF(E1750&gt;=0.7,"Moderate","Poor")))</f>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28104.988782352219</v>
      </c>
      <c r="E1751" s="9">
        <f>IF(OR(C1751="",D1751="",D1751=0),"",C1751/D1751)</f>
        <v>0.94566840804750474</v>
      </c>
      <c r="F1751" t="str">
        <f>IF(E1751="","",IF(E1751&gt;=0.9,"Expected",IF(E1751&gt;=0.7,"Moderate","Poor")))</f>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28021.730942384591</v>
      </c>
      <c r="E1752" s="9">
        <f>IF(OR(C1752="",D1752="",D1752=0),"",C1752/D1752)</f>
        <v>0.80755182634960809</v>
      </c>
      <c r="F1752" t="str">
        <f>IF(E1752="","",IF(E1752&gt;=0.9,"Expected",IF(E1752&gt;=0.7,"Moderate","Poor")))</f>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28646.896208799044</v>
      </c>
      <c r="E1753" s="9">
        <f>IF(OR(C1753="",D1753="",D1753=0),"",C1753/D1753)</f>
        <v>0.97012255001167802</v>
      </c>
      <c r="F1753" t="str">
        <f>IF(E1753="","",IF(E1753&gt;=0.9,"Expected",IF(E1753&gt;=0.7,"Moderate","Poor")))</f>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28625.692595794906</v>
      </c>
      <c r="E1754" s="9">
        <f>IF(OR(C1754="",D1754="",D1754=0),"",C1754/D1754)</f>
        <v>0.97391530027453044</v>
      </c>
      <c r="F1754" t="str">
        <f>IF(E1754="","",IF(E1754&gt;=0.9,"Expected",IF(E1754&gt;=0.7,"Moderate","Poor")))</f>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24830.379674752719</v>
      </c>
      <c r="E1755" s="9">
        <f>IF(OR(C1755="",D1755="",D1755=0),"",C1755/D1755)</f>
        <v>1.0269677843842293</v>
      </c>
      <c r="F1755" t="str">
        <f>IF(E1755="","",IF(E1755&gt;=0.9,"Expected",IF(E1755&gt;=0.7,"Moderate","Poor")))</f>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24478.969066455167</v>
      </c>
      <c r="E1756" s="9">
        <f>IF(OR(C1756="",D1756="",D1756=0),"",C1756/D1756)</f>
        <v>0.84778897116377905</v>
      </c>
      <c r="F1756" t="str">
        <f>IF(E1756="","",IF(E1756&gt;=0.9,"Expected",IF(E1756&gt;=0.7,"Moderate","Poor")))</f>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21296.555554032049</v>
      </c>
      <c r="E1757" s="9">
        <f>IF(OR(C1757="",D1757="",D1757=0),"",C1757/D1757)</f>
        <v>0.84808972766398649</v>
      </c>
      <c r="F1757" t="str">
        <f>IF(E1757="","",IF(E1757&gt;=0.9,"Expected",IF(E1757&gt;=0.7,"Moderate","Poor")))</f>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19627.385333514583</v>
      </c>
      <c r="E1758" s="9">
        <f>IF(OR(C1758="",D1758="",D1758=0),"",C1758/D1758)</f>
        <v>0.96337233302863712</v>
      </c>
      <c r="F1758" t="str">
        <f>IF(E1758="","",IF(E1758&gt;=0.9,"Expected",IF(E1758&gt;=0.7,"Moderate","Poor")))</f>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17335.91714619338</v>
      </c>
      <c r="E1759" s="9">
        <f>IF(OR(C1759="",D1759="",D1759=0),"",C1759/D1759)</f>
        <v>0.80961969774307063</v>
      </c>
      <c r="F1759" t="str">
        <f>IF(E1759="","",IF(E1759&gt;=0.9,"Expected",IF(E1759&gt;=0.7,"Moderate","Poor")))</f>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14781.054910605559</v>
      </c>
      <c r="E1760" s="9">
        <f>IF(OR(C1760="",D1760="",D1760=0),"",C1760/D1760)</f>
        <v>1.1292157495487034</v>
      </c>
      <c r="F1760" t="str">
        <f>IF(E1760="","",IF(E1760&gt;=0.9,"Expected",IF(E1760&gt;=0.7,"Moderate","Poor")))</f>
        <v>Expected</v>
      </c>
      <c r="G1760" t="s">
        <v>874</v>
      </c>
    </row>
    <row r="1761" spans="1:7" ht="15" hidden="1"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22268.323712793797</v>
      </c>
      <c r="E1761" s="9">
        <f>IF(OR(C1761="",D1761="",D1761=0),"",C1761/D1761)</f>
        <v>0.90319012151079736</v>
      </c>
      <c r="F1761" t="str">
        <f>IF(E1761="","",IF(E1761&gt;=0.9,"Expected",IF(E1761&gt;=0.7,"Moderate","Poor")))</f>
        <v>Expected</v>
      </c>
      <c r="G1761" t="s">
        <v>875</v>
      </c>
    </row>
    <row r="1762" spans="1:7" ht="15" customHeight="1" x14ac:dyDescent="0.3">
      <c r="A1762" t="s">
        <v>218</v>
      </c>
      <c r="B1762" s="2">
        <v>46266</v>
      </c>
      <c r="C1762" cm="1">
        <f t="array" ref="C1762">IFERROR(IF(SUMPRODUCT((measured[Site Name]=A1762)*(measured[Date]=B1762)*ISNUMBER(measured[Measured Value (kWh)]))=0,"",SUMIFS(measured[Measured Value (kWh)],measured[Site Name],A1762,measured[Date],B1762)),"")</f>
        <v>6579.8013199999996</v>
      </c>
      <c r="D1762" cm="1">
        <f t="array" ref="D1762">IFERROR(IF(SUMPRODUCT((expected_production[Site Name]=A1762)*(expected_production[Date]=B1762)*ISNUMBER(expected_production[Expected Production (kWh)]))=0,"",SUMIFS(expected_production[Expected Production (kWh)],expected_production[Site Name],A1762,expected_production[Date],B1762)),"")</f>
        <v>8095.0924636172822</v>
      </c>
      <c r="E1762" s="9">
        <f>IF(OR(C1762="",D1762="",D1762=0),"",C1762/D1762)</f>
        <v>0.81281360893311194</v>
      </c>
      <c r="F1762" t="str">
        <f>IF(E1762="","",IF(E1762&gt;=0.9,"Expected",IF(E1762&gt;=0.7,"Moderate","Poor")))</f>
        <v>Moderate</v>
      </c>
      <c r="G1762" t="s">
        <v>874</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27908.388046507673</v>
      </c>
      <c r="E1763" s="9" t="str">
        <f>IF(OR(C1763="",D1763="",D1763=0),"",C1763/D1763)</f>
        <v/>
      </c>
      <c r="F1763" t="str">
        <f>IF(E1763="","",IF(E1763&gt;=0.9,"Expected",IF(E1763&gt;=0.7,"Moderate","Poor")))</f>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27825.712613910113</v>
      </c>
      <c r="E1764" s="9" t="str">
        <f>IF(OR(C1764="",D1764="",D1764=0),"",C1764/D1764)</f>
        <v/>
      </c>
      <c r="F1764" t="str">
        <f>IF(E1764="","",IF(E1764&gt;=0.9,"Expected",IF(E1764&gt;=0.7,"Moderate","Poor")))</f>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28446.504708274817</v>
      </c>
      <c r="E1765" s="9" t="str">
        <f>IF(OR(C1765="",D1765="",D1765=0),"",C1765/D1765)</f>
        <v/>
      </c>
      <c r="F1765" t="str">
        <f>IF(E1765="","",IF(E1765&gt;=0.9,"Expected",IF(E1765&gt;=0.7,"Moderate","Poor")))</f>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IF(OR(C1766="",D1766="",D1766=0),"",C1766/D1766)</f>
        <v/>
      </c>
      <c r="F1766" t="str">
        <f>IF(E1766="","",IF(E1766&gt;=0.9,"Expected",IF(E1766&gt;=0.7,"Moderate","Poor")))</f>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IF(OR(C1767="",D1767="",D1767=0),"",C1767/D1767)</f>
        <v/>
      </c>
      <c r="F1767" t="str">
        <f>IF(E1767="","",IF(E1767&gt;=0.9,"Expected",IF(E1767&gt;=0.7,"Moderate","Poor")))</f>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IF(OR(C1768="",D1768="",D1768=0),"",C1768/D1768)</f>
        <v/>
      </c>
      <c r="F1768" t="str">
        <f>IF(E1768="","",IF(E1768&gt;=0.9,"Expected",IF(E1768&gt;=0.7,"Moderate","Poor")))</f>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IF(OR(C1769="",D1769="",D1769=0),"",C1769/D1769)</f>
        <v/>
      </c>
      <c r="F1769" t="str">
        <f>IF(E1769="","",IF(E1769&gt;=0.9,"Expected",IF(E1769&gt;=0.7,"Moderate","Poor")))</f>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IF(OR(C1770="",D1770="",D1770=0),"",C1770/D1770)</f>
        <v/>
      </c>
      <c r="F1770" t="str">
        <f>IF(E1770="","",IF(E1770&gt;=0.9,"Expected",IF(E1770&gt;=0.7,"Moderate","Poor")))</f>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IF(OR(C1771="",D1771="",D1771=0),"",C1771/D1771)</f>
        <v/>
      </c>
      <c r="F1771" t="str">
        <f>IF(E1771="","",IF(E1771&gt;=0.9,"Expected",IF(E1771&gt;=0.7,"Moderate","Poor")))</f>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IF(OR(C1772="",D1772="",D1772=0),"",C1772/D1772)</f>
        <v/>
      </c>
      <c r="F1772" t="str">
        <f>IF(E1772="","",IF(E1772&gt;=0.9,"Expected",IF(E1772&gt;=0.7,"Moderate","Poor")))</f>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IF(OR(C1773="",D1773="",D1773=0),"",C1773/D1773)</f>
        <v/>
      </c>
      <c r="F1773" t="str">
        <f>IF(E1773="","",IF(E1773&gt;=0.9,"Expected",IF(E1773&gt;=0.7,"Moderate","Poor")))</f>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IF(OR(C1774="",D1774="",D1774=0),"",C1774/D1774)</f>
        <v/>
      </c>
      <c r="F1774" t="str">
        <f>IF(E1774="","",IF(E1774&gt;=0.9,"Expected",IF(E1774&gt;=0.7,"Moderate","Poor")))</f>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IF(OR(C1775="",D1775="",D1775=0),"",C1775/D1775)</f>
        <v/>
      </c>
      <c r="F1775" t="str">
        <f>IF(E1775="","",IF(E1775&gt;=0.9,"Expected",IF(E1775&gt;=0.7,"Moderate","Poor")))</f>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IF(OR(C1776="",D1776="",D1776=0),"",C1776/D1776)</f>
        <v/>
      </c>
      <c r="F1776" t="str">
        <f>IF(E1776="","",IF(E1776&gt;=0.9,"Expected",IF(E1776&gt;=0.7,"Moderate","Poor")))</f>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IF(OR(C1777="",D1777="",D1777=0),"",C1777/D1777)</f>
        <v/>
      </c>
      <c r="F1777" t="str">
        <f>IF(E1777="","",IF(E1777&gt;=0.9,"Expected",IF(E1777&gt;=0.7,"Moderate","Poor")))</f>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IF(OR(C1778="",D1778="",D1778=0),"",C1778/D1778)</f>
        <v/>
      </c>
      <c r="F1778" t="str">
        <f>IF(E1778="","",IF(E1778&gt;=0.9,"Expected",IF(E1778&gt;=0.7,"Moderate","Poor")))</f>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IF(OR(C1779="",D1779="",D1779=0),"",C1779/D1779)</f>
        <v/>
      </c>
      <c r="F1779" t="str">
        <f>IF(E1779="","",IF(E1779&gt;=0.9,"Expected",IF(E1779&gt;=0.7,"Moderate","Poor")))</f>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IF(OR(C1780="",D1780="",D1780=0),"",C1780/D1780)</f>
        <v/>
      </c>
      <c r="F1780" t="str">
        <f>IF(E1780="","",IF(E1780&gt;=0.9,"Expected",IF(E1780&gt;=0.7,"Moderate","Poor")))</f>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IF(OR(C1781="",D1781="",D1781=0),"",C1781/D1781)</f>
        <v/>
      </c>
      <c r="F1781" t="str">
        <f>IF(E1781="","",IF(E1781&gt;=0.9,"Expected",IF(E1781&gt;=0.7,"Moderate","Poor")))</f>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IF(OR(C1782="",D1782="",D1782=0),"",C1782/D1782)</f>
        <v/>
      </c>
      <c r="F1782" t="str">
        <f>IF(E1782="","",IF(E1782&gt;=0.9,"Expected",IF(E1782&gt;=0.7,"Moderate","Poor")))</f>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IF(OR(C1783="",D1783="",D1783=0),"",C1783/D1783)</f>
        <v/>
      </c>
      <c r="F1783" t="str">
        <f>IF(E1783="","",IF(E1783&gt;=0.9,"Expected",IF(E1783&gt;=0.7,"Moderate","Poor")))</f>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IF(OR(C1784="",D1784="",D1784=0),"",C1784/D1784)</f>
        <v/>
      </c>
      <c r="F1784" t="str">
        <f>IF(E1784="","",IF(E1784&gt;=0.9,"Expected",IF(E1784&gt;=0.7,"Moderate","Poor")))</f>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IF(OR(C1785="",D1785="",D1785=0),"",C1785/D1785)</f>
        <v>1.0609076406003717</v>
      </c>
      <c r="F1785" t="str">
        <f>IF(E1785="","",IF(E1785&gt;=0.9,"Expected",IF(E1785&gt;=0.7,"Moderate","Poor")))</f>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8152.1183703957258</v>
      </c>
      <c r="E1786" s="9">
        <f>IF(OR(C1786="",D1786="",D1786=0),"",C1786/D1786)</f>
        <v>0.92859299338566059</v>
      </c>
      <c r="F1786" t="str">
        <f>IF(E1786="","",IF(E1786&gt;=0.9,"Expected",IF(E1786&gt;=0.7,"Moderate","Poor")))</f>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9345.2482458069371</v>
      </c>
      <c r="E1787" s="9">
        <f>IF(OR(C1787="",D1787="",D1787=0),"",C1787/D1787)</f>
        <v>0.9476473783319288</v>
      </c>
      <c r="F1787" t="str">
        <f>IF(E1787="","",IF(E1787&gt;=0.9,"Expected",IF(E1787&gt;=0.7,"Moderate","Poor")))</f>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9340.5769807948654</v>
      </c>
      <c r="E1788" s="9">
        <f>IF(OR(C1788="",D1788="",D1788=0),"",C1788/D1788)</f>
        <v>0.80380473448665735</v>
      </c>
      <c r="F1788" t="str">
        <f>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9563.3369057499567</v>
      </c>
      <c r="E1789" s="9">
        <f>IF(OR(C1789="",D1789="",D1789=0),"",C1789/D1789)</f>
        <v>0.97382326815241216</v>
      </c>
      <c r="F1789" t="str">
        <f>IF(E1789="","",IF(E1789&gt;=0.9,"Expected",IF(E1789&gt;=0.7,"Moderate","Poor")))</f>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9577.2064188236691</v>
      </c>
      <c r="E1790" s="9">
        <f>IF(OR(C1790="",D1790="",D1790=0),"",C1790/D1790)</f>
        <v>0.99026789078697575</v>
      </c>
      <c r="F1790" t="str">
        <f>IF(E1790="","",IF(E1790&gt;=0.9,"Expected",IF(E1790&gt;=0.7,"Moderate","Poor")))</f>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8270.4533753541</v>
      </c>
      <c r="E1791" s="9">
        <f>IF(OR(C1791="",D1791="",D1791=0),"",C1791/D1791)</f>
        <v>1.0187833263299484</v>
      </c>
      <c r="F1791" t="str">
        <f>IF(E1791="","",IF(E1791&gt;=0.9,"Expected",IF(E1791&gt;=0.7,"Moderate","Poor")))</f>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8110.3397511387166</v>
      </c>
      <c r="E1792" s="9">
        <f>IF(OR(C1792="",D1792="",D1792=0),"",C1792/D1792)</f>
        <v>0.87332962826933669</v>
      </c>
      <c r="F1792" t="str">
        <f>IF(E1792="","",IF(E1792&gt;=0.9,"Expected",IF(E1792&gt;=0.7,"Moderate","Poor")))</f>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6987.1341744072324</v>
      </c>
      <c r="E1793" s="9">
        <f>IF(OR(C1793="",D1793="",D1793=0),"",C1793/D1793)</f>
        <v>0.8884615416057402</v>
      </c>
      <c r="F1793" t="str">
        <f>IF(E1793="","",IF(E1793&gt;=0.9,"Expected",IF(E1793&gt;=0.7,"Moderate","Poor")))</f>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6398.984381971024</v>
      </c>
      <c r="E1794" s="9">
        <f>IF(OR(C1794="",D1794="",D1794=0),"",C1794/D1794)</f>
        <v>1.0123544008408136</v>
      </c>
      <c r="F1794" t="str">
        <f>IF(E1794="","",IF(E1794&gt;=0.9,"Expected",IF(E1794&gt;=0.7,"Moderate","Poor")))</f>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5638.2904423431082</v>
      </c>
      <c r="E1795" s="9">
        <f>IF(OR(C1795="",D1795="",D1795=0),"",C1795/D1795)</f>
        <v>0.8561105621217413</v>
      </c>
      <c r="F1795" t="str">
        <f>IF(E1795="","",IF(E1795&gt;=0.9,"Expected",IF(E1795&gt;=0.7,"Moderate","Poor")))</f>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16797.89914868489</v>
      </c>
      <c r="E1796" s="9">
        <f>IF(OR(C1796="",D1796="",D1796=0),"",C1796/D1796)</f>
        <v>0.62924535422202044</v>
      </c>
      <c r="F1796" t="str">
        <f>IF(E1796="","",IF(E1796&gt;=0.9,"Expected",IF(E1796&gt;=0.7,"Moderate","Poor")))</f>
        <v>Poor</v>
      </c>
      <c r="G1796" t="s">
        <v>874</v>
      </c>
    </row>
    <row r="1797" spans="1:7" ht="15" hidden="1" customHeight="1" x14ac:dyDescent="0.3">
      <c r="A1797" t="s">
        <v>218</v>
      </c>
      <c r="B1797" s="2">
        <v>46235</v>
      </c>
      <c r="C1797" cm="1">
        <f t="array" ref="C1797">IFERROR(IF(SUMPRODUCT((measured[Site Name]=A1797)*(measured[Date]=B1797)*ISNUMBER(measured[Measured Value (kWh)]))=0,"",SUMIFS(measured[Measured Value (kWh)],measured[Site Name],A1797,measured[Date],B1797)),"")</f>
        <v>2900</v>
      </c>
      <c r="D1797" cm="1">
        <f t="array" ref="D1797">IFERROR(IF(SUMPRODUCT((expected_production[Site Name]=A1797)*(expected_production[Date]=B1797)*ISNUMBER(expected_production[Expected Production (kWh)]))=0,"",SUMIFS(expected_production[Expected Production (kWh)],expected_production[Site Name],A1797,expected_production[Date],B1797)),"")</f>
        <v>7291.3189120714851</v>
      </c>
      <c r="E1797" s="9">
        <f>IF(OR(C1797="",D1797="",D1797=0),"",C1797/D1797)</f>
        <v>0.39773325443203</v>
      </c>
      <c r="F1797" t="str">
        <f>IF(E1797="","",IF(E1797&gt;=0.9,"Expected",IF(E1797&gt;=0.7,"Moderate","Poor")))</f>
        <v>Poor</v>
      </c>
      <c r="G1797" t="s">
        <v>875</v>
      </c>
    </row>
    <row r="1798" spans="1:7" ht="15" customHeight="1" x14ac:dyDescent="0.3">
      <c r="A1798" t="s">
        <v>216</v>
      </c>
      <c r="B1798" s="2">
        <v>46266</v>
      </c>
      <c r="C1798" cm="1">
        <f t="array" ref="C1798">IFERROR(IF(SUMPRODUCT((measured[Site Name]=A1798)*(measured[Date]=B1798)*ISNUMBER(measured[Measured Value (kWh)]))=0,"",SUMIFS(measured[Measured Value (kWh)],measured[Site Name],A1798,measured[Date],B1798)),"")</f>
        <v>20045.689999999999</v>
      </c>
      <c r="D1798" cm="1">
        <f t="array" ref="D1798">IFERROR(IF(SUMPRODUCT((expected_production[Site Name]=A1798)*(expected_production[Date]=B1798)*ISNUMBER(expected_production[Expected Production (kWh)]))=0,"",SUMIFS(expected_production[Expected Production (kWh)],expected_production[Site Name],A1798,expected_production[Date],B1798)),"")</f>
        <v>24601.575705655436</v>
      </c>
      <c r="E1798" s="9">
        <f>IF(OR(C1798="",D1798="",D1798=0),"",C1798/D1798)</f>
        <v>0.81481325585953723</v>
      </c>
      <c r="F1798" t="str">
        <f>IF(E1798="","",IF(E1798&gt;=0.9,"Expected",IF(E1798&gt;=0.7,"Moderate","Poor")))</f>
        <v>Moderate</v>
      </c>
      <c r="G1798" t="s">
        <v>874</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9279.87612642971</v>
      </c>
      <c r="E1799" s="9" t="str">
        <f>IF(OR(C1799="",D1799="",D1799=0),"",C1799/D1799)</f>
        <v/>
      </c>
      <c r="F1799" t="str">
        <f>IF(E1799="","",IF(E1799&gt;=0.9,"Expected",IF(E1799&gt;=0.7,"Moderate","Poor")))</f>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9275.2375379700388</v>
      </c>
      <c r="E1800" s="9" t="str">
        <f>IF(OR(C1800="",D1800="",D1800=0),"",C1800/D1800)</f>
        <v/>
      </c>
      <c r="F1800" t="str">
        <f>IF(E1800="","",IF(E1800&gt;=0.9,"Expected",IF(E1800&gt;=0.7,"Moderate","Poor")))</f>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9496.4392070047325</v>
      </c>
      <c r="E1801" s="9" t="str">
        <f>IF(OR(C1801="",D1801="",D1801=0),"",C1801/D1801)</f>
        <v/>
      </c>
      <c r="F1801" t="str">
        <f>IF(E1801="","",IF(E1801&gt;=0.9,"Expected",IF(E1801&gt;=0.7,"Moderate","Poor")))</f>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IF(OR(C1802="",D1802="",D1802=0),"",C1802/D1802)</f>
        <v>0.33131213954810301</v>
      </c>
      <c r="F1802" t="str">
        <f>IF(E1802="","",IF(E1802&gt;=0.9,"Expected",IF(E1802&gt;=0.7,"Moderate","Poor")))</f>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IF(OR(C1803="",D1803="",D1803=0),"",C1803/D1803)</f>
        <v>0.40029572963731785</v>
      </c>
      <c r="F1803" t="str">
        <f>IF(E1803="","",IF(E1803&gt;=0.9,"Expected",IF(E1803&gt;=0.7,"Moderate","Poor")))</f>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IF(OR(C1804="",D1804="",D1804=0),"",C1804/D1804)</f>
        <v>0.4318219616982738</v>
      </c>
      <c r="F1804" t="str">
        <f>IF(E1804="","",IF(E1804&gt;=0.9,"Expected",IF(E1804&gt;=0.7,"Moderate","Poor")))</f>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IF(OR(C1805="",D1805="",D1805=0),"",C1805/D1805)</f>
        <v>0.31321091733597478</v>
      </c>
      <c r="F1805" t="str">
        <f>IF(E1805="","",IF(E1805&gt;=0.9,"Expected",IF(E1805&gt;=0.7,"Moderate","Poor")))</f>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IF(OR(C1806="",D1806="",D1806=0),"",C1806/D1806)</f>
        <v>0.36315752862711531</v>
      </c>
      <c r="F1806" t="str">
        <f>IF(E1806="","",IF(E1806&gt;=0.9,"Expected",IF(E1806&gt;=0.7,"Moderate","Poor")))</f>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IF(OR(C1807="",D1807="",D1807=0),"",C1807/D1807)</f>
        <v>0.26374860415666851</v>
      </c>
      <c r="F1807" t="str">
        <f>IF(E1807="","",IF(E1807&gt;=0.9,"Expected",IF(E1807&gt;=0.7,"Moderate","Poor")))</f>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IF(OR(C1808="",D1808="",D1808=0),"",C1808/D1808)</f>
        <v>0.55976223102400402</v>
      </c>
      <c r="F1808" t="str">
        <f>IF(E1808="","",IF(E1808&gt;=0.9,"Expected",IF(E1808&gt;=0.7,"Moderate","Poor")))</f>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IF(OR(C1809="",D1809="",D1809=0),"",C1809/D1809)</f>
        <v>0.1543478280256014</v>
      </c>
      <c r="F1809" t="str">
        <f>IF(E1809="","",IF(E1809&gt;=0.9,"Expected",IF(E1809&gt;=0.7,"Moderate","Poor")))</f>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IF(OR(C1810="",D1810="",D1810=0),"",C1810/D1810)</f>
        <v>0.34409617393255554</v>
      </c>
      <c r="F1810" t="str">
        <f>IF(E1810="","",IF(E1810&gt;=0.9,"Expected",IF(E1810&gt;=0.7,"Moderate","Poor")))</f>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IF(OR(C1811="",D1811="",D1811=0),"",C1811/D1811)</f>
        <v>0.37911647998657733</v>
      </c>
      <c r="F1811" t="str">
        <f>IF(E1811="","",IF(E1811&gt;=0.9,"Expected",IF(E1811&gt;=0.7,"Moderate","Poor")))</f>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IF(OR(C1812="",D1812="",D1812=0),"",C1812/D1812)</f>
        <v>0.38075733548498075</v>
      </c>
      <c r="F1812" t="str">
        <f>IF(E1812="","",IF(E1812&gt;=0.9,"Expected",IF(E1812&gt;=0.7,"Moderate","Poor")))</f>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IF(OR(C1813="",D1813="",D1813=0),"",C1813/D1813)</f>
        <v>0.31012931376696795</v>
      </c>
      <c r="F1813" t="str">
        <f>IF(E1813="","",IF(E1813&gt;=0.9,"Expected",IF(E1813&gt;=0.7,"Moderate","Poor")))</f>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IF(OR(C1814="",D1814="",D1814=0),"",C1814/D1814)</f>
        <v>0.45343533517222939</v>
      </c>
      <c r="F1814" t="str">
        <f>IF(E1814="","",IF(E1814&gt;=0.9,"Expected",IF(E1814&gt;=0.7,"Moderate","Poor")))</f>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IF(OR(C1815="",D1815="",D1815=0),"",C1815/D1815)</f>
        <v>0.37108960344060365</v>
      </c>
      <c r="F1815" t="str">
        <f>IF(E1815="","",IF(E1815&gt;=0.9,"Expected",IF(E1815&gt;=0.7,"Moderate","Poor")))</f>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IF(OR(C1816="",D1816="",D1816=0),"",C1816/D1816)</f>
        <v>0.33955912447340036</v>
      </c>
      <c r="F1816" t="str">
        <f>IF(E1816="","",IF(E1816&gt;=0.9,"Expected",IF(E1816&gt;=0.7,"Moderate","Poor")))</f>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IF(OR(C1817="",D1817="",D1817=0),"",C1817/D1817)</f>
        <v>0.33744086055075212</v>
      </c>
      <c r="F1817" t="str">
        <f>IF(E1817="","",IF(E1817&gt;=0.9,"Expected",IF(E1817&gt;=0.7,"Moderate","Poor")))</f>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IF(OR(C1818="",D1818="",D1818=0),"",C1818/D1818)</f>
        <v>0.53213872316772282</v>
      </c>
      <c r="F1818" t="str">
        <f>IF(E1818="","",IF(E1818&gt;=0.9,"Expected",IF(E1818&gt;=0.7,"Moderate","Poor")))</f>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IF(OR(C1819="",D1819="",D1819=0),"",C1819/D1819)</f>
        <v>0.57913801279119426</v>
      </c>
      <c r="F1819" t="str">
        <f>IF(E1819="","",IF(E1819&gt;=0.9,"Expected",IF(E1819&gt;=0.7,"Moderate","Poor")))</f>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IF(OR(C1820="",D1820="",D1820=0),"",C1820/D1820)</f>
        <v>0.5780801731351396</v>
      </c>
      <c r="F1820" t="str">
        <f>IF(E1820="","",IF(E1820&gt;=0.9,"Expected",IF(E1820&gt;=0.7,"Moderate","Poor")))</f>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IF(OR(C1821="",D1821="",D1821=0),"",C1821/D1821)</f>
        <v>0.52369401599618415</v>
      </c>
      <c r="F1821" t="str">
        <f>IF(E1821="","",IF(E1821&gt;=0.9,"Expected",IF(E1821&gt;=0.7,"Moderate","Poor")))</f>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IF(OR(C1822="",D1822="",D1822=0),"",C1822/D1822)</f>
        <v>0.2810181705881683</v>
      </c>
      <c r="F1822" t="str">
        <f>IF(E1822="","",IF(E1822&gt;=0.9,"Expected",IF(E1822&gt;=0.7,"Moderate","Poor")))</f>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IF(OR(C1823="",D1823="",D1823=0),"",C1823/D1823)</f>
        <v>7.0481537375195399E-2</v>
      </c>
      <c r="F1823" t="str">
        <f>IF(E1823="","",IF(E1823&gt;=0.9,"Expected",IF(E1823&gt;=0.7,"Moderate","Poor")))</f>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IF(OR(C1824="",D1824="",D1824=0),"",C1824/D1824)</f>
        <v/>
      </c>
      <c r="F1824" t="str">
        <f>IF(E1824="","",IF(E1824&gt;=0.9,"Expected",IF(E1824&gt;=0.7,"Moderate","Poor")))</f>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IF(OR(C1825="",D1825="",D1825=0),"",C1825/D1825)</f>
        <v/>
      </c>
      <c r="F1825" t="str">
        <f>IF(E1825="","",IF(E1825&gt;=0.9,"Expected",IF(E1825&gt;=0.7,"Moderate","Poor")))</f>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IF(OR(C1826="",D1826="",D1826=0),"",C1826/D1826)</f>
        <v/>
      </c>
      <c r="F1826" t="str">
        <f>IF(E1826="","",IF(E1826&gt;=0.9,"Expected",IF(E1826&gt;=0.7,"Moderate","Poor")))</f>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IF(OR(C1827="",D1827="",D1827=0),"",C1827/D1827)</f>
        <v/>
      </c>
      <c r="F1827" t="str">
        <f>IF(E1827="","",IF(E1827&gt;=0.9,"Expected",IF(E1827&gt;=0.7,"Moderate","Poor")))</f>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IF(OR(C1828="",D1828="",D1828=0),"",C1828/D1828)</f>
        <v/>
      </c>
      <c r="F1828" t="str">
        <f>IF(E1828="","",IF(E1828&gt;=0.9,"Expected",IF(E1828&gt;=0.7,"Moderate","Poor")))</f>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IF(OR(C1829="",D1829="",D1829=0),"",C1829/D1829)</f>
        <v/>
      </c>
      <c r="F1829" t="str">
        <f>IF(E1829="","",IF(E1829&gt;=0.9,"Expected",IF(E1829&gt;=0.7,"Moderate","Poor")))</f>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IF(OR(C1830="",D1830="",D1830=0),"",C1830/D1830)</f>
        <v/>
      </c>
      <c r="F1830" t="str">
        <f>IF(E1830="","",IF(E1830&gt;=0.9,"Expected",IF(E1830&gt;=0.7,"Moderate","Poor")))</f>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IF(OR(C1831="",D1831="",D1831=0),"",C1831/D1831)</f>
        <v/>
      </c>
      <c r="F1831" t="str">
        <f>IF(E1831="","",IF(E1831&gt;=0.9,"Expected",IF(E1831&gt;=0.7,"Moderate","Poor")))</f>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IF(OR(C1832="",D1832="",D1832=0),"",C1832/D1832)</f>
        <v>0</v>
      </c>
      <c r="F1832" t="str">
        <f>IF(E1832="","",IF(E1832&gt;=0.9,"Expected",IF(E1832&gt;=0.7,"Moderate","Poor")))</f>
        <v>Poor</v>
      </c>
      <c r="G1832" t="s">
        <v>874</v>
      </c>
    </row>
    <row r="1833" spans="1:7" ht="15" hidden="1"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IF(OR(C1833="",D1833="",D1833=0),"",C1833/D1833)</f>
        <v/>
      </c>
      <c r="F1833" t="str">
        <f>IF(E1833="","",IF(E1833&gt;=0.9,"Expected",IF(E1833&gt;=0.7,"Moderate","Poor")))</f>
        <v/>
      </c>
      <c r="G1833" t="s">
        <v>874</v>
      </c>
    </row>
    <row r="1834" spans="1:7" ht="15"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IF(OR(C1834="",D1834="",D1834=0),"",C1834/D1834)</f>
        <v/>
      </c>
      <c r="F1834" t="str">
        <f>IF(E1834="","",IF(E1834&gt;=0.9,"Expected",IF(E1834&gt;=0.7,"Moderate","Poor")))</f>
        <v/>
      </c>
      <c r="G1834" t="s">
        <v>874</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IF(OR(C1835="",D1835="",D1835=0),"",C1835/D1835)</f>
        <v/>
      </c>
      <c r="F1835" t="str">
        <f>IF(E1835="","",IF(E1835&gt;=0.9,"Expected",IF(E1835&gt;=0.7,"Moderate","Poor")))</f>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IF(OR(C1836="",D1836="",D1836=0),"",C1836/D1836)</f>
        <v/>
      </c>
      <c r="F1836" t="str">
        <f>IF(E1836="","",IF(E1836&gt;=0.9,"Expected",IF(E1836&gt;=0.7,"Moderate","Poor")))</f>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IF(OR(C1837="",D1837="",D1837=0),"",C1837/D1837)</f>
        <v/>
      </c>
      <c r="F1837" t="str">
        <f>IF(E1837="","",IF(E1837&gt;=0.9,"Expected",IF(E1837&gt;=0.7,"Moderate","Poor")))</f>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22925.413860917866</v>
      </c>
      <c r="E1838" s="9">
        <f>IF(OR(C1838="",D1838="",D1838=0),"",C1838/D1838)</f>
        <v>0.78288663004670467</v>
      </c>
      <c r="F1838" t="str">
        <f>IF(E1838="","",IF(E1838&gt;=0.9,"Expected",IF(E1838&gt;=0.7,"Moderate","Poor")))</f>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19806.894833689355</v>
      </c>
      <c r="E1839" s="9">
        <f>IF(OR(C1839="",D1839="",D1839=0),"",C1839/D1839)</f>
        <v>0.85596455892536505</v>
      </c>
      <c r="F1839" t="str">
        <f>IF(E1839="","",IF(E1839&gt;=0.9,"Expected",IF(E1839&gt;=0.7,"Moderate","Poor")))</f>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21850.864061856915</v>
      </c>
      <c r="E1840" s="9">
        <f>IF(OR(C1840="",D1840="",D1840=0),"",C1840/D1840)</f>
        <v>0.75502735055677139</v>
      </c>
      <c r="F1840" t="str">
        <f>IF(E1840="","",IF(E1840&gt;=0.9,"Expected",IF(E1840&gt;=0.7,"Moderate","Poor")))</f>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21332.003246291635</v>
      </c>
      <c r="E1841" s="9">
        <f>IF(OR(C1841="",D1841="",D1841=0),"",C1841/D1841)</f>
        <v>0.63350824786459192</v>
      </c>
      <c r="F1841" t="str">
        <f>IF(E1841="","",IF(E1841&gt;=0.9,"Expected",IF(E1841&gt;=0.7,"Moderate","Poor")))</f>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20568.091565194823</v>
      </c>
      <c r="E1842" s="9">
        <f>IF(OR(C1842="",D1842="",D1842=0),"",C1842/D1842)</f>
        <v>0.65752332719508189</v>
      </c>
      <c r="F1842" t="str">
        <f>IF(E1842="","",IF(E1842&gt;=0.9,"Expected",IF(E1842&gt;=0.7,"Moderate","Poor")))</f>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18526.808067456568</v>
      </c>
      <c r="E1843" s="9">
        <f>IF(OR(C1843="",D1843="",D1843=0),"",C1843/D1843)</f>
        <v>0.61251781519415816</v>
      </c>
      <c r="F1843" t="str">
        <f>IF(E1843="","",IF(E1843&gt;=0.9,"Expected",IF(E1843&gt;=0.7,"Moderate","Poor")))</f>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19492.959313577136</v>
      </c>
      <c r="E1844" s="9">
        <f>IF(OR(C1844="",D1844="",D1844=0),"",C1844/D1844)</f>
        <v>0.62663651031642342</v>
      </c>
      <c r="F1844" t="str">
        <f>IF(E1844="","",IF(E1844&gt;=0.9,"Expected",IF(E1844&gt;=0.7,"Moderate","Poor")))</f>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22824.546717214598</v>
      </c>
      <c r="E1845" s="9">
        <f>IF(OR(C1845="",D1845="",D1845=0),"",C1845/D1845)</f>
        <v>0.55365831166622881</v>
      </c>
      <c r="F1845" t="str">
        <f>IF(E1845="","",IF(E1845&gt;=0.9,"Expected",IF(E1845&gt;=0.7,"Moderate","Poor")))</f>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22485.123113657501</v>
      </c>
      <c r="E1846" s="9">
        <f>IF(OR(C1846="",D1846="",D1846=0),"",C1846/D1846)</f>
        <v>0.57771531578183144</v>
      </c>
      <c r="F1846" t="str">
        <f>IF(E1846="","",IF(E1846&gt;=0.9,"Expected",IF(E1846&gt;=0.7,"Moderate","Poor")))</f>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21853.007365969643</v>
      </c>
      <c r="E1847" s="9">
        <f>IF(OR(C1847="",D1847="",D1847=0),"",C1847/D1847)</f>
        <v>0.48130675214886171</v>
      </c>
      <c r="F1847" t="str">
        <f>IF(E1847="","",IF(E1847&gt;=0.9,"Expected",IF(E1847&gt;=0.7,"Moderate","Poor")))</f>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21856.923011996361</v>
      </c>
      <c r="E1848" s="9">
        <f>IF(OR(C1848="",D1848="",D1848=0),"",C1848/D1848)</f>
        <v>0.26893080955511484</v>
      </c>
      <c r="F1848" t="str">
        <f>IF(E1848="","",IF(E1848&gt;=0.9,"Expected",IF(E1848&gt;=0.7,"Moderate","Poor")))</f>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23102.542741158031</v>
      </c>
      <c r="E1849" s="9">
        <f>IF(OR(C1849="",D1849="",D1849=0),"",C1849/D1849)</f>
        <v>0.75731923520393407</v>
      </c>
      <c r="F1849" t="str">
        <f>IF(E1849="","",IF(E1849&gt;=0.9,"Expected",IF(E1849&gt;=0.7,"Moderate","Poor")))</f>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22764.607598889615</v>
      </c>
      <c r="E1850" s="9">
        <f>IF(OR(C1850="",D1850="",D1850=0),"",C1850/D1850)</f>
        <v>0.70398753549266968</v>
      </c>
      <c r="F1850" t="str">
        <f>IF(E1850="","",IF(E1850&gt;=0.9,"Expected",IF(E1850&gt;=0.7,"Moderate","Poor")))</f>
        <v>Moderate</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19667.962871984531</v>
      </c>
      <c r="E1851" s="9">
        <f>IF(OR(C1851="",D1851="",D1851=0),"",C1851/D1851)</f>
        <v>0.69600497464325117</v>
      </c>
      <c r="F1851" t="str">
        <f>IF(E1851="","",IF(E1851&gt;=0.9,"Expected",IF(E1851&gt;=0.7,"Moderate","Poor")))</f>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21698.012339101642</v>
      </c>
      <c r="E1852" s="9">
        <f>IF(OR(C1852="",D1852="",D1852=0),"",C1852/D1852)</f>
        <v>0.55281561336307294</v>
      </c>
      <c r="F1852" t="str">
        <f>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21182.781071974576</v>
      </c>
      <c r="E1853" s="9">
        <f>IF(OR(C1853="",D1853="",D1853=0),"",C1853/D1853)</f>
        <v>0.31535047156002716</v>
      </c>
      <c r="F1853" t="str">
        <f>IF(E1853="","",IF(E1853&gt;=0.9,"Expected",IF(E1853&gt;=0.7,"Moderate","Poor")))</f>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20424.213125393617</v>
      </c>
      <c r="E1854" s="9">
        <f>IF(OR(C1854="",D1854="",D1854=0),"",C1854/D1854)</f>
        <v>0.58425751468307918</v>
      </c>
      <c r="F1854" t="str">
        <f>IF(E1854="","",IF(E1854&gt;=0.9,"Expected",IF(E1854&gt;=0.7,"Moderate","Poor")))</f>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18397.208866150366</v>
      </c>
      <c r="E1855" s="9">
        <f>IF(OR(C1855="",D1855="",D1855=0),"",C1855/D1855)</f>
        <v>0.53254056478242762</v>
      </c>
      <c r="F1855" t="str">
        <f>IF(E1855="","",IF(E1855&gt;=0.9,"Expected",IF(E1855&gt;=0.7,"Moderate","Poor")))</f>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19356.601666380939</v>
      </c>
      <c r="E1856" s="9">
        <f>IF(OR(C1856="",D1856="",D1856=0),"",C1856/D1856)</f>
        <v>0.47190101637855519</v>
      </c>
      <c r="F1856" t="str">
        <f>IF(E1856="","",IF(E1856&gt;=0.9,"Expected",IF(E1856&gt;=0.7,"Moderate","Poor")))</f>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22664.883864662945</v>
      </c>
      <c r="E1857" s="9">
        <f>IF(OR(C1857="",D1857="",D1857=0),"",C1857/D1857)</f>
        <v>0.6861274954179547</v>
      </c>
      <c r="F1857" t="str">
        <f>IF(E1857="","",IF(E1857&gt;=0.9,"Expected",IF(E1857&gt;=0.7,"Moderate","Poor")))</f>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22327.834605772521</v>
      </c>
      <c r="E1858" s="9">
        <f>IF(OR(C1858="",D1858="",D1858=0),"",C1858/D1858)</f>
        <v>0.66705976029352099</v>
      </c>
      <c r="F1858" t="str">
        <f>IF(E1858="","",IF(E1858&gt;=0.9,"Expected",IF(E1858&gt;=0.7,"Moderate","Poor")))</f>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21700.140650318659</v>
      </c>
      <c r="E1859" s="9">
        <f>IF(OR(C1859="",D1859="",D1859=0),"",C1859/D1859)</f>
        <v>0.79110086319868667</v>
      </c>
      <c r="F1859" t="str">
        <f>IF(E1859="","",IF(E1859&gt;=0.9,"Expected",IF(E1859&gt;=0.7,"Moderate","Poor")))</f>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21704.028905518215</v>
      </c>
      <c r="E1860" s="9">
        <f>IF(OR(C1860="",D1860="",D1860=0),"",C1860/D1860)</f>
        <v>0.66517604002680886</v>
      </c>
      <c r="F1860" t="str">
        <f>IF(E1860="","",IF(E1860&gt;=0.9,"Expected",IF(E1860&gt;=0.7,"Moderate","Poor")))</f>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22940.935243714597</v>
      </c>
      <c r="E1861" s="9">
        <f>IF(OR(C1861="",D1861="",D1861=0),"",C1861/D1861)</f>
        <v>0.64169136278056882</v>
      </c>
      <c r="F1861" t="str">
        <f>IF(E1861="","",IF(E1861&gt;=0.9,"Expected",IF(E1861&gt;=0.7,"Moderate","Poor")))</f>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22605.364033990409</v>
      </c>
      <c r="E1862" s="9">
        <f>IF(OR(C1862="",D1862="",D1862=0),"",C1862/D1862)</f>
        <v>0.71350321878239753</v>
      </c>
      <c r="F1862" t="str">
        <f>IF(E1862="","",IF(E1862&gt;=0.9,"Expected",IF(E1862&gt;=0.7,"Moderate","Poor")))</f>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19530.381035423779</v>
      </c>
      <c r="E1863" s="9">
        <f>IF(OR(C1863="",D1863="",D1863=0),"",C1863/D1863)</f>
        <v>0.81416742311166956</v>
      </c>
      <c r="F1863" t="str">
        <f>IF(E1863="","",IF(E1863&gt;=0.9,"Expected",IF(E1863&gt;=0.7,"Moderate","Poor")))</f>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21546.229848624007</v>
      </c>
      <c r="E1864" s="9">
        <f>IF(OR(C1864="",D1864="",D1864=0),"",C1864/D1864)</f>
        <v>0.64707376176488574</v>
      </c>
      <c r="F1864" t="str">
        <f>IF(E1864="","",IF(E1864&gt;=0.9,"Expected",IF(E1864&gt;=0.7,"Moderate","Poor")))</f>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21034.602740425154</v>
      </c>
      <c r="E1865" s="9">
        <f>IF(OR(C1865="",D1865="",D1865=0),"",C1865/D1865)</f>
        <v>0.5819249429643657</v>
      </c>
      <c r="F1865" t="str">
        <f>IF(E1865="","",IF(E1865&gt;=0.9,"Expected",IF(E1865&gt;=0.7,"Moderate","Poor")))</f>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20281.341147731786</v>
      </c>
      <c r="E1866" s="9">
        <f>IF(OR(C1866="",D1866="",D1866=0),"",C1866/D1866)</f>
        <v>0.6090627789366625</v>
      </c>
      <c r="F1866" t="str">
        <f>IF(E1866="","",IF(E1866&gt;=0.9,"Expected",IF(E1866&gt;=0.7,"Moderate","Poor")))</f>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18268.516240489469</v>
      </c>
      <c r="E1867" s="9">
        <f>IF(OR(C1867="",D1867="",D1867=0),"",C1867/D1867)</f>
        <v>0.60700058253351019</v>
      </c>
      <c r="F1867" t="str">
        <f>IF(E1867="","",IF(E1867&gt;=0.9,"Expected",IF(E1867&gt;=0.7,"Moderate","Poor")))</f>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19221.197871683471</v>
      </c>
      <c r="E1868" s="9">
        <f>IF(OR(C1868="",D1868="",D1868=0),"",C1868/D1868)</f>
        <v>0.62738025384803053</v>
      </c>
      <c r="F1868" t="str">
        <f>IF(E1868="","",IF(E1868&gt;=0.9,"Expected",IF(E1868&gt;=0.7,"Moderate","Poor")))</f>
        <v>Poor</v>
      </c>
      <c r="G1868" t="s">
        <v>874</v>
      </c>
    </row>
    <row r="1869" spans="1:7" ht="15" hidden="1"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22506.337889778166</v>
      </c>
      <c r="E1869" s="9">
        <f>IF(OR(C1869="",D1869="",D1869=0),"",C1869/D1869)</f>
        <v>0.61547107609591356</v>
      </c>
      <c r="F1869" t="str">
        <f>IF(E1869="","",IF(E1869&gt;=0.9,"Expected",IF(E1869&gt;=0.7,"Moderate","Poor")))</f>
        <v>Poor</v>
      </c>
      <c r="G1869" t="s">
        <v>874</v>
      </c>
    </row>
    <row r="1870" spans="1:7" ht="15" customHeight="1" x14ac:dyDescent="0.3">
      <c r="A1870" t="s">
        <v>166</v>
      </c>
      <c r="B1870" s="2">
        <v>46266</v>
      </c>
      <c r="C1870" cm="1">
        <f t="array" ref="C1870">IFERROR(IF(SUMPRODUCT((measured[Site Name]=A1870)*(measured[Date]=B1870)*ISNUMBER(measured[Measured Value (kWh)]))=0,"",SUMIFS(measured[Measured Value (kWh)],measured[Site Name],A1870,measured[Date],B1870)),"")</f>
        <v>13027.93</v>
      </c>
      <c r="D1870" cm="1">
        <f t="array" ref="D1870">IFERROR(IF(SUMPRODUCT((expected_production[Site Name]=A1870)*(expected_production[Date]=B1870)*ISNUMBER(expected_production[Expected Production (kWh)]))=0,"",SUMIFS(expected_production[Expected Production (kWh)],expected_production[Site Name],A1870,expected_production[Date],B1870)),"")</f>
        <v>22171.646366477918</v>
      </c>
      <c r="E1870" s="9">
        <f>IF(OR(C1870="",D1870="",D1870=0),"",C1870/D1870)</f>
        <v>0.58759416349420857</v>
      </c>
      <c r="F1870" t="str">
        <f>IF(E1870="","",IF(E1870&gt;=0.9,"Expected",IF(E1870&gt;=0.7,"Moderate","Poor")))</f>
        <v>Poor</v>
      </c>
      <c r="G1870" t="s">
        <v>874</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21548.343271824004</v>
      </c>
      <c r="E1871" s="9" t="str">
        <f>IF(OR(C1871="",D1871="",D1871=0),"",C1871/D1871)</f>
        <v/>
      </c>
      <c r="F1871" t="str">
        <f>IF(E1871="","",IF(E1871&gt;=0.9,"Expected",IF(E1871&gt;=0.7,"Moderate","Poor")))</f>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21552.204327801413</v>
      </c>
      <c r="E1872" s="9" t="str">
        <f>IF(OR(C1872="",D1872="",D1872=0),"",C1872/D1872)</f>
        <v/>
      </c>
      <c r="F1872" t="str">
        <f>IF(E1872="","",IF(E1872&gt;=0.9,"Expected",IF(E1872&gt;=0.7,"Moderate","Poor")))</f>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22780.458227167685</v>
      </c>
      <c r="E1873" s="9" t="str">
        <f>IF(OR(C1873="",D1873="",D1873=0),"",C1873/D1873)</f>
        <v/>
      </c>
      <c r="F1873" t="str">
        <f>IF(E1873="","",IF(E1873&gt;=0.9,"Expected",IF(E1873&gt;=0.7,"Moderate","Poor")))</f>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3296.9581087629563</v>
      </c>
      <c r="E1874" s="9">
        <f>IF(OR(C1874="",D1874="",D1874=0),"",C1874/D1874)</f>
        <v>0.43191328279700092</v>
      </c>
      <c r="F1874" t="str">
        <f>IF(E1874="","",IF(E1874&gt;=0.9,"Expected",IF(E1874&gt;=0.7,"Moderate","Poor")))</f>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2844.9716379286688</v>
      </c>
      <c r="E1875" s="9">
        <f>IF(OR(C1875="",D1875="",D1875=0),"",C1875/D1875)</f>
        <v>0.51705260621543037</v>
      </c>
      <c r="F1875" t="str">
        <f>IF(E1875="","",IF(E1875&gt;=0.9,"Expected",IF(E1875&gt;=0.7,"Moderate","Poor")))</f>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3141.0325356476278</v>
      </c>
      <c r="E1876" s="9">
        <f>IF(OR(C1876="",D1876="",D1876=0),"",C1876/D1876)</f>
        <v>0.542815135039172</v>
      </c>
      <c r="F1876" t="str">
        <f>IF(E1876="","",IF(E1876&gt;=0.9,"Expected",IF(E1876&gt;=0.7,"Moderate","Poor")))</f>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3065.7653515537581</v>
      </c>
      <c r="E1877" s="9">
        <f>IF(OR(C1877="",D1877="",D1877=0),"",C1877/D1877)</f>
        <v>0.42599476810516734</v>
      </c>
      <c r="F1877" t="str">
        <f>IF(E1877="","",IF(E1877&gt;=0.9,"Expected",IF(E1877&gt;=0.7,"Moderate","Poor")))</f>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2955.6580874858428</v>
      </c>
      <c r="E1878" s="9">
        <f>IF(OR(C1878="",D1878="",D1878=0),"",C1878/D1878)</f>
        <v>0.28961401307691009</v>
      </c>
      <c r="F1878" t="str">
        <f>IF(E1878="","",IF(E1878&gt;=0.9,"Expected",IF(E1878&gt;=0.7,"Moderate","Poor")))</f>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2661.5894909511239</v>
      </c>
      <c r="E1879" s="9">
        <f>IF(OR(C1879="",D1879="",D1879=0),"",C1879/D1879)</f>
        <v>0.40802685902246927</v>
      </c>
      <c r="F1879" t="str">
        <f>IF(E1879="","",IF(E1879&gt;=0.9,"Expected",IF(E1879&gt;=0.7,"Moderate","Poor")))</f>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2799.4129607656869</v>
      </c>
      <c r="E1880" s="9">
        <f>IF(OR(C1880="",D1880="",D1880=0),"",C1880/D1880)</f>
        <v>0.44009226836723192</v>
      </c>
      <c r="F1880" t="str">
        <f>IF(E1880="","",IF(E1880&gt;=0.9,"Expected",IF(E1880&gt;=0.7,"Moderate","Poor")))</f>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3279.4305780728128</v>
      </c>
      <c r="E1881" s="9">
        <f>IF(OR(C1881="",D1881="",D1881=0),"",C1881/D1881)</f>
        <v>0.30706550299710039</v>
      </c>
      <c r="F1881" t="str">
        <f>IF(E1881="","",IF(E1881&gt;=0.9,"Expected",IF(E1881&gt;=0.7,"Moderate","Poor")))</f>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3229.2517430747398</v>
      </c>
      <c r="E1882" s="9">
        <f>IF(OR(C1882="",D1882="",D1882=0),"",C1882/D1882)</f>
        <v>0.37717715957328196</v>
      </c>
      <c r="F1882" t="str">
        <f>IF(E1882="","",IF(E1882&gt;=0.9,"Expected",IF(E1882&gt;=0.7,"Moderate","Poor")))</f>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3142.6241071871982</v>
      </c>
      <c r="E1883" s="9">
        <f>IF(OR(C1883="",D1883="",D1883=0),"",C1883/D1883)</f>
        <v>0.44198731780340816</v>
      </c>
      <c r="F1883" t="str">
        <f>IF(E1883="","",IF(E1883&gt;=0.9,"Expected",IF(E1883&gt;=0.7,"Moderate","Poor")))</f>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3143.6141376507799</v>
      </c>
      <c r="E1884" s="9">
        <f>IF(OR(C1884="",D1884="",D1884=0),"",C1884/D1884)</f>
        <v>0.55064009900832633</v>
      </c>
      <c r="F1884" t="str">
        <f>IF(E1884="","",IF(E1884&gt;=0.9,"Expected",IF(E1884&gt;=0.7,"Moderate","Poor")))</f>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3321.0630536948756</v>
      </c>
      <c r="E1885" s="9">
        <f>IF(OR(C1885="",D1885="",D1885=0),"",C1885/D1885)</f>
        <v>0.42697171871590711</v>
      </c>
      <c r="F1885" t="str">
        <f>IF(E1885="","",IF(E1885&gt;=0.9,"Expected",IF(E1885&gt;=0.7,"Moderate","Poor")))</f>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3273.8321790523601</v>
      </c>
      <c r="E1886" s="9">
        <f>IF(OR(C1886="",D1886="",D1886=0),"",C1886/D1886)</f>
        <v>0.45604048049651774</v>
      </c>
      <c r="F1886" t="str">
        <f>IF(E1886="","",IF(E1886&gt;=0.9,"Expected",IF(E1886&gt;=0.7,"Moderate","Poor")))</f>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2825.0160874008939</v>
      </c>
      <c r="E1887" s="9">
        <f>IF(OR(C1887="",D1887="",D1887=0),"",C1887/D1887)</f>
        <v>0.48456361225872957</v>
      </c>
      <c r="F1887" t="str">
        <f>IF(E1887="","",IF(E1887&gt;=0.9,"Expected",IF(E1887&gt;=0.7,"Moderate","Poor")))</f>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3119.0603045749817</v>
      </c>
      <c r="E1888" s="9">
        <f>IF(OR(C1888="",D1888="",D1888=0),"",C1888/D1888)</f>
        <v>0.30778500774476503</v>
      </c>
      <c r="F1888" t="str">
        <f>IF(E1888="","",IF(E1888&gt;=0.9,"Expected",IF(E1888&gt;=0.7,"Moderate","Poor")))</f>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3044.3196314109823</v>
      </c>
      <c r="E1889" s="9">
        <f>IF(OR(C1889="",D1889="",D1889=0),"",C1889/D1889)</f>
        <v>0.22796555027907653</v>
      </c>
      <c r="F1889" t="str">
        <f>IF(E1889="","",IF(E1889&gt;=0.9,"Expected",IF(E1889&gt;=0.7,"Moderate","Poor")))</f>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2934.9825924908237</v>
      </c>
      <c r="E1890" s="9">
        <f>IF(OR(C1890="",D1890="",D1890=0),"",C1890/D1890)</f>
        <v>0.19761616354520622</v>
      </c>
      <c r="F1890" t="str">
        <f>IF(E1890="","",IF(E1890&gt;=0.9,"Expected",IF(E1890&gt;=0.7,"Moderate","Poor")))</f>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2642.9710721184615</v>
      </c>
      <c r="E1891" s="9">
        <f>IF(OR(C1891="",D1891="",D1891=0),"",C1891/D1891)</f>
        <v>0.16996024085876421</v>
      </c>
      <c r="F1891" t="str">
        <f>IF(E1891="","",IF(E1891&gt;=0.9,"Expected",IF(E1891&gt;=0.7,"Moderate","Poor")))</f>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2779.830435674452</v>
      </c>
      <c r="E1892" s="9">
        <f>IF(OR(C1892="",D1892="",D1892=0),"",C1892/D1892)</f>
        <v>0.206847148883918</v>
      </c>
      <c r="F1892" t="str">
        <f>IF(E1892="","",IF(E1892&gt;=0.9,"Expected",IF(E1892&gt;=0.7,"Moderate","Poor")))</f>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3256.4902214765821</v>
      </c>
      <c r="E1893" s="9">
        <f>IF(OR(C1893="",D1893="",D1893=0),"",C1893/D1893)</f>
        <v>0.44127262858735833</v>
      </c>
      <c r="F1893" t="str">
        <f>IF(E1893="","",IF(E1893&gt;=0.9,"Expected",IF(E1893&gt;=0.7,"Moderate","Poor")))</f>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3206.6623987475705</v>
      </c>
      <c r="E1894" s="9">
        <f>IF(OR(C1894="",D1894="",D1894=0),"",C1894/D1894)</f>
        <v>0.39199636372414753</v>
      </c>
      <c r="F1894" t="str">
        <f>IF(E1894="","",IF(E1894&gt;=0.9,"Expected",IF(E1894&gt;=0.7,"Moderate","Poor")))</f>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3120.6407427126405</v>
      </c>
      <c r="E1895" s="9">
        <f>IF(OR(C1895="",D1895="",D1895=0),"",C1895/D1895)</f>
        <v>0.51784237060087857</v>
      </c>
      <c r="F1895" t="str">
        <f>IF(E1895="","",IF(E1895&gt;=0.9,"Expected",IF(E1895&gt;=0.7,"Moderate","Poor")))</f>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3121.6238476898197</v>
      </c>
      <c r="E1896" s="9">
        <f>IF(OR(C1896="",D1896="",D1896=0),"",C1896/D1896)</f>
        <v>0.46866633245472661</v>
      </c>
      <c r="F1896" t="str">
        <f>IF(E1896="","",IF(E1896&gt;=0.9,"Expected",IF(E1896&gt;=0.7,"Moderate","Poor")))</f>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3297.8314685411206</v>
      </c>
      <c r="E1897" s="9">
        <f>IF(OR(C1897="",D1897="",D1897=0),"",C1897/D1897)</f>
        <v>0.55672948042193349</v>
      </c>
      <c r="F1897" t="str">
        <f>IF(E1897="","",IF(E1897&gt;=0.9,"Expected",IF(E1897&gt;=0.7,"Moderate","Poor")))</f>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3250.9309845200428</v>
      </c>
      <c r="E1898" s="9">
        <f>IF(OR(C1898="",D1898="",D1898=0),"",C1898/D1898)</f>
        <v>0.50354806293794074</v>
      </c>
      <c r="F1898" t="str">
        <f>IF(E1898="","",IF(E1898&gt;=0.9,"Expected",IF(E1898&gt;=0.7,"Moderate","Poor")))</f>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2805.2544626638492</v>
      </c>
      <c r="E1899" s="9">
        <f>IF(OR(C1899="",D1899="",D1899=0),"",C1899/D1899)</f>
        <v>0.64200949467157553</v>
      </c>
      <c r="F1899" t="str">
        <f>IF(E1899="","",IF(E1899&gt;=0.9,"Expected",IF(E1899&gt;=0.7,"Moderate","Poor")))</f>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3097.2417742147059</v>
      </c>
      <c r="E1900" s="9">
        <f>IF(OR(C1900="",D1900="",D1900=0),"",C1900/D1900)</f>
        <v>0.48946776212986348</v>
      </c>
      <c r="F1900" t="str">
        <f>IF(E1900="","",IF(E1900&gt;=0.9,"Expected",IF(E1900&gt;=0.7,"Moderate","Poor")))</f>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3023.0239289178644</v>
      </c>
      <c r="E1901" s="9">
        <f>IF(OR(C1901="",D1901="",D1901=0),"",C1901/D1901)</f>
        <v>0.44766102810321778</v>
      </c>
      <c r="F1901" t="str">
        <f>IF(E1901="","",IF(E1901&gt;=0.9,"Expected",IF(E1901&gt;=0.7,"Moderate","Poor")))</f>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2914.4517272468229</v>
      </c>
      <c r="E1902" s="9">
        <f>IF(OR(C1902="",D1902="",D1902=0),"",C1902/D1902)</f>
        <v>0.44677013787084996</v>
      </c>
      <c r="F1902" t="str">
        <f>IF(E1902="","",IF(E1902&gt;=0.9,"Expected",IF(E1902&gt;=0.7,"Moderate","Poor")))</f>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2624.4828933250724</v>
      </c>
      <c r="E1903" s="9">
        <f>IF(OR(C1903="",D1903="",D1903=0),"",C1903/D1903)</f>
        <v>0.41913018476807895</v>
      </c>
      <c r="F1903" t="str">
        <f>IF(E1903="","",IF(E1903&gt;=0.9,"Expected",IF(E1903&gt;=0.7,"Moderate","Poor")))</f>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2760.38489476323</v>
      </c>
      <c r="E1904" s="9">
        <f>IF(OR(C1904="",D1904="",D1904=0),"",C1904/D1904)</f>
        <v>0.39777061600468588</v>
      </c>
      <c r="F1904" t="str">
        <f>IF(E1904="","",IF(E1904&gt;=0.9,"Expected",IF(E1904&gt;=0.7,"Moderate","Poor")))</f>
        <v>Poor</v>
      </c>
      <c r="G1904" t="s">
        <v>874</v>
      </c>
    </row>
    <row r="1905" spans="1:7" ht="15" hidden="1"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3233.7103378491288</v>
      </c>
      <c r="E1905" s="9">
        <f>IF(OR(C1905="",D1905="",D1905=0),"",C1905/D1905)</f>
        <v>0.33119849587776168</v>
      </c>
      <c r="F1905" t="str">
        <f>IF(E1905="","",IF(E1905&gt;=0.9,"Expected",IF(E1905&gt;=0.7,"Moderate","Poor")))</f>
        <v>Poor</v>
      </c>
      <c r="G1905" t="s">
        <v>874</v>
      </c>
    </row>
    <row r="1906" spans="1:7" ht="15" customHeight="1" x14ac:dyDescent="0.3">
      <c r="A1906" t="s">
        <v>169</v>
      </c>
      <c r="B1906" s="2">
        <v>46266</v>
      </c>
      <c r="C1906" cm="1">
        <f t="array" ref="C1906">IFERROR(IF(SUMPRODUCT((measured[Site Name]=A1906)*(measured[Date]=B1906)*ISNUMBER(measured[Measured Value (kWh)]))=0,"",SUMIFS(measured[Measured Value (kWh)],measured[Site Name],A1906,measured[Date],B1906)),"")</f>
        <v>1290.9100000000001</v>
      </c>
      <c r="D1906" cm="1">
        <f t="array" ref="D1906">IFERROR(IF(SUMPRODUCT((expected_production[Site Name]=A1906)*(expected_production[Date]=B1906)*ISNUMBER(expected_production[Expected Production (kWh)]))=0,"",SUMIFS(expected_production[Expected Production (kWh)],expected_production[Site Name],A1906,expected_production[Date],B1906)),"")</f>
        <v>3184.2310719791831</v>
      </c>
      <c r="E1906" s="9">
        <f>IF(OR(C1906="",D1906="",D1906=0),"",C1906/D1906)</f>
        <v>0.40540713623450231</v>
      </c>
      <c r="F1906" t="str">
        <f>IF(E1906="","",IF(E1906&gt;=0.9,"Expected",IF(E1906&gt;=0.7,"Moderate","Poor")))</f>
        <v>Poor</v>
      </c>
      <c r="G1906" t="s">
        <v>874</v>
      </c>
    </row>
    <row r="1907" spans="1:7"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3098.8111568311115</v>
      </c>
      <c r="E1907" s="9" t="str">
        <f>IF(OR(C1907="",D1907="",D1907=0),"",C1907/D1907)</f>
        <v/>
      </c>
      <c r="F1907" t="str">
        <f>IF(E1907="","",IF(E1907&gt;=0.9,"Expected",IF(E1907&gt;=0.7,"Moderate","Poor")))</f>
        <v/>
      </c>
    </row>
    <row r="1908" spans="1:7"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3099.7873847672276</v>
      </c>
      <c r="E1908" s="9" t="str">
        <f>IF(OR(C1908="",D1908="",D1908=0),"",C1908/D1908)</f>
        <v/>
      </c>
      <c r="F1908" t="str">
        <f>IF(E1908="","",IF(E1908&gt;=0.9,"Expected",IF(E1908&gt;=0.7,"Moderate","Poor")))</f>
        <v/>
      </c>
    </row>
    <row r="1909" spans="1:7"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3274.762393565592</v>
      </c>
      <c r="E1909" s="9" t="str">
        <f>IF(OR(C1909="",D1909="",D1909=0),"",C1909/D1909)</f>
        <v/>
      </c>
      <c r="F1909" t="str">
        <f>IF(E1909="","",IF(E1909&gt;=0.9,"Expected",IF(E1909&gt;=0.7,"Moderate","Poor")))</f>
        <v/>
      </c>
    </row>
    <row r="1910" spans="1:7"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12446.153758201615</v>
      </c>
      <c r="E1910" s="9">
        <f>IF(OR(C1910="",D1910="",D1910=0),"",C1910/D1910)</f>
        <v>0.67016687741813807</v>
      </c>
      <c r="F1910" t="str">
        <f>IF(E1910="","",IF(E1910&gt;=0.9,"Expected",IF(E1910&gt;=0.7,"Moderate","Poor")))</f>
        <v>Poor</v>
      </c>
    </row>
    <row r="1911" spans="1:7"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10833.429147702178</v>
      </c>
      <c r="E1911" s="9">
        <f>IF(OR(C1911="",D1911="",D1911=0),"",C1911/D1911)</f>
        <v>0.74362419231852517</v>
      </c>
      <c r="F1911" t="str">
        <f>IF(E1911="","",IF(E1911&gt;=0.9,"Expected",IF(E1911&gt;=0.7,"Moderate","Poor")))</f>
        <v>Moderate</v>
      </c>
    </row>
    <row r="1912" spans="1:7"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10846.962680135426</v>
      </c>
      <c r="E1912" s="9">
        <f>IF(OR(C1912="",D1912="",D1912=0),"",C1912/D1912)</f>
        <v>0.6995506690454717</v>
      </c>
      <c r="F1912" t="str">
        <f>IF(E1912="","",IF(E1912&gt;=0.9,"Expected",IF(E1912&gt;=0.7,"Moderate","Poor")))</f>
        <v>Poor</v>
      </c>
    </row>
    <row r="1913" spans="1:7"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8712.26002263806</v>
      </c>
      <c r="E1913" s="9">
        <f>IF(OR(C1913="",D1913="",D1913=0),"",C1913/D1913)</f>
        <v>0.77431114113572119</v>
      </c>
      <c r="F1913" t="str">
        <f>IF(E1913="","",IF(E1913&gt;=0.9,"Expected",IF(E1913&gt;=0.7,"Moderate","Poor")))</f>
        <v>Moderate</v>
      </c>
    </row>
    <row r="1914" spans="1:7"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7406.2828905921797</v>
      </c>
      <c r="E1914" s="9">
        <f>IF(OR(C1914="",D1914="",D1914=0),"",C1914/D1914)</f>
        <v>0.89046018055525389</v>
      </c>
      <c r="F1914" t="str">
        <f>IF(E1914="","",IF(E1914&gt;=0.9,"Expected",IF(E1914&gt;=0.7,"Moderate","Poor")))</f>
        <v>Moderate</v>
      </c>
    </row>
    <row r="1915" spans="1:7"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6709.5864200777978</v>
      </c>
      <c r="E1915" s="9">
        <f>IF(OR(C1915="",D1915="",D1915=0),"",C1915/D1915)</f>
        <v>0.77814036113711205</v>
      </c>
      <c r="F1915" t="str">
        <f>IF(E1915="","",IF(E1915&gt;=0.9,"Expected",IF(E1915&gt;=0.7,"Moderate","Poor")))</f>
        <v>Moderate</v>
      </c>
    </row>
    <row r="1916" spans="1:7"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7223.6378651430878</v>
      </c>
      <c r="E1916" s="9">
        <f>IF(OR(C1916="",D1916="",D1916=0),"",C1916/D1916)</f>
        <v>0.89954675487754199</v>
      </c>
      <c r="F1916" t="str">
        <f>IF(E1916="","",IF(E1916&gt;=0.9,"Expected",IF(E1916&gt;=0.7,"Moderate","Poor")))</f>
        <v>Moderate</v>
      </c>
    </row>
    <row r="1917" spans="1:7"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8504.0305612381107</v>
      </c>
      <c r="E1917" s="9">
        <f>IF(OR(C1917="",D1917="",D1917=0),"",C1917/D1917)</f>
        <v>0.79103666803151862</v>
      </c>
      <c r="F1917" t="str">
        <f>IF(E1917="","",IF(E1917&gt;=0.9,"Expected",IF(E1917&gt;=0.7,"Moderate","Poor")))</f>
        <v>Moderate</v>
      </c>
    </row>
    <row r="1918" spans="1:7"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9121.1405739422353</v>
      </c>
      <c r="E1918" s="9">
        <f>IF(OR(C1918="",D1918="",D1918=0),"",C1918/D1918)</f>
        <v>0.59290830528912852</v>
      </c>
      <c r="F1918" t="str">
        <f>IF(E1918="","",IF(E1918&gt;=0.9,"Expected",IF(E1918&gt;=0.7,"Moderate","Poor")))</f>
        <v>Poor</v>
      </c>
    </row>
    <row r="1919" spans="1:7"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10659.834461450209</v>
      </c>
      <c r="E1919" s="9">
        <f>IF(OR(C1919="",D1919="",D1919=0),"",C1919/D1919)</f>
        <v>0.75216927889414875</v>
      </c>
      <c r="F1919" t="str">
        <f>IF(E1919="","",IF(E1919&gt;=0.9,"Expected",IF(E1919&gt;=0.7,"Moderate","Poor")))</f>
        <v>Moderate</v>
      </c>
    </row>
    <row r="1920" spans="1:7"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11055.451135190346</v>
      </c>
      <c r="E1920" s="9">
        <f>IF(OR(C1920="",D1920="",D1920=0),"",C1920/D1920)</f>
        <v>0.70716245808501732</v>
      </c>
      <c r="F1920" t="str">
        <f>IF(E1920="","",IF(E1920&gt;=0.9,"Expected",IF(E1920&gt;=0.7,"Moderate","Poor")))</f>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12562.530162746218</v>
      </c>
      <c r="E1921" s="9">
        <f>IF(OR(C1921="",D1921="",D1921=0),"",C1921/D1921)</f>
        <v>0.7196798640779225</v>
      </c>
      <c r="F1921" t="str">
        <f>IF(E1921="","",IF(E1921&gt;=0.9,"Expected",IF(E1921&gt;=0.7,"Moderate","Poor")))</f>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12358.852413299954</v>
      </c>
      <c r="E1922" s="9">
        <f>IF(OR(C1922="",D1922="",D1922=0),"",C1922/D1922)</f>
        <v>0.77685206351909364</v>
      </c>
      <c r="F1922" t="str">
        <f>IF(E1922="","",IF(E1922&gt;=0.9,"Expected",IF(E1922&gt;=0.7,"Moderate","Poor")))</f>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10757.439974431038</v>
      </c>
      <c r="E1923" s="9">
        <f>IF(OR(C1923="",D1923="",D1923=0),"",C1923/D1923)</f>
        <v>0.68018041628784431</v>
      </c>
      <c r="F1923" t="str">
        <f>IF(E1923="","",IF(E1923&gt;=0.9,"Expected",IF(E1923&gt;=0.7,"Moderate","Poor")))</f>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10771.085729565997</v>
      </c>
      <c r="E1924" s="9">
        <f>IF(OR(C1924="",D1924="",D1924=0),"",C1924/D1924)</f>
        <v>0.76231869341279934</v>
      </c>
      <c r="F1924" t="str">
        <f>IF(E1924="","",IF(E1924&gt;=0.9,"Expected",IF(E1924&gt;=0.7,"Moderate","Poor")))</f>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8651.3157986576134</v>
      </c>
      <c r="E1925" s="9">
        <f>IF(OR(C1925="",D1925="",D1925=0),"",C1925/D1925)</f>
        <v>0.80034068356103316</v>
      </c>
      <c r="F1925" t="str">
        <f>IF(E1925="","",IF(E1925&gt;=0.9,"Expected",IF(E1925&gt;=0.7,"Moderate","Poor")))</f>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7354.4742712243051</v>
      </c>
      <c r="E1926" s="9">
        <f>IF(OR(C1926="",D1926="",D1926=0),"",C1926/D1926)</f>
        <v>1.0099974146436785</v>
      </c>
      <c r="F1926" t="str">
        <f>IF(E1926="","",IF(E1926&gt;=0.9,"Expected",IF(E1926&gt;=0.7,"Moderate","Poor")))</f>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6662.6513496668049</v>
      </c>
      <c r="E1927" s="9">
        <f>IF(OR(C1927="",D1927="",D1927=0),"",C1927/D1927)</f>
        <v>1.0545726665333282</v>
      </c>
      <c r="F1927" t="str">
        <f>IF(E1927="","",IF(E1927&gt;=0.9,"Expected",IF(E1927&gt;=0.7,"Moderate","Poor")))</f>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7173.1068889253211</v>
      </c>
      <c r="E1928" s="9">
        <f>IF(OR(C1928="",D1928="",D1928=0),"",C1928/D1928)</f>
        <v>1.0201994914223824</v>
      </c>
      <c r="F1928" t="str">
        <f>IF(E1928="","",IF(E1928&gt;=0.9,"Expected",IF(E1928&gt;=0.7,"Moderate","Poor")))</f>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8444.5429493080264</v>
      </c>
      <c r="E1929" s="9">
        <f>IF(OR(C1929="",D1929="",D1929=0),"",C1929/D1929)</f>
        <v>0.93231807183183779</v>
      </c>
      <c r="F1929" t="str">
        <f>IF(E1929="","",IF(E1929&gt;=0.9,"Expected",IF(E1929&gt;=0.7,"Moderate","Poor")))</f>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9057.3361382790354</v>
      </c>
      <c r="E1930" s="9">
        <f>IF(OR(C1930="",D1930="",D1930=0),"",C1930/D1930)</f>
        <v>0.77119805352914772</v>
      </c>
      <c r="F1930" t="str">
        <f>IF(E1930="","",IF(E1930&gt;=0.9,"Expected",IF(E1930&gt;=0.7,"Moderate","Poor")))</f>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10585.266514978795</v>
      </c>
      <c r="E1931" s="9">
        <f>IF(OR(C1931="",D1931="",D1931=0),"",C1931/D1931)</f>
        <v>0.91450791402387199</v>
      </c>
      <c r="F1931" t="str">
        <f>IF(E1931="","",IF(E1931&gt;=0.9,"Expected",IF(E1931&gt;=0.7,"Moderate","Poor")))</f>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10978.115760851515</v>
      </c>
      <c r="E1932" s="9">
        <f>IF(OR(C1932="",D1932="",D1932=0),"",C1932/D1932)</f>
        <v>1.0112846541107048</v>
      </c>
      <c r="F1932" t="str">
        <f>IF(E1932="","",IF(E1932&gt;=0.9,"Expected",IF(E1932&gt;=0.7,"Moderate","Poor")))</f>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12474.652430675529</v>
      </c>
      <c r="E1933" s="9">
        <f>IF(OR(C1933="",D1933="",D1933=0),"",C1933/D1933)</f>
        <v>0.91257051555251489</v>
      </c>
      <c r="F1933" t="str">
        <f>IF(E1933="","",IF(E1933&gt;=0.9,"Expected",IF(E1933&gt;=0.7,"Moderate","Poor")))</f>
        <v>Expected</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12272.399453027841</v>
      </c>
      <c r="E1934" s="9">
        <f>IF(OR(C1934="",D1934="",D1934=0),"",C1934/D1934)</f>
        <v>0.99532288259948387</v>
      </c>
      <c r="F1934" t="str">
        <f>IF(E1934="","",IF(E1934&gt;=0.9,"Expected",IF(E1934&gt;=0.7,"Moderate","Poor")))</f>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10682.189255380594</v>
      </c>
      <c r="E1935" s="9">
        <f>IF(OR(C1935="",D1935="",D1935=0),"",C1935/D1935)</f>
        <v>1.0944385762601305</v>
      </c>
      <c r="F1935" t="str">
        <f>IF(E1935="","",IF(E1935&gt;=0.9,"Expected",IF(E1935&gt;=0.7,"Moderate","Poor")))</f>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10695.739555380469</v>
      </c>
      <c r="E1936" s="9">
        <f>IF(OR(C1936="",D1936="",D1936=0),"",C1936/D1936)</f>
        <v>0.94981744342209007</v>
      </c>
      <c r="F1936" t="str">
        <f>IF(E1936="","",IF(E1936&gt;=0.9,"Expected",IF(E1936&gt;=0.7,"Moderate","Poor")))</f>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8590.7978932703809</v>
      </c>
      <c r="E1937" s="9">
        <f>IF(OR(C1937="",D1937="",D1937=0),"",C1937/D1937)</f>
        <v>0.93495506468518963</v>
      </c>
      <c r="F1937" t="str">
        <f>IF(E1937="","",IF(E1937&gt;=0.9,"Expected",IF(E1937&gt;=0.7,"Moderate","Poor")))</f>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7303.0280648347689</v>
      </c>
      <c r="E1938" s="9">
        <f>IF(OR(C1938="",D1938="",D1938=0),"",C1938/D1938)</f>
        <v>1.0596180010948761</v>
      </c>
      <c r="F1938" t="str">
        <f>IF(E1938="","",IF(E1938&gt;=0.9,"Expected",IF(E1938&gt;=0.7,"Moderate","Poor")))</f>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6616.0446006599304</v>
      </c>
      <c r="E1939" s="9">
        <f>IF(OR(C1939="",D1939="",D1939=0),"",C1939/D1939)</f>
        <v>0.97369355692635895</v>
      </c>
      <c r="F1939" t="str">
        <f>IF(E1939="","",IF(E1939&gt;=0.9,"Expected",IF(E1939&gt;=0.7,"Moderate","Poor")))</f>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7122.9293882838756</v>
      </c>
      <c r="E1940" s="9">
        <f>IF(OR(C1940="",D1940="",D1940=0),"",C1940/D1940)</f>
        <v>0.95789241028035277</v>
      </c>
      <c r="F1940" t="str">
        <f>IF(E1940="","",IF(E1940&gt;=0.9,"Expected",IF(E1940&gt;=0.7,"Moderate","Poor")))</f>
        <v>Expected</v>
      </c>
      <c r="G1940" t="s">
        <v>874</v>
      </c>
    </row>
    <row r="1941" spans="1:7" ht="15" hidden="1"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8385.4714666413165</v>
      </c>
      <c r="E1941" s="9">
        <f>IF(OR(C1941="",D1941="",D1941=0),"",C1941/D1941)</f>
        <v>0.97812031590934467</v>
      </c>
      <c r="F1941" t="str">
        <f>IF(E1941="","",IF(E1941&gt;=0.9,"Expected",IF(E1941&gt;=0.7,"Moderate","Poor")))</f>
        <v>Expected</v>
      </c>
      <c r="G1941" t="s">
        <v>874</v>
      </c>
    </row>
    <row r="1942" spans="1:7" ht="15" customHeight="1" x14ac:dyDescent="0.3">
      <c r="A1942" t="s">
        <v>202</v>
      </c>
      <c r="B1942" s="2">
        <v>46266</v>
      </c>
      <c r="C1942" cm="1">
        <f t="array" ref="C1942">IFERROR(IF(SUMPRODUCT((measured[Site Name]=A1942)*(measured[Date]=B1942)*ISNUMBER(measured[Measured Value (kWh)]))=0,"",SUMIFS(measured[Measured Value (kWh)],measured[Site Name],A1942,measured[Date],B1942)),"")</f>
        <v>19614.48</v>
      </c>
      <c r="D1942" cm="1">
        <f t="array" ref="D1942">IFERROR(IF(SUMPRODUCT((expected_production[Site Name]=A1942)*(expected_production[Date]=B1942)*ISNUMBER(expected_production[Expected Production (kWh)]))=0,"",SUMIFS(expected_production[Expected Production (kWh)],expected_production[Site Name],A1942,expected_production[Date],B1942)),"")</f>
        <v>23964.005980404199</v>
      </c>
      <c r="E1942" s="9">
        <f>IF(OR(C1942="",D1942="",D1942=0),"",C1942/D1942)</f>
        <v>0.81849754235744698</v>
      </c>
      <c r="F1942" t="str">
        <f>IF(E1942="","",IF(E1942&gt;=0.9,"Expected",IF(E1942&gt;=0.7,"Moderate","Poor")))</f>
        <v>Moderate</v>
      </c>
      <c r="G1942" t="s">
        <v>874</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10511.220188112362</v>
      </c>
      <c r="E1943" s="9" t="str">
        <f>IF(OR(C1943="",D1943="",D1943=0),"",C1943/D1943)</f>
        <v/>
      </c>
      <c r="F1943" t="str">
        <f>IF(E1943="","",IF(E1943&gt;=0.9,"Expected",IF(E1943&gt;=0.7,"Moderate","Poor")))</f>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10901.321364899815</v>
      </c>
      <c r="E1944" s="9" t="str">
        <f>IF(OR(C1944="",D1944="",D1944=0),"",C1944/D1944)</f>
        <v/>
      </c>
      <c r="F1944" t="str">
        <f>IF(E1944="","",IF(E1944&gt;=0.9,"Expected",IF(E1944&gt;=0.7,"Moderate","Poor")))</f>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12387.389423162225</v>
      </c>
      <c r="E1945" s="9" t="str">
        <f>IF(OR(C1945="",D1945="",D1945=0),"",C1945/D1945)</f>
        <v/>
      </c>
      <c r="F1945" t="str">
        <f>IF(E1945="","",IF(E1945&gt;=0.9,"Expected",IF(E1945&gt;=0.7,"Moderate","Poor")))</f>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12933.106538278173</v>
      </c>
      <c r="E1946" s="9">
        <f>IF(OR(C1946="",D1946="",D1946=0),"",C1946/D1946)</f>
        <v>0.91269641714182503</v>
      </c>
      <c r="F1946" t="str">
        <f>IF(E1946="","",IF(E1946&gt;=0.9,"Expected",IF(E1946&gt;=0.7,"Moderate","Poor")))</f>
        <v>Expected</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10723.369605840735</v>
      </c>
      <c r="E1947" s="9">
        <f>IF(OR(C1947="",D1947="",D1947=0),"",C1947/D1947)</f>
        <v>0.85402260078883041</v>
      </c>
      <c r="F1947" t="str">
        <f>IF(E1947="","",IF(E1947&gt;=0.9,"Expected",IF(E1947&gt;=0.7,"Moderate","Poor")))</f>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11181.616029057295</v>
      </c>
      <c r="E1948" s="9">
        <f>IF(OR(C1948="",D1948="",D1948=0),"",C1948/D1948)</f>
        <v>0.87500768892212388</v>
      </c>
      <c r="F1948" t="str">
        <f>IF(E1948="","",IF(E1948&gt;=0.9,"Expected",IF(E1948&gt;=0.7,"Moderate","Poor")))</f>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9771.320512109729</v>
      </c>
      <c r="E1949" s="9">
        <f>IF(OR(C1949="",D1949="",D1949=0),"",C1949/D1949)</f>
        <v>0.80419017984943542</v>
      </c>
      <c r="F1949" t="str">
        <f>IF(E1949="","",IF(E1949&gt;=0.9,"Expected",IF(E1949&gt;=0.7,"Moderate","Poor")))</f>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8765.6165699706326</v>
      </c>
      <c r="E1950" s="9">
        <f>IF(OR(C1950="",D1950="",D1950=0),"",C1950/D1950)</f>
        <v>0.82663894115828029</v>
      </c>
      <c r="F1950" t="str">
        <f>IF(E1950="","",IF(E1950&gt;=0.9,"Expected",IF(E1950&gt;=0.7,"Moderate","Poor")))</f>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7609.8502976890768</v>
      </c>
      <c r="E1951" s="9">
        <f>IF(OR(C1951="",D1951="",D1951=0),"",C1951/D1951)</f>
        <v>0.80514067429954805</v>
      </c>
      <c r="F1951" t="str">
        <f>IF(E1951="","",IF(E1951&gt;=0.9,"Expected",IF(E1951&gt;=0.7,"Moderate","Poor")))</f>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8420.0273692372302</v>
      </c>
      <c r="E1952" s="9">
        <f>IF(OR(C1952="",D1952="",D1952=0),"",C1952/D1952)</f>
        <v>1.0119919599230374</v>
      </c>
      <c r="F1952" t="str">
        <f>IF(E1952="","",IF(E1952&gt;=0.9,"Expected",IF(E1952&gt;=0.7,"Moderate","Poor")))</f>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9578.7354273065448</v>
      </c>
      <c r="E1953" s="9">
        <f>IF(OR(C1953="",D1953="",D1953=0),"",C1953/D1953)</f>
        <v>0.94480112418605344</v>
      </c>
      <c r="F1953" t="str">
        <f>IF(E1953="","",IF(E1953&gt;=0.9,"Expected",IF(E1953&gt;=0.7,"Moderate","Poor")))</f>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10292.717110374178</v>
      </c>
      <c r="E1954" s="9">
        <f>IF(OR(C1954="",D1954="",D1954=0),"",C1954/D1954)</f>
        <v>0.8065897382560232</v>
      </c>
      <c r="F1954" t="str">
        <f>IF(E1954="","",IF(E1954&gt;=0.9,"Expected",IF(E1954&gt;=0.7,"Moderate","Poor")))</f>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11296.484685606136</v>
      </c>
      <c r="E1955" s="9">
        <f>IF(OR(C1955="",D1955="",D1955=0),"",C1955/D1955)</f>
        <v>0.99942595543776569</v>
      </c>
      <c r="F1955" t="str">
        <f>IF(E1955="","",IF(E1955&gt;=0.9,"Expected",IF(E1955&gt;=0.7,"Moderate","Poor")))</f>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12142.7761049648</v>
      </c>
      <c r="E1956" s="9">
        <f>IF(OR(C1956="",D1956="",D1956=0),"",C1956/D1956)</f>
        <v>0.86578224856683017</v>
      </c>
      <c r="F1956" t="str">
        <f>IF(E1956="","",IF(E1956&gt;=0.9,"Expected",IF(E1956&gt;=0.7,"Moderate","Poor")))</f>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13020.721215973177</v>
      </c>
      <c r="E1957" s="9">
        <f>IF(OR(C1957="",D1957="",D1957=0),"",C1957/D1957)</f>
        <v>0.88374520958822012</v>
      </c>
      <c r="F1957" t="str">
        <f>IF(E1957="","",IF(E1957&gt;=0.9,"Expected",IF(E1957&gt;=0.7,"Moderate","Poor")))</f>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12842.389549199992</v>
      </c>
      <c r="E1958" s="9">
        <f>IF(OR(C1958="",D1958="",D1958=0),"",C1958/D1958)</f>
        <v>0.90941019622999486</v>
      </c>
      <c r="F1958" t="str">
        <f>IF(E1958="","",IF(E1958&gt;=0.9,"Expected",IF(E1958&gt;=0.7,"Moderate","Poor")))</f>
        <v>Expected</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10648.152425766082</v>
      </c>
      <c r="E1959" s="9">
        <f>IF(OR(C1959="",D1959="",D1959=0),"",C1959/D1959)</f>
        <v>0.71063971451888674</v>
      </c>
      <c r="F1959" t="str">
        <f>IF(E1959="","",IF(E1959&gt;=0.9,"Expected",IF(E1959&gt;=0.7,"Moderate","Poor")))</f>
        <v>Moderate</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11103.398102828334</v>
      </c>
      <c r="E1960" s="9">
        <f>IF(OR(C1960="",D1960="",D1960=0),"",C1960/D1960)</f>
        <v>0.86135792947600354</v>
      </c>
      <c r="F1960" t="str">
        <f>IF(E1960="","",IF(E1960&gt;=0.9,"Expected",IF(E1960&gt;=0.7,"Moderate","Poor")))</f>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9702.9679211256007</v>
      </c>
      <c r="E1961" s="9">
        <f>IF(OR(C1961="",D1961="",D1961=0),"",C1961/D1961)</f>
        <v>0.71699711434199476</v>
      </c>
      <c r="F1961" t="str">
        <f>IF(E1961="","",IF(E1961&gt;=0.9,"Expected",IF(E1961&gt;=0.7,"Moderate","Poor")))</f>
        <v>Moderate</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8704.299104906584</v>
      </c>
      <c r="E1962" s="9">
        <f>IF(OR(C1962="",D1962="",D1962=0),"",C1962/D1962)</f>
        <v>0.88519476492446325</v>
      </c>
      <c r="F1962" t="str">
        <f>IF(E1962="","",IF(E1962&gt;=0.9,"Expected",IF(E1962&gt;=0.7,"Moderate","Poor")))</f>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7556.617678392251</v>
      </c>
      <c r="E1963" s="9">
        <f>IF(OR(C1963="",D1963="",D1963=0),"",C1963/D1963)</f>
        <v>0.86223761440664315</v>
      </c>
      <c r="F1963" t="str">
        <f>IF(E1963="","",IF(E1963&gt;=0.9,"Expected",IF(E1963&gt;=0.7,"Moderate","Poor")))</f>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8361.1273785828071</v>
      </c>
      <c r="E1964" s="9">
        <f>IF(OR(C1964="",D1964="",D1964=0),"",C1964/D1964)</f>
        <v>0.91506798707530612</v>
      </c>
      <c r="F1964" t="str">
        <f>IF(E1964="","",IF(E1964&gt;=0.9,"Expected",IF(E1964&gt;=0.7,"Moderate","Poor")))</f>
        <v>Expected</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9511.7300124297672</v>
      </c>
      <c r="E1965" s="9">
        <f>IF(OR(C1965="",D1965="",D1965=0),"",C1965/D1965)</f>
        <v>0.89867983940141472</v>
      </c>
      <c r="F1965" t="str">
        <f>IF(E1965="","",IF(E1965&gt;=0.9,"Expected",IF(E1965&gt;=0.7,"Moderate","Poor")))</f>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10220.717232579887</v>
      </c>
      <c r="E1966" s="9">
        <f>IF(OR(C1966="",D1966="",D1966=0),"",C1966/D1966)</f>
        <v>0.7379129887243997</v>
      </c>
      <c r="F1966" t="str">
        <f>IF(E1966="","",IF(E1966&gt;=0.9,"Expected",IF(E1966&gt;=0.7,"Moderate","Poor")))</f>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11217.463227215041</v>
      </c>
      <c r="E1967" s="9">
        <f>IF(OR(C1967="",D1967="",D1967=0),"",C1967/D1967)</f>
        <v>0.90804844140584517</v>
      </c>
      <c r="F1967" t="str">
        <f>IF(E1967="","",IF(E1967&gt;=0.9,"Expected",IF(E1967&gt;=0.7,"Moderate","Poor")))</f>
        <v>Expected</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12057.834647207283</v>
      </c>
      <c r="E1968" s="9">
        <f>IF(OR(C1968="",D1968="",D1968=0),"",C1968/D1968)</f>
        <v>0.8958490737391106</v>
      </c>
      <c r="F1968" t="str">
        <f>IF(E1968="","",IF(E1968&gt;=0.9,"Expected",IF(E1968&gt;=0.7,"Moderate","Poor")))</f>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12929.638334136398</v>
      </c>
      <c r="E1969" s="9">
        <f>IF(OR(C1969="",D1969="",D1969=0),"",C1969/D1969)</f>
        <v>0.85331079763237017</v>
      </c>
      <c r="F1969" t="str">
        <f>IF(E1969="","",IF(E1969&gt;=0.9,"Expected",IF(E1969&gt;=0.7,"Moderate","Poor")))</f>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12752.554137596468</v>
      </c>
      <c r="E1970" s="9">
        <f>IF(OR(C1970="",D1970="",D1970=0),"",C1970/D1970)</f>
        <v>0.61085802231836017</v>
      </c>
      <c r="F1970" t="str">
        <f>IF(E1970="","",IF(E1970&gt;=0.9,"Expected",IF(E1970&gt;=0.7,"Moderate","Poor")))</f>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10573.666197769257</v>
      </c>
      <c r="E1971" s="9">
        <f>IF(OR(C1971="",D1971="",D1971=0),"",C1971/D1971)</f>
        <v>0.48905125273303479</v>
      </c>
      <c r="F1971" t="str">
        <f>IF(E1971="","",IF(E1971&gt;=0.9,"Expected",IF(E1971&gt;=0.7,"Moderate","Poor")))</f>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11025.727328636041</v>
      </c>
      <c r="E1972" s="9">
        <f>IF(OR(C1972="",D1972="",D1972=0),"",C1972/D1972)</f>
        <v>0.7394976999679389</v>
      </c>
      <c r="F1972" t="str">
        <f>IF(E1972="","",IF(E1972&gt;=0.9,"Expected",IF(E1972&gt;=0.7,"Moderate","Poor")))</f>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9635.0934719328943</v>
      </c>
      <c r="E1973" s="9">
        <f>IF(OR(C1973="",D1973="",D1973=0),"",C1973/D1973)</f>
        <v>0.81713478161209419</v>
      </c>
      <c r="F1973" t="str">
        <f>IF(E1973="","",IF(E1973&gt;=0.9,"Expected",IF(E1973&gt;=0.7,"Moderate","Poor")))</f>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8643.4105693413185</v>
      </c>
      <c r="E1974" s="9">
        <f>IF(OR(C1974="",D1974="",D1974=0),"",C1974/D1974)</f>
        <v>0.89869617296126603</v>
      </c>
      <c r="F1974" t="str">
        <f>IF(E1974="","",IF(E1974&gt;=0.9,"Expected",IF(E1974&gt;=0.7,"Moderate","Poor")))</f>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7503.7574332744643</v>
      </c>
      <c r="E1975" s="9">
        <f>IF(OR(C1975="",D1975="",D1975=0),"",C1975/D1975)</f>
        <v>0.95827724495915045</v>
      </c>
      <c r="F1975" t="str">
        <f>IF(E1975="","",IF(E1975&gt;=0.9,"Expected",IF(E1975&gt;=0.7,"Moderate","Poor")))</f>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8302.6394066483899</v>
      </c>
      <c r="E1976" s="9">
        <f>IF(OR(C1976="",D1976="",D1976=0),"",C1976/D1976)</f>
        <v>0.82213543978967984</v>
      </c>
      <c r="F1976" t="str">
        <f>IF(E1976="","",IF(E1976&gt;=0.9,"Expected",IF(E1976&gt;=0.7,"Moderate","Poor")))</f>
        <v>Moderate</v>
      </c>
      <c r="G1976" t="s">
        <v>874</v>
      </c>
    </row>
    <row r="1977" spans="1:7" ht="15" hidden="1"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9445.1933155436782</v>
      </c>
      <c r="E1977" s="9">
        <f>IF(OR(C1977="",D1977="",D1977=0),"",C1977/D1977)</f>
        <v>1.0248081194982757</v>
      </c>
      <c r="F1977" t="str">
        <f>IF(E1977="","",IF(E1977&gt;=0.9,"Expected",IF(E1977&gt;=0.7,"Moderate","Poor")))</f>
        <v>Expected</v>
      </c>
      <c r="G1977" t="s">
        <v>874</v>
      </c>
    </row>
    <row r="1978" spans="1:7" ht="15" customHeight="1" x14ac:dyDescent="0.3">
      <c r="A1978" t="s">
        <v>172</v>
      </c>
      <c r="B1978" s="2">
        <v>46266</v>
      </c>
      <c r="C1978" cm="1">
        <f t="array" ref="C1978">IFERROR(IF(SUMPRODUCT((measured[Site Name]=A1978)*(measured[Date]=B1978)*ISNUMBER(measured[Measured Value (kWh)]))=0,"",SUMIFS(measured[Measured Value (kWh)],measured[Site Name],A1978,measured[Date],B1978)),"")</f>
        <v>8602.5565999999999</v>
      </c>
      <c r="D1978" cm="1">
        <f t="array" ref="D1978">IFERROR(IF(SUMPRODUCT((expected_production[Site Name]=A1978)*(expected_production[Date]=B1978)*ISNUMBER(expected_production[Expected Production (kWh)]))=0,"",SUMIFS(expected_production[Expected Production (kWh)],expected_production[Site Name],A1978,expected_production[Date],B1978)),"")</f>
        <v>10149.221010170932</v>
      </c>
      <c r="E1978" s="9">
        <f>IF(OR(C1978="",D1978="",D1978=0),"",C1978/D1978)</f>
        <v>0.84760757415559684</v>
      </c>
      <c r="F1978" t="str">
        <f>IF(E1978="","",IF(E1978&gt;=0.9,"Expected",IF(E1978&gt;=0.7,"Moderate","Poor")))</f>
        <v>Moderate</v>
      </c>
      <c r="G1978" t="s">
        <v>874</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11138.994541749335</v>
      </c>
      <c r="E1979" s="9" t="str">
        <f>IF(OR(C1979="",D1979="",D1979=0),"",C1979/D1979)</f>
        <v/>
      </c>
      <c r="F1979" t="str">
        <f>IF(E1979="","",IF(E1979&gt;=0.9,"Expected",IF(E1979&gt;=0.7,"Moderate","Poor")))</f>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11973.487374106027</v>
      </c>
      <c r="E1980" s="9" t="str">
        <f>IF(OR(C1980="",D1980="",D1980=0),"",C1980/D1980)</f>
        <v/>
      </c>
      <c r="F1980" t="str">
        <f>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12839.192597602563</v>
      </c>
      <c r="E1981" s="9" t="str">
        <f>IF(OR(C1981="",D1981="",D1981=0),"",C1981/D1981)</f>
        <v/>
      </c>
      <c r="F1981" t="str">
        <f>IF(E1981="","",IF(E1981&gt;=0.9,"Expected",IF(E1981&gt;=0.7,"Moderate","Poor")))</f>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4316.0516940089583</v>
      </c>
      <c r="E1982" s="9">
        <f>IF(OR(C1982="",D1982="",D1982=0),"",C1982/D1982)</f>
        <v>0.99558585129195654</v>
      </c>
      <c r="F1982" t="str">
        <f>IF(E1982="","",IF(E1982&gt;=0.9,"Expected",IF(E1982&gt;=0.7,"Moderate","Poor")))</f>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3785.425301355896</v>
      </c>
      <c r="E1983" s="9">
        <f>IF(OR(C1983="",D1983="",D1983=0),"",C1983/D1983)</f>
        <v>1.1031785512989003</v>
      </c>
      <c r="F1983" t="str">
        <f>IF(E1983="","",IF(E1983&gt;=0.9,"Expected",IF(E1983&gt;=0.7,"Moderate","Poor")))</f>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4031.6196664889694</v>
      </c>
      <c r="E1984" s="9">
        <f>IF(OR(C1984="",D1984="",D1984=0),"",C1984/D1984)</f>
        <v>1.1613198633087902</v>
      </c>
      <c r="F1984" t="str">
        <f>IF(E1984="","",IF(E1984&gt;=0.9,"Expected",IF(E1984&gt;=0.7,"Moderate","Poor")))</f>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3532.0131557035606</v>
      </c>
      <c r="E1985" s="9">
        <f>IF(OR(C1985="",D1985="",D1985=0),"",C1985/D1985)</f>
        <v>1.1225892501553241</v>
      </c>
      <c r="F1985" t="str">
        <f>IF(E1985="","",IF(E1985&gt;=0.9,"Expected",IF(E1985&gt;=0.7,"Moderate","Poor")))</f>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3578.8675089862659</v>
      </c>
      <c r="E1986" s="9">
        <f>IF(OR(C1986="",D1986="",D1986=0),"",C1986/D1986)</f>
        <v>1.0506116782917847</v>
      </c>
      <c r="F1986" t="str">
        <f>IF(E1986="","",IF(E1986&gt;=0.9,"Expected",IF(E1986&gt;=0.7,"Moderate","Poor")))</f>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3317.3190021351706</v>
      </c>
      <c r="E1987" s="9">
        <f>IF(OR(C1987="",D1987="",D1987=0),"",C1987/D1987)</f>
        <v>0.97669232229839675</v>
      </c>
      <c r="F1987" t="str">
        <f>IF(E1987="","",IF(E1987&gt;=0.9,"Expected",IF(E1987&gt;=0.7,"Moderate","Poor")))</f>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3616.4024752932355</v>
      </c>
      <c r="E1988" s="9">
        <f>IF(OR(C1988="",D1988="",D1988=0),"",C1988/D1988)</f>
        <v>1.0607226452827152</v>
      </c>
      <c r="F1988" t="str">
        <f>IF(E1988="","",IF(E1988&gt;=0.9,"Expected",IF(E1988&gt;=0.7,"Moderate","Poor")))</f>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4046.3948833185818</v>
      </c>
      <c r="E1989" s="9">
        <f>IF(OR(C1989="",D1989="",D1989=0),"",C1989/D1989)</f>
        <v>0.96752791383256675</v>
      </c>
      <c r="F1989" t="str">
        <f>IF(E1989="","",IF(E1989&gt;=0.9,"Expected",IF(E1989&gt;=0.7,"Moderate","Poor")))</f>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4211.5955891822114</v>
      </c>
      <c r="E1990" s="9">
        <f>IF(OR(C1990="",D1990="",D1990=0),"",C1990/D1990)</f>
        <v>0.88944912223335793</v>
      </c>
      <c r="F1990" t="str">
        <f>IF(E1990="","",IF(E1990&gt;=0.9,"Expected",IF(E1990&gt;=0.7,"Moderate","Poor")))</f>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4224.2338808109234</v>
      </c>
      <c r="E1991" s="9">
        <f>IF(OR(C1991="",D1991="",D1991=0),"",C1991/D1991)</f>
        <v>0.81647941314695804</v>
      </c>
      <c r="F1991" t="str">
        <f>IF(E1991="","",IF(E1991&gt;=0.9,"Expected",IF(E1991&gt;=0.7,"Moderate","Poor")))</f>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4182.7409930383646</v>
      </c>
      <c r="E1992" s="9">
        <f>IF(OR(C1992="",D1992="",D1992=0),"",C1992/D1992)</f>
        <v>1.1069296443901357</v>
      </c>
      <c r="F1992" t="str">
        <f>IF(E1992="","",IF(E1992&gt;=0.9,"Expected",IF(E1992&gt;=0.7,"Moderate","Poor")))</f>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4373.3210830190164</v>
      </c>
      <c r="E1993" s="9">
        <f>IF(OR(C1993="",D1993="",D1993=0),"",C1993/D1993)</f>
        <v>1.1567867769058571</v>
      </c>
      <c r="F1993" t="str">
        <f>IF(E1993="","",IF(E1993&gt;=0.9,"Expected",IF(E1993&gt;=0.7,"Moderate","Poor")))</f>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4285.7775125331136</v>
      </c>
      <c r="E1994" s="9">
        <f>IF(OR(C1994="",D1994="",D1994=0),"",C1994/D1994)</f>
        <v>1.0441512623820377</v>
      </c>
      <c r="F1994" t="str">
        <f>IF(E1994="","",IF(E1994&gt;=0.9,"Expected",IF(E1994&gt;=0.7,"Moderate","Poor")))</f>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3758.8731048899504</v>
      </c>
      <c r="E1995" s="9">
        <f>IF(OR(C1995="",D1995="",D1995=0),"",C1995/D1995)</f>
        <v>0.97130174340027142</v>
      </c>
      <c r="F1995" t="str">
        <f>IF(E1995="","",IF(E1995&gt;=0.9,"Expected",IF(E1995&gt;=0.7,"Moderate","Poor")))</f>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4003.417577556816</v>
      </c>
      <c r="E1996" s="9">
        <f>IF(OR(C1996="",D1996="",D1996=0),"",C1996/D1996)</f>
        <v>0.97716511560789876</v>
      </c>
      <c r="F1996" t="str">
        <f>IF(E1996="","",IF(E1996&gt;=0.9,"Expected",IF(E1996&gt;=0.7,"Moderate","Poor")))</f>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3507.3059270047197</v>
      </c>
      <c r="E1997" s="9">
        <f>IF(OR(C1997="",D1997="",D1997=0),"",C1997/D1997)</f>
        <v>0.95828538198557811</v>
      </c>
      <c r="F1997" t="str">
        <f>IF(E1997="","",IF(E1997&gt;=0.9,"Expected",IF(E1997&gt;=0.7,"Moderate","Poor")))</f>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3553.8325235178263</v>
      </c>
      <c r="E1998" s="9">
        <f>IF(OR(C1998="",D1998="",D1998=0),"",C1998/D1998)</f>
        <v>1.0203069435615209</v>
      </c>
      <c r="F1998" t="str">
        <f>IF(E1998="","",IF(E1998&gt;=0.9,"Expected",IF(E1998&gt;=0.7,"Moderate","Poor")))</f>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3294.1136074665774</v>
      </c>
      <c r="E1999" s="9">
        <f>IF(OR(C1999="",D1999="",D1999=0),"",C1999/D1999)</f>
        <v>0.97118386953885882</v>
      </c>
      <c r="F1999" t="str">
        <f>IF(E1999="","",IF(E1999&gt;=0.9,"Expected",IF(E1999&gt;=0.7,"Moderate","Poor")))</f>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3591.1049242691583</v>
      </c>
      <c r="E2000" s="9">
        <f>IF(OR(C2000="",D2000="",D2000=0),"",C2000/D2000)</f>
        <v>0.91977262420763384</v>
      </c>
      <c r="F2000" t="str">
        <f>IF(E2000="","",IF(E2000&gt;=0.9,"Expected",IF(E2000&gt;=0.7,"Moderate","Poor")))</f>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4018.0894384120334</v>
      </c>
      <c r="E2001" s="9">
        <f>IF(OR(C2001="",D2001="",D2001=0),"",C2001/D2001)</f>
        <v>0.96613080905789483</v>
      </c>
      <c r="F2001" t="str">
        <f>IF(E2001="","",IF(E2001&gt;=0.9,"Expected",IF(E2001&gt;=0.7,"Moderate","Poor")))</f>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4182.134528075765</v>
      </c>
      <c r="E2002" s="9">
        <f>IF(OR(C2002="",D2002="",D2002=0),"",C2002/D2002)</f>
        <v>0.97175257580006169</v>
      </c>
      <c r="F2002" t="str">
        <f>IF(E2002="","",IF(E2002&gt;=0.9,"Expected",IF(E2002&gt;=0.7,"Moderate","Poor")))</f>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4194.6844120038641</v>
      </c>
      <c r="E2003" s="9">
        <f>IF(OR(C2003="",D2003="",D2003=0),"",C2003/D2003)</f>
        <v>1.0987715754754983</v>
      </c>
      <c r="F2003" t="str">
        <f>IF(E2003="","",IF(E2003&gt;=0.9,"Expected",IF(E2003&gt;=0.7,"Moderate","Poor")))</f>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4153.4817763403371</v>
      </c>
      <c r="E2004" s="9">
        <f>IF(OR(C2004="",D2004="",D2004=0),"",C2004/D2004)</f>
        <v>0.88624440847874764</v>
      </c>
      <c r="F2004" t="str">
        <f>IF(E2004="","",IF(E2004&gt;=0.9,"Expected",IF(E2004&gt;=0.7,"Moderate","Poor")))</f>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4342.7287156046632</v>
      </c>
      <c r="E2005" s="9">
        <f>IF(OR(C2005="",D2005="",D2005=0),"",C2005/D2005)</f>
        <v>0.2770147708460991</v>
      </c>
      <c r="F2005" t="str">
        <f>IF(E2005="","",IF(E2005&gt;=0.9,"Expected",IF(E2005&gt;=0.7,"Moderate","Poor")))</f>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4255.7975321404838</v>
      </c>
      <c r="E2006" s="9">
        <f>IF(OR(C2006="",D2006="",D2006=0),"",C2006/D2006)</f>
        <v>0.70821038295120375</v>
      </c>
      <c r="F2006" t="str">
        <f>IF(E2006="","",IF(E2006&gt;=0.9,"Expected",IF(E2006&gt;=0.7,"Moderate","Poor")))</f>
        <v>Moderate</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3732.5789396764185</v>
      </c>
      <c r="E2007" s="9">
        <f>IF(OR(C2007="",D2007="",D2007=0),"",C2007/D2007)</f>
        <v>1.2433896442662611</v>
      </c>
      <c r="F2007" t="str">
        <f>IF(E2007="","",IF(E2007&gt;=0.9,"Expected",IF(E2007&gt;=0.7,"Moderate","Poor")))</f>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3975.412768597957</v>
      </c>
      <c r="E2008" s="9">
        <f>IF(OR(C2008="",D2008="",D2008=0),"",C2008/D2008)</f>
        <v>0.94480755046844123</v>
      </c>
      <c r="F2008" t="str">
        <f>IF(E2008="","",IF(E2008&gt;=0.9,"Expected",IF(E2008&gt;=0.7,"Moderate","Poor")))</f>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3482.7715309435462</v>
      </c>
      <c r="E2009" s="9">
        <f>IF(OR(C2009="",D2009="",D2009=0),"",C2009/D2009)</f>
        <v>0.94582718697817314</v>
      </c>
      <c r="F2009" t="str">
        <f>IF(E2009="","",IF(E2009&gt;=0.9,"Expected",IF(E2009&gt;=0.7,"Moderate","Poor")))</f>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3528.9726634195868</v>
      </c>
      <c r="E2010" s="9">
        <f>IF(OR(C2010="",D2010="",D2010=0),"",C2010/D2010)</f>
        <v>0.96935293250053511</v>
      </c>
      <c r="F2010" t="str">
        <f>IF(E2010="","",IF(E2010&gt;=0.9,"Expected",IF(E2010&gt;=0.7,"Moderate","Poor")))</f>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3271.0705397678589</v>
      </c>
      <c r="E2011" s="9">
        <f>IF(OR(C2011="",D2011="",D2011=0),"",C2011/D2011)</f>
        <v>0.8810571233369151</v>
      </c>
      <c r="F2011" t="str">
        <f>IF(E2011="","",IF(E2011&gt;=0.9,"Expected",IF(E2011&gt;=0.7,"Moderate","Poor")))</f>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18309.968131563855</v>
      </c>
      <c r="E2012" s="9">
        <f>IF(OR(C2012="",D2012="",D2012=0),"",C2012/D2012)</f>
        <v>0</v>
      </c>
      <c r="F2012" t="str">
        <f>IF(E2012="","",IF(E2012&gt;=0.9,"Expected",IF(E2012&gt;=0.7,"Moderate","Poor")))</f>
        <v>Poor</v>
      </c>
      <c r="G2012" t="s">
        <v>874</v>
      </c>
    </row>
    <row r="2013" spans="1:7" ht="15" hidden="1"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3989.9819964771327</v>
      </c>
      <c r="E2013" s="9">
        <f>IF(OR(C2013="",D2013="",D2013=0),"",C2013/D2013)</f>
        <v>0.978701157911949</v>
      </c>
      <c r="F2013" t="str">
        <f>IF(E2013="","",IF(E2013&gt;=0.9,"Expected",IF(E2013&gt;=0.7,"Moderate","Poor")))</f>
        <v>Expected</v>
      </c>
      <c r="G2013" t="s">
        <v>874</v>
      </c>
    </row>
    <row r="2014" spans="1:7" ht="15" customHeight="1" x14ac:dyDescent="0.3">
      <c r="A2014" t="s">
        <v>177</v>
      </c>
      <c r="B2014" s="2">
        <v>46266</v>
      </c>
      <c r="C2014" cm="1">
        <f t="array" ref="C2014">IFERROR(IF(SUMPRODUCT((measured[Site Name]=A2014)*(measured[Date]=B2014)*ISNUMBER(measured[Measured Value (kWh)]))=0,"",SUMIFS(measured[Measured Value (kWh)],measured[Site Name],A2014,measured[Date],B2014)),"")</f>
        <v>3972.39</v>
      </c>
      <c r="D2014" cm="1">
        <f t="array" ref="D2014">IFERROR(IF(SUMPRODUCT((expected_production[Site Name]=A2014)*(expected_production[Date]=B2014)*ISNUMBER(expected_production[Expected Production (kWh)]))=0,"",SUMIFS(expected_production[Expected Production (kWh)],expected_production[Site Name],A2014,expected_production[Date],B2014)),"")</f>
        <v>4152.8795537369442</v>
      </c>
      <c r="E2014" s="9">
        <f>IF(OR(C2014="",D2014="",D2014=0),"",C2014/D2014)</f>
        <v>0.95653869769121236</v>
      </c>
      <c r="F2014" t="str">
        <f>IF(E2014="","",IF(E2014&gt;=0.9,"Expected",IF(E2014&gt;=0.7,"Moderate","Poor")))</f>
        <v>Expected</v>
      </c>
      <c r="G2014" t="s">
        <v>874</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4165.3416483962355</v>
      </c>
      <c r="E2015" s="9" t="str">
        <f>IF(OR(C2015="",D2015="",D2015=0),"",C2015/D2015)</f>
        <v/>
      </c>
      <c r="F2015" t="str">
        <f>IF(E2015="","",IF(E2015&gt;=0.9,"Expected",IF(E2015&gt;=0.7,"Moderate","Poor")))</f>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4124.4272344627689</v>
      </c>
      <c r="E2016" s="9" t="str">
        <f>IF(OR(C2016="",D2016="",D2016=0),"",C2016/D2016)</f>
        <v/>
      </c>
      <c r="F2016" t="str">
        <f>IF(E2016="","",IF(E2016&gt;=0.9,"Expected",IF(E2016&gt;=0.7,"Moderate","Poor")))</f>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4312.3503487007338</v>
      </c>
      <c r="E2017" s="9" t="str">
        <f>IF(OR(C2017="",D2017="",D2017=0),"",C2017/D2017)</f>
        <v/>
      </c>
      <c r="F2017" t="str">
        <f>IF(E2017="","",IF(E2017&gt;=0.9,"Expected",IF(E2017&gt;=0.7,"Moderate","Poor")))</f>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22834.622131239219</v>
      </c>
      <c r="E2018" s="9">
        <f>IF(OR(C2018="",D2018="",D2018=0),"",C2018/D2018)</f>
        <v>0.6198044320005538</v>
      </c>
      <c r="F2018" t="str">
        <f>IF(E2018="","",IF(E2018&gt;=0.9,"Expected",IF(E2018&gt;=0.7,"Moderate","Poor")))</f>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20139.513368175867</v>
      </c>
      <c r="E2019" s="9">
        <f>IF(OR(C2019="",D2019="",D2019=0),"",C2019/D2019)</f>
        <v>0.60850526901832458</v>
      </c>
      <c r="F2019" t="str">
        <f>IF(E2019="","",IF(E2019&gt;=0.9,"Expected",IF(E2019&gt;=0.7,"Moderate","Poor")))</f>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21474.649099031409</v>
      </c>
      <c r="E2020" s="9">
        <f>IF(OR(C2020="",D2020="",D2020=0),"",C2020/D2020)</f>
        <v>0.69761326161439829</v>
      </c>
      <c r="F2020" t="str">
        <f>IF(E2020="","",IF(E2020&gt;=0.9,"Expected",IF(E2020&gt;=0.7,"Moderate","Poor")))</f>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18626.988846149467</v>
      </c>
      <c r="E2021" s="9">
        <f>IF(OR(C2021="",D2021="",D2021=0),"",C2021/D2021)</f>
        <v>0.67364618638260998</v>
      </c>
      <c r="F2021" t="str">
        <f>IF(E2021="","",IF(E2021&gt;=0.9,"Expected",IF(E2021&gt;=0.7,"Moderate","Poor")))</f>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18471.081022286093</v>
      </c>
      <c r="E2022" s="9">
        <f>IF(OR(C2022="",D2022="",D2022=0),"",C2022/D2022)</f>
        <v>0.67667939872709459</v>
      </c>
      <c r="F2022" t="str">
        <f>IF(E2022="","",IF(E2022&gt;=0.9,"Expected",IF(E2022&gt;=0.7,"Moderate","Poor")))</f>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16943.380043149737</v>
      </c>
      <c r="E2023" s="9">
        <f>IF(OR(C2023="",D2023="",D2023=0),"",C2023/D2023)</f>
        <v>0.63529236625675056</v>
      </c>
      <c r="F2023" t="str">
        <f>IF(E2023="","",IF(E2023&gt;=0.9,"Expected",IF(E2023&gt;=0.7,"Moderate","Poor")))</f>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18568.846031561512</v>
      </c>
      <c r="E2024" s="9">
        <f>IF(OR(C2024="",D2024="",D2024=0),"",C2024/D2024)</f>
        <v>0.68103316590086227</v>
      </c>
      <c r="F2024" t="str">
        <f>IF(E2024="","",IF(E2024&gt;=0.9,"Expected",IF(E2024&gt;=0.7,"Moderate","Poor")))</f>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21195.921513467682</v>
      </c>
      <c r="E2025" s="9">
        <f>IF(OR(C2025="",D2025="",D2025=0),"",C2025/D2025)</f>
        <v>0.62672434371676056</v>
      </c>
      <c r="F2025" t="str">
        <f>IF(E2025="","",IF(E2025&gt;=0.9,"Expected",IF(E2025&gt;=0.7,"Moderate","Poor")))</f>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22356.575423535713</v>
      </c>
      <c r="E2026" s="9">
        <f>IF(OR(C2026="",D2026="",D2026=0),"",C2026/D2026)</f>
        <v>0.57168863110156398</v>
      </c>
      <c r="F2026" t="str">
        <f>IF(E2026="","",IF(E2026&gt;=0.9,"Expected",IF(E2026&gt;=0.7,"Moderate","Poor")))</f>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22494.532895098793</v>
      </c>
      <c r="E2027" s="9">
        <f>IF(OR(C2027="",D2027="",D2027=0),"",C2027/D2027)</f>
        <v>0.72506506696805839</v>
      </c>
      <c r="F2027" t="str">
        <f>IF(E2027="","",IF(E2027&gt;=0.9,"Expected",IF(E2027&gt;=0.7,"Moderate","Poor")))</f>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22152.760048008859</v>
      </c>
      <c r="E2028" s="9">
        <f>IF(OR(C2028="",D2028="",D2028=0),"",C2028/D2028)</f>
        <v>0.76094355572253614</v>
      </c>
      <c r="F2028" t="str">
        <f>IF(E2028="","",IF(E2028&gt;=0.9,"Expected",IF(E2028&gt;=0.7,"Moderate","Poor")))</f>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23110.523118283345</v>
      </c>
      <c r="E2029" s="9">
        <f>IF(OR(C2029="",D2029="",D2029=0),"",C2029/D2029)</f>
        <v>0.77462547725011277</v>
      </c>
      <c r="F2029" t="str">
        <f>IF(E2029="","",IF(E2029&gt;=0.9,"Expected",IF(E2029&gt;=0.7,"Moderate","Poor")))</f>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22674.452711745689</v>
      </c>
      <c r="E2030" s="9">
        <f>IF(OR(C2030="",D2030="",D2030=0),"",C2030/D2030)</f>
        <v>0.72138455591154538</v>
      </c>
      <c r="F2030" t="str">
        <f>IF(E2030="","",IF(E2030&gt;=0.9,"Expected",IF(E2030&gt;=0.7,"Moderate","Poor")))</f>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19998.248312571995</v>
      </c>
      <c r="E2031" s="9">
        <f>IF(OR(C2031="",D2031="",D2031=0),"",C2031/D2031)</f>
        <v>0.65385726767777508</v>
      </c>
      <c r="F2031" t="str">
        <f>IF(E2031="","",IF(E2031&gt;=0.9,"Expected",IF(E2031&gt;=0.7,"Moderate","Poor")))</f>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21324.429084799489</v>
      </c>
      <c r="E2032" s="9">
        <f>IF(OR(C2032="",D2032="",D2032=0),"",C2032/D2032)</f>
        <v>0.6288562261935976</v>
      </c>
      <c r="F2032" t="str">
        <f>IF(E2032="","",IF(E2032&gt;=0.9,"Expected",IF(E2032&gt;=0.7,"Moderate","Poor")))</f>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18496.688857699708</v>
      </c>
      <c r="E2033" s="9">
        <f>IF(OR(C2033="",D2033="",D2033=0),"",C2033/D2033)</f>
        <v>0.6142180412615148</v>
      </c>
      <c r="F2033" t="str">
        <f>IF(E2033="","",IF(E2033&gt;=0.9,"Expected",IF(E2033&gt;=0.7,"Moderate","Poor")))</f>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18341.871644230552</v>
      </c>
      <c r="E2034" s="9">
        <f>IF(OR(C2034="",D2034="",D2034=0),"",C2034/D2034)</f>
        <v>0.65822072219099681</v>
      </c>
      <c r="F2034" t="str">
        <f>IF(E2034="","",IF(E2034&gt;=0.9,"Expected",IF(E2034&gt;=0.7,"Moderate","Poor")))</f>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16824.857278028809</v>
      </c>
      <c r="E2035" s="9">
        <f>IF(OR(C2035="",D2035="",D2035=0),"",C2035/D2035)</f>
        <v>0.63521430365750642</v>
      </c>
      <c r="F2035" t="str">
        <f>IF(E2035="","",IF(E2035&gt;=0.9,"Expected",IF(E2035&gt;=0.7,"Moderate","Poor")))</f>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18438.952765214388</v>
      </c>
      <c r="E2036" s="9">
        <f>IF(OR(C2036="",D2036="",D2036=0),"",C2036/D2036)</f>
        <v>0.56668077265821393</v>
      </c>
      <c r="F2036" t="str">
        <f>IF(E2036="","",IF(E2036&gt;=0.9,"Expected",IF(E2036&gt;=0.7,"Moderate","Poor")))</f>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21047.651261566083</v>
      </c>
      <c r="E2037" s="9">
        <f>IF(OR(C2037="",D2037="",D2037=0),"",C2037/D2037)</f>
        <v>0.49055354783713534</v>
      </c>
      <c r="F2037" t="str">
        <f>IF(E2037="","",IF(E2037&gt;=0.9,"Expected",IF(E2037&gt;=0.7,"Moderate","Poor")))</f>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22200.186135738128</v>
      </c>
      <c r="E2038" s="9">
        <f>IF(OR(C2038="",D2038="",D2038=0),"",C2038/D2038)</f>
        <v>0.43220358339941362</v>
      </c>
      <c r="F2038" t="str">
        <f>IF(E2038="","",IF(E2038&gt;=0.9,"Expected",IF(E2038&gt;=0.7,"Moderate","Poor")))</f>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22337.178563670179</v>
      </c>
      <c r="E2039" s="9">
        <f>IF(OR(C2039="",D2039="",D2039=0),"",C2039/D2039)</f>
        <v>0.49549677764591582</v>
      </c>
      <c r="F2039" t="str">
        <f>IF(E2039="","",IF(E2039&gt;=0.9,"Expected",IF(E2039&gt;=0.7,"Moderate","Poor")))</f>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21997.796494735325</v>
      </c>
      <c r="E2040" s="9">
        <f>IF(OR(C2040="",D2040="",D2040=0),"",C2040/D2040)</f>
        <v>0.48509404123971517</v>
      </c>
      <c r="F2040" t="str">
        <f>IF(E2040="","",IF(E2040&gt;=0.9,"Expected",IF(E2040&gt;=0.7,"Moderate","Poor")))</f>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22948.85979630188</v>
      </c>
      <c r="E2041" s="9">
        <f>IF(OR(C2041="",D2041="",D2041=0),"",C2041/D2041)</f>
        <v>7.8958171172059569E-2</v>
      </c>
      <c r="F2041" t="str">
        <f>IF(E2041="","",IF(E2041&gt;=0.9,"Expected",IF(E2041&gt;=0.7,"Moderate","Poor")))</f>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22515.839800617232</v>
      </c>
      <c r="E2042" s="9">
        <f>IF(OR(C2042="",D2042="",D2042=0),"",C2042/D2042)</f>
        <v>1.3590432455982012E-2</v>
      </c>
      <c r="F2042" t="str">
        <f>IF(E2042="","",IF(E2042&gt;=0.9,"Expected",IF(E2042&gt;=0.7,"Moderate","Poor")))</f>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19858.356054855729</v>
      </c>
      <c r="E2043" s="9">
        <f>IF(OR(C2043="",D2043="",D2043=0),"",C2043/D2043)</f>
        <v>2.6308554371611885E-2</v>
      </c>
      <c r="F2043" t="str">
        <f>IF(E2043="","",IF(E2043&gt;=0.9,"Expected",IF(E2043&gt;=0.7,"Moderate","Poor")))</f>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21175.259893450482</v>
      </c>
      <c r="E2044" s="9">
        <f>IF(OR(C2044="",D2044="",D2044=0),"",C2044/D2044)</f>
        <v>1.7567671040252961E-2</v>
      </c>
      <c r="F2044" t="str">
        <f>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18367.30034705939</v>
      </c>
      <c r="E2045" s="9">
        <f>IF(OR(C2045="",D2045="",D2045=0),"",C2045/D2045)</f>
        <v>2.4483728773564543E-3</v>
      </c>
      <c r="F2045" t="str">
        <f>IF(E2045="","",IF(E2045&gt;=0.9,"Expected",IF(E2045&gt;=0.7,"Moderate","Poor")))</f>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18213.566114918754</v>
      </c>
      <c r="E2046" s="9">
        <f>IF(OR(C2046="",D2046="",D2046=0),"",C2046/D2046)</f>
        <v>0</v>
      </c>
      <c r="F2046" t="str">
        <f>IF(E2046="","",IF(E2046&gt;=0.9,"Expected",IF(E2046&gt;=0.7,"Moderate","Poor")))</f>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16707.163606383689</v>
      </c>
      <c r="E2047" s="9" t="str">
        <f>IF(OR(C2047="",D2047="",D2047=0),"",C2047/D2047)</f>
        <v/>
      </c>
      <c r="F2047" t="str">
        <f>IF(E2047="","",IF(E2047&gt;=0.9,"Expected",IF(E2047&gt;=0.7,"Moderate","Poor")))</f>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3565.9843353205652</v>
      </c>
      <c r="E2048" s="9">
        <f>IF(OR(C2048="",D2048="",D2048=0),"",C2048/D2048)</f>
        <v>0.82071588789996941</v>
      </c>
      <c r="F2048" t="str">
        <f>IF(E2048="","",IF(E2048&gt;=0.9,"Expected",IF(E2048&gt;=0.7,"Moderate","Poor")))</f>
        <v>Moderate</v>
      </c>
      <c r="G2048" t="s">
        <v>874</v>
      </c>
    </row>
    <row r="2049" spans="1:7" ht="15" hidden="1"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20900.418193520116</v>
      </c>
      <c r="E2049" s="9" t="str">
        <f>IF(OR(C2049="",D2049="",D2049=0),"",C2049/D2049)</f>
        <v/>
      </c>
      <c r="F2049" t="str">
        <f>IF(E2049="","",IF(E2049&gt;=0.9,"Expected",IF(E2049&gt;=0.7,"Moderate","Poor")))</f>
        <v/>
      </c>
      <c r="G2049" t="s">
        <v>874</v>
      </c>
    </row>
    <row r="2050" spans="1:7" ht="15" customHeight="1" x14ac:dyDescent="0.3">
      <c r="A2050" t="s">
        <v>265</v>
      </c>
      <c r="B2050" s="2">
        <v>46266</v>
      </c>
      <c r="C2050" cm="1">
        <f t="array" ref="C2050">IFERROR(IF(SUMPRODUCT((measured[Site Name]=A2050)*(measured[Date]=B2050)*ISNUMBER(measured[Measured Value (kWh)]))=0,"",SUMIFS(measured[Measured Value (kWh)],measured[Site Name],A2050,measured[Date],B2050)),"")</f>
        <v>0</v>
      </c>
      <c r="D2050" cm="1">
        <f t="array" ref="D2050">IFERROR(IF(SUMPRODUCT((expected_production[Site Name]=A2050)*(expected_production[Date]=B2050)*ISNUMBER(expected_production[Expected Production (kWh)]))=0,"",SUMIFS(expected_production[Expected Production (kWh)],expected_production[Site Name],A2050,expected_production[Date],B2050)),"")</f>
        <v>22044.890826283579</v>
      </c>
      <c r="E2050" s="9">
        <f>IF(OR(C2050="",D2050="",D2050=0),"",C2050/D2050)</f>
        <v>0</v>
      </c>
      <c r="F2050" t="str">
        <f>IF(E2050="","",IF(E2050&gt;=0.9,"Expected",IF(E2050&gt;=0.7,"Moderate","Poor")))</f>
        <v>Poor</v>
      </c>
      <c r="G2050" t="s">
        <v>874</v>
      </c>
    </row>
    <row r="2051" spans="1:7"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22180.924961282471</v>
      </c>
      <c r="E2051" s="9" t="str">
        <f>IF(OR(C2051="",D2051="",D2051=0),"",C2051/D2051)</f>
        <v/>
      </c>
      <c r="F2051" t="str">
        <f>IF(E2051="","",IF(E2051&gt;=0.9,"Expected",IF(E2051&gt;=0.7,"Moderate","Poor")))</f>
        <v/>
      </c>
    </row>
    <row r="2052" spans="1:7"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21843.916946470243</v>
      </c>
      <c r="E2052" s="9" t="str">
        <f>IF(OR(C2052="",D2052="",D2052=0),"",C2052/D2052)</f>
        <v/>
      </c>
      <c r="F2052" t="str">
        <f>IF(E2052="","",IF(E2052&gt;=0.9,"Expected",IF(E2052&gt;=0.7,"Moderate","Poor")))</f>
        <v/>
      </c>
    </row>
    <row r="2053" spans="1:7"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22788.327345722173</v>
      </c>
      <c r="E2053" s="9" t="str">
        <f>IF(OR(C2053="",D2053="",D2053=0),"",C2053/D2053)</f>
        <v/>
      </c>
      <c r="F2053" t="str">
        <f>IF(E2053="","",IF(E2053&gt;=0.9,"Expected",IF(E2053&gt;=0.7,"Moderate","Poor")))</f>
        <v/>
      </c>
    </row>
    <row r="2054" spans="1:7"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IF(OR(C2054="",D2054="",D2054=0),"",C2054/D2054)</f>
        <v/>
      </c>
      <c r="F2054" t="str">
        <f>IF(E2054="","",IF(E2054&gt;=0.9,"Expected",IF(E2054&gt;=0.7,"Moderate","Poor")))</f>
        <v/>
      </c>
    </row>
    <row r="2055" spans="1:7"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IF(OR(C2055="",D2055="",D2055=0),"",C2055/D2055)</f>
        <v/>
      </c>
      <c r="F2055" t="str">
        <f>IF(E2055="","",IF(E2055&gt;=0.9,"Expected",IF(E2055&gt;=0.7,"Moderate","Poor")))</f>
        <v/>
      </c>
    </row>
    <row r="2056" spans="1:7"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IF(OR(C2056="",D2056="",D2056=0),"",C2056/D2056)</f>
        <v/>
      </c>
      <c r="F2056" t="str">
        <f>IF(E2056="","",IF(E2056&gt;=0.9,"Expected",IF(E2056&gt;=0.7,"Moderate","Poor")))</f>
        <v/>
      </c>
    </row>
    <row r="2057" spans="1:7"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IF(OR(C2057="",D2057="",D2057=0),"",C2057/D2057)</f>
        <v/>
      </c>
      <c r="F2057" t="str">
        <f>IF(E2057="","",IF(E2057&gt;=0.9,"Expected",IF(E2057&gt;=0.7,"Moderate","Poor")))</f>
        <v/>
      </c>
    </row>
    <row r="2058" spans="1:7"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IF(OR(C2058="",D2058="",D2058=0),"",C2058/D2058)</f>
        <v/>
      </c>
      <c r="F2058" t="str">
        <f>IF(E2058="","",IF(E2058&gt;=0.9,"Expected",IF(E2058&gt;=0.7,"Moderate","Poor")))</f>
        <v/>
      </c>
    </row>
    <row r="2059" spans="1:7"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IF(OR(C2059="",D2059="",D2059=0),"",C2059/D2059)</f>
        <v/>
      </c>
      <c r="F2059" t="str">
        <f>IF(E2059="","",IF(E2059&gt;=0.9,"Expected",IF(E2059&gt;=0.7,"Moderate","Poor")))</f>
        <v/>
      </c>
    </row>
    <row r="2060" spans="1:7"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IF(OR(C2060="",D2060="",D2060=0),"",C2060/D2060)</f>
        <v/>
      </c>
      <c r="F2060" t="str">
        <f>IF(E2060="","",IF(E2060&gt;=0.9,"Expected",IF(E2060&gt;=0.7,"Moderate","Poor")))</f>
        <v/>
      </c>
    </row>
    <row r="2061" spans="1:7"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IF(OR(C2061="",D2061="",D2061=0),"",C2061/D2061)</f>
        <v/>
      </c>
      <c r="F2061" t="str">
        <f>IF(E2061="","",IF(E2061&gt;=0.9,"Expected",IF(E2061&gt;=0.7,"Moderate","Poor")))</f>
        <v/>
      </c>
    </row>
    <row r="2062" spans="1:7"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IF(OR(C2062="",D2062="",D2062=0),"",C2062/D2062)</f>
        <v/>
      </c>
      <c r="F2062" t="str">
        <f>IF(E2062="","",IF(E2062&gt;=0.9,"Expected",IF(E2062&gt;=0.7,"Moderate","Poor")))</f>
        <v/>
      </c>
    </row>
    <row r="2063" spans="1:7"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IF(OR(C2063="",D2063="",D2063=0),"",C2063/D2063)</f>
        <v/>
      </c>
      <c r="F2063" t="str">
        <f>IF(E2063="","",IF(E2063&gt;=0.9,"Expected",IF(E2063&gt;=0.7,"Moderate","Poor")))</f>
        <v/>
      </c>
    </row>
    <row r="2064" spans="1:7"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IF(OR(C2064="",D2064="",D2064=0),"",C2064/D2064)</f>
        <v/>
      </c>
      <c r="F2064" t="str">
        <f>IF(E2064="","",IF(E2064&gt;=0.9,"Expected",IF(E2064&gt;=0.7,"Moderate","Poor")))</f>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IF(OR(C2065="",D2065="",D2065=0),"",C2065/D2065)</f>
        <v/>
      </c>
      <c r="F2065" t="str">
        <f>IF(E2065="","",IF(E2065&gt;=0.9,"Expected",IF(E2065&gt;=0.7,"Moderate","Poor")))</f>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IF(OR(C2066="",D2066="",D2066=0),"",C2066/D2066)</f>
        <v>0.4257292193559265</v>
      </c>
      <c r="F2066" t="str">
        <f>IF(E2066="","",IF(E2066&gt;=0.9,"Expected",IF(E2066&gt;=0.7,"Moderate","Poor")))</f>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20438.956950241973</v>
      </c>
      <c r="E2067" s="9">
        <f>IF(OR(C2067="",D2067="",D2067=0),"",C2067/D2067)</f>
        <v>0.58716303523785851</v>
      </c>
      <c r="F2067" t="str">
        <f>IF(E2067="","",IF(E2067&gt;=0.9,"Expected",IF(E2067&gt;=0.7,"Moderate","Poor")))</f>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19966.706054085178</v>
      </c>
      <c r="E2068" s="9">
        <f>IF(OR(C2068="",D2068="",D2068=0),"",C2068/D2068)</f>
        <v>0.6617516161258169</v>
      </c>
      <c r="F2068" t="str">
        <f>IF(E2068="","",IF(E2068&gt;=0.9,"Expected",IF(E2068&gt;=0.7,"Moderate","Poor")))</f>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17154.824596965183</v>
      </c>
      <c r="E2069" s="9">
        <f>IF(OR(C2069="",D2069="",D2069=0),"",C2069/D2069)</f>
        <v>0.56170787089858565</v>
      </c>
      <c r="F2069" t="str">
        <f>IF(E2069="","",IF(E2069&gt;=0.9,"Expected",IF(E2069&gt;=0.7,"Moderate","Poor")))</f>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15336.229805241745</v>
      </c>
      <c r="E2070" s="9">
        <f>IF(OR(C2070="",D2070="",D2070=0),"",C2070/D2070)</f>
        <v>0.66906926476107642</v>
      </c>
      <c r="F2070" t="str">
        <f>IF(E2070="","",IF(E2070&gt;=0.9,"Expected",IF(E2070&gt;=0.7,"Moderate","Poor")))</f>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13344.449239504956</v>
      </c>
      <c r="E2071" s="9">
        <f>IF(OR(C2071="",D2071="",D2071=0),"",C2071/D2071)</f>
        <v>0.85042100998849424</v>
      </c>
      <c r="F2071" t="str">
        <f>IF(E2071="","",IF(E2071&gt;=0.9,"Expected",IF(E2071&gt;=0.7,"Moderate","Poor")))</f>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14973.796269386607</v>
      </c>
      <c r="E2072" s="9">
        <f>IF(OR(C2072="",D2072="",D2072=0),"",C2072/D2072)</f>
        <v>0.98204888963688175</v>
      </c>
      <c r="F2072" t="str">
        <f>IF(E2072="","",IF(E2072&gt;=0.9,"Expected",IF(E2072&gt;=0.7,"Moderate","Poor")))</f>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18000.338769228525</v>
      </c>
      <c r="E2073" s="9">
        <f>IF(OR(C2073="",D2073="",D2073=0),"",C2073/D2073)</f>
        <v>0.94209338043068402</v>
      </c>
      <c r="F2073" t="str">
        <f>IF(E2073="","",IF(E2073&gt;=0.9,"Expected",IF(E2073&gt;=0.7,"Moderate","Poor")))</f>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20452.553400326589</v>
      </c>
      <c r="E2074" s="9">
        <f>IF(OR(C2074="",D2074="",D2074=0),"",C2074/D2074)</f>
        <v>0.86864459670430738</v>
      </c>
      <c r="F2074" t="str">
        <f>IF(E2074="","",IF(E2074&gt;=0.9,"Expected",IF(E2074&gt;=0.7,"Moderate","Poor")))</f>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23292.684127153665</v>
      </c>
      <c r="E2075" s="9">
        <f>IF(OR(C2075="",D2075="",D2075=0),"",C2075/D2075)</f>
        <v>0.98095178191007892</v>
      </c>
      <c r="F2075" t="str">
        <f>IF(E2075="","",IF(E2075&gt;=0.9,"Expected",IF(E2075&gt;=0.7,"Moderate","Poor")))</f>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23449.725295395405</v>
      </c>
      <c r="E2076" s="9">
        <f>IF(OR(C2076="",D2076="",D2076=0),"",C2076/D2076)</f>
        <v>0.85348547788446605</v>
      </c>
      <c r="F2076" t="str">
        <f>IF(E2076="","",IF(E2076&gt;=0.9,"Expected",IF(E2076&gt;=0.7,"Moderate","Poor")))</f>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23877.126216470471</v>
      </c>
      <c r="E2077" s="9">
        <f>IF(OR(C2077="",D2077="",D2077=0),"",C2077/D2077)</f>
        <v>0.89349597629901123</v>
      </c>
      <c r="F2077" t="str">
        <f>IF(E2077="","",IF(E2077&gt;=0.9,"Expected",IF(E2077&gt;=0.7,"Moderate","Poor")))</f>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23561.670159820402</v>
      </c>
      <c r="E2078" s="9">
        <f>IF(OR(C2078="",D2078="",D2078=0),"",C2078/D2078)</f>
        <v>0.994581446945212</v>
      </c>
      <c r="F2078" t="str">
        <f>IF(E2078="","",IF(E2078&gt;=0.9,"Expected",IF(E2078&gt;=0.7,"Moderate","Poor")))</f>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20295.981836199739</v>
      </c>
      <c r="E2079" s="9">
        <f>IF(OR(C2079="",D2079="",D2079=0),"",C2079/D2079)</f>
        <v>1.0712561912733289</v>
      </c>
      <c r="F2079" t="str">
        <f>IF(E2079="","",IF(E2079&gt;=0.9,"Expected",IF(E2079&gt;=0.7,"Moderate","Poor")))</f>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19827.034441581643</v>
      </c>
      <c r="E2080" s="9">
        <f>IF(OR(C2080="",D2080="",D2080=0),"",C2080/D2080)</f>
        <v>0.93422947615167318</v>
      </c>
      <c r="F2080" t="str">
        <f>IF(E2080="","",IF(E2080&gt;=0.9,"Expected",IF(E2080&gt;=0.7,"Moderate","Poor")))</f>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17034.822729497253</v>
      </c>
      <c r="E2081" s="9">
        <f>IF(OR(C2081="",D2081="",D2081=0),"",C2081/D2081)</f>
        <v>0.90282301402345688</v>
      </c>
      <c r="F2081" t="str">
        <f>IF(E2081="","",IF(E2081&gt;=0.9,"Expected",IF(E2081&gt;=0.7,"Moderate","Poor")))</f>
        <v>Expected</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15228.949418540973</v>
      </c>
      <c r="E2082" s="9">
        <f>IF(OR(C2082="",D2082="",D2082=0),"",C2082/D2082)</f>
        <v>1.0228230176558251</v>
      </c>
      <c r="F2082" t="str">
        <f>IF(E2082="","",IF(E2082&gt;=0.9,"Expected",IF(E2082&gt;=0.7,"Moderate","Poor")))</f>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13251.101807124045</v>
      </c>
      <c r="E2083" s="9">
        <f>IF(OR(C2083="",D2083="",D2083=0),"",C2083/D2083)</f>
        <v>0.92464235641241599</v>
      </c>
      <c r="F2083" t="str">
        <f>IF(E2083="","",IF(E2083&gt;=0.9,"Expected",IF(E2083&gt;=0.7,"Moderate","Poor")))</f>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14869.051187019018</v>
      </c>
      <c r="E2084" s="9">
        <f>IF(OR(C2084="",D2084="",D2084=0),"",C2084/D2084)</f>
        <v>0.91855222153809712</v>
      </c>
      <c r="F2084" t="str">
        <f>IF(E2084="","",IF(E2084&gt;=0.9,"Expected",IF(E2084&gt;=0.7,"Moderate","Poor")))</f>
        <v>Expected</v>
      </c>
      <c r="G2084" t="s">
        <v>874</v>
      </c>
    </row>
    <row r="2085" spans="1:7" ht="15" hidden="1"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17874.422339412922</v>
      </c>
      <c r="E2085" s="9">
        <f>IF(OR(C2085="",D2085="",D2085=0),"",C2085/D2085)</f>
        <v>0.95486050826751245</v>
      </c>
      <c r="F2085" t="str">
        <f>IF(E2085="","",IF(E2085&gt;=0.9,"Expected",IF(E2085&gt;=0.7,"Moderate","Poor")))</f>
        <v>Expected</v>
      </c>
      <c r="G2085" t="s">
        <v>874</v>
      </c>
    </row>
    <row r="2086" spans="1:7" ht="15" customHeight="1" x14ac:dyDescent="0.3">
      <c r="A2086" t="s">
        <v>180</v>
      </c>
      <c r="B2086" s="2">
        <v>46266</v>
      </c>
      <c r="C2086" cm="1">
        <f t="array" ref="C2086">IFERROR(IF(SUMPRODUCT((measured[Site Name]=A2086)*(measured[Date]=B2086)*ISNUMBER(measured[Measured Value (kWh)]))=0,"",SUMIFS(measured[Measured Value (kWh)],measured[Site Name],A2086,measured[Date],B2086)),"")</f>
        <v>18587.259999999998</v>
      </c>
      <c r="D2086" cm="1">
        <f t="array" ref="D2086">IFERROR(IF(SUMPRODUCT((expected_production[Site Name]=A2086)*(expected_production[Date]=B2086)*ISNUMBER(expected_production[Expected Production (kWh)]))=0,"",SUMIFS(expected_production[Expected Production (kWh)],expected_production[Site Name],A2086,expected_production[Date],B2086)),"")</f>
        <v>20309.483176049223</v>
      </c>
      <c r="E2086" s="9">
        <f>IF(OR(C2086="",D2086="",D2086=0),"",C2086/D2086)</f>
        <v>0.91520103386578411</v>
      </c>
      <c r="F2086" t="str">
        <f>IF(E2086="","",IF(E2086&gt;=0.9,"Expected",IF(E2086&gt;=0.7,"Moderate","Poor")))</f>
        <v>Expected</v>
      </c>
      <c r="G2086" t="s">
        <v>874</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23129.746547827235</v>
      </c>
      <c r="E2087" s="9" t="str">
        <f>IF(OR(C2087="",D2087="",D2087=0),"",C2087/D2087)</f>
        <v/>
      </c>
      <c r="F2087" t="str">
        <f>IF(E2087="","",IF(E2087&gt;=0.9,"Expected",IF(E2087&gt;=0.7,"Moderate","Poor")))</f>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23285.689177675191</v>
      </c>
      <c r="E2088" s="9" t="str">
        <f>IF(OR(C2088="",D2088="",D2088=0),"",C2088/D2088)</f>
        <v/>
      </c>
      <c r="F2088" t="str">
        <f>IF(E2088="","",IF(E2088&gt;=0.9,"Expected",IF(E2088&gt;=0.7,"Moderate","Poor")))</f>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23710.100332903534</v>
      </c>
      <c r="E2089" s="9" t="str">
        <f>IF(OR(C2089="",D2089="",D2089=0),"",C2089/D2089)</f>
        <v/>
      </c>
      <c r="F2089" t="str">
        <f>IF(E2089="","",IF(E2089&gt;=0.9,"Expected",IF(E2089&gt;=0.7,"Moderate","Poor")))</f>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IF(OR(C2090="",D2090="",D2090=0),"",C2090/D2090)</f>
        <v/>
      </c>
      <c r="F2090" t="str">
        <f>IF(E2090="","",IF(E2090&gt;=0.9,"Expected",IF(E2090&gt;=0.7,"Moderate","Poor")))</f>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IF(OR(C2091="",D2091="",D2091=0),"",C2091/D2091)</f>
        <v/>
      </c>
      <c r="F2091" t="str">
        <f>IF(E2091="","",IF(E2091&gt;=0.9,"Expected",IF(E2091&gt;=0.7,"Moderate","Poor")))</f>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IF(OR(C2092="",D2092="",D2092=0),"",C2092/D2092)</f>
        <v/>
      </c>
      <c r="F2092" t="str">
        <f>IF(E2092="","",IF(E2092&gt;=0.9,"Expected",IF(E2092&gt;=0.7,"Moderate","Poor")))</f>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IF(OR(C2093="",D2093="",D2093=0),"",C2093/D2093)</f>
        <v/>
      </c>
      <c r="F2093" t="str">
        <f>IF(E2093="","",IF(E2093&gt;=0.9,"Expected",IF(E2093&gt;=0.7,"Moderate","Poor")))</f>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IF(OR(C2094="",D2094="",D2094=0),"",C2094/D2094)</f>
        <v/>
      </c>
      <c r="F2094" t="str">
        <f>IF(E2094="","",IF(E2094&gt;=0.9,"Expected",IF(E2094&gt;=0.7,"Moderate","Poor")))</f>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IF(OR(C2095="",D2095="",D2095=0),"",C2095/D2095)</f>
        <v/>
      </c>
      <c r="F2095" t="str">
        <f>IF(E2095="","",IF(E2095&gt;=0.9,"Expected",IF(E2095&gt;=0.7,"Moderate","Poor")))</f>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IF(OR(C2096="",D2096="",D2096=0),"",C2096/D2096)</f>
        <v/>
      </c>
      <c r="F2096" t="str">
        <f>IF(E2096="","",IF(E2096&gt;=0.9,"Expected",IF(E2096&gt;=0.7,"Moderate","Poor")))</f>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IF(OR(C2097="",D2097="",D2097=0),"",C2097/D2097)</f>
        <v/>
      </c>
      <c r="F2097" t="str">
        <f>IF(E2097="","",IF(E2097&gt;=0.9,"Expected",IF(E2097&gt;=0.7,"Moderate","Poor")))</f>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IF(OR(C2098="",D2098="",D2098=0),"",C2098/D2098)</f>
        <v/>
      </c>
      <c r="F2098" t="str">
        <f>IF(E2098="","",IF(E2098&gt;=0.9,"Expected",IF(E2098&gt;=0.7,"Moderate","Poor")))</f>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IF(OR(C2099="",D2099="",D2099=0),"",C2099/D2099)</f>
        <v/>
      </c>
      <c r="F2099" t="str">
        <f>IF(E2099="","",IF(E2099&gt;=0.9,"Expected",IF(E2099&gt;=0.7,"Moderate","Poor")))</f>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IF(OR(C2100="",D2100="",D2100=0),"",C2100/D2100)</f>
        <v/>
      </c>
      <c r="F2100" t="str">
        <f>IF(E2100="","",IF(E2100&gt;=0.9,"Expected",IF(E2100&gt;=0.7,"Moderate","Poor")))</f>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IF(OR(C2101="",D2101="",D2101=0),"",C2101/D2101)</f>
        <v/>
      </c>
      <c r="F2101" t="str">
        <f>IF(E2101="","",IF(E2101&gt;=0.9,"Expected",IF(E2101&gt;=0.7,"Moderate","Poor")))</f>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IF(OR(C2102="",D2102="",D2102=0),"",C2102/D2102)</f>
        <v/>
      </c>
      <c r="F2102" t="str">
        <f>IF(E2102="","",IF(E2102&gt;=0.9,"Expected",IF(E2102&gt;=0.7,"Moderate","Poor")))</f>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IF(OR(C2103="",D2103="",D2103=0),"",C2103/D2103)</f>
        <v/>
      </c>
      <c r="F2103" t="str">
        <f>IF(E2103="","",IF(E2103&gt;=0.9,"Expected",IF(E2103&gt;=0.7,"Moderate","Poor")))</f>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IF(OR(C2104="",D2104="",D2104=0),"",C2104/D2104)</f>
        <v/>
      </c>
      <c r="F2104" t="str">
        <f>IF(E2104="","",IF(E2104&gt;=0.9,"Expected",IF(E2104&gt;=0.7,"Moderate","Poor")))</f>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IF(OR(C2105="",D2105="",D2105=0),"",C2105/D2105)</f>
        <v/>
      </c>
      <c r="F2105" t="str">
        <f>IF(E2105="","",IF(E2105&gt;=0.9,"Expected",IF(E2105&gt;=0.7,"Moderate","Poor")))</f>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IF(OR(C2106="",D2106="",D2106=0),"",C2106/D2106)</f>
        <v/>
      </c>
      <c r="F2106" t="str">
        <f>IF(E2106="","",IF(E2106&gt;=0.9,"Expected",IF(E2106&gt;=0.7,"Moderate","Poor")))</f>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IF(OR(C2107="",D2107="",D2107=0),"",C2107/D2107)</f>
        <v/>
      </c>
      <c r="F2107" t="str">
        <f>IF(E2107="","",IF(E2107&gt;=0.9,"Expected",IF(E2107&gt;=0.7,"Moderate","Poor")))</f>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IF(OR(C2108="",D2108="",D2108=0),"",C2108/D2108)</f>
        <v/>
      </c>
      <c r="F2108" t="str">
        <f>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IF(OR(C2109="",D2109="",D2109=0),"",C2109/D2109)</f>
        <v/>
      </c>
      <c r="F2109" t="str">
        <f>IF(E2109="","",IF(E2109&gt;=0.9,"Expected",IF(E2109&gt;=0.7,"Moderate","Poor")))</f>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IF(OR(C2110="",D2110="",D2110=0),"",C2110/D2110)</f>
        <v/>
      </c>
      <c r="F2110" t="str">
        <f>IF(E2110="","",IF(E2110&gt;=0.9,"Expected",IF(E2110&gt;=0.7,"Moderate","Poor")))</f>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IF(OR(C2111="",D2111="",D2111=0),"",C2111/D2111)</f>
        <v/>
      </c>
      <c r="F2111" t="str">
        <f>IF(E2111="","",IF(E2111&gt;=0.9,"Expected",IF(E2111&gt;=0.7,"Moderate","Poor")))</f>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IF(OR(C2112="",D2112="",D2112=0),"",C2112/D2112)</f>
        <v/>
      </c>
      <c r="F2112" t="str">
        <f>IF(E2112="","",IF(E2112&gt;=0.9,"Expected",IF(E2112&gt;=0.7,"Moderate","Poor")))</f>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IF(OR(C2113="",D2113="",D2113=0),"",C2113/D2113)</f>
        <v/>
      </c>
      <c r="F2113" t="str">
        <f>IF(E2113="","",IF(E2113&gt;=0.9,"Expected",IF(E2113&gt;=0.7,"Moderate","Poor")))</f>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IF(OR(C2114="",D2114="",D2114=0),"",C2114/D2114)</f>
        <v/>
      </c>
      <c r="F2114" t="str">
        <f>IF(E2114="","",IF(E2114&gt;=0.9,"Expected",IF(E2114&gt;=0.7,"Moderate","Poor")))</f>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IF(OR(C2115="",D2115="",D2115=0),"",C2115/D2115)</f>
        <v/>
      </c>
      <c r="F2115" t="str">
        <f>IF(E2115="","",IF(E2115&gt;=0.9,"Expected",IF(E2115&gt;=0.7,"Moderate","Poor")))</f>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23345.113415015465</v>
      </c>
      <c r="E2116" s="9">
        <f>IF(OR(C2116="",D2116="",D2116=0),"",C2116/D2116)</f>
        <v>0.42929755027679145</v>
      </c>
      <c r="F2116" t="str">
        <f>IF(E2116="","",IF(E2116&gt;=0.9,"Expected",IF(E2116&gt;=0.7,"Moderate","Poor")))</f>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19870.095869849069</v>
      </c>
      <c r="E2117" s="9">
        <f>IF(OR(C2117="",D2117="",D2117=0),"",C2117/D2117)</f>
        <v>0.57935603710237371</v>
      </c>
      <c r="F2117" t="str">
        <f>IF(E2117="","",IF(E2117&gt;=0.9,"Expected",IF(E2117&gt;=0.7,"Moderate","Poor")))</f>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17719.722168247601</v>
      </c>
      <c r="E2118" s="9">
        <f>IF(OR(C2118="",D2118="",D2118=0),"",C2118/D2118)</f>
        <v>0.83011628852500763</v>
      </c>
      <c r="F2118" t="str">
        <f>IF(E2118="","",IF(E2118&gt;=0.9,"Expected",IF(E2118&gt;=0.7,"Moderate","Poor")))</f>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15470.928348802416</v>
      </c>
      <c r="E2119" s="9">
        <f>IF(OR(C2119="",D2119="",D2119=0),"",C2119/D2119)</f>
        <v>0.79275785676748967</v>
      </c>
      <c r="F2119" t="str">
        <f>IF(E2119="","",IF(E2119&gt;=0.9,"Expected",IF(E2119&gt;=0.7,"Moderate","Poor")))</f>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17312.956968734052</v>
      </c>
      <c r="E2120" s="9">
        <f>IF(OR(C2120="",D2120="",D2120=0),"",C2120/D2120)</f>
        <v>0.65497804450611818</v>
      </c>
      <c r="F2120" t="str">
        <f>IF(E2120="","",IF(E2120&gt;=0.9,"Expected",IF(E2120&gt;=0.7,"Moderate","Poor")))</f>
        <v>Poor</v>
      </c>
      <c r="G2120" t="s">
        <v>875</v>
      </c>
    </row>
    <row r="2121" spans="1:7" ht="15" hidden="1"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20775.366365213285</v>
      </c>
      <c r="E2121" s="9">
        <f>IF(OR(C2121="",D2121="",D2121=0),"",C2121/D2121)</f>
        <v>0.81595879957065531</v>
      </c>
      <c r="F2121" t="str">
        <f>IF(E2121="","",IF(E2121&gt;=0.9,"Expected",IF(E2121&gt;=0.7,"Moderate","Poor")))</f>
        <v>Moderate</v>
      </c>
      <c r="G2121" t="s">
        <v>875</v>
      </c>
    </row>
    <row r="2122" spans="1:7" ht="15" customHeight="1" x14ac:dyDescent="0.3">
      <c r="A2122" t="s">
        <v>81</v>
      </c>
      <c r="B2122" s="2">
        <v>46266</v>
      </c>
      <c r="C2122" cm="1">
        <f t="array" ref="C2122">IFERROR(IF(SUMPRODUCT((measured[Site Name]=A2122)*(measured[Date]=B2122)*ISNUMBER(measured[Measured Value (kWh)]))=0,"",SUMIFS(measured[Measured Value (kWh)],measured[Site Name],A2122,measured[Date],B2122)),"")</f>
        <v>5791.73</v>
      </c>
      <c r="D2122" cm="1">
        <f t="array" ref="D2122">IFERROR(IF(SUMPRODUCT((expected_production[Site Name]=A2122)*(expected_production[Date]=B2122)*ISNUMBER(expected_production[Expected Production (kWh)]))=0,"",SUMIFS(expected_production[Expected Production (kWh)],expected_production[Site Name],A2122,expected_production[Date],B2122)),"")</f>
        <v>6809.7803386596752</v>
      </c>
      <c r="E2122" s="9">
        <f>IF(OR(C2122="",D2122="",D2122=0),"",C2122/D2122)</f>
        <v>0.85050173602808865</v>
      </c>
      <c r="F2122" t="str">
        <f>IF(E2122="","",IF(E2122&gt;=0.9,"Expected",IF(E2122&gt;=0.7,"Moderate","Poor")))</f>
        <v>Moderate</v>
      </c>
      <c r="G2122" t="s">
        <v>874</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27165.916573119852</v>
      </c>
      <c r="E2123" s="9" t="str">
        <f>IF(OR(C2123="",D2123="",D2123=0),"",C2123/D2123)</f>
        <v/>
      </c>
      <c r="F2123" t="str">
        <f>IF(E2123="","",IF(E2123&gt;=0.9,"Expected",IF(E2123&gt;=0.7,"Moderate","Poor")))</f>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27703.161363122537</v>
      </c>
      <c r="E2124" s="9" t="str">
        <f>IF(OR(C2124="",D2124="",D2124=0),"",C2124/D2124)</f>
        <v/>
      </c>
      <c r="F2124" t="str">
        <f>IF(E2124="","",IF(E2124&gt;=0.9,"Expected",IF(E2124&gt;=0.7,"Moderate","Poor")))</f>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28619.784095870789</v>
      </c>
      <c r="E2125" s="9" t="str">
        <f>IF(OR(C2125="",D2125="",D2125=0),"",C2125/D2125)</f>
        <v/>
      </c>
      <c r="F2125" t="str">
        <f>IF(E2125="","",IF(E2125&gt;=0.9,"Expected",IF(E2125&gt;=0.7,"Moderate","Poor")))</f>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IF(OR(C2126="",D2126="",D2126=0),"",C2126/D2126)</f>
        <v/>
      </c>
      <c r="F2126" t="str">
        <f>IF(E2126="","",IF(E2126&gt;=0.9,"Expected",IF(E2126&gt;=0.7,"Moderate","Poor")))</f>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IF(OR(C2127="",D2127="",D2127=0),"",C2127/D2127)</f>
        <v/>
      </c>
      <c r="F2127" t="str">
        <f>IF(E2127="","",IF(E2127&gt;=0.9,"Expected",IF(E2127&gt;=0.7,"Moderate","Poor")))</f>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IF(OR(C2128="",D2128="",D2128=0),"",C2128/D2128)</f>
        <v/>
      </c>
      <c r="F2128" t="str">
        <f>IF(E2128="","",IF(E2128&gt;=0.9,"Expected",IF(E2128&gt;=0.7,"Moderate","Poor")))</f>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IF(OR(C2129="",D2129="",D2129=0),"",C2129/D2129)</f>
        <v/>
      </c>
      <c r="F2129" t="str">
        <f>IF(E2129="","",IF(E2129&gt;=0.9,"Expected",IF(E2129&gt;=0.7,"Moderate","Poor")))</f>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IF(OR(C2130="",D2130="",D2130=0),"",C2130/D2130)</f>
        <v/>
      </c>
      <c r="F2130" t="str">
        <f>IF(E2130="","",IF(E2130&gt;=0.9,"Expected",IF(E2130&gt;=0.7,"Moderate","Poor")))</f>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IF(OR(C2131="",D2131="",D2131=0),"",C2131/D2131)</f>
        <v/>
      </c>
      <c r="F2131" t="str">
        <f>IF(E2131="","",IF(E2131&gt;=0.9,"Expected",IF(E2131&gt;=0.7,"Moderate","Poor")))</f>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IF(OR(C2132="",D2132="",D2132=0),"",C2132/D2132)</f>
        <v/>
      </c>
      <c r="F2132" t="str">
        <f>IF(E2132="","",IF(E2132&gt;=0.9,"Expected",IF(E2132&gt;=0.7,"Moderate","Poor")))</f>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IF(OR(C2133="",D2133="",D2133=0),"",C2133/D2133)</f>
        <v/>
      </c>
      <c r="F2133" t="str">
        <f>IF(E2133="","",IF(E2133&gt;=0.9,"Expected",IF(E2133&gt;=0.7,"Moderate","Poor")))</f>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IF(OR(C2134="",D2134="",D2134=0),"",C2134/D2134)</f>
        <v/>
      </c>
      <c r="F2134" t="str">
        <f>IF(E2134="","",IF(E2134&gt;=0.9,"Expected",IF(E2134&gt;=0.7,"Moderate","Poor")))</f>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IF(OR(C2135="",D2135="",D2135=0),"",C2135/D2135)</f>
        <v/>
      </c>
      <c r="F2135" t="str">
        <f>IF(E2135="","",IF(E2135&gt;=0.9,"Expected",IF(E2135&gt;=0.7,"Moderate","Poor")))</f>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20363.358369160276</v>
      </c>
      <c r="E2136" s="9" t="str">
        <f>IF(OR(C2136="",D2136="",D2136=0),"",C2136/D2136)</f>
        <v/>
      </c>
      <c r="F2136" t="str">
        <f>IF(E2136="","",IF(E2136&gt;=0.9,"Expected",IF(E2136&gt;=0.7,"Moderate","Poor")))</f>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21875.278081025488</v>
      </c>
      <c r="E2137" s="9" t="str">
        <f>IF(OR(C2137="",D2137="",D2137=0),"",C2137/D2137)</f>
        <v/>
      </c>
      <c r="F2137" t="str">
        <f>IF(E2137="","",IF(E2137&gt;=0.9,"Expected",IF(E2137&gt;=0.7,"Moderate","Poor")))</f>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20537.773136897278</v>
      </c>
      <c r="E2138" s="9">
        <f>IF(OR(C2138="",D2138="",D2138=0),"",C2138/D2138)</f>
        <v>0.92025556393185948</v>
      </c>
      <c r="F2138" t="str">
        <f>IF(E2138="","",IF(E2138&gt;=0.9,"Expected",IF(E2138&gt;=0.7,"Moderate","Poor")))</f>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17458.128017336283</v>
      </c>
      <c r="E2139" s="9">
        <f>IF(OR(C2139="",D2139="",D2139=0),"",C2139/D2139)</f>
        <v>0.75093961889736971</v>
      </c>
      <c r="F2139" t="str">
        <f>IF(E2139="","",IF(E2139&gt;=0.9,"Expected",IF(E2139&gt;=0.7,"Moderate","Poor")))</f>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18202.136792969341</v>
      </c>
      <c r="E2140" s="9">
        <f>IF(OR(C2140="",D2140="",D2140=0),"",C2140/D2140)</f>
        <v>0.61113703992691104</v>
      </c>
      <c r="F2140" t="str">
        <f>IF(E2140="","",IF(E2140&gt;=0.9,"Expected",IF(E2140&gt;=0.7,"Moderate","Poor")))</f>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15251.4348131815</v>
      </c>
      <c r="E2141" s="9">
        <f>IF(OR(C2141="",D2141="",D2141=0),"",C2141/D2141)</f>
        <v>0.61620431881448312</v>
      </c>
      <c r="F2141" t="str">
        <f>IF(E2141="","",IF(E2141&gt;=0.9,"Expected",IF(E2141&gt;=0.7,"Moderate","Poor")))</f>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14899.032340698805</v>
      </c>
      <c r="E2142" s="9">
        <f>IF(OR(C2142="",D2142="",D2142=0),"",C2142/D2142)</f>
        <v>0.7052135843277989</v>
      </c>
      <c r="F2142" t="str">
        <f>IF(E2142="","",IF(E2142&gt;=0.9,"Expected",IF(E2142&gt;=0.7,"Moderate","Poor")))</f>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13219.503561425947</v>
      </c>
      <c r="E2143" s="9">
        <f>IF(OR(C2143="",D2143="",D2143=0),"",C2143/D2143)</f>
        <v>0.65168861750136153</v>
      </c>
      <c r="F2143" t="str">
        <f>IF(E2143="","",IF(E2143&gt;=0.9,"Expected",IF(E2143&gt;=0.7,"Moderate","Poor")))</f>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14608.325081167921</v>
      </c>
      <c r="E2144" s="9">
        <f>IF(OR(C2144="",D2144="",D2144=0),"",C2144/D2144)</f>
        <v>0.63641792938911745</v>
      </c>
      <c r="F2144" t="str">
        <f>IF(E2144="","",IF(E2144&gt;=0.9,"Expected",IF(E2144&gt;=0.7,"Moderate","Poor")))</f>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16971.311995780085</v>
      </c>
      <c r="E2145" s="9">
        <f>IF(OR(C2145="",D2145="",D2145=0),"",C2145/D2145)</f>
        <v>0.69558558601334486</v>
      </c>
      <c r="F2145" t="str">
        <f>IF(E2145="","",IF(E2145&gt;=0.9,"Expected",IF(E2145&gt;=0.7,"Moderate","Poor")))</f>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18824.369154484593</v>
      </c>
      <c r="E2146" s="9">
        <f>IF(OR(C2146="",D2146="",D2146=0),"",C2146/D2146)</f>
        <v>0.68151022192123256</v>
      </c>
      <c r="F2146" t="str">
        <f>IF(E2146="","",IF(E2146&gt;=0.9,"Expected",IF(E2146&gt;=0.7,"Moderate","Poor")))</f>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20347.170040697354</v>
      </c>
      <c r="E2147" s="9">
        <f>IF(OR(C2147="",D2147="",D2147=0),"",C2147/D2147)</f>
        <v>0.92396141391639308</v>
      </c>
      <c r="F2147" t="str">
        <f>IF(E2147="","",IF(E2147&gt;=0.9,"Expected",IF(E2147&gt;=0.7,"Moderate","Poor")))</f>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20220.912084244592</v>
      </c>
      <c r="E2148" s="9">
        <f>IF(OR(C2148="",D2148="",D2148=0),"",C2148/D2148)</f>
        <v>0.75100469932967984</v>
      </c>
      <c r="F2148" t="str">
        <f>IF(E2148="","",IF(E2148&gt;=0.9,"Expected",IF(E2148&gt;=0.7,"Moderate","Poor")))</f>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21722.255576699346</v>
      </c>
      <c r="E2149" s="9">
        <f>IF(OR(C2149="",D2149="",D2149=0),"",C2149/D2149)</f>
        <v>0.80508539448173222</v>
      </c>
      <c r="F2149" t="str">
        <f>IF(E2149="","",IF(E2149&gt;=0.9,"Expected",IF(E2149&gt;=0.7,"Moderate","Poor")))</f>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20394.106781340583</v>
      </c>
      <c r="E2150" s="9">
        <f>IF(OR(C2150="",D2150="",D2150=0),"",C2150/D2150)</f>
        <v>0.9196284103582183</v>
      </c>
      <c r="F2150" t="str">
        <f>IF(E2150="","",IF(E2150&gt;=0.9,"Expected",IF(E2150&gt;=0.7,"Moderate","Poor")))</f>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17336.004474030269</v>
      </c>
      <c r="E2151" s="9">
        <f>IF(OR(C2151="",D2151="",D2151=0),"",C2151/D2151)</f>
        <v>0.88807753961203317</v>
      </c>
      <c r="F2151" t="str">
        <f>IF(E2151="","",IF(E2151&gt;=0.9,"Expected",IF(E2151&gt;=0.7,"Moderate","Poor")))</f>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18074.808740460459</v>
      </c>
      <c r="E2152" s="9">
        <f>IF(OR(C2152="",D2152="",D2152=0),"",C2152/D2152)</f>
        <v>0.64730975403405233</v>
      </c>
      <c r="F2152" t="str">
        <f>IF(E2152="","",IF(E2152&gt;=0.9,"Expected",IF(E2152&gt;=0.7,"Moderate","Poor")))</f>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15144.747586576401</v>
      </c>
      <c r="E2153" s="9">
        <f>IF(OR(C2153="",D2153="",D2153=0),"",C2153/D2153)</f>
        <v>0.58099086496489305</v>
      </c>
      <c r="F2153" t="str">
        <f>IF(E2153="","",IF(E2153&gt;=0.9,"Expected",IF(E2153&gt;=0.7,"Moderate","Poor")))</f>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14794.810248876005</v>
      </c>
      <c r="E2154" s="9">
        <f>IF(OR(C2154="",D2154="",D2154=0),"",C2154/D2154)</f>
        <v>0.566296549875421</v>
      </c>
      <c r="F2154" t="str">
        <f>IF(E2154="","",IF(E2154&gt;=0.9,"Expected",IF(E2154&gt;=0.7,"Moderate","Poor")))</f>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13127.030152245728</v>
      </c>
      <c r="E2155" s="9">
        <f>IF(OR(C2155="",D2155="",D2155=0),"",C2155/D2155)</f>
        <v>0.4733104082142352</v>
      </c>
      <c r="F2155" t="str">
        <f>IF(E2155="","",IF(E2155&gt;=0.9,"Expected",IF(E2155&gt;=0.7,"Moderate","Poor")))</f>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14506.136552196958</v>
      </c>
      <c r="E2156" s="9">
        <f>IF(OR(C2156="",D2156="",D2156=0),"",C2156/D2156)</f>
        <v>0.48122944209723151</v>
      </c>
      <c r="F2156" t="str">
        <f>IF(E2156="","",IF(E2156&gt;=0.9,"Expected",IF(E2156&gt;=0.7,"Moderate","Poor")))</f>
        <v>Poor</v>
      </c>
      <c r="G2156" t="s">
        <v>874</v>
      </c>
    </row>
    <row r="2157" spans="1:7" ht="15" hidden="1"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16852.593840350226</v>
      </c>
      <c r="E2157" s="9">
        <f>IF(OR(C2157="",D2157="",D2157=0),"",C2157/D2157)</f>
        <v>0.58278031815403297</v>
      </c>
      <c r="F2157" t="str">
        <f>IF(E2157="","",IF(E2157&gt;=0.9,"Expected",IF(E2157&gt;=0.7,"Moderate","Poor")))</f>
        <v>Poor</v>
      </c>
      <c r="G2157" t="s">
        <v>874</v>
      </c>
    </row>
    <row r="2158" spans="1:7" ht="15" customHeight="1" x14ac:dyDescent="0.3">
      <c r="A2158" t="s">
        <v>182</v>
      </c>
      <c r="B2158" s="2">
        <v>46266</v>
      </c>
      <c r="C2158" cm="1">
        <f t="array" ref="C2158">IFERROR(IF(SUMPRODUCT((measured[Site Name]=A2158)*(measured[Date]=B2158)*ISNUMBER(measured[Measured Value (kWh)]))=0,"",SUMIFS(measured[Measured Value (kWh)],measured[Site Name],A2158,measured[Date],B2158)),"")</f>
        <v>11626.59</v>
      </c>
      <c r="D2158" cm="1">
        <f t="array" ref="D2158">IFERROR(IF(SUMPRODUCT((expected_production[Site Name]=A2158)*(expected_production[Date]=B2158)*ISNUMBER(expected_production[Expected Production (kWh)]))=0,"",SUMIFS(expected_production[Expected Production (kWh)],expected_production[Site Name],A2158,expected_production[Date],B2158)),"")</f>
        <v>18692.688446257274</v>
      </c>
      <c r="E2158" s="9">
        <f>IF(OR(C2158="",D2158="",D2158=0),"",C2158/D2158)</f>
        <v>0.62198597239916675</v>
      </c>
      <c r="F2158" t="str">
        <f>IF(E2158="","",IF(E2158&gt;=0.9,"Expected",IF(E2158&gt;=0.7,"Moderate","Poor")))</f>
        <v>Poor</v>
      </c>
      <c r="G2158" t="s">
        <v>875</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20204.836996790676</v>
      </c>
      <c r="E2159" s="9" t="str">
        <f>IF(OR(C2159="",D2159="",D2159=0),"",C2159/D2159)</f>
        <v/>
      </c>
      <c r="F2159" t="str">
        <f>IF(E2159="","",IF(E2159&gt;=0.9,"Expected",IF(E2159&gt;=0.7,"Moderate","Poor")))</f>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20079.462243221828</v>
      </c>
      <c r="E2160" s="9" t="str">
        <f>IF(OR(C2160="",D2160="",D2160=0),"",C2160/D2160)</f>
        <v/>
      </c>
      <c r="F2160" t="str">
        <f>IF(E2160="","",IF(E2160&gt;=0.9,"Expected",IF(E2160&gt;=0.7,"Moderate","Poor")))</f>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21570.303499306454</v>
      </c>
      <c r="E2161" s="9" t="str">
        <f>IF(OR(C2161="",D2161="",D2161=0),"",C2161/D2161)</f>
        <v/>
      </c>
      <c r="F2161" t="str">
        <f>IF(E2161="","",IF(E2161&gt;=0.9,"Expected",IF(E2161&gt;=0.7,"Moderate","Poor")))</f>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IF(OR(C2162="",D2162="",D2162=0),"",C2162/D2162)</f>
        <v/>
      </c>
      <c r="F2162" t="str">
        <f>IF(E2162="","",IF(E2162&gt;=0.9,"Expected",IF(E2162&gt;=0.7,"Moderate","Poor")))</f>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IF(OR(C2163="",D2163="",D2163=0),"",C2163/D2163)</f>
        <v/>
      </c>
      <c r="F2163" t="str">
        <f>IF(E2163="","",IF(E2163&gt;=0.9,"Expected",IF(E2163&gt;=0.7,"Moderate","Poor")))</f>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IF(OR(C2164="",D2164="",D2164=0),"",C2164/D2164)</f>
        <v/>
      </c>
      <c r="F2164" t="str">
        <f>IF(E2164="","",IF(E2164&gt;=0.9,"Expected",IF(E2164&gt;=0.7,"Moderate","Poor")))</f>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IF(OR(C2165="",D2165="",D2165=0),"",C2165/D2165)</f>
        <v/>
      </c>
      <c r="F2165" t="str">
        <f>IF(E2165="","",IF(E2165&gt;=0.9,"Expected",IF(E2165&gt;=0.7,"Moderate","Poor")))</f>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IF(OR(C2166="",D2166="",D2166=0),"",C2166/D2166)</f>
        <v/>
      </c>
      <c r="F2166" t="str">
        <f>IF(E2166="","",IF(E2166&gt;=0.9,"Expected",IF(E2166&gt;=0.7,"Moderate","Poor")))</f>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IF(OR(C2167="",D2167="",D2167=0),"",C2167/D2167)</f>
        <v/>
      </c>
      <c r="F2167" t="str">
        <f>IF(E2167="","",IF(E2167&gt;=0.9,"Expected",IF(E2167&gt;=0.7,"Moderate","Poor")))</f>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IF(OR(C2168="",D2168="",D2168=0),"",C2168/D2168)</f>
        <v/>
      </c>
      <c r="F2168" t="str">
        <f>IF(E2168="","",IF(E2168&gt;=0.9,"Expected",IF(E2168&gt;=0.7,"Moderate","Poor")))</f>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IF(OR(C2169="",D2169="",D2169=0),"",C2169/D2169)</f>
        <v/>
      </c>
      <c r="F2169" t="str">
        <f>IF(E2169="","",IF(E2169&gt;=0.9,"Expected",IF(E2169&gt;=0.7,"Moderate","Poor")))</f>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IF(OR(C2170="",D2170="",D2170=0),"",C2170/D2170)</f>
        <v/>
      </c>
      <c r="F2170" t="str">
        <f>IF(E2170="","",IF(E2170&gt;=0.9,"Expected",IF(E2170&gt;=0.7,"Moderate","Poor")))</f>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34700.060680248163</v>
      </c>
      <c r="E2171" s="9" t="str">
        <f>IF(OR(C2171="",D2171="",D2171=0),"",C2171/D2171)</f>
        <v/>
      </c>
      <c r="F2171" t="str">
        <f>IF(E2171="","",IF(E2171&gt;=0.9,"Expected",IF(E2171&gt;=0.7,"Moderate","Poor")))</f>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36854.196714409991</v>
      </c>
      <c r="E2172" s="9" t="str">
        <f>IF(OR(C2172="",D2172="",D2172=0),"",C2172/D2172)</f>
        <v/>
      </c>
      <c r="F2172" t="str">
        <f>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40057.706855266544</v>
      </c>
      <c r="E2173" s="9" t="str">
        <f>IF(OR(C2173="",D2173="",D2173=0),"",C2173/D2173)</f>
        <v/>
      </c>
      <c r="F2173" t="str">
        <f>IF(E2173="","",IF(E2173&gt;=0.9,"Expected",IF(E2173&gt;=0.7,"Moderate","Poor")))</f>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37441.521874548082</v>
      </c>
      <c r="E2174" s="9">
        <f>IF(OR(C2174="",D2174="",D2174=0),"",C2174/D2174)</f>
        <v>0.88404526159233521</v>
      </c>
      <c r="F2174" t="str">
        <f>IF(E2174="","",IF(E2174&gt;=0.9,"Expected",IF(E2174&gt;=0.7,"Moderate","Poor")))</f>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31133.711663807106</v>
      </c>
      <c r="E2175" s="9">
        <f>IF(OR(C2175="",D2175="",D2175=0),"",C2175/D2175)</f>
        <v>0.80138212460560354</v>
      </c>
      <c r="F2175" t="str">
        <f>IF(E2175="","",IF(E2175&gt;=0.9,"Expected",IF(E2175&gt;=0.7,"Moderate","Poor")))</f>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29609.452394211672</v>
      </c>
      <c r="E2176" s="9">
        <f>IF(OR(C2176="",D2176="",D2176=0),"",C2176/D2176)</f>
        <v>0.8148073689034645</v>
      </c>
      <c r="F2176" t="str">
        <f>IF(E2176="","",IF(E2176&gt;=0.9,"Expected",IF(E2176&gt;=0.7,"Moderate","Poor")))</f>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24807.733092502094</v>
      </c>
      <c r="E2177" s="9">
        <f>IF(OR(C2177="",D2177="",D2177=0),"",C2177/D2177)</f>
        <v>0.759319681881506</v>
      </c>
      <c r="F2177" t="str">
        <f>IF(E2177="","",IF(E2177&gt;=0.9,"Expected",IF(E2177&gt;=0.7,"Moderate","Poor")))</f>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21888.291885461509</v>
      </c>
      <c r="E2178" s="9">
        <f>IF(OR(C2178="",D2178="",D2178=0),"",C2178/D2178)</f>
        <v>1.0221446295158574</v>
      </c>
      <c r="F2178" t="str">
        <f>IF(E2178="","",IF(E2178&gt;=0.9,"Expected",IF(E2178&gt;=0.7,"Moderate","Poor")))</f>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18891.484305658312</v>
      </c>
      <c r="E2179" s="9">
        <f>IF(OR(C2179="",D2179="",D2179=0),"",C2179/D2179)</f>
        <v>0.9748625201717962</v>
      </c>
      <c r="F2179" t="str">
        <f>IF(E2179="","",IF(E2179&gt;=0.9,"Expected",IF(E2179&gt;=0.7,"Moderate","Poor")))</f>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21435.542527619677</v>
      </c>
      <c r="E2180" s="9">
        <f>IF(OR(C2180="",D2180="",D2180=0),"",C2180/D2180)</f>
        <v>0.8921164451685808</v>
      </c>
      <c r="F2180" t="str">
        <f>IF(E2180="","",IF(E2180&gt;=0.9,"Expected",IF(E2180&gt;=0.7,"Moderate","Poor")))</f>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25885.606662242204</v>
      </c>
      <c r="E2181" s="9">
        <f>IF(OR(C2181="",D2181="",D2181=0),"",C2181/D2181)</f>
        <v>0.86550028718003291</v>
      </c>
      <c r="F2181" t="str">
        <f>IF(E2181="","",IF(E2181&gt;=0.9,"Expected",IF(E2181&gt;=0.7,"Moderate","Poor")))</f>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29692.380937535443</v>
      </c>
      <c r="E2182" s="9">
        <f>IF(OR(C2182="",D2182="",D2182=0),"",C2182/D2182)</f>
        <v>0.73756294741306005</v>
      </c>
      <c r="F2182" t="str">
        <f>IF(E2182="","",IF(E2182&gt;=0.9,"Expected",IF(E2182&gt;=0.7,"Moderate","Poor")))</f>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34457.325928904982</v>
      </c>
      <c r="E2183" s="9">
        <f>IF(OR(C2183="",D2183="",D2183=0),"",C2183/D2183)</f>
        <v>0.8593818354070123</v>
      </c>
      <c r="F2183" t="str">
        <f>IF(E2183="","",IF(E2183&gt;=0.9,"Expected",IF(E2183&gt;=0.7,"Moderate","Poor")))</f>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36596.393295624701</v>
      </c>
      <c r="E2184" s="9">
        <f>IF(OR(C2184="",D2184="",D2184=0),"",C2184/D2184)</f>
        <v>0.73097367229349974</v>
      </c>
      <c r="F2184" t="str">
        <f>IF(E2184="","",IF(E2184&gt;=0.9,"Expected",IF(E2184&gt;=0.7,"Moderate","Poor")))</f>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39777.494160467832</v>
      </c>
      <c r="E2185" s="9">
        <f>IF(OR(C2185="",D2185="",D2185=0),"",C2185/D2185)</f>
        <v>0.7698599684651386</v>
      </c>
      <c r="F2185" t="str">
        <f>IF(E2185="","",IF(E2185&gt;=0.9,"Expected",IF(E2185&gt;=0.7,"Moderate","Poor")))</f>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37179.60998379159</v>
      </c>
      <c r="E2186" s="9">
        <f>IF(OR(C2186="",D2186="",D2186=0),"",C2186/D2186)</f>
        <v>0.91472180624880639</v>
      </c>
      <c r="F2186" t="str">
        <f>IF(E2186="","",IF(E2186&gt;=0.9,"Expected",IF(E2186&gt;=0.7,"Moderate","Poor")))</f>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30915.924328253361</v>
      </c>
      <c r="E2187" s="9">
        <f>IF(OR(C2187="",D2187="",D2187=0),"",C2187/D2187)</f>
        <v>0.79579968687903613</v>
      </c>
      <c r="F2187" t="str">
        <f>IF(E2187="","",IF(E2187&gt;=0.9,"Expected",IF(E2187&gt;=0.7,"Moderate","Poor")))</f>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29402.327596057996</v>
      </c>
      <c r="E2188" s="9">
        <f>IF(OR(C2188="",D2188="",D2188=0),"",C2188/D2188)</f>
        <v>0.8006168873227586</v>
      </c>
      <c r="F2188" t="str">
        <f>IF(E2188="","",IF(E2188&gt;=0.9,"Expected",IF(E2188&gt;=0.7,"Moderate","Poor")))</f>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24634.197403931263</v>
      </c>
      <c r="E2189" s="9">
        <f>IF(OR(C2189="",D2189="",D2189=0),"",C2189/D2189)</f>
        <v>0.73878152803531794</v>
      </c>
      <c r="F2189" t="str">
        <f>IF(E2189="","",IF(E2189&gt;=0.9,"Expected",IF(E2189&gt;=0.7,"Moderate","Poor")))</f>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21735.178346637967</v>
      </c>
      <c r="E2190" s="9">
        <f>IF(OR(C2190="",D2190="",D2190=0),"",C2190/D2190)</f>
        <v>0.82173468812427286</v>
      </c>
      <c r="F2190" t="str">
        <f>IF(E2190="","",IF(E2190&gt;=0.9,"Expected",IF(E2190&gt;=0.7,"Moderate","Poor")))</f>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18759.334111810156</v>
      </c>
      <c r="E2191" s="9">
        <f>IF(OR(C2191="",D2191="",D2191=0),"",C2191/D2191)</f>
        <v>0.78755727212613724</v>
      </c>
      <c r="F2191" t="str">
        <f>IF(E2191="","",IF(E2191&gt;=0.9,"Expected",IF(E2191&gt;=0.7,"Moderate","Poor")))</f>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21285.596072675591</v>
      </c>
      <c r="E2192" s="9">
        <f>IF(OR(C2192="",D2192="",D2192=0),"",C2192/D2192)</f>
        <v>0.83694531922782456</v>
      </c>
      <c r="F2192" t="str">
        <f>IF(E2192="","",IF(E2192&gt;=0.9,"Expected",IF(E2192&gt;=0.7,"Moderate","Poor")))</f>
        <v>Moderate</v>
      </c>
      <c r="G2192" t="s">
        <v>874</v>
      </c>
    </row>
    <row r="2193" spans="1:7" ht="15" hidden="1"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25704.531004927772</v>
      </c>
      <c r="E2193" s="9">
        <f>IF(OR(C2193="",D2193="",D2193=0),"",C2193/D2193)</f>
        <v>0.84435814043209723</v>
      </c>
      <c r="F2193" t="str">
        <f>IF(E2193="","",IF(E2193&gt;=0.9,"Expected",IF(E2193&gt;=0.7,"Moderate","Poor")))</f>
        <v>Moderate</v>
      </c>
      <c r="G2193" t="s">
        <v>874</v>
      </c>
    </row>
    <row r="2194" spans="1:7" ht="15" customHeight="1" x14ac:dyDescent="0.3">
      <c r="A2194" t="s">
        <v>184</v>
      </c>
      <c r="B2194" s="2">
        <v>46266</v>
      </c>
      <c r="C2194" cm="1">
        <f t="array" ref="C2194">IFERROR(IF(SUMPRODUCT((measured[Site Name]=A2194)*(measured[Date]=B2194)*ISNUMBER(measured[Measured Value (kWh)]))=0,"",SUMIFS(measured[Measured Value (kWh)],measured[Site Name],A2194,measured[Date],B2194)),"")</f>
        <v>20441.04</v>
      </c>
      <c r="D2194" cm="1">
        <f t="array" ref="D2194">IFERROR(IF(SUMPRODUCT((expected_production[Site Name]=A2194)*(expected_production[Date]=B2194)*ISNUMBER(expected_production[Expected Production (kWh)]))=0,"",SUMIFS(expected_production[Expected Production (kWh)],expected_production[Site Name],A2194,expected_production[Date],B2194)),"")</f>
        <v>29484.676035516</v>
      </c>
      <c r="E2194" s="9">
        <f>IF(OR(C2194="",D2194="",D2194=0),"",C2194/D2194)</f>
        <v>0.6932767372236881</v>
      </c>
      <c r="F2194" t="str">
        <f>IF(E2194="","",IF(E2194&gt;=0.9,"Expected",IF(E2194&gt;=0.7,"Moderate","Poor")))</f>
        <v>Poor</v>
      </c>
      <c r="G2194" t="s">
        <v>875</v>
      </c>
    </row>
    <row r="2195" spans="1:7"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34216.289161898276</v>
      </c>
      <c r="E2195" s="9" t="str">
        <f>IF(OR(C2195="",D2195="",D2195=0),"",C2195/D2195)</f>
        <v/>
      </c>
      <c r="F2195" t="str">
        <f>IF(E2195="","",IF(E2195&gt;=0.9,"Expected",IF(E2195&gt;=0.7,"Moderate","Poor")))</f>
        <v/>
      </c>
    </row>
    <row r="2196" spans="1:7"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36340.393269903499</v>
      </c>
      <c r="E2196" s="9" t="str">
        <f>IF(OR(C2196="",D2196="",D2196=0),"",C2196/D2196)</f>
        <v/>
      </c>
      <c r="F2196" t="str">
        <f>IF(E2196="","",IF(E2196&gt;=0.9,"Expected",IF(E2196&gt;=0.7,"Moderate","Poor")))</f>
        <v/>
      </c>
    </row>
    <row r="2197" spans="1:7"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39499.24161667352</v>
      </c>
      <c r="E2197" s="9" t="str">
        <f>IF(OR(C2197="",D2197="",D2197=0),"",C2197/D2197)</f>
        <v/>
      </c>
      <c r="F2197" t="str">
        <f>IF(E2197="","",IF(E2197&gt;=0.9,"Expected",IF(E2197&gt;=0.7,"Moderate","Poor")))</f>
        <v/>
      </c>
    </row>
    <row r="2198" spans="1:7"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IF(OR(C2198="",D2198="",D2198=0),"",C2198/D2198)</f>
        <v/>
      </c>
      <c r="F2198" t="str">
        <f>IF(E2198="","",IF(E2198&gt;=0.9,"Expected",IF(E2198&gt;=0.7,"Moderate","Poor")))</f>
        <v/>
      </c>
    </row>
    <row r="2199" spans="1:7"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IF(OR(C2199="",D2199="",D2199=0),"",C2199/D2199)</f>
        <v/>
      </c>
      <c r="F2199" t="str">
        <f>IF(E2199="","",IF(E2199&gt;=0.9,"Expected",IF(E2199&gt;=0.7,"Moderate","Poor")))</f>
        <v/>
      </c>
    </row>
    <row r="2200" spans="1:7"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IF(OR(C2200="",D2200="",D2200=0),"",C2200/D2200)</f>
        <v/>
      </c>
      <c r="F2200" t="str">
        <f>IF(E2200="","",IF(E2200&gt;=0.9,"Expected",IF(E2200&gt;=0.7,"Moderate","Poor")))</f>
        <v/>
      </c>
    </row>
    <row r="2201" spans="1:7"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IF(OR(C2201="",D2201="",D2201=0),"",C2201/D2201)</f>
        <v/>
      </c>
      <c r="F2201" t="str">
        <f>IF(E2201="","",IF(E2201&gt;=0.9,"Expected",IF(E2201&gt;=0.7,"Moderate","Poor")))</f>
        <v/>
      </c>
    </row>
    <row r="2202" spans="1:7"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IF(OR(C2202="",D2202="",D2202=0),"",C2202/D2202)</f>
        <v/>
      </c>
      <c r="F2202" t="str">
        <f>IF(E2202="","",IF(E2202&gt;=0.9,"Expected",IF(E2202&gt;=0.7,"Moderate","Poor")))</f>
        <v/>
      </c>
    </row>
    <row r="2203" spans="1:7"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IF(OR(C2203="",D2203="",D2203=0),"",C2203/D2203)</f>
        <v/>
      </c>
      <c r="F2203" t="str">
        <f>IF(E2203="","",IF(E2203&gt;=0.9,"Expected",IF(E2203&gt;=0.7,"Moderate","Poor")))</f>
        <v/>
      </c>
    </row>
    <row r="2204" spans="1:7"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IF(OR(C2204="",D2204="",D2204=0),"",C2204/D2204)</f>
        <v/>
      </c>
      <c r="F2204" t="str">
        <f>IF(E2204="","",IF(E2204&gt;=0.9,"Expected",IF(E2204&gt;=0.7,"Moderate","Poor")))</f>
        <v/>
      </c>
    </row>
    <row r="2205" spans="1:7"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IF(OR(C2205="",D2205="",D2205=0),"",C2205/D2205)</f>
        <v>0.1413000373463314</v>
      </c>
      <c r="F2205" t="str">
        <f>IF(E2205="","",IF(E2205&gt;=0.9,"Expected",IF(E2205&gt;=0.7,"Moderate","Poor")))</f>
        <v>Poor</v>
      </c>
    </row>
    <row r="2206" spans="1:7"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28981.712934121133</v>
      </c>
      <c r="E2206" s="9">
        <f>IF(OR(C2206="",D2206="",D2206=0),"",C2206/D2206)</f>
        <v>0.8359064233045358</v>
      </c>
      <c r="F2206" t="str">
        <f>IF(E2206="","",IF(E2206&gt;=0.9,"Expected",IF(E2206&gt;=0.7,"Moderate","Poor")))</f>
        <v>Moderate</v>
      </c>
    </row>
    <row r="2207" spans="1:7"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33036.554546331608</v>
      </c>
      <c r="E2207" s="9">
        <f>IF(OR(C2207="",D2207="",D2207=0),"",C2207/D2207)</f>
        <v>0.87963168069615882</v>
      </c>
      <c r="F2207" t="str">
        <f>IF(E2207="","",IF(E2207&gt;=0.9,"Expected",IF(E2207&gt;=0.7,"Moderate","Poor")))</f>
        <v>Moderate</v>
      </c>
    </row>
    <row r="2208" spans="1:7"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34322.905075012211</v>
      </c>
      <c r="E2208" s="9">
        <f>IF(OR(C2208="",D2208="",D2208=0),"",C2208/D2208)</f>
        <v>0.83617630667557319</v>
      </c>
      <c r="F2208" t="str">
        <f>IF(E2208="","",IF(E2208&gt;=0.9,"Expected",IF(E2208&gt;=0.7,"Moderate","Poor")))</f>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36253.403317880999</v>
      </c>
      <c r="E2209" s="9">
        <f>IF(OR(C2209="",D2209="",D2209=0),"",C2209/D2209)</f>
        <v>0.90071543666341269</v>
      </c>
      <c r="F2209" t="str">
        <f>IF(E2209="","",IF(E2209&gt;=0.9,"Expected",IF(E2209&gt;=0.7,"Moderate","Poor")))</f>
        <v>Expected</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33991.773339585678</v>
      </c>
      <c r="E2210" s="9">
        <f>IF(OR(C2210="",D2210="",D2210=0),"",C2210/D2210)</f>
        <v>0.93846236503496361</v>
      </c>
      <c r="F2210" t="str">
        <f>IF(E2210="","",IF(E2210&gt;=0.9,"Expected",IF(E2210&gt;=0.7,"Moderate","Poor")))</f>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28310.641305997407</v>
      </c>
      <c r="E2211" s="9">
        <f>IF(OR(C2211="",D2211="",D2211=0),"",C2211/D2211)</f>
        <v>0.8823537315881349</v>
      </c>
      <c r="F2211" t="str">
        <f>IF(E2211="","",IF(E2211&gt;=0.9,"Expected",IF(E2211&gt;=0.7,"Moderate","Poor")))</f>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28563.539058266022</v>
      </c>
      <c r="E2212" s="9">
        <f>IF(OR(C2212="",D2212="",D2212=0),"",C2212/D2212)</f>
        <v>0.84261267313214627</v>
      </c>
      <c r="F2212" t="str">
        <f>IF(E2212="","",IF(E2212&gt;=0.9,"Expected",IF(E2212&gt;=0.7,"Moderate","Poor")))</f>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24309.932452832465</v>
      </c>
      <c r="E2213" s="9">
        <f>IF(OR(C2213="",D2213="",D2213=0),"",C2213/D2213)</f>
        <v>0.7128362052680618</v>
      </c>
      <c r="F2213" t="str">
        <f>IF(E2213="","",IF(E2213&gt;=0.9,"Expected",IF(E2213&gt;=0.7,"Moderate","Poor")))</f>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22161.374386792242</v>
      </c>
      <c r="E2214" s="9">
        <f>IF(OR(C2214="",D2214="",D2214=0),"",C2214/D2214)</f>
        <v>0.86822232521225173</v>
      </c>
      <c r="F2214" t="str">
        <f>IF(E2214="","",IF(E2214&gt;=0.9,"Expected",IF(E2214&gt;=0.7,"Moderate","Poor")))</f>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19686.363156292711</v>
      </c>
      <c r="E2215" s="9">
        <f>IF(OR(C2215="",D2215="",D2215=0),"",C2215/D2215)</f>
        <v>0.94054497791185077</v>
      </c>
      <c r="F2215" t="str">
        <f>IF(E2215="","",IF(E2215&gt;=0.9,"Expected",IF(E2215&gt;=0.7,"Moderate","Poor")))</f>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21645.998051129736</v>
      </c>
      <c r="E2216" s="9">
        <f>IF(OR(C2216="",D2216="",D2216=0),"",C2216/D2216)</f>
        <v>0.86764306065433616</v>
      </c>
      <c r="F2216" t="str">
        <f>IF(E2216="","",IF(E2216&gt;=0.9,"Expected",IF(E2216&gt;=0.7,"Moderate","Poor")))</f>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25804.312296573615</v>
      </c>
      <c r="E2217" s="9">
        <f>IF(OR(C2217="",D2217="",D2217=0),"",C2217/D2217)</f>
        <v>0.82292446921050699</v>
      </c>
      <c r="F2217" t="str">
        <f>IF(E2217="","",IF(E2217&gt;=0.9,"Expected",IF(E2217&gt;=0.7,"Moderate","Poor")))</f>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28778.979315082601</v>
      </c>
      <c r="E2218" s="9">
        <f>IF(OR(C2218="",D2218="",D2218=0),"",C2218/D2218)</f>
        <v>0.80214797568937835</v>
      </c>
      <c r="F2218" t="str">
        <f>IF(E2218="","",IF(E2218&gt;=0.9,"Expected",IF(E2218&gt;=0.7,"Moderate","Poor")))</f>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32805.456395612702</v>
      </c>
      <c r="E2219" s="9">
        <f>IF(OR(C2219="",D2219="",D2219=0),"",C2219/D2219)</f>
        <v>0.78069329964954048</v>
      </c>
      <c r="F2219" t="str">
        <f>IF(E2219="","",IF(E2219&gt;=0.9,"Expected",IF(E2219&gt;=0.7,"Moderate","Poor")))</f>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34082.80861219822</v>
      </c>
      <c r="E2220" s="9">
        <f>IF(OR(C2220="",D2220="",D2220=0),"",C2220/D2220)</f>
        <v>0.74160554922559208</v>
      </c>
      <c r="F2220" t="str">
        <f>IF(E2220="","",IF(E2220&gt;=0.9,"Expected",IF(E2220&gt;=0.7,"Moderate","Poor")))</f>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35999.802584418343</v>
      </c>
      <c r="E2221" s="9">
        <f>IF(OR(C2221="",D2221="",D2221=0),"",C2221/D2221)</f>
        <v>0.79048015703055519</v>
      </c>
      <c r="F2221" t="str">
        <f>IF(E2221="","",IF(E2221&gt;=0.9,"Expected",IF(E2221&gt;=0.7,"Moderate","Poor")))</f>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33753.993217950476</v>
      </c>
      <c r="E2222" s="9">
        <f>IF(OR(C2222="",D2222="",D2222=0),"",C2222/D2222)</f>
        <v>0.86188320925918738</v>
      </c>
      <c r="F2222" t="str">
        <f>IF(E2222="","",IF(E2222&gt;=0.9,"Expected",IF(E2222&gt;=0.7,"Moderate","Poor")))</f>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28112.60198436334</v>
      </c>
      <c r="E2223" s="9">
        <f>IF(OR(C2223="",D2223="",D2223=0),"",C2223/D2223)</f>
        <v>0.83545947874422277</v>
      </c>
      <c r="F2223" t="str">
        <f>IF(E2223="","",IF(E2223&gt;=0.9,"Expected",IF(E2223&gt;=0.7,"Moderate","Poor")))</f>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28363.730659811663</v>
      </c>
      <c r="E2224" s="9">
        <f>IF(OR(C2224="",D2224="",D2224=0),"",C2224/D2224)</f>
        <v>0.79182108550417074</v>
      </c>
      <c r="F2224" t="str">
        <f>IF(E2224="","",IF(E2224&gt;=0.9,"Expected",IF(E2224&gt;=0.7,"Moderate","Poor")))</f>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24139.878992019159</v>
      </c>
      <c r="E2225" s="9">
        <f>IF(OR(C2225="",D2225="",D2225=0),"",C2225/D2225)</f>
        <v>0.75426475857727648</v>
      </c>
      <c r="F2225" t="str">
        <f>IF(E2225="","",IF(E2225&gt;=0.9,"Expected",IF(E2225&gt;=0.7,"Moderate","Poor")))</f>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22006.350574275879</v>
      </c>
      <c r="E2226" s="9">
        <f>IF(OR(C2226="",D2226="",D2226=0),"",C2226/D2226)</f>
        <v>0.81107632725183554</v>
      </c>
      <c r="F2226" t="str">
        <f>IF(E2226="","",IF(E2226&gt;=0.9,"Expected",IF(E2226&gt;=0.7,"Moderate","Poor")))</f>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19548.652605592892</v>
      </c>
      <c r="E2227" s="9">
        <f>IF(OR(C2227="",D2227="",D2227=0),"",C2227/D2227)</f>
        <v>0.76647891301281634</v>
      </c>
      <c r="F2227" t="str">
        <f>IF(E2227="","",IF(E2227&gt;=0.9,"Expected",IF(E2227&gt;=0.7,"Moderate","Poor")))</f>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21494.579412328716</v>
      </c>
      <c r="E2228" s="9">
        <f>IF(OR(C2228="",D2228="",D2228=0),"",C2228/D2228)</f>
        <v>0.84830689869379183</v>
      </c>
      <c r="F2228" t="str">
        <f>IF(E2228="","",IF(E2228&gt;=0.9,"Expected",IF(E2228&gt;=0.7,"Moderate","Poor")))</f>
        <v>Moderate</v>
      </c>
      <c r="G2228" t="s">
        <v>874</v>
      </c>
    </row>
    <row r="2229" spans="1:7" ht="15" hidden="1"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25623.805311683645</v>
      </c>
      <c r="E2229" s="9">
        <f>IF(OR(C2229="",D2229="",D2229=0),"",C2229/D2229)</f>
        <v>0.7890549336472269</v>
      </c>
      <c r="F2229" t="str">
        <f>IF(E2229="","",IF(E2229&gt;=0.9,"Expected",IF(E2229&gt;=0.7,"Moderate","Poor")))</f>
        <v>Moderate</v>
      </c>
      <c r="G2229" t="s">
        <v>874</v>
      </c>
    </row>
    <row r="2230" spans="1:7" ht="15" customHeight="1" x14ac:dyDescent="0.3">
      <c r="A2230" t="s">
        <v>186</v>
      </c>
      <c r="B2230" s="2">
        <v>46266</v>
      </c>
      <c r="C2230" cm="1">
        <f t="array" ref="C2230">IFERROR(IF(SUMPRODUCT((measured[Site Name]=A2230)*(measured[Date]=B2230)*ISNUMBER(measured[Measured Value (kWh)]))=0,"",SUMIFS(measured[Measured Value (kWh)],measured[Site Name],A2230,measured[Date],B2230)),"")</f>
        <v>17902.21</v>
      </c>
      <c r="D2230" cm="1">
        <f t="array" ref="D2230">IFERROR(IF(SUMPRODUCT((expected_production[Site Name]=A2230)*(expected_production[Date]=B2230)*ISNUMBER(expected_production[Expected Production (kWh)]))=0,"",SUMIFS(expected_production[Expected Production (kWh)],expected_production[Site Name],A2230,expected_production[Date],B2230)),"")</f>
        <v>28577.663863437483</v>
      </c>
      <c r="E2230" s="9">
        <f>IF(OR(C2230="",D2230="",D2230=0),"",C2230/D2230)</f>
        <v>0.62644063858922516</v>
      </c>
      <c r="F2230" t="str">
        <f>IF(E2230="","",IF(E2230&gt;=0.9,"Expected",IF(E2230&gt;=0.7,"Moderate","Poor")))</f>
        <v>Poor</v>
      </c>
      <c r="G2230" t="s">
        <v>875</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32575.974828584167</v>
      </c>
      <c r="E2231" s="9" t="str">
        <f>IF(OR(C2231="",D2231="",D2231=0),"",C2231/D2231)</f>
        <v/>
      </c>
      <c r="F2231" t="str">
        <f>IF(E2231="","",IF(E2231&gt;=0.9,"Expected",IF(E2231&gt;=0.7,"Moderate","Poor")))</f>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33844.391678297339</v>
      </c>
      <c r="E2232" s="9" t="str">
        <f>IF(OR(C2232="",D2232="",D2232=0),"",C2232/D2232)</f>
        <v/>
      </c>
      <c r="F2232" t="str">
        <f>IF(E2232="","",IF(E2232&gt;=0.9,"Expected",IF(E2232&gt;=0.7,"Moderate","Poor")))</f>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35747.975845287983</v>
      </c>
      <c r="E2233" s="9" t="str">
        <f>IF(OR(C2233="",D2233="",D2233=0),"",C2233/D2233)</f>
        <v/>
      </c>
      <c r="F2233" t="str">
        <f>IF(E2233="","",IF(E2233&gt;=0.9,"Expected",IF(E2233&gt;=0.7,"Moderate","Poor")))</f>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IF(OR(C2234="",D2234="",D2234=0),"",C2234/D2234)</f>
        <v/>
      </c>
      <c r="F2234" t="str">
        <f>IF(E2234="","",IF(E2234&gt;=0.9,"Expected",IF(E2234&gt;=0.7,"Moderate","Poor")))</f>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IF(OR(C2235="",D2235="",D2235=0),"",C2235/D2235)</f>
        <v/>
      </c>
      <c r="F2235" t="str">
        <f>IF(E2235="","",IF(E2235&gt;=0.9,"Expected",IF(E2235&gt;=0.7,"Moderate","Poor")))</f>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IF(OR(C2236="",D2236="",D2236=0),"",C2236/D2236)</f>
        <v/>
      </c>
      <c r="F2236" t="str">
        <f>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IF(OR(C2237="",D2237="",D2237=0),"",C2237/D2237)</f>
        <v/>
      </c>
      <c r="F2237" t="str">
        <f>IF(E2237="","",IF(E2237&gt;=0.9,"Expected",IF(E2237&gt;=0.7,"Moderate","Poor")))</f>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IF(OR(C2238="",D2238="",D2238=0),"",C2238/D2238)</f>
        <v/>
      </c>
      <c r="F2238" t="str">
        <f>IF(E2238="","",IF(E2238&gt;=0.9,"Expected",IF(E2238&gt;=0.7,"Moderate","Poor")))</f>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IF(OR(C2239="",D2239="",D2239=0),"",C2239/D2239)</f>
        <v/>
      </c>
      <c r="F2239" t="str">
        <f>IF(E2239="","",IF(E2239&gt;=0.9,"Expected",IF(E2239&gt;=0.7,"Moderate","Poor")))</f>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IF(OR(C2240="",D2240="",D2240=0),"",C2240/D2240)</f>
        <v/>
      </c>
      <c r="F2240" t="str">
        <f>IF(E2240="","",IF(E2240&gt;=0.9,"Expected",IF(E2240&gt;=0.7,"Moderate","Poor")))</f>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IF(OR(C2241="",D2241="",D2241=0),"",C2241/D2241)</f>
        <v/>
      </c>
      <c r="F2241" t="str">
        <f>IF(E2241="","",IF(E2241&gt;=0.9,"Expected",IF(E2241&gt;=0.7,"Moderate","Poor")))</f>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IF(OR(C2242="",D2242="",D2242=0),"",C2242/D2242)</f>
        <v>0.57703751016776117</v>
      </c>
      <c r="F2242" t="str">
        <f>IF(E2242="","",IF(E2242&gt;=0.9,"Expected",IF(E2242&gt;=0.7,"Moderate","Poor")))</f>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20111.241039460543</v>
      </c>
      <c r="E2243" s="9">
        <f>IF(OR(C2243="",D2243="",D2243=0),"",C2243/D2243)</f>
        <v>0.89701077942447549</v>
      </c>
      <c r="F2243" t="str">
        <f>IF(E2243="","",IF(E2243&gt;=0.9,"Expected",IF(E2243&gt;=0.7,"Moderate","Poor")))</f>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20550.559223834032</v>
      </c>
      <c r="E2244" s="9">
        <f>IF(OR(C2244="",D2244="",D2244=0),"",C2244/D2244)</f>
        <v>0.91481695438225463</v>
      </c>
      <c r="F2244" t="str">
        <f>IF(E2244="","",IF(E2244&gt;=0.9,"Expected",IF(E2244&gt;=0.7,"Moderate","Poor")))</f>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21893.636591273655</v>
      </c>
      <c r="E2245" s="9">
        <f>IF(OR(C2245="",D2245="",D2245=0),"",C2245/D2245)</f>
        <v>0.95383879754008194</v>
      </c>
      <c r="F2245" t="str">
        <f>IF(E2245="","",IF(E2245&gt;=0.9,"Expected",IF(E2245&gt;=0.7,"Moderate","Poor")))</f>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20541.729312507021</v>
      </c>
      <c r="E2246" s="9">
        <f>IF(OR(C2246="",D2246="",D2246=0),"",C2246/D2246)</f>
        <v>0.98823228030953358</v>
      </c>
      <c r="F2246" t="str">
        <f>IF(E2246="","",IF(E2246&gt;=0.9,"Expected",IF(E2246&gt;=0.7,"Moderate","Poor")))</f>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17488.113842132723</v>
      </c>
      <c r="E2247" s="9">
        <f>IF(OR(C2247="",D2247="",D2247=0),"",C2247/D2247)</f>
        <v>0.74908021060791652</v>
      </c>
      <c r="F2247" t="str">
        <f>IF(E2247="","",IF(E2247&gt;=0.9,"Expected",IF(E2247&gt;=0.7,"Moderate","Poor")))</f>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17836.578584632356</v>
      </c>
      <c r="E2248" s="9">
        <f>IF(OR(C2248="",D2248="",D2248=0),"",C2248/D2248)</f>
        <v>0.69194884778146992</v>
      </c>
      <c r="F2248" t="str">
        <f>IF(E2248="","",IF(E2248&gt;=0.9,"Expected",IF(E2248&gt;=0.7,"Moderate","Poor")))</f>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14615.914441410436</v>
      </c>
      <c r="E2249" s="9">
        <f>IF(OR(C2249="",D2249="",D2249=0),"",C2249/D2249)</f>
        <v>0.74022053449814573</v>
      </c>
      <c r="F2249" t="str">
        <f>IF(E2249="","",IF(E2249&gt;=0.9,"Expected",IF(E2249&gt;=0.7,"Moderate","Poor")))</f>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13211.687544773018</v>
      </c>
      <c r="E2250" s="9">
        <f>IF(OR(C2250="",D2250="",D2250=0),"",C2250/D2250)</f>
        <v>1.1481500715630653</v>
      </c>
      <c r="F2250" t="str">
        <f>IF(E2250="","",IF(E2250&gt;=0.9,"Expected",IF(E2250&gt;=0.7,"Moderate","Poor")))</f>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11511.590449148869</v>
      </c>
      <c r="E2251" s="9">
        <f>IF(OR(C2251="",D2251="",D2251=0),"",C2251/D2251)</f>
        <v>1.1363686067347192</v>
      </c>
      <c r="F2251" t="str">
        <f>IF(E2251="","",IF(E2251&gt;=0.9,"Expected",IF(E2251&gt;=0.7,"Moderate","Poor")))</f>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12916.112294561213</v>
      </c>
      <c r="E2252" s="9">
        <f>IF(OR(C2252="",D2252="",D2252=0),"",C2252/D2252)</f>
        <v>1.0958405809122644</v>
      </c>
      <c r="F2252" t="str">
        <f>IF(E2252="","",IF(E2252&gt;=0.9,"Expected",IF(E2252&gt;=0.7,"Moderate","Poor")))</f>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15771.087731768328</v>
      </c>
      <c r="E2253" s="9">
        <f>IF(OR(C2253="",D2253="",D2253=0),"",C2253/D2253)</f>
        <v>1.0265620403206457</v>
      </c>
      <c r="F2253" t="str">
        <f>IF(E2253="","",IF(E2253&gt;=0.9,"Expected",IF(E2253&gt;=0.7,"Moderate","Poor")))</f>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18190.962922648498</v>
      </c>
      <c r="E2254" s="9">
        <f>IF(OR(C2254="",D2254="",D2254=0),"",C2254/D2254)</f>
        <v>0.90814323959903853</v>
      </c>
      <c r="F2254" t="str">
        <f>IF(E2254="","",IF(E2254&gt;=0.9,"Expected",IF(E2254&gt;=0.7,"Moderate","Poor")))</f>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19970.558372133248</v>
      </c>
      <c r="E2255" s="9">
        <f>IF(OR(C2255="",D2255="",D2255=0),"",C2255/D2255)</f>
        <v>1.0235066851471617</v>
      </c>
      <c r="F2255" t="str">
        <f>IF(E2255="","",IF(E2255&gt;=0.9,"Expected",IF(E2255&gt;=0.7,"Moderate","Poor")))</f>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20406.803426715207</v>
      </c>
      <c r="E2256" s="9">
        <f>IF(OR(C2256="",D2256="",D2256=0),"",C2256/D2256)</f>
        <v>0.87853053832673644</v>
      </c>
      <c r="F2256" t="str">
        <f>IF(E2256="","",IF(E2256&gt;=0.9,"Expected",IF(E2256&gt;=0.7,"Moderate","Poor")))</f>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21740.485665027416</v>
      </c>
      <c r="E2257" s="9">
        <f>IF(OR(C2257="",D2257="",D2257=0),"",C2257/D2257)</f>
        <v>0.94422372233486696</v>
      </c>
      <c r="F2257" t="str">
        <f>IF(E2257="","",IF(E2257&gt;=0.9,"Expected",IF(E2257&gt;=0.7,"Moderate","Poor")))</f>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20398.035282609588</v>
      </c>
      <c r="E2258" s="9">
        <f>IF(OR(C2258="",D2258="",D2258=0),"",C2258/D2258)</f>
        <v>1.0820159733136996</v>
      </c>
      <c r="F2258" t="str">
        <f>IF(E2258="","",IF(E2258&gt;=0.9,"Expected",IF(E2258&gt;=0.7,"Moderate","Poor")))</f>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17365.780541218708</v>
      </c>
      <c r="E2259" s="9">
        <f>IF(OR(C2259="",D2259="",D2259=0),"",C2259/D2259)</f>
        <v>1.0920902723022123</v>
      </c>
      <c r="F2259" t="str">
        <f>IF(E2259="","",IF(E2259&gt;=0.9,"Expected",IF(E2259&gt;=0.7,"Moderate","Poor")))</f>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17711.807694245461</v>
      </c>
      <c r="E2260" s="9">
        <f>IF(OR(C2260="",D2260="",D2260=0),"",C2260/D2260)</f>
        <v>0.89573014081191238</v>
      </c>
      <c r="F2260" t="str">
        <f>IF(E2260="","",IF(E2260&gt;=0.9,"Expected",IF(E2260&gt;=0.7,"Moderate","Poor")))</f>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14513.672823152736</v>
      </c>
      <c r="E2261" s="9">
        <f>IF(OR(C2261="",D2261="",D2261=0),"",C2261/D2261)</f>
        <v>0.95130227670385048</v>
      </c>
      <c r="F2261" t="str">
        <f>IF(E2261="","",IF(E2261&gt;=0.9,"Expected",IF(E2261&gt;=0.7,"Moderate","Poor")))</f>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13119.268810392252</v>
      </c>
      <c r="E2262" s="9">
        <f>IF(OR(C2262="",D2262="",D2262=0),"",C2262/D2262)</f>
        <v>1.0295428956605213</v>
      </c>
      <c r="F2262" t="str">
        <f>IF(E2262="","",IF(E2262&gt;=0.9,"Expected",IF(E2262&gt;=0.7,"Moderate","Poor")))</f>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11431.064277422916</v>
      </c>
      <c r="E2263" s="9">
        <f>IF(OR(C2263="",D2263="",D2263=0),"",C2263/D2263)</f>
        <v>0.93701598906718497</v>
      </c>
      <c r="F2263" t="str">
        <f>IF(E2263="","",IF(E2263&gt;=0.9,"Expected",IF(E2263&gt;=0.7,"Moderate","Poor")))</f>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12825.761175725114</v>
      </c>
      <c r="E2264" s="9">
        <f>IF(OR(C2264="",D2264="",D2264=0),"",C2264/D2264)</f>
        <v>0.71005220471720898</v>
      </c>
      <c r="F2264" t="str">
        <f>IF(E2264="","",IF(E2264&gt;=0.9,"Expected",IF(E2264&gt;=0.7,"Moderate","Poor")))</f>
        <v>Moderate</v>
      </c>
      <c r="G2264" t="s">
        <v>875</v>
      </c>
    </row>
    <row r="2265" spans="1:7" ht="15" hidden="1"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15660.765415785712</v>
      </c>
      <c r="E2265" s="9">
        <f>IF(OR(C2265="",D2265="",D2265=0),"",C2265/D2265)</f>
        <v>0.95762816195964207</v>
      </c>
      <c r="F2265" t="str">
        <f>IF(E2265="","",IF(E2265&gt;=0.9,"Expected",IF(E2265&gt;=0.7,"Moderate","Poor")))</f>
        <v>Expected</v>
      </c>
      <c r="G2265" t="s">
        <v>874</v>
      </c>
    </row>
    <row r="2266" spans="1:7" ht="15" customHeight="1" x14ac:dyDescent="0.3">
      <c r="A2266" t="s">
        <v>157</v>
      </c>
      <c r="B2266" s="2">
        <v>46266</v>
      </c>
      <c r="C2266" cm="1">
        <f t="array" ref="C2266">IFERROR(IF(SUMPRODUCT((measured[Site Name]=A2266)*(measured[Date]=B2266)*ISNUMBER(measured[Measured Value (kWh)]))=0,"",SUMIFS(measured[Measured Value (kWh)],measured[Site Name],A2266,measured[Date],B2266)),"")</f>
        <v>4995.41</v>
      </c>
      <c r="D2266" cm="1">
        <f t="array" ref="D2266">IFERROR(IF(SUMPRODUCT((expected_production[Site Name]=A2266)*(expected_production[Date]=B2266)*ISNUMBER(expected_production[Expected Production (kWh)]))=0,"",SUMIFS(expected_production[Expected Production (kWh)],expected_production[Site Name],A2266,expected_production[Date],B2266)),"")</f>
        <v>5838.9934380356735</v>
      </c>
      <c r="E2266" s="9">
        <f>IF(OR(C2266="",D2266="",D2266=0),"",C2266/D2266)</f>
        <v>0.85552588010452224</v>
      </c>
      <c r="F2266" t="str">
        <f>IF(E2266="","",IF(E2266&gt;=0.9,"Expected",IF(E2266&gt;=0.7,"Moderate","Poor")))</f>
        <v>Moderate</v>
      </c>
      <c r="G2266" t="s">
        <v>874</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19830.859811796046</v>
      </c>
      <c r="E2267" s="9" t="str">
        <f>IF(OR(C2267="",D2267="",D2267=0),"",C2267/D2267)</f>
        <v/>
      </c>
      <c r="F2267" t="str">
        <f>IF(E2267="","",IF(E2267&gt;=0.9,"Expected",IF(E2267&gt;=0.7,"Moderate","Poor")))</f>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20264.053233822535</v>
      </c>
      <c r="E2268" s="9" t="str">
        <f>IF(OR(C2268="",D2268="",D2268=0),"",C2268/D2268)</f>
        <v/>
      </c>
      <c r="F2268" t="str">
        <f>IF(E2268="","",IF(E2268&gt;=0.9,"Expected",IF(E2268&gt;=0.7,"Moderate","Poor")))</f>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21588.406064054721</v>
      </c>
      <c r="E2269" s="9" t="str">
        <f>IF(OR(C2269="",D2269="",D2269=0),"",C2269/D2269)</f>
        <v/>
      </c>
      <c r="F2269" t="str">
        <f>IF(E2269="","",IF(E2269&gt;=0.9,"Expected",IF(E2269&gt;=0.7,"Moderate","Poor")))</f>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IF(OR(C2270="",D2270="",D2270=0),"",C2270/D2270)</f>
        <v/>
      </c>
      <c r="F2270" t="str">
        <f>IF(E2270="","",IF(E2270&gt;=0.9,"Expected",IF(E2270&gt;=0.7,"Moderate","Poor")))</f>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IF(OR(C2271="",D2271="",D2271=0),"",C2271/D2271)</f>
        <v/>
      </c>
      <c r="F2271" t="str">
        <f>IF(E2271="","",IF(E2271&gt;=0.9,"Expected",IF(E2271&gt;=0.7,"Moderate","Poor")))</f>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IF(OR(C2272="",D2272="",D2272=0),"",C2272/D2272)</f>
        <v/>
      </c>
      <c r="F2272" t="str">
        <f>IF(E2272="","",IF(E2272&gt;=0.9,"Expected",IF(E2272&gt;=0.7,"Moderate","Poor")))</f>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IF(OR(C2273="",D2273="",D2273=0),"",C2273/D2273)</f>
        <v/>
      </c>
      <c r="F2273" t="str">
        <f>IF(E2273="","",IF(E2273&gt;=0.9,"Expected",IF(E2273&gt;=0.7,"Moderate","Poor")))</f>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IF(OR(C2274="",D2274="",D2274=0),"",C2274/D2274)</f>
        <v/>
      </c>
      <c r="F2274" t="str">
        <f>IF(E2274="","",IF(E2274&gt;=0.9,"Expected",IF(E2274&gt;=0.7,"Moderate","Poor")))</f>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IF(OR(C2275="",D2275="",D2275=0),"",C2275/D2275)</f>
        <v/>
      </c>
      <c r="F2275" t="str">
        <f>IF(E2275="","",IF(E2275&gt;=0.9,"Expected",IF(E2275&gt;=0.7,"Moderate","Poor")))</f>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IF(OR(C2276="",D2276="",D2276=0),"",C2276/D2276)</f>
        <v/>
      </c>
      <c r="F2276" t="str">
        <f>IF(E2276="","",IF(E2276&gt;=0.9,"Expected",IF(E2276&gt;=0.7,"Moderate","Poor")))</f>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IF(OR(C2277="",D2277="",D2277=0),"",C2277/D2277)</f>
        <v/>
      </c>
      <c r="F2277" t="str">
        <f>IF(E2277="","",IF(E2277&gt;=0.9,"Expected",IF(E2277&gt;=0.7,"Moderate","Poor")))</f>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IF(OR(C2278="",D2278="",D2278=0),"",C2278/D2278)</f>
        <v/>
      </c>
      <c r="F2278" t="str">
        <f>IF(E2278="","",IF(E2278&gt;=0.9,"Expected",IF(E2278&gt;=0.7,"Moderate","Poor")))</f>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IF(OR(C2279="",D2279="",D2279=0),"",C2279/D2279)</f>
        <v/>
      </c>
      <c r="F2279" t="str">
        <f>IF(E2279="","",IF(E2279&gt;=0.9,"Expected",IF(E2279&gt;=0.7,"Moderate","Poor")))</f>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IF(OR(C2280="",D2280="",D2280=0),"",C2280/D2280)</f>
        <v/>
      </c>
      <c r="F2280" t="str">
        <f>IF(E2280="","",IF(E2280&gt;=0.9,"Expected",IF(E2280&gt;=0.7,"Moderate","Poor")))</f>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IF(OR(C2281="",D2281="",D2281=0),"",C2281/D2281)</f>
        <v/>
      </c>
      <c r="F2281" t="str">
        <f>IF(E2281="","",IF(E2281&gt;=0.9,"Expected",IF(E2281&gt;=0.7,"Moderate","Poor")))</f>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IF(OR(C2282="",D2282="",D2282=0),"",C2282/D2282)</f>
        <v/>
      </c>
      <c r="F2282" t="str">
        <f>IF(E2282="","",IF(E2282&gt;=0.9,"Expected",IF(E2282&gt;=0.7,"Moderate","Poor")))</f>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IF(OR(C2283="",D2283="",D2283=0),"",C2283/D2283)</f>
        <v/>
      </c>
      <c r="F2283" t="str">
        <f>IF(E2283="","",IF(E2283&gt;=0.9,"Expected",IF(E2283&gt;=0.7,"Moderate","Poor")))</f>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IF(OR(C2284="",D2284="",D2284=0),"",C2284/D2284)</f>
        <v/>
      </c>
      <c r="F2284" t="str">
        <f>IF(E2284="","",IF(E2284&gt;=0.9,"Expected",IF(E2284&gt;=0.7,"Moderate","Poor")))</f>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IF(OR(C2285="",D2285="",D2285=0),"",C2285/D2285)</f>
        <v/>
      </c>
      <c r="F2285" t="str">
        <f>IF(E2285="","",IF(E2285&gt;=0.9,"Expected",IF(E2285&gt;=0.7,"Moderate","Poor")))</f>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IF(OR(C2286="",D2286="",D2286=0),"",C2286/D2286)</f>
        <v/>
      </c>
      <c r="F2286" t="str">
        <f>IF(E2286="","",IF(E2286&gt;=0.9,"Expected",IF(E2286&gt;=0.7,"Moderate","Poor")))</f>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IF(OR(C2287="",D2287="",D2287=0),"",C2287/D2287)</f>
        <v/>
      </c>
      <c r="F2287" t="str">
        <f>IF(E2287="","",IF(E2287&gt;=0.9,"Expected",IF(E2287&gt;=0.7,"Moderate","Poor")))</f>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IF(OR(C2288="",D2288="",D2288=0),"",C2288/D2288)</f>
        <v/>
      </c>
      <c r="F2288" t="str">
        <f>IF(E2288="","",IF(E2288&gt;=0.9,"Expected",IF(E2288&gt;=0.7,"Moderate","Poor")))</f>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IF(OR(C2289="",D2289="",D2289=0),"",C2289/D2289)</f>
        <v/>
      </c>
      <c r="F2289" t="str">
        <f>IF(E2289="","",IF(E2289&gt;=0.9,"Expected",IF(E2289&gt;=0.7,"Moderate","Poor")))</f>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IF(OR(C2290="",D2290="",D2290=0),"",C2290/D2290)</f>
        <v/>
      </c>
      <c r="F2290" t="str">
        <f>IF(E2290="","",IF(E2290&gt;=0.9,"Expected",IF(E2290&gt;=0.7,"Moderate","Poor")))</f>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IF(OR(C2291="",D2291="",D2291=0),"",C2291/D2291)</f>
        <v/>
      </c>
      <c r="F2291" t="str">
        <f>IF(E2291="","",IF(E2291&gt;=0.9,"Expected",IF(E2291&gt;=0.7,"Moderate","Poor")))</f>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IF(OR(C2292="",D2292="",D2292=0),"",C2292/D2292)</f>
        <v/>
      </c>
      <c r="F2292" t="str">
        <f>IF(E2292="","",IF(E2292&gt;=0.9,"Expected",IF(E2292&gt;=0.7,"Moderate","Poor")))</f>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IF(OR(C2293="",D2293="",D2293=0),"",C2293/D2293)</f>
        <v>0.65190210021731243</v>
      </c>
      <c r="F2293" t="str">
        <f>IF(E2293="","",IF(E2293&gt;=0.9,"Expected",IF(E2293&gt;=0.7,"Moderate","Poor")))</f>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30703.189215504459</v>
      </c>
      <c r="E2294" s="9">
        <f>IF(OR(C2294="",D2294="",D2294=0),"",C2294/D2294)</f>
        <v>1.0721036101154473</v>
      </c>
      <c r="F2294" t="str">
        <f>IF(E2294="","",IF(E2294&gt;=0.9,"Expected",IF(E2294&gt;=0.7,"Moderate","Poor")))</f>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24253.962191569797</v>
      </c>
      <c r="E2295" s="9">
        <f>IF(OR(C2295="",D2295="",D2295=0),"",C2295/D2295)</f>
        <v>1.2825533310517068</v>
      </c>
      <c r="F2295" t="str">
        <f>IF(E2295="","",IF(E2295&gt;=0.9,"Expected",IF(E2295&gt;=0.7,"Moderate","Poor")))</f>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24104.341393834919</v>
      </c>
      <c r="E2296" s="9">
        <f>IF(OR(C2296="",D2296="",D2296=0),"",C2296/D2296)</f>
        <v>1.0974786478408427</v>
      </c>
      <c r="F2296" t="str">
        <f>IF(E2296="","",IF(E2296&gt;=0.9,"Expected",IF(E2296&gt;=0.7,"Moderate","Poor")))</f>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18346.95482646138</v>
      </c>
      <c r="E2297" s="9">
        <f>IF(OR(C2297="",D2297="",D2297=0),"",C2297/D2297)</f>
        <v>1.140836187693224</v>
      </c>
      <c r="F2297" t="str">
        <f>IF(E2297="","",IF(E2297&gt;=0.9,"Expected",IF(E2297&gt;=0.7,"Moderate","Poor")))</f>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18906.21495265657</v>
      </c>
      <c r="E2298" s="9">
        <f>IF(OR(C2298="",D2298="",D2298=0),"",C2298/D2298)</f>
        <v>1.0864131213695878</v>
      </c>
      <c r="F2298" t="str">
        <f>IF(E2298="","",IF(E2298&gt;=0.9,"Expected",IF(E2298&gt;=0.7,"Moderate","Poor")))</f>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15226.808408209983</v>
      </c>
      <c r="E2299" s="9">
        <f>IF(OR(C2299="",D2299="",D2299=0),"",C2299/D2299)</f>
        <v>1.1168939375916964</v>
      </c>
      <c r="F2299" t="str">
        <f>IF(E2299="","",IF(E2299&gt;=0.9,"Expected",IF(E2299&gt;=0.7,"Moderate","Poor")))</f>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17291.255176373885</v>
      </c>
      <c r="E2300" s="9">
        <f>IF(OR(C2300="",D2300="",D2300=0),"",C2300/D2300)</f>
        <v>1.0409406903319189</v>
      </c>
      <c r="F2300" t="str">
        <f>IF(E2300="","",IF(E2300&gt;=0.9,"Expected",IF(E2300&gt;=0.7,"Moderate","Poor")))</f>
        <v>Expected</v>
      </c>
      <c r="G2300" t="s">
        <v>874</v>
      </c>
    </row>
    <row r="2301" spans="1:7" ht="15" hidden="1"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19213.197733055495</v>
      </c>
      <c r="E2301" s="9">
        <f>IF(OR(C2301="",D2301="",D2301=0),"",C2301/D2301)</f>
        <v>1.1693708830855296</v>
      </c>
      <c r="F2301" t="str">
        <f>IF(E2301="","",IF(E2301&gt;=0.9,"Expected",IF(E2301&gt;=0.7,"Moderate","Poor")))</f>
        <v>Expected</v>
      </c>
      <c r="G2301" t="s">
        <v>874</v>
      </c>
    </row>
    <row r="2302" spans="1:7" ht="15" customHeight="1" x14ac:dyDescent="0.3">
      <c r="A2302" t="s">
        <v>226</v>
      </c>
      <c r="B2302" s="2">
        <v>46266</v>
      </c>
      <c r="C2302" cm="1">
        <f t="array" ref="C2302">IFERROR(IF(SUMPRODUCT((measured[Site Name]=A2302)*(measured[Date]=B2302)*ISNUMBER(measured[Measured Value (kWh)]))=0,"",SUMIFS(measured[Measured Value (kWh)],measured[Site Name],A2302,measured[Date],B2302)),"")</f>
        <v>21057.6623</v>
      </c>
      <c r="D2302" cm="1">
        <f t="array" ref="D2302">IFERROR(IF(SUMPRODUCT((expected_production[Site Name]=A2302)*(expected_production[Date]=B2302)*ISNUMBER(expected_production[Expected Production (kWh)]))=0,"",SUMIFS(expected_production[Expected Production (kWh)],expected_production[Site Name],A2302,expected_production[Date],B2302)),"")</f>
        <v>18045.952902736204</v>
      </c>
      <c r="E2302" s="9">
        <f>IF(OR(C2302="",D2302="",D2302=0),"",C2302/D2302)</f>
        <v>1.1668911258660744</v>
      </c>
      <c r="F2302" t="str">
        <f>IF(E2302="","",IF(E2302&gt;=0.9,"Expected",IF(E2302&gt;=0.7,"Moderate","Poor")))</f>
        <v>Expected</v>
      </c>
      <c r="G2302" t="s">
        <v>874</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22417.151237292415</v>
      </c>
      <c r="E2303" s="9" t="str">
        <f>IF(OR(C2303="",D2303="",D2303=0),"",C2303/D2303)</f>
        <v/>
      </c>
      <c r="F2303" t="str">
        <f>IF(E2303="","",IF(E2303&gt;=0.9,"Expected",IF(E2303&gt;=0.7,"Moderate","Poor")))</f>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22776.679829099001</v>
      </c>
      <c r="E2304" s="9" t="str">
        <f>IF(OR(C2304="",D2304="",D2304=0),"",C2304/D2304)</f>
        <v/>
      </c>
      <c r="F2304" t="str">
        <f>IF(E2304="","",IF(E2304&gt;=0.9,"Expected",IF(E2304&gt;=0.7,"Moderate","Poor")))</f>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28193.689457382596</v>
      </c>
      <c r="E2305" s="9" t="str">
        <f>IF(OR(C2305="",D2305="",D2305=0),"",C2305/D2305)</f>
        <v/>
      </c>
      <c r="F2305" t="str">
        <f>IF(E2305="","",IF(E2305&gt;=0.9,"Expected",IF(E2305&gt;=0.7,"Moderate","Poor")))</f>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IF(OR(C2306="",D2306="",D2306=0),"",C2306/D2306)</f>
        <v/>
      </c>
      <c r="F2306" t="str">
        <f>IF(E2306="","",IF(E2306&gt;=0.9,"Expected",IF(E2306&gt;=0.7,"Moderate","Poor")))</f>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IF(OR(C2307="",D2307="",D2307=0),"",C2307/D2307)</f>
        <v/>
      </c>
      <c r="F2307" t="str">
        <f>IF(E2307="","",IF(E2307&gt;=0.9,"Expected",IF(E2307&gt;=0.7,"Moderate","Poor")))</f>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IF(OR(C2308="",D2308="",D2308=0),"",C2308/D2308)</f>
        <v/>
      </c>
      <c r="F2308" t="str">
        <f>IF(E2308="","",IF(E2308&gt;=0.9,"Expected",IF(E2308&gt;=0.7,"Moderate","Poor")))</f>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IF(OR(C2309="",D2309="",D2309=0),"",C2309/D2309)</f>
        <v/>
      </c>
      <c r="F2309" t="str">
        <f>IF(E2309="","",IF(E2309&gt;=0.9,"Expected",IF(E2309&gt;=0.7,"Moderate","Poor")))</f>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IF(OR(C2310="",D2310="",D2310=0),"",C2310/D2310)</f>
        <v/>
      </c>
      <c r="F2310" t="str">
        <f>IF(E2310="","",IF(E2310&gt;=0.9,"Expected",IF(E2310&gt;=0.7,"Moderate","Poor")))</f>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IF(OR(C2311="",D2311="",D2311=0),"",C2311/D2311)</f>
        <v/>
      </c>
      <c r="F2311" t="str">
        <f>IF(E2311="","",IF(E2311&gt;=0.9,"Expected",IF(E2311&gt;=0.7,"Moderate","Poor")))</f>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IF(OR(C2312="",D2312="",D2312=0),"",C2312/D2312)</f>
        <v/>
      </c>
      <c r="F2312" t="str">
        <f>IF(E2312="","",IF(E2312&gt;=0.9,"Expected",IF(E2312&gt;=0.7,"Moderate","Poor")))</f>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IF(OR(C2313="",D2313="",D2313=0),"",C2313/D2313)</f>
        <v/>
      </c>
      <c r="F2313" t="str">
        <f>IF(E2313="","",IF(E2313&gt;=0.9,"Expected",IF(E2313&gt;=0.7,"Moderate","Poor")))</f>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IF(OR(C2314="",D2314="",D2314=0),"",C2314/D2314)</f>
        <v/>
      </c>
      <c r="F2314" t="str">
        <f>IF(E2314="","",IF(E2314&gt;=0.9,"Expected",IF(E2314&gt;=0.7,"Moderate","Poor")))</f>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IF(OR(C2315="",D2315="",D2315=0),"",C2315/D2315)</f>
        <v/>
      </c>
      <c r="F2315" t="str">
        <f>IF(E2315="","",IF(E2315&gt;=0.9,"Expected",IF(E2315&gt;=0.7,"Moderate","Poor")))</f>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IF(OR(C2316="",D2316="",D2316=0),"",C2316/D2316)</f>
        <v/>
      </c>
      <c r="F2316" t="str">
        <f>IF(E2316="","",IF(E2316&gt;=0.9,"Expected",IF(E2316&gt;=0.7,"Moderate","Poor")))</f>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IF(OR(C2317="",D2317="",D2317=0),"",C2317/D2317)</f>
        <v/>
      </c>
      <c r="F2317" t="str">
        <f>IF(E2317="","",IF(E2317&gt;=0.9,"Expected",IF(E2317&gt;=0.7,"Moderate","Poor")))</f>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IF(OR(C2318="",D2318="",D2318=0),"",C2318/D2318)</f>
        <v/>
      </c>
      <c r="F2318" t="str">
        <f>IF(E2318="","",IF(E2318&gt;=0.9,"Expected",IF(E2318&gt;=0.7,"Moderate","Poor")))</f>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IF(OR(C2319="",D2319="",D2319=0),"",C2319/D2319)</f>
        <v/>
      </c>
      <c r="F2319" t="str">
        <f>IF(E2319="","",IF(E2319&gt;=0.9,"Expected",IF(E2319&gt;=0.7,"Moderate","Poor")))</f>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IF(OR(C2320="",D2320="",D2320=0),"",C2320/D2320)</f>
        <v/>
      </c>
      <c r="F2320" t="str">
        <f>IF(E2320="","",IF(E2320&gt;=0.9,"Expected",IF(E2320&gt;=0.7,"Moderate","Poor")))</f>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IF(OR(C2321="",D2321="",D2321=0),"",C2321/D2321)</f>
        <v>0.30497357286130511</v>
      </c>
      <c r="F2321" t="str">
        <f>IF(E2321="","",IF(E2321&gt;=0.9,"Expected",IF(E2321&gt;=0.7,"Moderate","Poor")))</f>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12613.420329623359</v>
      </c>
      <c r="E2322" s="9">
        <f>IF(OR(C2322="",D2322="",D2322=0),"",C2322/D2322)</f>
        <v>0.42811544045018324</v>
      </c>
      <c r="F2322" t="str">
        <f>IF(E2322="","",IF(E2322&gt;=0.9,"Expected",IF(E2322&gt;=0.7,"Moderate","Poor")))</f>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11081.292096325571</v>
      </c>
      <c r="E2323" s="9">
        <f>IF(OR(C2323="",D2323="",D2323=0),"",C2323/D2323)</f>
        <v>0.78396092481675561</v>
      </c>
      <c r="F2323" t="str">
        <f>IF(E2323="","",IF(E2323&gt;=0.9,"Expected",IF(E2323&gt;=0.7,"Moderate","Poor")))</f>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12346.173503924145</v>
      </c>
      <c r="E2324" s="9">
        <f>IF(OR(C2324="",D2324="",D2324=0),"",C2324/D2324)</f>
        <v>0.574266998414245</v>
      </c>
      <c r="F2324" t="str">
        <f>IF(E2324="","",IF(E2324&gt;=0.9,"Expected",IF(E2324&gt;=0.7,"Moderate","Poor")))</f>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14450.653951114573</v>
      </c>
      <c r="E2325" s="9">
        <f>IF(OR(C2325="",D2325="",D2325=0),"",C2325/D2325)</f>
        <v>0.70861844970069288</v>
      </c>
      <c r="F2325" t="str">
        <f>IF(E2325="","",IF(E2325&gt;=0.9,"Expected",IF(E2325&gt;=0.7,"Moderate","Poor")))</f>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16141.632502105231</v>
      </c>
      <c r="E2326" s="9">
        <f>IF(OR(C2326="",D2326="",D2326=0),"",C2326/D2326)</f>
        <v>0.70494728451511479</v>
      </c>
      <c r="F2326" t="str">
        <f>IF(E2326="","",IF(E2326&gt;=0.9,"Expected",IF(E2326&gt;=0.7,"Moderate","Poor")))</f>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18597.729605700617</v>
      </c>
      <c r="E2327" s="9">
        <f>IF(OR(C2327="",D2327="",D2327=0),"",C2327/D2327)</f>
        <v>0.90487927057728756</v>
      </c>
      <c r="F2327" t="str">
        <f>IF(E2327="","",IF(E2327&gt;=0.9,"Expected",IF(E2327&gt;=0.7,"Moderate","Poor")))</f>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18513.148008536686</v>
      </c>
      <c r="E2328" s="9">
        <f>IF(OR(C2328="",D2328="",D2328=0),"",C2328/D2328)</f>
        <v>0.83513619579288756</v>
      </c>
      <c r="F2328" t="str">
        <f>IF(E2328="","",IF(E2328&gt;=0.9,"Expected",IF(E2328&gt;=0.7,"Moderate","Poor")))</f>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18933.342842881411</v>
      </c>
      <c r="E2329" s="9">
        <f>IF(OR(C2329="",D2329="",D2329=0),"",C2329/D2329)</f>
        <v>0.92751713977453343</v>
      </c>
      <c r="F2329" t="str">
        <f>IF(E2329="","",IF(E2329&gt;=0.9,"Expected",IF(E2329&gt;=0.7,"Moderate","Poor")))</f>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18486.07009926574</v>
      </c>
      <c r="E2330" s="9">
        <f>IF(OR(C2330="",D2330="",D2330=0),"",C2330/D2330)</f>
        <v>1.0887657512885573</v>
      </c>
      <c r="F2330" t="str">
        <f>IF(E2330="","",IF(E2330&gt;=0.9,"Expected",IF(E2330&gt;=0.7,"Moderate","Poor")))</f>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16007.417028436108</v>
      </c>
      <c r="E2331" s="9">
        <f>IF(OR(C2331="",D2331="",D2331=0),"",C2331/D2331)</f>
        <v>1.0482640622276191</v>
      </c>
      <c r="F2331" t="str">
        <f>IF(E2331="","",IF(E2331&gt;=0.9,"Expected",IF(E2331&gt;=0.7,"Moderate","Poor")))</f>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15799.384348673744</v>
      </c>
      <c r="E2332" s="9">
        <f>IF(OR(C2332="",D2332="",D2332=0),"",C2332/D2332)</f>
        <v>0.9273146140805073</v>
      </c>
      <c r="F2332" t="str">
        <f>IF(E2332="","",IF(E2332&gt;=0.9,"Expected",IF(E2332&gt;=0.7,"Moderate","Poor")))</f>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13564.64381982924</v>
      </c>
      <c r="E2333" s="9">
        <f>IF(OR(C2333="",D2333="",D2333=0),"",C2333/D2333)</f>
        <v>0.92138062495453976</v>
      </c>
      <c r="F2333" t="str">
        <f>IF(E2333="","",IF(E2333&gt;=0.9,"Expected",IF(E2333&gt;=0.7,"Moderate","Poor")))</f>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12525.18660935667</v>
      </c>
      <c r="E2334" s="9">
        <f>IF(OR(C2334="",D2334="",D2334=0),"",C2334/D2334)</f>
        <v>0.93394376984861815</v>
      </c>
      <c r="F2334" t="str">
        <f>IF(E2334="","",IF(E2334&gt;=0.9,"Expected",IF(E2334&gt;=0.7,"Moderate","Poor")))</f>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11003.77595863496</v>
      </c>
      <c r="E2335" s="9">
        <f>IF(OR(C2335="",D2335="",D2335=0),"",C2335/D2335)</f>
        <v>0.82541120740218332</v>
      </c>
      <c r="F2335" t="str">
        <f>IF(E2335="","",IF(E2335&gt;=0.9,"Expected",IF(E2335&gt;=0.7,"Moderate","Poor")))</f>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12259.809235482948</v>
      </c>
      <c r="E2336" s="9">
        <f>IF(OR(C2336="",D2336="",D2336=0),"",C2336/D2336)</f>
        <v>0.64569193924232904</v>
      </c>
      <c r="F2336" t="str">
        <f>IF(E2336="","",IF(E2336&gt;=0.9,"Expected",IF(E2336&gt;=0.7,"Moderate","Poor")))</f>
        <v>Poor</v>
      </c>
      <c r="G2336" t="s">
        <v>874</v>
      </c>
    </row>
    <row r="2337" spans="1:7" ht="15" hidden="1" customHeight="1" x14ac:dyDescent="0.3">
      <c r="A2337" s="12" t="s">
        <v>208</v>
      </c>
      <c r="B2337" s="42">
        <v>46235</v>
      </c>
      <c r="C2337" s="12" cm="1">
        <f t="array" ref="C2337">IFERROR(IF(SUMPRODUCT((measured[Site Name]=A2337)*(measured[Date]=B2337)*ISNUMBER(measured[Measured Value (kWh)]))=0,"",SUMIFS(measured[Measured Value (kWh)],measured[Site Name],A2337,measured[Date],B2337)),"")</f>
        <v>11233.53</v>
      </c>
      <c r="D2337" s="12" cm="1">
        <f t="array" ref="D2337">IFERROR(IF(SUMPRODUCT((expected_production[Site Name]=A2337)*(expected_production[Date]=B2337)*ISNUMBER(expected_production[Expected Production (kWh)]))=0,"",SUMIFS(expected_production[Expected Production (kWh)],expected_production[Site Name],A2337,expected_production[Date],B2337)),"")</f>
        <v>14349.56836726236</v>
      </c>
      <c r="E2337" s="43">
        <f>IF(OR(C2337="",D2337="",D2337=0),"",C2337/D2337)</f>
        <v>0.78284793747724113</v>
      </c>
      <c r="F2337" s="12" t="str">
        <f>IF(E2337="","",IF(E2337&gt;=0.9,"Expected",IF(E2337&gt;=0.7,"Moderate","Poor")))</f>
        <v>Moderate</v>
      </c>
      <c r="G2337" s="12" t="s">
        <v>875</v>
      </c>
    </row>
    <row r="2338" spans="1:7" ht="15" customHeight="1" x14ac:dyDescent="0.3">
      <c r="A2338" t="s">
        <v>171</v>
      </c>
      <c r="B2338" s="2">
        <v>46266</v>
      </c>
      <c r="C2338" cm="1">
        <f t="array" ref="C2338">IFERROR(IF(SUMPRODUCT((measured[Site Name]=A2338)*(measured[Date]=B2338)*ISNUMBER(measured[Measured Value (kWh)]))=0,"",SUMIFS(measured[Measured Value (kWh)],measured[Site Name],A2338,measured[Date],B2338)),"")</f>
        <v>7731.86</v>
      </c>
      <c r="D2338" cm="1">
        <f t="array" ref="D2338">IFERROR(IF(SUMPRODUCT((expected_production[Site Name]=A2338)*(expected_production[Date]=B2338)*ISNUMBER(expected_production[Expected Production (kWh)]))=0,"",SUMIFS(expected_production[Expected Production (kWh)],expected_production[Site Name],A2338,expected_production[Date],B2338)),"")</f>
        <v>8993.9780290349136</v>
      </c>
      <c r="E2338" s="9">
        <f>IF(OR(C2338="",D2338="",D2338=0),"",C2338/D2338)</f>
        <v>0.85967076804496667</v>
      </c>
      <c r="F2338" t="str">
        <f>IF(E2338="","",IF(E2338&gt;=0.9,"Expected",IF(E2338&gt;=0.7,"Moderate","Poor")))</f>
        <v>Moderate</v>
      </c>
      <c r="G2338" t="s">
        <v>874</v>
      </c>
    </row>
    <row r="2339" spans="1:7"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18467.634292237461</v>
      </c>
      <c r="E2339" s="9" t="str">
        <f>IF(OR(C2339="",D2339="",D2339=0),"",C2339/D2339)</f>
        <v/>
      </c>
      <c r="F2339" t="str">
        <f>IF(E2339="","",IF(E2339&gt;=0.9,"Expected",IF(E2339&gt;=0.7,"Moderate","Poor")))</f>
        <v/>
      </c>
    </row>
    <row r="2340" spans="1:7"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18383.644362423769</v>
      </c>
      <c r="E2340" s="9" t="str">
        <f>IF(OR(C2340="",D2340="",D2340=0),"",C2340/D2340)</f>
        <v/>
      </c>
      <c r="F2340" t="str">
        <f>IF(E2340="","",IF(E2340&gt;=0.9,"Expected",IF(E2340&gt;=0.7,"Moderate","Poor")))</f>
        <v/>
      </c>
    </row>
    <row r="2341" spans="1:7"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18800.899839123842</v>
      </c>
      <c r="E2341" s="9" t="str">
        <f>IF(OR(C2341="",D2341="",D2341=0),"",C2341/D2341)</f>
        <v/>
      </c>
      <c r="F2341" t="str">
        <f>IF(E2341="","",IF(E2341&gt;=0.9,"Expected",IF(E2341&gt;=0.7,"Moderate","Poor")))</f>
        <v/>
      </c>
    </row>
    <row r="2342" spans="1:7"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16397.23330498518</v>
      </c>
      <c r="E2342" s="9">
        <f>IF(OR(C2342="",D2342="",D2342=0),"",C2342/D2342)</f>
        <v>0.55930167177726131</v>
      </c>
      <c r="F2342" t="str">
        <f>IF(E2342="","",IF(E2342&gt;=0.9,"Expected",IF(E2342&gt;=0.7,"Moderate","Poor")))</f>
        <v>Poor</v>
      </c>
    </row>
    <row r="2343" spans="1:7"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14000.445899715163</v>
      </c>
      <c r="E2343" s="9">
        <f>IF(OR(C2343="",D2343="",D2343=0),"",C2343/D2343)</f>
        <v>0.60040944839985555</v>
      </c>
      <c r="F2343" t="str">
        <f>IF(E2343="","",IF(E2343&gt;=0.9,"Expected",IF(E2343&gt;=0.7,"Moderate","Poor")))</f>
        <v>Poor</v>
      </c>
    </row>
    <row r="2344" spans="1:7"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14900.459214058055</v>
      </c>
      <c r="E2344" s="9">
        <f>IF(OR(C2344="",D2344="",D2344=0),"",C2344/D2344)</f>
        <v>0.63951049179811359</v>
      </c>
      <c r="F2344" t="str">
        <f>IF(E2344="","",IF(E2344&gt;=0.9,"Expected",IF(E2344&gt;=0.7,"Moderate","Poor")))</f>
        <v>Poor</v>
      </c>
    </row>
    <row r="2345" spans="1:7"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12962.963009739124</v>
      </c>
      <c r="E2345" s="9">
        <f>IF(OR(C2345="",D2345="",D2345=0),"",C2345/D2345)</f>
        <v>0.6785485689800651</v>
      </c>
      <c r="F2345" t="str">
        <f>IF(E2345="","",IF(E2345&gt;=0.9,"Expected",IF(E2345&gt;=0.7,"Moderate","Poor")))</f>
        <v>Poor</v>
      </c>
    </row>
    <row r="2346" spans="1:7"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12598.46668565353</v>
      </c>
      <c r="E2346" s="9">
        <f>IF(OR(C2346="",D2346="",D2346=0),"",C2346/D2346)</f>
        <v>0.79684300085754756</v>
      </c>
      <c r="F2346" t="str">
        <f>IF(E2346="","",IF(E2346&gt;=0.9,"Expected",IF(E2346&gt;=0.7,"Moderate","Poor")))</f>
        <v>Moderate</v>
      </c>
    </row>
    <row r="2347" spans="1:7"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11377.548507907646</v>
      </c>
      <c r="E2347" s="9">
        <f>IF(OR(C2347="",D2347="",D2347=0),"",C2347/D2347)</f>
        <v>0.89430513022450764</v>
      </c>
      <c r="F2347" t="str">
        <f>IF(E2347="","",IF(E2347&gt;=0.9,"Expected",IF(E2347&gt;=0.7,"Moderate","Poor")))</f>
        <v>Moderate</v>
      </c>
    </row>
    <row r="2348" spans="1:7"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12661.07550311989</v>
      </c>
      <c r="E2348" s="9">
        <f>IF(OR(C2348="",D2348="",D2348=0),"",C2348/D2348)</f>
        <v>0.83950214161354986</v>
      </c>
      <c r="F2348" t="str">
        <f>IF(E2348="","",IF(E2348&gt;=0.9,"Expected",IF(E2348&gt;=0.7,"Moderate","Poor")))</f>
        <v>Moderate</v>
      </c>
    </row>
    <row r="2349" spans="1:7"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14561.857277153622</v>
      </c>
      <c r="E2349" s="9">
        <f>IF(OR(C2349="",D2349="",D2349=0),"",C2349/D2349)</f>
        <v>0.70485514345092415</v>
      </c>
      <c r="F2349" t="str">
        <f>IF(E2349="","",IF(E2349&gt;=0.9,"Expected",IF(E2349&gt;=0.7,"Moderate","Poor")))</f>
        <v>Moderate</v>
      </c>
    </row>
    <row r="2350" spans="1:7"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15690.238876033922</v>
      </c>
      <c r="E2350" s="9">
        <f>IF(OR(C2350="",D2350="",D2350=0),"",C2350/D2350)</f>
        <v>0.5858419411345186</v>
      </c>
      <c r="F2350" t="str">
        <f>IF(E2350="","",IF(E2350&gt;=0.9,"Expected",IF(E2350&gt;=0.7,"Moderate","Poor")))</f>
        <v>Poor</v>
      </c>
    </row>
    <row r="2351" spans="1:7"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16465.456433402236</v>
      </c>
      <c r="E2351" s="9">
        <f>IF(OR(C2351="",D2351="",D2351=0),"",C2351/D2351)</f>
        <v>0.61796039734183994</v>
      </c>
      <c r="F2351" t="str">
        <f>IF(E2351="","",IF(E2351&gt;=0.9,"Expected",IF(E2351&gt;=0.7,"Moderate","Poor")))</f>
        <v>Poor</v>
      </c>
    </row>
    <row r="2352" spans="1:7"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16129.447771837769</v>
      </c>
      <c r="E2352" s="9">
        <f>IF(OR(C2352="",D2352="",D2352=0),"",C2352/D2352)</f>
        <v>0.58470693686529374</v>
      </c>
      <c r="F2352" t="str">
        <f>IF(E2352="","",IF(E2352&gt;=0.9,"Expected",IF(E2352&gt;=0.7,"Moderate","Poor")))</f>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17036.325400836424</v>
      </c>
      <c r="E2353" s="9">
        <f>IF(OR(C2353="",D2353="",D2353=0),"",C2353/D2353)</f>
        <v>0.53438753873256173</v>
      </c>
      <c r="F2353" t="str">
        <f>IF(E2353="","",IF(E2353&gt;=0.9,"Expected",IF(E2353&gt;=0.7,"Moderate","Poor")))</f>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16282.21781120276</v>
      </c>
      <c r="E2354" s="9">
        <f>IF(OR(C2354="",D2354="",D2354=0),"",C2354/D2354)</f>
        <v>0.31279522599776488</v>
      </c>
      <c r="F2354" t="str">
        <f>IF(E2354="","",IF(E2354&gt;=0.9,"Expected",IF(E2354&gt;=0.7,"Moderate","Poor")))</f>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13902.242247405096</v>
      </c>
      <c r="E2355" s="9">
        <f>IF(OR(C2355="",D2355="",D2355=0),"",C2355/D2355)</f>
        <v>0.54178310706719812</v>
      </c>
      <c r="F2355" t="str">
        <f>IF(E2355="","",IF(E2355&gt;=0.9,"Expected",IF(E2355&gt;=0.7,"Moderate","Poor")))</f>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14796.227140934265</v>
      </c>
      <c r="E2356" s="9">
        <f>IF(OR(C2356="",D2356="",D2356=0),"",C2356/D2356)</f>
        <v>0.49843787404404005</v>
      </c>
      <c r="F2356" t="str">
        <f>IF(E2356="","",IF(E2356&gt;=0.9,"Expected",IF(E2356&gt;=0.7,"Moderate","Poor")))</f>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12872.28415958279</v>
      </c>
      <c r="E2357" s="9">
        <f>IF(OR(C2357="",D2357="",D2357=0),"",C2357/D2357)</f>
        <v>0.59057117647147961</v>
      </c>
      <c r="F2357" t="str">
        <f>IF(E2357="","",IF(E2357&gt;=0.9,"Expected",IF(E2357&gt;=0.7,"Moderate","Poor")))</f>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12510.337569499328</v>
      </c>
      <c r="E2358" s="9">
        <f>IF(OR(C2358="",D2358="",D2358=0),"",C2358/D2358)</f>
        <v>0.8295539542675453</v>
      </c>
      <c r="F2358" t="str">
        <f>IF(E2358="","",IF(E2358&gt;=0.9,"Expected",IF(E2358&gt;=0.7,"Moderate","Poor")))</f>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11297.959989794939</v>
      </c>
      <c r="E2359" s="9">
        <f>IF(OR(C2359="",D2359="",D2359=0),"",C2359/D2359)</f>
        <v>0.9302962667148521</v>
      </c>
      <c r="F2359" t="str">
        <f>IF(E2359="","",IF(E2359&gt;=0.9,"Expected",IF(E2359&gt;=0.7,"Moderate","Poor")))</f>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12572.508424165575</v>
      </c>
      <c r="E2360" s="9">
        <f>IF(OR(C2360="",D2360="",D2360=0),"",C2360/D2360)</f>
        <v>0.77550156826775785</v>
      </c>
      <c r="F2360" t="str">
        <f>IF(E2360="","",IF(E2360&gt;=0.9,"Expected",IF(E2360&gt;=0.7,"Moderate","Poor")))</f>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14459.993800952938</v>
      </c>
      <c r="E2361" s="9">
        <f>IF(OR(C2361="",D2361="",D2361=0),"",C2361/D2361)</f>
        <v>0.69716489085463129</v>
      </c>
      <c r="F2361" t="str">
        <f>IF(E2361="","",IF(E2361&gt;=0.9,"Expected",IF(E2361&gt;=0.7,"Moderate","Poor")))</f>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15580.482116033294</v>
      </c>
      <c r="E2362" s="9">
        <f>IF(OR(C2362="",D2362="",D2362=0),"",C2362/D2362)</f>
        <v>0.72045267382636191</v>
      </c>
      <c r="F2362" t="str">
        <f>IF(E2362="","",IF(E2362&gt;=0.9,"Expected",IF(E2362&gt;=0.7,"Moderate","Poor")))</f>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16350.276851731103</v>
      </c>
      <c r="E2363" s="9">
        <f>IF(OR(C2363="",D2363="",D2363=0),"",C2363/D2363)</f>
        <v>0.60457691876657216</v>
      </c>
      <c r="F2363" t="str">
        <f>IF(E2363="","",IF(E2363&gt;=0.9,"Expected",IF(E2363&gt;=0.7,"Moderate","Poor")))</f>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16016.618646543804</v>
      </c>
      <c r="E2364" s="9">
        <f>IF(OR(C2364="",D2364="",D2364=0),"",C2364/D2364)</f>
        <v>0.54187467352060759</v>
      </c>
      <c r="F2364" t="str">
        <f>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16917.152461973888</v>
      </c>
      <c r="E2365" s="9">
        <f>IF(OR(C2365="",D2365="",D2365=0),"",C2365/D2365)</f>
        <v>0.58916534696980871</v>
      </c>
      <c r="F2365" t="str">
        <f>IF(E2365="","",IF(E2365&gt;=0.9,"Expected",IF(E2365&gt;=0.7,"Moderate","Poor")))</f>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16168.320025024894</v>
      </c>
      <c r="E2366" s="9">
        <f>IF(OR(C2366="",D2366="",D2366=0),"",C2366/D2366)</f>
        <v>0.60309296110589494</v>
      </c>
      <c r="F2366" t="str">
        <f>IF(E2366="","",IF(E2366&gt;=0.9,"Expected",IF(E2366&gt;=0.7,"Moderate","Poor")))</f>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13804.992927119112</v>
      </c>
      <c r="E2367" s="9">
        <f>IF(OR(C2367="",D2367="",D2367=0),"",C2367/D2367)</f>
        <v>0.61216981744325982</v>
      </c>
      <c r="F2367" t="str">
        <f>IF(E2367="","",IF(E2367&gt;=0.9,"Expected",IF(E2367&gt;=0.7,"Moderate","Poor")))</f>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14692.724194672381</v>
      </c>
      <c r="E2368" s="9">
        <f>IF(OR(C2368="",D2368="",D2368=0),"",C2368/D2368)</f>
        <v>0.5825332243766963</v>
      </c>
      <c r="F2368" t="str">
        <f>IF(E2368="","",IF(E2368&gt;=0.9,"Expected",IF(E2368&gt;=0.7,"Moderate","Poor")))</f>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12782.239628436664</v>
      </c>
      <c r="E2369" s="9">
        <f>IF(OR(C2369="",D2369="",D2369=0),"",C2369/D2369)</f>
        <v>0.62094986721593426</v>
      </c>
      <c r="F2369" t="str">
        <f>IF(E2369="","",IF(E2369&gt;=0.9,"Expected",IF(E2369&gt;=0.7,"Moderate","Poor")))</f>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12422.824936390874</v>
      </c>
      <c r="E2370" s="9">
        <f>IF(OR(C2370="",D2370="",D2370=0),"",C2370/D2370)</f>
        <v>0.80543677072108222</v>
      </c>
      <c r="F2370" t="str">
        <f>IF(E2370="","",IF(E2370&gt;=0.9,"Expected",IF(E2370&gt;=0.7,"Moderate","Poor")))</f>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11218.92821131828</v>
      </c>
      <c r="E2371" s="9">
        <f>IF(OR(C2371="",D2371="",D2371=0),"",C2371/D2371)</f>
        <v>0.8069398278943285</v>
      </c>
      <c r="F2371" t="str">
        <f>IF(E2371="","",IF(E2371&gt;=0.9,"Expected",IF(E2371&gt;=0.7,"Moderate","Poor")))</f>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12484.560891905581</v>
      </c>
      <c r="E2372" s="9">
        <f>IF(OR(C2372="",D2372="",D2372=0),"",C2372/D2372)</f>
        <v>0.77803857773626384</v>
      </c>
      <c r="F2372" t="str">
        <f>IF(E2372="","",IF(E2372&gt;=0.9,"Expected",IF(E2372&gt;=0.7,"Moderate","Poor")))</f>
        <v>Moderate</v>
      </c>
      <c r="G2372" t="s">
        <v>874</v>
      </c>
    </row>
    <row r="2373" spans="1:7" ht="15" hidden="1"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14358.842882744424</v>
      </c>
      <c r="E2373" s="9">
        <f>IF(OR(C2373="",D2373="",D2373=0),"",C2373/D2373)</f>
        <v>0.66614002800285743</v>
      </c>
      <c r="F2373" t="str">
        <f>IF(E2373="","",IF(E2373&gt;=0.9,"Expected",IF(E2373&gt;=0.7,"Moderate","Poor")))</f>
        <v>Poor</v>
      </c>
      <c r="G2373" t="s">
        <v>874</v>
      </c>
    </row>
    <row r="2374" spans="1:7" ht="15" customHeight="1" x14ac:dyDescent="0.3">
      <c r="A2374" t="s">
        <v>190</v>
      </c>
      <c r="B2374" s="2">
        <v>46266</v>
      </c>
      <c r="C2374" cm="1">
        <f t="array" ref="C2374">IFERROR(IF(SUMPRODUCT((measured[Site Name]=A2374)*(measured[Date]=B2374)*ISNUMBER(measured[Measured Value (kWh)]))=0,"",SUMIFS(measured[Measured Value (kWh)],measured[Site Name],A2374,measured[Date],B2374)),"")</f>
        <v>7250.71</v>
      </c>
      <c r="D2374" cm="1">
        <f t="array" ref="D2374">IFERROR(IF(SUMPRODUCT((expected_production[Site Name]=A2374)*(expected_production[Date]=B2374)*ISNUMBER(expected_production[Expected Production (kWh)]))=0,"",SUMIFS(expected_production[Expected Production (kWh)],expected_production[Site Name],A2374,expected_production[Date],B2374)),"")</f>
        <v>15471.493129325414</v>
      </c>
      <c r="E2374" s="9">
        <f>IF(OR(C2374="",D2374="",D2374=0),"",C2374/D2374)</f>
        <v>0.46864966033928906</v>
      </c>
      <c r="F2374" t="str">
        <f>IF(E2374="","",IF(E2374&gt;=0.9,"Expected",IF(E2374&gt;=0.7,"Moderate","Poor")))</f>
        <v>Poor</v>
      </c>
      <c r="G2374" t="s">
        <v>874</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16235.902977213465</v>
      </c>
      <c r="E2375" s="9" t="str">
        <f>IF(OR(C2375="",D2375="",D2375=0),"",C2375/D2375)</f>
        <v/>
      </c>
      <c r="F2375" t="str">
        <f>IF(E2375="","",IF(E2375&gt;=0.9,"Expected",IF(E2375&gt;=0.7,"Moderate","Poor")))</f>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15904.578786430813</v>
      </c>
      <c r="E2376" s="9" t="str">
        <f>IF(OR(C2376="",D2376="",D2376=0),"",C2376/D2376)</f>
        <v/>
      </c>
      <c r="F2376" t="str">
        <f>IF(E2376="","",IF(E2376&gt;=0.9,"Expected",IF(E2376&gt;=0.7,"Moderate","Poor")))</f>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16798.813164699131</v>
      </c>
      <c r="E2377" s="9" t="str">
        <f>IF(OR(C2377="",D2377="",D2377=0),"",C2377/D2377)</f>
        <v/>
      </c>
      <c r="F2377" t="str">
        <f>IF(E2377="","",IF(E2377&gt;=0.9,"Expected",IF(E2377&gt;=0.7,"Moderate","Poor")))</f>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3716.5518666473745</v>
      </c>
      <c r="E2378" s="9">
        <f>IF(OR(C2378="",D2378="",D2378=0),"",C2378/D2378)</f>
        <v>0.91590272977158227</v>
      </c>
      <c r="F2378" t="str">
        <f>IF(E2378="","",IF(E2378&gt;=0.9,"Expected",IF(E2378&gt;=0.7,"Moderate","Poor")))</f>
        <v>Expected</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3209.5861821488743</v>
      </c>
      <c r="E2379" s="9">
        <f>IF(OR(C2379="",D2379="",D2379=0),"",C2379/D2379)</f>
        <v>1.061819127635415</v>
      </c>
      <c r="F2379" t="str">
        <f>IF(E2379="","",IF(E2379&gt;=0.9,"Expected",IF(E2379&gt;=0.7,"Moderate","Poor")))</f>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3465.9534962314337</v>
      </c>
      <c r="E2380" s="9">
        <f>IF(OR(C2380="",D2380="",D2380=0),"",C2380/D2380)</f>
        <v>0.90335891794404277</v>
      </c>
      <c r="F2380" t="str">
        <f>IF(E2380="","",IF(E2380&gt;=0.9,"Expected",IF(E2380&gt;=0.7,"Moderate","Poor")))</f>
        <v>Expected</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3002.8791067355883</v>
      </c>
      <c r="E2381" s="9">
        <f>IF(OR(C2381="",D2381="",D2381=0),"",C2381/D2381)</f>
        <v>0.94209586847982996</v>
      </c>
      <c r="F2381" t="str">
        <f>IF(E2381="","",IF(E2381&gt;=0.9,"Expected",IF(E2381&gt;=0.7,"Moderate","Poor")))</f>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3031.2753434171987</v>
      </c>
      <c r="E2382" s="9">
        <f>IF(OR(C2382="",D2382="",D2382=0),"",C2382/D2382)</f>
        <v>1.0322387924261063</v>
      </c>
      <c r="F2382" t="str">
        <f>IF(E2382="","",IF(E2382&gt;=0.9,"Expected",IF(E2382&gt;=0.7,"Moderate","Poor")))</f>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2775.0728714294351</v>
      </c>
      <c r="E2383" s="9">
        <f>IF(OR(C2383="",D2383="",D2383=0),"",C2383/D2383)</f>
        <v>0.93366917556488549</v>
      </c>
      <c r="F2383" t="str">
        <f>IF(E2383="","",IF(E2383&gt;=0.9,"Expected",IF(E2383&gt;=0.7,"Moderate","Poor")))</f>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3037.0427030436795</v>
      </c>
      <c r="E2384" s="9">
        <f>IF(OR(C2384="",D2384="",D2384=0),"",C2384/D2384)</f>
        <v>1.0279736919310281</v>
      </c>
      <c r="F2384" t="str">
        <f>IF(E2384="","",IF(E2384&gt;=0.9,"Expected",IF(E2384&gt;=0.7,"Moderate","Poor")))</f>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3414.9116947621055</v>
      </c>
      <c r="E2385" s="9">
        <f>IF(OR(C2385="",D2385="",D2385=0),"",C2385/D2385)</f>
        <v>0.87557168889202963</v>
      </c>
      <c r="F2385" t="str">
        <f>IF(E2385="","",IF(E2385&gt;=0.9,"Expected",IF(E2385&gt;=0.7,"Moderate","Poor")))</f>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3639.5510132191048</v>
      </c>
      <c r="E2386" s="9">
        <f>IF(OR(C2386="",D2386="",D2386=0),"",C2386/D2386)</f>
        <v>0.82152990551310046</v>
      </c>
      <c r="F2386" t="str">
        <f>IF(E2386="","",IF(E2386&gt;=0.9,"Expected",IF(E2386&gt;=0.7,"Moderate","Poor")))</f>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3809.3378938372666</v>
      </c>
      <c r="E2387" s="9">
        <f>IF(OR(C2387="",D2387="",D2387=0),"",C2387/D2387)</f>
        <v>1.0660645270060898</v>
      </c>
      <c r="F2387" t="str">
        <f>IF(E2387="","",IF(E2387&gt;=0.9,"Expected",IF(E2387&gt;=0.7,"Moderate","Poor")))</f>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3644.3634816153444</v>
      </c>
      <c r="E2388" s="9">
        <f>IF(OR(C2388="",D2388="",D2388=0),"",C2388/D2388)</f>
        <v>1.0951157918614118</v>
      </c>
      <c r="F2388" t="str">
        <f>IF(E2388="","",IF(E2388&gt;=0.9,"Expected",IF(E2388&gt;=0.7,"Moderate","Poor")))</f>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3918.8156642387385</v>
      </c>
      <c r="E2389" s="9">
        <f>IF(OR(C2389="",D2389="",D2389=0),"",C2389/D2389)</f>
        <v>0.91073434062464564</v>
      </c>
      <c r="F2389" t="str">
        <f>IF(E2389="","",IF(E2389&gt;=0.9,"Expected",IF(E2389&gt;=0.7,"Moderate","Poor")))</f>
        <v>Expected</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3690.4827707115087</v>
      </c>
      <c r="E2390" s="9">
        <f>IF(OR(C2390="",D2390="",D2390=0),"",C2390/D2390)</f>
        <v>1.0399723392449414</v>
      </c>
      <c r="F2390" t="str">
        <f>IF(E2390="","",IF(E2390&gt;=0.9,"Expected",IF(E2390&gt;=0.7,"Moderate","Poor")))</f>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3187.0731073690663</v>
      </c>
      <c r="E2391" s="9">
        <f>IF(OR(C2391="",D2391="",D2391=0),"",C2391/D2391)</f>
        <v>0.8324252097844268</v>
      </c>
      <c r="F2391" t="str">
        <f>IF(E2391="","",IF(E2391&gt;=0.9,"Expected",IF(E2391&gt;=0.7,"Moderate","Poor")))</f>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3441.7083697509015</v>
      </c>
      <c r="E2392" s="9">
        <f>IF(OR(C2392="",D2392="",D2392=0),"",C2392/D2392)</f>
        <v>0.84986863666537238</v>
      </c>
      <c r="F2392" t="str">
        <f>IF(E2392="","",IF(E2392&gt;=0.9,"Expected",IF(E2392&gt;=0.7,"Moderate","Poor")))</f>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2981.873290059827</v>
      </c>
      <c r="E2393" s="9">
        <f>IF(OR(C2393="",D2393="",D2393=0),"",C2393/D2393)</f>
        <v>0.75321778678091889</v>
      </c>
      <c r="F2393" t="str">
        <f>IF(E2393="","",IF(E2393&gt;=0.9,"Expected",IF(E2393&gt;=0.7,"Moderate","Poor")))</f>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3010.0708886608436</v>
      </c>
      <c r="E2394" s="9">
        <f>IF(OR(C2394="",D2394="",D2394=0),"",C2394/D2394)</f>
        <v>1.0461547639500826</v>
      </c>
      <c r="F2394" t="str">
        <f>IF(E2394="","",IF(E2394&gt;=0.9,"Expected",IF(E2394&gt;=0.7,"Moderate","Poor")))</f>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2755.6606107532152</v>
      </c>
      <c r="E2395" s="9">
        <f>IF(OR(C2395="",D2395="",D2395=0),"",C2395/D2395)</f>
        <v>0.96327174313183972</v>
      </c>
      <c r="F2395" t="str">
        <f>IF(E2395="","",IF(E2395&gt;=0.9,"Expected",IF(E2395&gt;=0.7,"Moderate","Poor")))</f>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3015.7979043058617</v>
      </c>
      <c r="E2396" s="9">
        <f>IF(OR(C2396="",D2396="",D2396=0),"",C2396/D2396)</f>
        <v>0.94933416987666785</v>
      </c>
      <c r="F2396" t="str">
        <f>IF(E2396="","",IF(E2396&gt;=0.9,"Expected",IF(E2396&gt;=0.7,"Moderate","Poor")))</f>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3391.0236171957504</v>
      </c>
      <c r="E2397" s="9">
        <f>IF(OR(C2397="",D2397="",D2397=0),"",C2397/D2397)</f>
        <v>0.94130869033571185</v>
      </c>
      <c r="F2397" t="str">
        <f>IF(E2397="","",IF(E2397&gt;=0.9,"Expected",IF(E2397&gt;=0.7,"Moderate","Poor")))</f>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3614.0915329508925</v>
      </c>
      <c r="E2398" s="9">
        <f>IF(OR(C2398="",D2398="",D2398=0),"",C2398/D2398)</f>
        <v>0.85554003594241934</v>
      </c>
      <c r="F2398" t="str">
        <f>IF(E2398="","",IF(E2398&gt;=0.9,"Expected",IF(E2398&gt;=0.7,"Moderate","Poor")))</f>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3782.6907160422993</v>
      </c>
      <c r="E2399" s="9">
        <f>IF(OR(C2399="",D2399="",D2399=0),"",C2399/D2399)</f>
        <v>0.95170350161922768</v>
      </c>
      <c r="F2399" t="str">
        <f>IF(E2399="","",IF(E2399&gt;=0.9,"Expected",IF(E2399&gt;=0.7,"Moderate","Poor")))</f>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3618.8703370452081</v>
      </c>
      <c r="E2400" s="9">
        <f>IF(OR(C2400="",D2400="",D2400=0),"",C2400/D2400)</f>
        <v>0.76128729227956959</v>
      </c>
      <c r="F2400" t="str">
        <f>IF(E2400="","",IF(E2400&gt;=0.9,"Expected",IF(E2400&gt;=0.7,"Moderate","Poor")))</f>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3891.4026647461983</v>
      </c>
      <c r="E2401" s="9">
        <f>IF(OR(C2401="",D2401="",D2401=0),"",C2401/D2401)</f>
        <v>0.83466047588057513</v>
      </c>
      <c r="F2401" t="str">
        <f>IF(E2401="","",IF(E2401&gt;=0.9,"Expected",IF(E2401&gt;=0.7,"Moderate","Poor")))</f>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3664.6670113115588</v>
      </c>
      <c r="E2402" s="9">
        <f>IF(OR(C2402="",D2402="",D2402=0),"",C2402/D2402)</f>
        <v>0.96761861010965666</v>
      </c>
      <c r="F2402" t="str">
        <f>IF(E2402="","",IF(E2402&gt;=0.9,"Expected",IF(E2402&gt;=0.7,"Moderate","Poor")))</f>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3164.7788121123981</v>
      </c>
      <c r="E2403" s="9">
        <f>IF(OR(C2403="",D2403="",D2403=0),"",C2403/D2403)</f>
        <v>1.0736927291711529</v>
      </c>
      <c r="F2403" t="str">
        <f>IF(E2403="","",IF(E2403&gt;=0.9,"Expected",IF(E2403&gt;=0.7,"Moderate","Poor")))</f>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3417.6328433987883</v>
      </c>
      <c r="E2404" s="9">
        <f>IF(OR(C2404="",D2404="",D2404=0),"",C2404/D2404)</f>
        <v>0.77187928630055702</v>
      </c>
      <c r="F2404" t="str">
        <f>IF(E2404="","",IF(E2404&gt;=0.9,"Expected",IF(E2404&gt;=0.7,"Moderate","Poor")))</f>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2961.0144138097471</v>
      </c>
      <c r="E2405" s="9">
        <f>IF(OR(C2405="",D2405="",D2405=0),"",C2405/D2405)</f>
        <v>0.68704495003877153</v>
      </c>
      <c r="F2405" t="str">
        <f>IF(E2405="","",IF(E2405&gt;=0.9,"Expected",IF(E2405&gt;=0.7,"Moderate","Poor")))</f>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2989.0147638483495</v>
      </c>
      <c r="E2406" s="9">
        <f>IF(OR(C2406="",D2406="",D2406=0),"",C2406/D2406)</f>
        <v>0.74653696160639393</v>
      </c>
      <c r="F2406" t="str">
        <f>IF(E2406="","",IF(E2406&gt;=0.9,"Expected",IF(E2406&gt;=0.7,"Moderate","Poor")))</f>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2736.3841432190206</v>
      </c>
      <c r="E2407" s="9">
        <f>IF(OR(C2407="",D2407="",D2407=0),"",C2407/D2407)</f>
        <v>0.65341703007262608</v>
      </c>
      <c r="F2407" t="str">
        <f>IF(E2407="","",IF(E2407&gt;=0.9,"Expected",IF(E2407&gt;=0.7,"Moderate","Poor")))</f>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6049.9370889112515</v>
      </c>
      <c r="E2408" s="9">
        <f>IF(OR(C2408="",D2408="",D2408=0),"",C2408/D2408)</f>
        <v>0.47917853646998915</v>
      </c>
      <c r="F2408" t="str">
        <f>IF(E2408="","",IF(E2408&gt;=0.9,"Expected",IF(E2408&gt;=0.7,"Moderate","Poor")))</f>
        <v>Poor</v>
      </c>
      <c r="G2408" t="s">
        <v>875</v>
      </c>
    </row>
    <row r="2409" spans="1:7" ht="15" hidden="1"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3367.3026421201248</v>
      </c>
      <c r="E2409" s="9">
        <f>IF(OR(C2409="",D2409="",D2409=0),"",C2409/D2409)</f>
        <v>0.90576949094176329</v>
      </c>
      <c r="F2409" t="str">
        <f>IF(E2409="","",IF(E2409&gt;=0.9,"Expected",IF(E2409&gt;=0.7,"Moderate","Poor")))</f>
        <v>Expected</v>
      </c>
      <c r="G2409" t="s">
        <v>874</v>
      </c>
    </row>
    <row r="2410" spans="1:7" ht="15" customHeight="1" x14ac:dyDescent="0.3">
      <c r="A2410" t="s">
        <v>220</v>
      </c>
      <c r="B2410" s="2">
        <v>46266</v>
      </c>
      <c r="C2410" cm="1">
        <f t="array" ref="C2410">IFERROR(IF(SUMPRODUCT((measured[Site Name]=A2410)*(measured[Date]=B2410)*ISNUMBER(measured[Measured Value (kWh)]))=0,"",SUMIFS(measured[Measured Value (kWh)],measured[Site Name],A2410,measured[Date],B2410)),"")</f>
        <v>35252.918700000002</v>
      </c>
      <c r="D2410" cm="1">
        <f t="array" ref="D2410">IFERROR(IF(SUMPRODUCT((expected_production[Site Name]=A2410)*(expected_production[Date]=B2410)*ISNUMBER(expected_production[Expected Production (kWh)]))=0,"",SUMIFS(expected_production[Expected Production (kWh)],expected_production[Site Name],A2410,expected_production[Date],B2410)),"")</f>
        <v>40510.76372290984</v>
      </c>
      <c r="E2410" s="9">
        <f>IF(OR(C2410="",D2410="",D2410=0),"",C2410/D2410)</f>
        <v>0.87021116020243294</v>
      </c>
      <c r="F2410" t="str">
        <f>IF(E2410="","",IF(E2410&gt;=0.9,"Expected",IF(E2410&gt;=0.7,"Moderate","Poor")))</f>
        <v>Moderate</v>
      </c>
      <c r="G2410" t="s">
        <v>874</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3756.2299412664979</v>
      </c>
      <c r="E2411" s="9" t="str">
        <f>IF(OR(C2411="",D2411="",D2411=0),"",C2411/D2411)</f>
        <v/>
      </c>
      <c r="F2411" t="str">
        <f>IF(E2411="","",IF(E2411&gt;=0.9,"Expected",IF(E2411&gt;=0.7,"Moderate","Poor")))</f>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3593.555522771529</v>
      </c>
      <c r="E2412" s="9" t="str">
        <f>IF(OR(C2412="",D2412="",D2412=0),"",C2412/D2412)</f>
        <v/>
      </c>
      <c r="F2412" t="str">
        <f>IF(E2412="","",IF(E2412&gt;=0.9,"Expected",IF(E2412&gt;=0.7,"Moderate","Poor")))</f>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3864.1814253683365</v>
      </c>
      <c r="E2413" s="9" t="str">
        <f>IF(OR(C2413="",D2413="",D2413=0),"",C2413/D2413)</f>
        <v/>
      </c>
      <c r="F2413" t="str">
        <f>IF(E2413="","",IF(E2413&gt;=0.9,"Expected",IF(E2413&gt;=0.7,"Moderate","Poor")))</f>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IF(OR(C2414="",D2414="",D2414=0),"",C2414/D2414)</f>
        <v/>
      </c>
      <c r="F2414" t="str">
        <f>IF(E2414="","",IF(E2414&gt;=0.9,"Expected",IF(E2414&gt;=0.7,"Moderate","Poor")))</f>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IF(OR(C2415="",D2415="",D2415=0),"",C2415/D2415)</f>
        <v/>
      </c>
      <c r="F2415" t="str">
        <f>IF(E2415="","",IF(E2415&gt;=0.9,"Expected",IF(E2415&gt;=0.7,"Moderate","Poor")))</f>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IF(OR(C2416="",D2416="",D2416=0),"",C2416/D2416)</f>
        <v/>
      </c>
      <c r="F2416" t="str">
        <f>IF(E2416="","",IF(E2416&gt;=0.9,"Expected",IF(E2416&gt;=0.7,"Moderate","Poor")))</f>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IF(OR(C2417="",D2417="",D2417=0),"",C2417/D2417)</f>
        <v/>
      </c>
      <c r="F2417" t="str">
        <f>IF(E2417="","",IF(E2417&gt;=0.9,"Expected",IF(E2417&gt;=0.7,"Moderate","Poor")))</f>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IF(OR(C2418="",D2418="",D2418=0),"",C2418/D2418)</f>
        <v/>
      </c>
      <c r="F2418" t="str">
        <f>IF(E2418="","",IF(E2418&gt;=0.9,"Expected",IF(E2418&gt;=0.7,"Moderate","Poor")))</f>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IF(OR(C2419="",D2419="",D2419=0),"",C2419/D2419)</f>
        <v/>
      </c>
      <c r="F2419" t="str">
        <f>IF(E2419="","",IF(E2419&gt;=0.9,"Expected",IF(E2419&gt;=0.7,"Moderate","Poor")))</f>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IF(OR(C2420="",D2420="",D2420=0),"",C2420/D2420)</f>
        <v/>
      </c>
      <c r="F2420" t="str">
        <f>IF(E2420="","",IF(E2420&gt;=0.9,"Expected",IF(E2420&gt;=0.7,"Moderate","Poor")))</f>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IF(OR(C2421="",D2421="",D2421=0),"",C2421/D2421)</f>
        <v/>
      </c>
      <c r="F2421" t="str">
        <f>IF(E2421="","",IF(E2421&gt;=0.9,"Expected",IF(E2421&gt;=0.7,"Moderate","Poor")))</f>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IF(OR(C2422="",D2422="",D2422=0),"",C2422/D2422)</f>
        <v/>
      </c>
      <c r="F2422" t="str">
        <f>IF(E2422="","",IF(E2422&gt;=0.9,"Expected",IF(E2422&gt;=0.7,"Moderate","Poor")))</f>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IF(OR(C2423="",D2423="",D2423=0),"",C2423/D2423)</f>
        <v/>
      </c>
      <c r="F2423" t="str">
        <f>IF(E2423="","",IF(E2423&gt;=0.9,"Expected",IF(E2423&gt;=0.7,"Moderate","Poor")))</f>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IF(OR(C2424="",D2424="",D2424=0),"",C2424/D2424)</f>
        <v/>
      </c>
      <c r="F2424" t="str">
        <f>IF(E2424="","",IF(E2424&gt;=0.9,"Expected",IF(E2424&gt;=0.7,"Moderate","Poor")))</f>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IF(OR(C2425="",D2425="",D2425=0),"",C2425/D2425)</f>
        <v/>
      </c>
      <c r="F2425" t="str">
        <f>IF(E2425="","",IF(E2425&gt;=0.9,"Expected",IF(E2425&gt;=0.7,"Moderate","Poor")))</f>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IF(OR(C2426="",D2426="",D2426=0),"",C2426/D2426)</f>
        <v/>
      </c>
      <c r="F2426" t="str">
        <f>IF(E2426="","",IF(E2426&gt;=0.9,"Expected",IF(E2426&gt;=0.7,"Moderate","Poor")))</f>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IF(OR(C2427="",D2427="",D2427=0),"",C2427/D2427)</f>
        <v/>
      </c>
      <c r="F2427" t="str">
        <f>IF(E2427="","",IF(E2427&gt;=0.9,"Expected",IF(E2427&gt;=0.7,"Moderate","Poor")))</f>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IF(OR(C2428="",D2428="",D2428=0),"",C2428/D2428)</f>
        <v/>
      </c>
      <c r="F2428" t="str">
        <f>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IF(OR(C2429="",D2429="",D2429=0),"",C2429/D2429)</f>
        <v/>
      </c>
      <c r="F2429" t="str">
        <f>IF(E2429="","",IF(E2429&gt;=0.9,"Expected",IF(E2429&gt;=0.7,"Moderate","Poor")))</f>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IF(OR(C2430="",D2430="",D2430=0),"",C2430/D2430)</f>
        <v/>
      </c>
      <c r="F2430" t="str">
        <f>IF(E2430="","",IF(E2430&gt;=0.9,"Expected",IF(E2430&gt;=0.7,"Moderate","Poor")))</f>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IF(OR(C2431="",D2431="",D2431=0),"",C2431/D2431)</f>
        <v/>
      </c>
      <c r="F2431" t="str">
        <f>IF(E2431="","",IF(E2431&gt;=0.9,"Expected",IF(E2431&gt;=0.7,"Moderate","Poor")))</f>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IF(OR(C2432="",D2432="",D2432=0),"",C2432/D2432)</f>
        <v/>
      </c>
      <c r="F2432" t="str">
        <f>IF(E2432="","",IF(E2432&gt;=0.9,"Expected",IF(E2432&gt;=0.7,"Moderate","Poor")))</f>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IF(OR(C2433="",D2433="",D2433=0),"",C2433/D2433)</f>
        <v/>
      </c>
      <c r="F2433" t="str">
        <f>IF(E2433="","",IF(E2433&gt;=0.9,"Expected",IF(E2433&gt;=0.7,"Moderate","Poor")))</f>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IF(OR(C2434="",D2434="",D2434=0),"",C2434/D2434)</f>
        <v/>
      </c>
      <c r="F2434" t="str">
        <f>IF(E2434="","",IF(E2434&gt;=0.9,"Expected",IF(E2434&gt;=0.7,"Moderate","Poor")))</f>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IF(OR(C2435="",D2435="",D2435=0),"",C2435/D2435)</f>
        <v/>
      </c>
      <c r="F2435" t="str">
        <f>IF(E2435="","",IF(E2435&gt;=0.9,"Expected",IF(E2435&gt;=0.7,"Moderate","Poor")))</f>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IF(OR(C2436="",D2436="",D2436=0),"",C2436/D2436)</f>
        <v/>
      </c>
      <c r="F2436" t="str">
        <f>IF(E2436="","",IF(E2436&gt;=0.9,"Expected",IF(E2436&gt;=0.7,"Moderate","Poor")))</f>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IF(OR(C2437="",D2437="",D2437=0),"",C2437/D2437)</f>
        <v/>
      </c>
      <c r="F2437" t="str">
        <f>IF(E2437="","",IF(E2437&gt;=0.9,"Expected",IF(E2437&gt;=0.7,"Moderate","Poor")))</f>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IF(OR(C2438="",D2438="",D2438=0),"",C2438/D2438)</f>
        <v/>
      </c>
      <c r="F2438" t="str">
        <f>IF(E2438="","",IF(E2438&gt;=0.9,"Expected",IF(E2438&gt;=0.7,"Moderate","Poor")))</f>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IF(OR(C2439="",D2439="",D2439=0),"",C2439/D2439)</f>
        <v/>
      </c>
      <c r="F2439" t="str">
        <f>IF(E2439="","",IF(E2439&gt;=0.9,"Expected",IF(E2439&gt;=0.7,"Moderate","Poor")))</f>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IF(OR(C2440="",D2440="",D2440=0),"",C2440/D2440)</f>
        <v/>
      </c>
      <c r="F2440" t="str">
        <f>IF(E2440="","",IF(E2440&gt;=0.9,"Expected",IF(E2440&gt;=0.7,"Moderate","Poor")))</f>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IF(OR(C2441="",D2441="",D2441=0),"",C2441/D2441)</f>
        <v/>
      </c>
      <c r="F2441" t="str">
        <f>IF(E2441="","",IF(E2441&gt;=0.9,"Expected",IF(E2441&gt;=0.7,"Moderate","Poor")))</f>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IF(OR(C2442="",D2442="",D2442=0),"",C2442/D2442)</f>
        <v/>
      </c>
      <c r="F2442" t="str">
        <f>IF(E2442="","",IF(E2442&gt;=0.9,"Expected",IF(E2442&gt;=0.7,"Moderate","Poor")))</f>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IF(OR(C2443="",D2443="",D2443=0),"",C2443/D2443)</f>
        <v/>
      </c>
      <c r="F2443" t="str">
        <f>IF(E2443="","",IF(E2443&gt;=0.9,"Expected",IF(E2443&gt;=0.7,"Moderate","Poor")))</f>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19065.844917339273</v>
      </c>
      <c r="E2444" s="9">
        <f>IF(OR(C2444="",D2444="",D2444=0),"",C2444/D2444)</f>
        <v>0.53530279115604462</v>
      </c>
      <c r="F2444" t="str">
        <f>IF(E2444="","",IF(E2444&gt;=0.9,"Expected",IF(E2444&gt;=0.7,"Moderate","Poor")))</f>
        <v>Poor</v>
      </c>
      <c r="G2444" t="s">
        <v>875</v>
      </c>
    </row>
    <row r="2445" spans="1:7" ht="15" hidden="1"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IF(OR(C2445="",D2445="",D2445=0),"",C2445/D2445)</f>
        <v/>
      </c>
      <c r="F2445" t="str">
        <f>IF(E2445="","",IF(E2445&gt;=0.9,"Expected",IF(E2445&gt;=0.7,"Moderate","Poor")))</f>
        <v/>
      </c>
      <c r="G2445" t="s">
        <v>874</v>
      </c>
    </row>
    <row r="2446" spans="1:7" ht="15"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IF(OR(C2446="",D2446="",D2446=0),"",C2446/D2446)</f>
        <v/>
      </c>
      <c r="F2446" t="str">
        <f>IF(E2446="","",IF(E2446&gt;=0.9,"Expected",IF(E2446&gt;=0.7,"Moderate","Poor")))</f>
        <v/>
      </c>
      <c r="G2446" t="s">
        <v>874</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IF(OR(C2447="",D2447="",D2447=0),"",C2447/D2447)</f>
        <v/>
      </c>
      <c r="F2447" t="str">
        <f>IF(E2447="","",IF(E2447&gt;=0.9,"Expected",IF(E2447&gt;=0.7,"Moderate","Poor")))</f>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IF(OR(C2448="",D2448="",D2448=0),"",C2448/D2448)</f>
        <v/>
      </c>
      <c r="F2448" t="str">
        <f>IF(E2448="","",IF(E2448&gt;=0.9,"Expected",IF(E2448&gt;=0.7,"Moderate","Poor")))</f>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IF(OR(C2449="",D2449="",D2449=0),"",C2449/D2449)</f>
        <v/>
      </c>
      <c r="F2449" t="str">
        <f>IF(E2449="","",IF(E2449&gt;=0.9,"Expected",IF(E2449&gt;=0.7,"Moderate","Poor")))</f>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7367.9898912371764</v>
      </c>
      <c r="E2450" s="9">
        <f>IF(OR(C2450="",D2450="",D2450=0),"",C2450/D2450)</f>
        <v>0.83360592110810872</v>
      </c>
      <c r="F2450" t="str">
        <f>IF(E2450="","",IF(E2450&gt;=0.9,"Expected",IF(E2450&gt;=0.7,"Moderate","Poor")))</f>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6267.3876787326935</v>
      </c>
      <c r="E2451" s="9">
        <f>IF(OR(C2451="",D2451="",D2451=0),"",C2451/D2451)</f>
        <v>0.91553296112045535</v>
      </c>
      <c r="F2451" t="str">
        <f>IF(E2451="","",IF(E2451&gt;=0.9,"Expected",IF(E2451&gt;=0.7,"Moderate","Poor")))</f>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6318.4940469592939</v>
      </c>
      <c r="E2452" s="9">
        <f>IF(OR(C2452="",D2452="",D2452=0),"",C2452/D2452)</f>
        <v>0.9356659919376018</v>
      </c>
      <c r="F2452" t="str">
        <f>IF(E2452="","",IF(E2452&gt;=0.9,"Expected",IF(E2452&gt;=0.7,"Moderate","Poor")))</f>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4986.3003598390242</v>
      </c>
      <c r="E2453" s="9">
        <f>IF(OR(C2453="",D2453="",D2453=0),"",C2453/D2453)</f>
        <v>0.87319248456596443</v>
      </c>
      <c r="F2453" t="str">
        <f>IF(E2453="","",IF(E2453&gt;=0.9,"Expected",IF(E2453&gt;=0.7,"Moderate","Poor")))</f>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4722.362189657817</v>
      </c>
      <c r="E2454" s="9">
        <f>IF(OR(C2454="",D2454="",D2454=0),"",C2454/D2454)</f>
        <v>0.74877780610390221</v>
      </c>
      <c r="F2454" t="str">
        <f>IF(E2454="","",IF(E2454&gt;=0.9,"Expected",IF(E2454&gt;=0.7,"Moderate","Poor")))</f>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4226.3271261024893</v>
      </c>
      <c r="E2455" s="9">
        <f>IF(OR(C2455="",D2455="",D2455=0),"",C2455/D2455)</f>
        <v>0.63624984999204037</v>
      </c>
      <c r="F2455" t="str">
        <f>IF(E2455="","",IF(E2455&gt;=0.9,"Expected",IF(E2455&gt;=0.7,"Moderate","Poor")))</f>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4693.6072929024576</v>
      </c>
      <c r="E2456" s="9">
        <f>IF(OR(C2456="",D2456="",D2456=0),"",C2456/D2456)</f>
        <v>0.66175114494491405</v>
      </c>
      <c r="F2456" t="str">
        <f>IF(E2456="","",IF(E2456&gt;=0.9,"Expected",IF(E2456&gt;=0.7,"Moderate","Poor")))</f>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5394.9667335952854</v>
      </c>
      <c r="E2457" s="9">
        <f>IF(OR(C2457="",D2457="",D2457=0),"",C2457/D2457)</f>
        <v>0.82688183640144963</v>
      </c>
      <c r="F2457" t="str">
        <f>IF(E2457="","",IF(E2457&gt;=0.9,"Expected",IF(E2457&gt;=0.7,"Moderate","Poor")))</f>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6289.0384942791752</v>
      </c>
      <c r="E2458" s="9">
        <f>IF(OR(C2458="",D2458="",D2458=0),"",C2458/D2458)</f>
        <v>0.80028131559033533</v>
      </c>
      <c r="F2458" t="str">
        <f>IF(E2458="","",IF(E2458&gt;=0.9,"Expected",IF(E2458&gt;=0.7,"Moderate","Poor")))</f>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7181.2892676946758</v>
      </c>
      <c r="E2459" s="9">
        <f>IF(OR(C2459="",D2459="",D2459=0),"",C2459/D2459)</f>
        <v>0.96988155474147775</v>
      </c>
      <c r="F2459" t="str">
        <f>IF(E2459="","",IF(E2459&gt;=0.9,"Expected",IF(E2459&gt;=0.7,"Moderate","Poor")))</f>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7256.2982403371761</v>
      </c>
      <c r="E2460" s="9">
        <f>IF(OR(C2460="",D2460="",D2460=0),"",C2460/D2460)</f>
        <v>0.95558365578945659</v>
      </c>
      <c r="F2460" t="str">
        <f>IF(E2460="","",IF(E2460&gt;=0.9,"Expected",IF(E2460&gt;=0.7,"Moderate","Poor")))</f>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7781.886517287101</v>
      </c>
      <c r="E2461" s="9">
        <f>IF(OR(C2461="",D2461="",D2461=0),"",C2461/D2461)</f>
        <v>0.8995248111688372</v>
      </c>
      <c r="F2461" t="str">
        <f>IF(E2461="","",IF(E2461&gt;=0.9,"Expected",IF(E2461&gt;=0.7,"Moderate","Poor")))</f>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7316.3084288976197</v>
      </c>
      <c r="E2462" s="9">
        <f>IF(OR(C2462="",D2462="",D2462=0),"",C2462/D2462)</f>
        <v>0.80641761584249927</v>
      </c>
      <c r="F2462" t="str">
        <f>IF(E2462="","",IF(E2462&gt;=0.9,"Expected",IF(E2462&gt;=0.7,"Moderate","Poor")))</f>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6223.4261960125477</v>
      </c>
      <c r="E2463" s="9">
        <f>IF(OR(C2463="",D2463="",D2463=0),"",C2463/D2463)</f>
        <v>0.68772407114625489</v>
      </c>
      <c r="F2463" t="str">
        <f>IF(E2463="","",IF(E2463&gt;=0.9,"Expected",IF(E2463&gt;=0.7,"Moderate","Poor")))</f>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6274.294755912375</v>
      </c>
      <c r="E2464" s="9">
        <f>IF(OR(C2464="",D2464="",D2464=0),"",C2464/D2464)</f>
        <v>0.68406094500988734</v>
      </c>
      <c r="F2464" t="str">
        <f>IF(E2464="","",IF(E2464&gt;=0.9,"Expected",IF(E2464&gt;=0.7,"Moderate","Poor")))</f>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4951.4200641207835</v>
      </c>
      <c r="E2465" s="9">
        <f>IF(OR(C2465="",D2465="",D2465=0),"",C2465/D2465)</f>
        <v>0.62547712775202191</v>
      </c>
      <c r="F2465" t="str">
        <f>IF(E2465="","",IF(E2465&gt;=0.9,"Expected",IF(E2465&gt;=0.7,"Moderate","Poor")))</f>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4689.3282009734257</v>
      </c>
      <c r="E2466" s="9">
        <f>IF(OR(C2466="",D2466="",D2466=0),"",C2466/D2466)</f>
        <v>0.68240051940398072</v>
      </c>
      <c r="F2466" t="str">
        <f>IF(E2466="","",IF(E2466&gt;=0.9,"Expected",IF(E2466&gt;=0.7,"Moderate","Poor")))</f>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4196.763014572467</v>
      </c>
      <c r="E2467" s="9">
        <f>IF(OR(C2467="",D2467="",D2467=0),"",C2467/D2467)</f>
        <v>0.61008925000279846</v>
      </c>
      <c r="F2467" t="str">
        <f>IF(E2467="","",IF(E2467&gt;=0.9,"Expected",IF(E2467&gt;=0.7,"Moderate","Poor")))</f>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4660.7744512067748</v>
      </c>
      <c r="E2468" s="9">
        <f>IF(OR(C2468="",D2468="",D2468=0),"",C2468/D2468)</f>
        <v>0.60569333048696761</v>
      </c>
      <c r="F2468" t="str">
        <f>IF(E2468="","",IF(E2468&gt;=0.9,"Expected",IF(E2468&gt;=0.7,"Moderate","Poor")))</f>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5357.2277244145489</v>
      </c>
      <c r="E2469" s="9">
        <f>IF(OR(C2469="",D2469="",D2469=0),"",C2469/D2469)</f>
        <v>0.78398758015443271</v>
      </c>
      <c r="F2469" t="str">
        <f>IF(E2469="","",IF(E2469&gt;=0.9,"Expected",IF(E2469&gt;=0.7,"Moderate","Poor")))</f>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6245.0452514671961</v>
      </c>
      <c r="E2470" s="9">
        <f>IF(OR(C2470="",D2470="",D2470=0),"",C2470/D2470)</f>
        <v>0.73113961807198669</v>
      </c>
      <c r="F2470" t="str">
        <f>IF(E2470="","",IF(E2470&gt;=0.9,"Expected",IF(E2470&gt;=0.7,"Moderate","Poor")))</f>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7131.054529468136</v>
      </c>
      <c r="E2471" s="9">
        <f>IF(OR(C2471="",D2471="",D2471=0),"",C2471/D2471)</f>
        <v>0.86874949201405938</v>
      </c>
      <c r="F2471" t="str">
        <f>IF(E2471="","",IF(E2471&gt;=0.9,"Expected",IF(E2471&gt;=0.7,"Moderate","Poor")))</f>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7205.5387974281102</v>
      </c>
      <c r="E2472" s="9">
        <f>IF(OR(C2472="",D2472="",D2472=0),"",C2472/D2472)</f>
        <v>0.7361004012487129</v>
      </c>
      <c r="F2472" t="str">
        <f>IF(E2472="","",IF(E2472&gt;=0.9,"Expected",IF(E2472&gt;=0.7,"Moderate","Poor")))</f>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7727.4504658299993</v>
      </c>
      <c r="E2473" s="9">
        <f>IF(OR(C2473="",D2473="",D2473=0),"",C2473/D2473)</f>
        <v>0.81475772997061224</v>
      </c>
      <c r="F2473" t="str">
        <f>IF(E2473="","",IF(E2473&gt;=0.9,"Expected",IF(E2473&gt;=0.7,"Moderate","Poor")))</f>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7265.1292011837795</v>
      </c>
      <c r="E2474" s="9">
        <f>IF(OR(C2474="",D2474="",D2474=0),"",C2474/D2474)</f>
        <v>0.93983187510105759</v>
      </c>
      <c r="F2474" t="str">
        <f>IF(E2474="","",IF(E2474&gt;=0.9,"Expected",IF(E2474&gt;=0.7,"Moderate","Poor")))</f>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6179.8919260263392</v>
      </c>
      <c r="E2475" s="9">
        <f>IF(OR(C2475="",D2475="",D2475=0),"",C2475/D2475)</f>
        <v>0.9809233029578005</v>
      </c>
      <c r="F2475" t="str">
        <f>IF(E2475="","",IF(E2475&gt;=0.9,"Expected",IF(E2475&gt;=0.7,"Moderate","Poor")))</f>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6230.404648875844</v>
      </c>
      <c r="E2476" s="9">
        <f>IF(OR(C2476="",D2476="",D2476=0),"",C2476/D2476)</f>
        <v>0.72884511615458802</v>
      </c>
      <c r="F2476" t="str">
        <f>IF(E2476="","",IF(E2476&gt;=0.9,"Expected",IF(E2476&gt;=0.7,"Moderate","Poor")))</f>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4916.7837639386307</v>
      </c>
      <c r="E2477" s="9">
        <f>IF(OR(C2477="",D2477="",D2477=0),"",C2477/D2477)</f>
        <v>0.76128830953541193</v>
      </c>
      <c r="F2477" t="str">
        <f>IF(E2477="","",IF(E2477&gt;=0.9,"Expected",IF(E2477&gt;=0.7,"Moderate","Poor")))</f>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4656.5252924909692</v>
      </c>
      <c r="E2478" s="9">
        <f>IF(OR(C2478="",D2478="",D2478=0),"",C2478/D2478)</f>
        <v>0.65308568277381429</v>
      </c>
      <c r="F2478" t="str">
        <f>IF(E2478="","",IF(E2478&gt;=0.9,"Expected",IF(E2478&gt;=0.7,"Moderate","Poor")))</f>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4167.4057106710252</v>
      </c>
      <c r="E2479" s="9">
        <f>IF(OR(C2479="",D2479="",D2479=0),"",C2479/D2479)</f>
        <v>0.58645597997380328</v>
      </c>
      <c r="F2479" t="str">
        <f>IF(E2479="","",IF(E2479&gt;=0.9,"Expected",IF(E2479&gt;=0.7,"Moderate","Poor")))</f>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6209.7062393000651</v>
      </c>
      <c r="E2480" s="9">
        <f>IF(OR(C2480="",D2480="",D2480=0),"",C2480/D2480)</f>
        <v>0.79730019572682043</v>
      </c>
      <c r="F2480" t="str">
        <f>IF(E2480="","",IF(E2480&gt;=0.9,"Expected",IF(E2480&gt;=0.7,"Moderate","Poor")))</f>
        <v>Moderate</v>
      </c>
      <c r="G2480" t="s">
        <v>875</v>
      </c>
    </row>
    <row r="2481" spans="1:7" ht="15" hidden="1"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5319.7527081153776</v>
      </c>
      <c r="E2481" s="9">
        <f>IF(OR(C2481="",D2481="",D2481=0),"",C2481/D2481)</f>
        <v>0.72954518996333517</v>
      </c>
      <c r="F2481" t="str">
        <f>IF(E2481="","",IF(E2481&gt;=0.9,"Expected",IF(E2481&gt;=0.7,"Moderate","Poor")))</f>
        <v>Moderate</v>
      </c>
      <c r="G2481" t="s">
        <v>874</v>
      </c>
    </row>
    <row r="2482" spans="1:7" ht="15" customHeight="1" x14ac:dyDescent="0.3">
      <c r="A2482" t="s">
        <v>271</v>
      </c>
      <c r="B2482" s="2">
        <v>46266</v>
      </c>
      <c r="C2482" cm="1">
        <f t="array" ref="C2482">IFERROR(IF(SUMPRODUCT((measured[Site Name]=A2482)*(measured[Date]=B2482)*ISNUMBER(measured[Measured Value (kWh)]))=0,"",SUMIFS(measured[Measured Value (kWh)],measured[Site Name],A2482,measured[Date],B2482)),"")</f>
        <v>12896.9249</v>
      </c>
      <c r="D2482" cm="1">
        <f t="array" ref="D2482">IFERROR(IF(SUMPRODUCT((expected_production[Site Name]=A2482)*(expected_production[Date]=B2482)*ISNUMBER(expected_production[Expected Production (kWh)]))=0,"",SUMIFS(expected_production[Expected Production (kWh)],expected_production[Site Name],A2482,expected_production[Date],B2482)),"")</f>
        <v>14803.530876667501</v>
      </c>
      <c r="E2482" s="9">
        <f>IF(OR(C2482="",D2482="",D2482=0),"",C2482/D2482)</f>
        <v>0.87120599858560865</v>
      </c>
      <c r="F2482" t="str">
        <f>IF(E2482="","",IF(E2482&gt;=0.9,"Expected",IF(E2482&gt;=0.7,"Moderate","Poor")))</f>
        <v>Moderate</v>
      </c>
      <c r="G2482" t="s">
        <v>874</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7081.171194566351</v>
      </c>
      <c r="E2483" s="9" t="str">
        <f>IF(OR(C2483="",D2483="",D2483=0),"",C2483/D2483)</f>
        <v/>
      </c>
      <c r="F2483" t="str">
        <f>IF(E2483="","",IF(E2483&gt;=0.9,"Expected",IF(E2483&gt;=0.7,"Moderate","Poor")))</f>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7155.1344282714026</v>
      </c>
      <c r="E2484" s="9" t="str">
        <f>IF(OR(C2484="",D2484="",D2484=0),"",C2484/D2484)</f>
        <v/>
      </c>
      <c r="F2484" t="str">
        <f>IF(E2484="","",IF(E2484&gt;=0.9,"Expected",IF(E2484&gt;=0.7,"Moderate","Poor")))</f>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7673.3952068313411</v>
      </c>
      <c r="E2485" s="9" t="str">
        <f>IF(OR(C2485="",D2485="",D2485=0),"",C2485/D2485)</f>
        <v/>
      </c>
      <c r="F2485" t="str">
        <f>IF(E2485="","",IF(E2485&gt;=0.9,"Expected",IF(E2485&gt;=0.7,"Moderate","Poor")))</f>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4218.9729401852237</v>
      </c>
      <c r="E2486" s="9">
        <f>IF(OR(C2486="",D2486="",D2486=0),"",C2486/D2486)</f>
        <v>0.83195603521597894</v>
      </c>
      <c r="F2486" t="str">
        <f>IF(E2486="","",IF(E2486&gt;=0.9,"Expected",IF(E2486&gt;=0.7,"Moderate","Poor")))</f>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3759.2092133933834</v>
      </c>
      <c r="E2487" s="9">
        <f>IF(OR(C2487="",D2487="",D2487=0),"",C2487/D2487)</f>
        <v>0.93556910519094394</v>
      </c>
      <c r="F2487" t="str">
        <f>IF(E2487="","",IF(E2487&gt;=0.9,"Expected",IF(E2487&gt;=0.7,"Moderate","Poor")))</f>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3852.4311812179853</v>
      </c>
      <c r="E2488" s="9">
        <f>IF(OR(C2488="",D2488="",D2488=0),"",C2488/D2488)</f>
        <v>0.88489575534019271</v>
      </c>
      <c r="F2488" t="str">
        <f>IF(E2488="","",IF(E2488&gt;=0.9,"Expected",IF(E2488&gt;=0.7,"Moderate","Poor")))</f>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3220.3319610903145</v>
      </c>
      <c r="E2489" s="9">
        <f>IF(OR(C2489="",D2489="",D2489=0),"",C2489/D2489)</f>
        <v>0.92443885784745961</v>
      </c>
      <c r="F2489" t="str">
        <f>IF(E2489="","",IF(E2489&gt;=0.9,"Expected",IF(E2489&gt;=0.7,"Moderate","Poor")))</f>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2885.4371378472433</v>
      </c>
      <c r="E2490" s="9">
        <f>IF(OR(C2490="",D2490="",D2490=0),"",C2490/D2490)</f>
        <v>0.95444810211831355</v>
      </c>
      <c r="F2490" t="str">
        <f>IF(E2490="","",IF(E2490&gt;=0.9,"Expected",IF(E2490&gt;=0.7,"Moderate","Poor")))</f>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2622.7020239067679</v>
      </c>
      <c r="E2491" s="9">
        <f>IF(OR(C2491="",D2491="",D2491=0),"",C2491/D2491)</f>
        <v>0.88534647811082889</v>
      </c>
      <c r="F2491" t="str">
        <f>IF(E2491="","",IF(E2491&gt;=0.9,"Expected",IF(E2491&gt;=0.7,"Moderate","Poor")))</f>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2804.5175602389995</v>
      </c>
      <c r="E2492" s="9">
        <f>IF(OR(C2492="",D2492="",D2492=0),"",C2492/D2492)</f>
        <v>1.1410162109048436</v>
      </c>
      <c r="F2492" t="str">
        <f>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3182.1868538557865</v>
      </c>
      <c r="E2493" s="9">
        <f>IF(OR(C2493="",D2493="",D2493=0),"",C2493/D2493)</f>
        <v>0.61826476267919439</v>
      </c>
      <c r="F2493" t="str">
        <f>IF(E2493="","",IF(E2493&gt;=0.9,"Expected",IF(E2493&gt;=0.7,"Moderate","Poor")))</f>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3269.4503188262975</v>
      </c>
      <c r="E2494" s="9">
        <f>IF(OR(C2494="",D2494="",D2494=0),"",C2494/D2494)</f>
        <v>0.79768760668498184</v>
      </c>
      <c r="F2494" t="str">
        <f>IF(E2494="","",IF(E2494&gt;=0.9,"Expected",IF(E2494&gt;=0.7,"Moderate","Poor")))</f>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3707.4374342451729</v>
      </c>
      <c r="E2495" s="9">
        <f>IF(OR(C2495="",D2495="",D2495=0),"",C2495/D2495)</f>
        <v>0.85746558273268292</v>
      </c>
      <c r="F2495" t="str">
        <f>IF(E2495="","",IF(E2495&gt;=0.9,"Expected",IF(E2495&gt;=0.7,"Moderate","Poor")))</f>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3758.0722647907974</v>
      </c>
      <c r="E2496" s="9">
        <f>IF(OR(C2496="",D2496="",D2496=0),"",C2496/D2496)</f>
        <v>0.6649685859990011</v>
      </c>
      <c r="F2496" t="str">
        <f>IF(E2496="","",IF(E2496&gt;=0.9,"Expected",IF(E2496&gt;=0.7,"Moderate","Poor")))</f>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4232.6288581700574</v>
      </c>
      <c r="E2497" s="9">
        <f>IF(OR(C2497="",D2497="",D2497=0),"",C2497/D2497)</f>
        <v>0.5715124290500242</v>
      </c>
      <c r="F2497" t="str">
        <f>IF(E2497="","",IF(E2497&gt;=0.9,"Expected",IF(E2497&gt;=0.7,"Moderate","Poor")))</f>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4189.3797004633398</v>
      </c>
      <c r="E2498" s="9">
        <f>IF(OR(C2498="",D2498="",D2498=0),"",C2498/D2498)</f>
        <v>0.70177453709312621</v>
      </c>
      <c r="F2498" t="str">
        <f>IF(E2498="","",IF(E2498&gt;=0.9,"Expected",IF(E2498&gt;=0.7,"Moderate","Poor")))</f>
        <v>Moderate</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3732.8409050411192</v>
      </c>
      <c r="E2499" s="9">
        <f>IF(OR(C2499="",D2499="",D2499=0),"",C2499/D2499)</f>
        <v>0.66490913037523613</v>
      </c>
      <c r="F2499" t="str">
        <f>IF(E2499="","",IF(E2499&gt;=0.9,"Expected",IF(E2499&gt;=0.7,"Moderate","Poor")))</f>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3825.4825561577431</v>
      </c>
      <c r="E2500" s="9">
        <f>IF(OR(C2500="",D2500="",D2500=0),"",C2500/D2500)</f>
        <v>0.69533711393306252</v>
      </c>
      <c r="F2500" t="str">
        <f>IF(E2500="","",IF(E2500&gt;=0.9,"Expected",IF(E2500&gt;=0.7,"Moderate","Poor")))</f>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3197.8050126500571</v>
      </c>
      <c r="E2501" s="9">
        <f>IF(OR(C2501="",D2501="",D2501=0),"",C2501/D2501)</f>
        <v>0.9425215071203682</v>
      </c>
      <c r="F2501" t="str">
        <f>IF(E2501="","",IF(E2501&gt;=0.9,"Expected",IF(E2501&gt;=0.7,"Moderate","Poor")))</f>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2865.2528542338605</v>
      </c>
      <c r="E2502" s="9">
        <f>IF(OR(C2502="",D2502="",D2502=0),"",C2502/D2502)</f>
        <v>1.137421430427795</v>
      </c>
      <c r="F2502" t="str">
        <f>IF(E2502="","",IF(E2502&gt;=0.9,"Expected",IF(E2502&gt;=0.7,"Moderate","Poor")))</f>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2604.3556316774702</v>
      </c>
      <c r="E2503" s="9">
        <f>IF(OR(C2503="",D2503="",D2503=0),"",C2503/D2503)</f>
        <v>1.0372623335853803</v>
      </c>
      <c r="F2503" t="str">
        <f>IF(E2503="","",IF(E2503&gt;=0.9,"Expected",IF(E2503&gt;=0.7,"Moderate","Poor")))</f>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2784.8993273230644</v>
      </c>
      <c r="E2504" s="9">
        <f>IF(OR(C2504="",D2504="",D2504=0),"",C2504/D2504)</f>
        <v>1.0736474279930561</v>
      </c>
      <c r="F2504" t="str">
        <f>IF(E2504="","",IF(E2504&gt;=0.9,"Expected",IF(E2504&gt;=0.7,"Moderate","Poor")))</f>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3159.9267390445784</v>
      </c>
      <c r="E2505" s="9">
        <f>IF(OR(C2505="",D2505="",D2505=0),"",C2505/D2505)</f>
        <v>1.1088864677474941</v>
      </c>
      <c r="F2505" t="str">
        <f>IF(E2505="","",IF(E2505&gt;=0.9,"Expected",IF(E2505&gt;=0.7,"Moderate","Poor")))</f>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3246.5797763946262</v>
      </c>
      <c r="E2506" s="9">
        <f>IF(OR(C2506="",D2506="",D2506=0),"",C2506/D2506)</f>
        <v>1.0645048752930808</v>
      </c>
      <c r="F2506" t="str">
        <f>IF(E2506="","",IF(E2506&gt;=0.9,"Expected",IF(E2506&gt;=0.7,"Moderate","Poor")))</f>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3681.5030731495408</v>
      </c>
      <c r="E2507" s="9">
        <f>IF(OR(C2507="",D2507="",D2507=0),"",C2507/D2507)</f>
        <v>1.1220960346682294</v>
      </c>
      <c r="F2507" t="str">
        <f>IF(E2507="","",IF(E2507&gt;=0.9,"Expected",IF(E2507&gt;=0.7,"Moderate","Poor")))</f>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3731.7837016343951</v>
      </c>
      <c r="E2508" s="9">
        <f>IF(OR(C2508="",D2508="",D2508=0),"",C2508/D2508)</f>
        <v>1.0177438736164168</v>
      </c>
      <c r="F2508" t="str">
        <f>IF(E2508="","",IF(E2508&gt;=0.9,"Expected",IF(E2508&gt;=0.7,"Moderate","Poor")))</f>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4203.0206646028137</v>
      </c>
      <c r="E2509" s="9">
        <f>IF(OR(C2509="",D2509="",D2509=0),"",C2509/D2509)</f>
        <v>1.1023024557120087</v>
      </c>
      <c r="F2509" t="str">
        <f>IF(E2509="","",IF(E2509&gt;=0.9,"Expected",IF(E2509&gt;=0.7,"Moderate","Poor")))</f>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4160.0740445094589</v>
      </c>
      <c r="E2510" s="9">
        <f>IF(OR(C2510="",D2510="",D2510=0),"",C2510/D2510)</f>
        <v>1.2444490036980709</v>
      </c>
      <c r="F2510" t="str">
        <f>IF(E2510="","",IF(E2510&gt;=0.9,"Expected",IF(E2510&gt;=0.7,"Moderate","Poor")))</f>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3706.7288409373073</v>
      </c>
      <c r="E2511" s="9">
        <f>IF(OR(C2511="",D2511="",D2511=0),"",C2511/D2511)</f>
        <v>0.83280977176075321</v>
      </c>
      <c r="F2511" t="str">
        <f>IF(E2511="","",IF(E2511&gt;=0.9,"Expected",IF(E2511&gt;=0.7,"Moderate","Poor")))</f>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3798.7224428082818</v>
      </c>
      <c r="E2512" s="9">
        <f>IF(OR(C2512="",D2512="",D2512=0),"",C2512/D2512)</f>
        <v>1.0621992158545401</v>
      </c>
      <c r="F2512" t="str">
        <f>IF(E2512="","",IF(E2512&gt;=0.9,"Expected",IF(E2512&gt;=0.7,"Moderate","Poor")))</f>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3175.4356452952784</v>
      </c>
      <c r="E2513" s="9">
        <f>IF(OR(C2513="",D2513="",D2513=0),"",C2513/D2513)</f>
        <v>1.0338675906923382</v>
      </c>
      <c r="F2513" t="str">
        <f>IF(E2513="","",IF(E2513&gt;=0.9,"Expected",IF(E2513&gt;=0.7,"Moderate","Poor")))</f>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2845.2097642370845</v>
      </c>
      <c r="E2514" s="9">
        <f>IF(OR(C2514="",D2514="",D2514=0),"",C2514/D2514)</f>
        <v>1.1276497221147073</v>
      </c>
      <c r="F2514" t="str">
        <f>IF(E2514="","",IF(E2514&gt;=0.9,"Expected",IF(E2514&gt;=0.7,"Moderate","Poor")))</f>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2586.137576599996</v>
      </c>
      <c r="E2515" s="9">
        <f>IF(OR(C2515="",D2515="",D2515=0),"",C2515/D2515)</f>
        <v>1.165831248608139</v>
      </c>
      <c r="F2515" t="str">
        <f>IF(E2515="","",IF(E2515&gt;=0.9,"Expected",IF(E2515&gt;=0.7,"Moderate","Poor")))</f>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IF(OR(C2516="",D2516="",D2516=0),"",C2516/D2516)</f>
        <v/>
      </c>
      <c r="F2516" t="str">
        <f>IF(E2516="","",IF(E2516&gt;=0.9,"Expected",IF(E2516&gt;=0.7,"Moderate","Poor")))</f>
        <v/>
      </c>
      <c r="G2516" t="s">
        <v>874</v>
      </c>
    </row>
    <row r="2517" spans="1:7" ht="15" hidden="1"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3137.8223387574267</v>
      </c>
      <c r="E2517" s="9">
        <f>IF(OR(C2517="",D2517="",D2517=0),"",C2517/D2517)</f>
        <v>1.2011514971534427</v>
      </c>
      <c r="F2517" t="str">
        <f>IF(E2517="","",IF(E2517&gt;=0.9,"Expected",IF(E2517&gt;=0.7,"Moderate","Poor")))</f>
        <v>Expected</v>
      </c>
      <c r="G2517" t="s">
        <v>874</v>
      </c>
    </row>
    <row r="2518" spans="1:7" ht="15" customHeight="1" x14ac:dyDescent="0.3">
      <c r="A2518" t="s">
        <v>196</v>
      </c>
      <c r="B2518" s="2">
        <v>46266</v>
      </c>
      <c r="C2518" cm="1">
        <f t="array" ref="C2518">IFERROR(IF(SUMPRODUCT((measured[Site Name]=A2518)*(measured[Date]=B2518)*ISNUMBER(measured[Measured Value (kWh)]))=0,"",SUMIFS(measured[Measured Value (kWh)],measured[Site Name],A2518,measured[Date],B2518)),"")</f>
        <v>3170.27</v>
      </c>
      <c r="D2518" cm="1">
        <f t="array" ref="D2518">IFERROR(IF(SUMPRODUCT((expected_production[Site Name]=A2518)*(expected_production[Date]=B2518)*ISNUMBER(expected_production[Expected Production (kWh)]))=0,"",SUMIFS(expected_production[Expected Production (kWh)],expected_production[Site Name],A2518,expected_production[Date],B2518)),"")</f>
        <v>3223.8692185659038</v>
      </c>
      <c r="E2518" s="9">
        <f>IF(OR(C2518="",D2518="",D2518=0),"",C2518/D2518)</f>
        <v>0.98337425778402177</v>
      </c>
      <c r="F2518" t="str">
        <f>IF(E2518="","",IF(E2518&gt;=0.9,"Expected",IF(E2518&gt;=0.7,"Moderate","Poor")))</f>
        <v>Expected</v>
      </c>
      <c r="G2518" t="s">
        <v>874</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3655.7501287594819</v>
      </c>
      <c r="E2519" s="9" t="str">
        <f>IF(OR(C2519="",D2519="",D2519=0),"",C2519/D2519)</f>
        <v/>
      </c>
      <c r="F2519" t="str">
        <f>IF(E2519="","",IF(E2519&gt;=0.9,"Expected",IF(E2519&gt;=0.7,"Moderate","Poor")))</f>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3705.679032906874</v>
      </c>
      <c r="E2520" s="9" t="str">
        <f>IF(OR(C2520="",D2520="",D2520=0),"",C2520/D2520)</f>
        <v/>
      </c>
      <c r="F2520" t="str">
        <f>IF(E2520="","",IF(E2520&gt;=0.9,"Expected",IF(E2520&gt;=0.7,"Moderate","Poor")))</f>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4173.6195870279453</v>
      </c>
      <c r="E2521" s="9" t="str">
        <f>IF(OR(C2521="",D2521="",D2521=0),"",C2521/D2521)</f>
        <v/>
      </c>
      <c r="F2521" t="str">
        <f>IF(E2521="","",IF(E2521&gt;=0.9,"Expected",IF(E2521&gt;=0.7,"Moderate","Poor")))</f>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13239.806396546535</v>
      </c>
      <c r="E2522" s="9" t="str">
        <f>IF(OR(C2522="",D2522="",D2522=0),"",C2522/D2522)</f>
        <v/>
      </c>
      <c r="F2522" t="str">
        <f>IF(E2522="","",IF(E2522&gt;=0.9,"Expected",IF(E2522&gt;=0.7,"Moderate","Poor")))</f>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11866.728835111957</v>
      </c>
      <c r="E2523" s="9">
        <f>IF(OR(C2523="",D2523="",D2523=0),"",C2523/D2523)</f>
        <v>0.9742364690926999</v>
      </c>
      <c r="F2523" t="str">
        <f>IF(E2523="","",IF(E2523&gt;=0.9,"Expected",IF(E2523&gt;=0.7,"Moderate","Poor")))</f>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12650.451797625823</v>
      </c>
      <c r="E2524" s="9">
        <f>IF(OR(C2524="",D2524="",D2524=0),"",C2524/D2524)</f>
        <v>0.92787199918052987</v>
      </c>
      <c r="F2524" t="str">
        <f>IF(E2524="","",IF(E2524&gt;=0.9,"Expected",IF(E2524&gt;=0.7,"Moderate","Poor")))</f>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11337.969685309417</v>
      </c>
      <c r="E2525" s="9">
        <f>IF(OR(C2525="",D2525="",D2525=0),"",C2525/D2525)</f>
        <v>2.7077158302670296E-2</v>
      </c>
      <c r="F2525" t="str">
        <f>IF(E2525="","",IF(E2525&gt;=0.9,"Expected",IF(E2525&gt;=0.7,"Moderate","Poor")))</f>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11581.676570630239</v>
      </c>
      <c r="E2526" s="9">
        <f>IF(OR(C2526="",D2526="",D2526=0),"",C2526/D2526)</f>
        <v>8.6343284920931192E-5</v>
      </c>
      <c r="F2526" t="str">
        <f>IF(E2526="","",IF(E2526&gt;=0.9,"Expected",IF(E2526&gt;=0.7,"Moderate","Poor")))</f>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10821.225437130082</v>
      </c>
      <c r="E2527" s="9">
        <f>IF(OR(C2527="",D2527="",D2527=0),"",C2527/D2527)</f>
        <v>9.2410975615457824E-5</v>
      </c>
      <c r="F2527" t="str">
        <f>IF(E2527="","",IF(E2527&gt;=0.9,"Expected",IF(E2527&gt;=0.7,"Moderate","Poor")))</f>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11802.032119717454</v>
      </c>
      <c r="E2528" s="9">
        <f>IF(OR(C2528="",D2528="",D2528=0),"",C2528/D2528)</f>
        <v>0.52914616200430298</v>
      </c>
      <c r="F2528" t="str">
        <f>IF(E2528="","",IF(E2528&gt;=0.9,"Expected",IF(E2528&gt;=0.7,"Moderate","Poor")))</f>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13009.750347757816</v>
      </c>
      <c r="E2529" s="9">
        <f>IF(OR(C2529="",D2529="",D2529=0),"",C2529/D2529)</f>
        <v>0.82945480978117236</v>
      </c>
      <c r="F2529" t="str">
        <f>IF(E2529="","",IF(E2529&gt;=0.9,"Expected",IF(E2529&gt;=0.7,"Moderate","Poor")))</f>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13274.233916996838</v>
      </c>
      <c r="E2530" s="9">
        <f>IF(OR(C2530="",D2530="",D2530=0),"",C2530/D2530)</f>
        <v>0.76290654988631779</v>
      </c>
      <c r="F2530" t="str">
        <f>IF(E2530="","",IF(E2530&gt;=0.9,"Expected",IF(E2530&gt;=0.7,"Moderate","Poor")))</f>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13643.759224684914</v>
      </c>
      <c r="E2531" s="9">
        <f>IF(OR(C2531="",D2531="",D2531=0),"",C2531/D2531)</f>
        <v>0.94841896481054566</v>
      </c>
      <c r="F2531" t="str">
        <f>IF(E2531="","",IF(E2531&gt;=0.9,"Expected",IF(E2531&gt;=0.7,"Moderate","Poor")))</f>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13227.374890564211</v>
      </c>
      <c r="E2532" s="9">
        <f>IF(OR(C2532="",D2532="",D2532=0),"",C2532/D2532)</f>
        <v>0.96096164999961031</v>
      </c>
      <c r="F2532" t="str">
        <f>IF(E2532="","",IF(E2532&gt;=0.9,"Expected",IF(E2532&gt;=0.7,"Moderate","Poor")))</f>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13930.384997677616</v>
      </c>
      <c r="E2533" s="9">
        <f>IF(OR(C2533="",D2533="",D2533=0),"",C2533/D2533)</f>
        <v>0.86788699680702053</v>
      </c>
      <c r="F2533" t="str">
        <f>IF(E2533="","",IF(E2533&gt;=0.9,"Expected",IF(E2533&gt;=0.7,"Moderate","Poor")))</f>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13146.938115540892</v>
      </c>
      <c r="E2534" s="9">
        <f>IF(OR(C2534="",D2534="",D2534=0),"",C2534/D2534)</f>
        <v>0.82437445926580322</v>
      </c>
      <c r="F2534" t="str">
        <f>IF(E2534="","",IF(E2534&gt;=0.9,"Expected",IF(E2534&gt;=0.7,"Moderate","Poor")))</f>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11783.491763883754</v>
      </c>
      <c r="E2535" s="9">
        <f>IF(OR(C2535="",D2535="",D2535=0),"",C2535/D2535)</f>
        <v>0.75537881116711492</v>
      </c>
      <c r="F2535" t="str">
        <f>IF(E2535="","",IF(E2535&gt;=0.9,"Expected",IF(E2535&gt;=0.7,"Moderate","Poor")))</f>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12561.959033887704</v>
      </c>
      <c r="E2536" s="9">
        <f>IF(OR(C2536="",D2536="",D2536=0),"",C2536/D2536)</f>
        <v>0.74813171851998028</v>
      </c>
      <c r="F2536" t="str">
        <f>IF(E2536="","",IF(E2536&gt;=0.9,"Expected",IF(E2536&gt;=0.7,"Moderate","Poor")))</f>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11258.658029988115</v>
      </c>
      <c r="E2537" s="9">
        <f>IF(OR(C2537="",D2537="",D2537=0),"",C2537/D2537)</f>
        <v>0.72788426277555662</v>
      </c>
      <c r="F2537" t="str">
        <f>IF(E2537="","",IF(E2537&gt;=0.9,"Expected",IF(E2537&gt;=0.7,"Moderate","Poor")))</f>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11500.660130676019</v>
      </c>
      <c r="E2538" s="9">
        <f>IF(OR(C2538="",D2538="",D2538=0),"",C2538/D2538)</f>
        <v>0.52353516507630948</v>
      </c>
      <c r="F2538" t="str">
        <f>IF(E2538="","",IF(E2538&gt;=0.9,"Expected",IF(E2538&gt;=0.7,"Moderate","Poor")))</f>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10745.528524380721</v>
      </c>
      <c r="E2539" s="9">
        <f>IF(OR(C2539="",D2539="",D2539=0),"",C2539/D2539)</f>
        <v>0.40403410499068126</v>
      </c>
      <c r="F2539" t="str">
        <f>IF(E2539="","",IF(E2539&gt;=0.9,"Expected",IF(E2539&gt;=0.7,"Moderate","Poor")))</f>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11719.47424299436</v>
      </c>
      <c r="E2540" s="9">
        <f>IF(OR(C2540="",D2540="",D2540=0),"",C2540/D2540)</f>
        <v>0.59635781052020043</v>
      </c>
      <c r="F2540" t="str">
        <f>IF(E2540="","",IF(E2540&gt;=0.9,"Expected",IF(E2540&gt;=0.7,"Moderate","Poor")))</f>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12918.744209618771</v>
      </c>
      <c r="E2541" s="9">
        <f>IF(OR(C2541="",D2541="",D2541=0),"",C2541/D2541)</f>
        <v>0.8673443655349421</v>
      </c>
      <c r="F2541" t="str">
        <f>IF(E2541="","",IF(E2541&gt;=0.9,"Expected",IF(E2541&gt;=0.7,"Moderate","Poor")))</f>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13181.377656634519</v>
      </c>
      <c r="E2542" s="9">
        <f>IF(OR(C2542="",D2542="",D2542=0),"",C2542/D2542)</f>
        <v>0.76046679346560331</v>
      </c>
      <c r="F2542" t="str">
        <f>IF(E2542="","",IF(E2542&gt;=0.9,"Expected",IF(E2542&gt;=0.7,"Moderate","Poor")))</f>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13548.318051445834</v>
      </c>
      <c r="E2543" s="9">
        <f>IF(OR(C2543="",D2543="",D2543=0),"",C2543/D2543)</f>
        <v>0.97370020026893234</v>
      </c>
      <c r="F2543" t="str">
        <f>IF(E2543="","",IF(E2543&gt;=0.9,"Expected",IF(E2543&gt;=0.7,"Moderate","Poor")))</f>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13134.846419661228</v>
      </c>
      <c r="E2544" s="9">
        <f>IF(OR(C2544="",D2544="",D2544=0),"",C2544/D2544)</f>
        <v>0.78904615013133184</v>
      </c>
      <c r="F2544" t="str">
        <f>IF(E2544="","",IF(E2544&gt;=0.9,"Expected",IF(E2544&gt;=0.7,"Moderate","Poor")))</f>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13832.938812505647</v>
      </c>
      <c r="E2545" s="9">
        <f>IF(OR(C2545="",D2545="",D2545=0),"",C2545/D2545)</f>
        <v>0.77366061869115432</v>
      </c>
      <c r="F2545" t="str">
        <f>IF(E2545="","",IF(E2545&gt;=0.9,"Expected",IF(E2545&gt;=0.7,"Moderate","Poor")))</f>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13054.972318022374</v>
      </c>
      <c r="E2546" s="9">
        <f>IF(OR(C2546="",D2546="",D2546=0),"",C2546/D2546)</f>
        <v>0.97357540792743469</v>
      </c>
      <c r="F2546" t="str">
        <f>IF(E2546="","",IF(E2546&gt;=0.9,"Expected",IF(E2546&gt;=0.7,"Moderate","Poor")))</f>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11701.063581131648</v>
      </c>
      <c r="E2547" s="9">
        <f>IF(OR(C2547="",D2547="",D2547=0),"",C2547/D2547)</f>
        <v>1.04785346348953</v>
      </c>
      <c r="F2547" t="str">
        <f>IF(E2547="","",IF(E2547&gt;=0.9,"Expected",IF(E2547&gt;=0.7,"Moderate","Poor")))</f>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12474.085296992205</v>
      </c>
      <c r="E2548" s="9">
        <f>IF(OR(C2548="",D2548="",D2548=0),"",C2548/D2548)</f>
        <v>0.88575632897621548</v>
      </c>
      <c r="F2548" t="str">
        <f>IF(E2548="","",IF(E2548&gt;=0.9,"Expected",IF(E2548&gt;=0.7,"Moderate","Poor")))</f>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11179.901177585183</v>
      </c>
      <c r="E2549" s="9">
        <f>IF(OR(C2549="",D2549="",D2549=0),"",C2549/D2549)</f>
        <v>0.83759148236251502</v>
      </c>
      <c r="F2549" t="str">
        <f>IF(E2549="","",IF(E2549&gt;=0.9,"Expected",IF(E2549&gt;=0.7,"Moderate","Poor")))</f>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11420.210418993207</v>
      </c>
      <c r="E2550" s="9">
        <f>IF(OR(C2550="",D2550="",D2550=0),"",C2550/D2550)</f>
        <v>0.88722883626983606</v>
      </c>
      <c r="F2550" t="str">
        <f>IF(E2550="","",IF(E2550&gt;=0.9,"Expected",IF(E2550&gt;=0.7,"Moderate","Poor")))</f>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10670.361128610106</v>
      </c>
      <c r="E2551" s="9">
        <f>IF(OR(C2551="",D2551="",D2551=0),"",C2551/D2551)</f>
        <v>0.76154873317380145</v>
      </c>
      <c r="F2551" t="str">
        <f>IF(E2551="","",IF(E2551&gt;=0.9,"Expected",IF(E2551&gt;=0.7,"Moderate","Poor")))</f>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4628.17128264447</v>
      </c>
      <c r="E2552" s="9">
        <f>IF(OR(C2552="",D2552="",D2552=0),"",C2552/D2552)</f>
        <v>0.58122308698630809</v>
      </c>
      <c r="F2552" t="str">
        <f>IF(E2552="","",IF(E2552&gt;=0.9,"Expected",IF(E2552&gt;=0.7,"Moderate","Poor")))</f>
        <v>Poor</v>
      </c>
      <c r="G2552" t="s">
        <v>874</v>
      </c>
    </row>
    <row r="2553" spans="1:7" ht="15" hidden="1"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12828.374679943196</v>
      </c>
      <c r="E2553" s="9">
        <f>IF(OR(C2553="",D2553="",D2553=0),"",C2553/D2553)</f>
        <v>0.86620482151751466</v>
      </c>
      <c r="F2553" t="str">
        <f>IF(E2553="","",IF(E2553&gt;=0.9,"Expected",IF(E2553&gt;=0.7,"Moderate","Poor")))</f>
        <v>Moderate</v>
      </c>
      <c r="G2553" t="s">
        <v>874</v>
      </c>
    </row>
    <row r="2554" spans="1:7" ht="15" customHeight="1" x14ac:dyDescent="0.3">
      <c r="A2554" t="s">
        <v>80</v>
      </c>
      <c r="B2554" s="2">
        <v>46266</v>
      </c>
      <c r="C2554" cm="1">
        <f t="array" ref="C2554">IFERROR(IF(SUMPRODUCT((measured[Site Name]=A2554)*(measured[Date]=B2554)*ISNUMBER(measured[Measured Value (kWh)]))=0,"",SUMIFS(measured[Measured Value (kWh)],measured[Site Name],A2554,measured[Date],B2554)),"")</f>
        <v>16232</v>
      </c>
      <c r="D2554" cm="1">
        <f t="array" ref="D2554">IFERROR(IF(SUMPRODUCT((expected_production[Site Name]=A2554)*(expected_production[Date]=B2554)*ISNUMBER(expected_production[Expected Production (kWh)]))=0,"",SUMIFS(expected_production[Expected Production (kWh)],expected_production[Site Name],A2554,expected_production[Date],B2554)),"")</f>
        <v>18626.400000000001</v>
      </c>
      <c r="E2554" s="9">
        <f>IF(OR(C2554="",D2554="",D2554=0),"",C2554/D2554)</f>
        <v>0.87145127346132367</v>
      </c>
      <c r="F2554" t="str">
        <f>IF(E2554="","",IF(E2554&gt;=0.9,"Expected",IF(E2554&gt;=0.7,"Moderate","Poor")))</f>
        <v>Moderate</v>
      </c>
      <c r="G2554" t="s">
        <v>874</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13453.544510741107</v>
      </c>
      <c r="E2555" s="9" t="str">
        <f>IF(OR(C2555="",D2555="",D2555=0),"",C2555/D2555)</f>
        <v/>
      </c>
      <c r="F2555" t="str">
        <f>IF(E2555="","",IF(E2555&gt;=0.9,"Expected",IF(E2555&gt;=0.7,"Moderate","Poor")))</f>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13042.965206282768</v>
      </c>
      <c r="E2556" s="9" t="str">
        <f>IF(OR(C2556="",D2556="",D2556=0),"",C2556/D2556)</f>
        <v/>
      </c>
      <c r="F2556" t="str">
        <f>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13736.174285378745</v>
      </c>
      <c r="E2557" s="9" t="str">
        <f>IF(OR(C2557="",D2557="",D2557=0),"",C2557/D2557)</f>
        <v/>
      </c>
      <c r="F2557" t="str">
        <f>IF(E2557="","",IF(E2557&gt;=0.9,"Expected",IF(E2557&gt;=0.7,"Moderate","Poor")))</f>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IF(OR(C2558="",D2558="",D2558=0),"",C2558/D2558)</f>
        <v/>
      </c>
      <c r="F2558" t="str">
        <f>IF(E2558="","",IF(E2558&gt;=0.9,"Expected",IF(E2558&gt;=0.7,"Moderate","Poor")))</f>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IF(OR(C2559="",D2559="",D2559=0),"",C2559/D2559)</f>
        <v/>
      </c>
      <c r="F2559" t="str">
        <f>IF(E2559="","",IF(E2559&gt;=0.9,"Expected",IF(E2559&gt;=0.7,"Moderate","Poor")))</f>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IF(OR(C2560="",D2560="",D2560=0),"",C2560/D2560)</f>
        <v/>
      </c>
      <c r="F2560" t="str">
        <f>IF(E2560="","",IF(E2560&gt;=0.9,"Expected",IF(E2560&gt;=0.7,"Moderate","Poor")))</f>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IF(OR(C2561="",D2561="",D2561=0),"",C2561/D2561)</f>
        <v/>
      </c>
      <c r="F2561" t="str">
        <f>IF(E2561="","",IF(E2561&gt;=0.9,"Expected",IF(E2561&gt;=0.7,"Moderate","Poor")))</f>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IF(OR(C2562="",D2562="",D2562=0),"",C2562/D2562)</f>
        <v/>
      </c>
      <c r="F2562" t="str">
        <f>IF(E2562="","",IF(E2562&gt;=0.9,"Expected",IF(E2562&gt;=0.7,"Moderate","Poor")))</f>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IF(OR(C2563="",D2563="",D2563=0),"",C2563/D2563)</f>
        <v/>
      </c>
      <c r="F2563" t="str">
        <f>IF(E2563="","",IF(E2563&gt;=0.9,"Expected",IF(E2563&gt;=0.7,"Moderate","Poor")))</f>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IF(OR(C2564="",D2564="",D2564=0),"",C2564/D2564)</f>
        <v/>
      </c>
      <c r="F2564" t="str">
        <f>IF(E2564="","",IF(E2564&gt;=0.9,"Expected",IF(E2564&gt;=0.7,"Moderate","Poor")))</f>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IF(OR(C2565="",D2565="",D2565=0),"",C2565/D2565)</f>
        <v/>
      </c>
      <c r="F2565" t="str">
        <f>IF(E2565="","",IF(E2565&gt;=0.9,"Expected",IF(E2565&gt;=0.7,"Moderate","Poor")))</f>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IF(OR(C2566="",D2566="",D2566=0),"",C2566/D2566)</f>
        <v/>
      </c>
      <c r="F2566" t="str">
        <f>IF(E2566="","",IF(E2566&gt;=0.9,"Expected",IF(E2566&gt;=0.7,"Moderate","Poor")))</f>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IF(OR(C2567="",D2567="",D2567=0),"",C2567/D2567)</f>
        <v/>
      </c>
      <c r="F2567" t="str">
        <f>IF(E2567="","",IF(E2567&gt;=0.9,"Expected",IF(E2567&gt;=0.7,"Moderate","Poor")))</f>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IF(OR(C2568="",D2568="",D2568=0),"",C2568/D2568)</f>
        <v/>
      </c>
      <c r="F2568" t="str">
        <f>IF(E2568="","",IF(E2568&gt;=0.9,"Expected",IF(E2568&gt;=0.7,"Moderate","Poor")))</f>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IF(OR(C2569="",D2569="",D2569=0),"",C2569/D2569)</f>
        <v/>
      </c>
      <c r="F2569" t="str">
        <f>IF(E2569="","",IF(E2569&gt;=0.9,"Expected",IF(E2569&gt;=0.7,"Moderate","Poor")))</f>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IF(OR(C2570="",D2570="",D2570=0),"",C2570/D2570)</f>
        <v/>
      </c>
      <c r="F2570" t="str">
        <f>IF(E2570="","",IF(E2570&gt;=0.9,"Expected",IF(E2570&gt;=0.7,"Moderate","Poor")))</f>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IF(OR(C2571="",D2571="",D2571=0),"",C2571/D2571)</f>
        <v/>
      </c>
      <c r="F2571" t="str">
        <f>IF(E2571="","",IF(E2571&gt;=0.9,"Expected",IF(E2571&gt;=0.7,"Moderate","Poor")))</f>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IF(OR(C2572="",D2572="",D2572=0),"",C2572/D2572)</f>
        <v/>
      </c>
      <c r="F2572" t="str">
        <f>IF(E2572="","",IF(E2572&gt;=0.9,"Expected",IF(E2572&gt;=0.7,"Moderate","Poor")))</f>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IF(OR(C2573="",D2573="",D2573=0),"",C2573/D2573)</f>
        <v/>
      </c>
      <c r="F2573" t="str">
        <f>IF(E2573="","",IF(E2573&gt;=0.9,"Expected",IF(E2573&gt;=0.7,"Moderate","Poor")))</f>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IF(OR(C2574="",D2574="",D2574=0),"",C2574/D2574)</f>
        <v/>
      </c>
      <c r="F2574" t="str">
        <f>IF(E2574="","",IF(E2574&gt;=0.9,"Expected",IF(E2574&gt;=0.7,"Moderate","Poor")))</f>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IF(OR(C2575="",D2575="",D2575=0),"",C2575/D2575)</f>
        <v/>
      </c>
      <c r="F2575" t="str">
        <f>IF(E2575="","",IF(E2575&gt;=0.9,"Expected",IF(E2575&gt;=0.7,"Moderate","Poor")))</f>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IF(OR(C2576="",D2576="",D2576=0),"",C2576/D2576)</f>
        <v/>
      </c>
      <c r="F2576" t="str">
        <f>IF(E2576="","",IF(E2576&gt;=0.9,"Expected",IF(E2576&gt;=0.7,"Moderate","Poor")))</f>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4722.3825267358525</v>
      </c>
      <c r="E2577" s="9">
        <f>IF(OR(C2577="",D2577="",D2577=0),"",C2577/D2577)</f>
        <v>0.81865456220722743</v>
      </c>
      <c r="F2577" t="str">
        <f>IF(E2577="","",IF(E2577&gt;=0.9,"Expected",IF(E2577&gt;=0.7,"Moderate","Poor")))</f>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5247.4616066317685</v>
      </c>
      <c r="E2578" s="9">
        <f>IF(OR(C2578="",D2578="",D2578=0),"",C2578/D2578)</f>
        <v>0.80972483812556006</v>
      </c>
      <c r="F2578" t="str">
        <f>IF(E2578="","",IF(E2578&gt;=0.9,"Expected",IF(E2578&gt;=0.7,"Moderate","Poor")))</f>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6481.1687577402463</v>
      </c>
      <c r="E2579" s="9">
        <f>IF(OR(C2579="",D2579="",D2579=0),"",C2579/D2579)</f>
        <v>0.81559363713328781</v>
      </c>
      <c r="F2579" t="str">
        <f>IF(E2579="","",IF(E2579&gt;=0.9,"Expected",IF(E2579&gt;=0.7,"Moderate","Poor")))</f>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6800.6770701314535</v>
      </c>
      <c r="E2580" s="9">
        <f>IF(OR(C2580="",D2580="",D2580=0),"",C2580/D2580)</f>
        <v>0.73536795651779618</v>
      </c>
      <c r="F2580" t="str">
        <f>IF(E2580="","",IF(E2580&gt;=0.9,"Expected",IF(E2580&gt;=0.7,"Moderate","Poor")))</f>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7277.9405654073571</v>
      </c>
      <c r="E2581" s="9">
        <f>IF(OR(C2581="",D2581="",D2581=0),"",C2581/D2581)</f>
        <v>0.92155190602667414</v>
      </c>
      <c r="F2581" t="str">
        <f>IF(E2581="","",IF(E2581&gt;=0.9,"Expected",IF(E2581&gt;=0.7,"Moderate","Poor")))</f>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7277.1915314493199</v>
      </c>
      <c r="E2582" s="9">
        <f>IF(OR(C2582="",D2582="",D2582=0),"",C2582/D2582)</f>
        <v>0.98547632957129683</v>
      </c>
      <c r="F2582" t="str">
        <f>IF(E2582="","",IF(E2582&gt;=0.9,"Expected",IF(E2582&gt;=0.7,"Moderate","Poor")))</f>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6200.442164635072</v>
      </c>
      <c r="E2583" s="9">
        <f>IF(OR(C2583="",D2583="",D2583=0),"",C2583/D2583)</f>
        <v>0.78123460736853667</v>
      </c>
      <c r="F2583" t="str">
        <f>IF(E2583="","",IF(E2583&gt;=0.9,"Expected",IF(E2583&gt;=0.7,"Moderate","Poor")))</f>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6023.2446258801019</v>
      </c>
      <c r="E2584" s="9">
        <f>IF(OR(C2584="",D2584="",D2584=0),"",C2584/D2584)</f>
        <v>0.89818699654914047</v>
      </c>
      <c r="F2584" t="str">
        <f>IF(E2584="","",IF(E2584&gt;=0.9,"Expected",IF(E2584&gt;=0.7,"Moderate","Poor")))</f>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5106.0929912863039</v>
      </c>
      <c r="E2585" s="9">
        <f>IF(OR(C2585="",D2585="",D2585=0),"",C2585/D2585)</f>
        <v>0.55140006357203686</v>
      </c>
      <c r="F2585" t="str">
        <f>IF(E2585="","",IF(E2585&gt;=0.9,"Expected",IF(E2585&gt;=0.7,"Moderate","Poor")))</f>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4596.5030401091117</v>
      </c>
      <c r="E2586" s="9">
        <f>IF(OR(C2586="",D2586="",D2586=0),"",C2586/D2586)</f>
        <v>0.47982128604175706</v>
      </c>
      <c r="F2586" t="str">
        <f>IF(E2586="","",IF(E2586&gt;=0.9,"Expected",IF(E2586&gt;=0.7,"Moderate","Poor")))</f>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3907.6063428599132</v>
      </c>
      <c r="E2587" s="9">
        <f>IF(OR(C2587="",D2587="",D2587=0),"",C2587/D2587)</f>
        <v>0.49181003186556044</v>
      </c>
      <c r="F2587" t="str">
        <f>IF(E2587="","",IF(E2587&gt;=0.9,"Expected",IF(E2587&gt;=0.7,"Moderate","Poor")))</f>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2765.4183283714306</v>
      </c>
      <c r="E2588" s="9">
        <f>IF(OR(C2588="",D2588="",D2588=0),"",C2588/D2588)</f>
        <v>1.0982063613458819</v>
      </c>
      <c r="F2588" t="str">
        <f>IF(E2588="","",IF(E2588&gt;=0.9,"Expected",IF(E2588&gt;=0.7,"Moderate","Poor")))</f>
        <v>Expected</v>
      </c>
      <c r="G2588" t="s">
        <v>874</v>
      </c>
    </row>
    <row r="2589" spans="1:7" ht="15" hidden="1"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4689.3483957890121</v>
      </c>
      <c r="E2589" s="9">
        <f>IF(OR(C2589="",D2589="",D2589=0),"",C2589/D2589)</f>
        <v>0.88391811615493709</v>
      </c>
      <c r="F2589" t="str">
        <f>IF(E2589="","",IF(E2589&gt;=0.9,"Expected",IF(E2589&gt;=0.7,"Moderate","Poor")))</f>
        <v>Moderate</v>
      </c>
      <c r="G2589" t="s">
        <v>874</v>
      </c>
    </row>
    <row r="2590" spans="1:7" ht="15" customHeight="1" x14ac:dyDescent="0.3">
      <c r="A2590" t="s">
        <v>241</v>
      </c>
      <c r="B2590" s="2">
        <v>46266</v>
      </c>
      <c r="C2590" cm="1">
        <f t="array" ref="C2590">IFERROR(IF(SUMPRODUCT((measured[Site Name]=A2590)*(measured[Date]=B2590)*ISNUMBER(measured[Measured Value (kWh)]))=0,"",SUMIFS(measured[Measured Value (kWh)],measured[Site Name],A2590,measured[Date],B2590)),"")</f>
        <v>20723.336220000001</v>
      </c>
      <c r="D2590" cm="1">
        <f t="array" ref="D2590">IFERROR(IF(SUMPRODUCT((expected_production[Site Name]=A2590)*(expected_production[Date]=B2590)*ISNUMBER(expected_production[Expected Production (kWh)]))=0,"",SUMIFS(expected_production[Expected Production (kWh)],expected_production[Site Name],A2590,expected_production[Date],B2590)),"")</f>
        <v>23750.38599606149</v>
      </c>
      <c r="E2590" s="9">
        <f>IF(OR(C2590="",D2590="",D2590=0),"",C2590/D2590)</f>
        <v>0.87254734400681055</v>
      </c>
      <c r="F2590" t="str">
        <f>IF(E2590="","",IF(E2590&gt;=0.9,"Expected",IF(E2590&gt;=0.7,"Moderate","Poor")))</f>
        <v>Moderate</v>
      </c>
      <c r="G2590" t="s">
        <v>874</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6435.8315203987922</v>
      </c>
      <c r="E2591" s="9" t="str">
        <f>IF(OR(C2591="",D2591="",D2591=0),"",C2591/D2591)</f>
        <v/>
      </c>
      <c r="F2591" t="str">
        <f>IF(E2591="","",IF(E2591&gt;=0.9,"Expected",IF(E2591&gt;=0.7,"Moderate","Poor")))</f>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6753.1048000770879</v>
      </c>
      <c r="E2592" s="9" t="str">
        <f>IF(OR(C2592="",D2592="",D2592=0),"",C2592/D2592)</f>
        <v/>
      </c>
      <c r="F2592" t="str">
        <f>IF(E2592="","",IF(E2592&gt;=0.9,"Expected",IF(E2592&gt;=0.7,"Moderate","Poor")))</f>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7227.0297295528198</v>
      </c>
      <c r="E2593" s="9" t="str">
        <f>IF(OR(C2593="",D2593="",D2593=0),"",C2593/D2593)</f>
        <v/>
      </c>
      <c r="F2593" t="str">
        <f>IF(E2593="","",IF(E2593&gt;=0.9,"Expected",IF(E2593&gt;=0.7,"Moderate","Poor")))</f>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27902.484576566538</v>
      </c>
      <c r="E2594" s="9">
        <f>IF(OR(C2594="",D2594="",D2594=0),"",C2594/D2594)</f>
        <v>0.64123321888783746</v>
      </c>
      <c r="F2594" t="str">
        <f>IF(E2594="","",IF(E2594&gt;=0.9,"Expected",IF(E2594&gt;=0.7,"Moderate","Poor")))</f>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23732.794114348395</v>
      </c>
      <c r="E2595" s="9">
        <f>IF(OR(C2595="",D2595="",D2595=0),"",C2595/D2595)</f>
        <v>0.67118097950252009</v>
      </c>
      <c r="F2595" t="str">
        <f>IF(E2595="","",IF(E2595&gt;=0.9,"Expected",IF(E2595&gt;=0.7,"Moderate","Poor")))</f>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24008.627611653508</v>
      </c>
      <c r="E2596" s="9">
        <f>IF(OR(C2596="",D2596="",D2596=0),"",C2596/D2596)</f>
        <v>0.77155597144622567</v>
      </c>
      <c r="F2596" t="str">
        <f>IF(E2596="","",IF(E2596&gt;=0.9,"Expected",IF(E2596&gt;=0.7,"Moderate","Poor")))</f>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19918.494759322384</v>
      </c>
      <c r="E2597" s="9">
        <f>IF(OR(C2597="",D2597="",D2597=0),"",C2597/D2597)</f>
        <v>0.65647530890255068</v>
      </c>
      <c r="F2597" t="str">
        <f>IF(E2597="","",IF(E2597&gt;=0.9,"Expected",IF(E2597&gt;=0.7,"Moderate","Poor")))</f>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18892.436699292051</v>
      </c>
      <c r="E2598" s="9">
        <f>IF(OR(C2598="",D2598="",D2598=0),"",C2598/D2598)</f>
        <v>0.93370697918818579</v>
      </c>
      <c r="F2598" t="str">
        <f>IF(E2598="","",IF(E2598&gt;=0.9,"Expected",IF(E2598&gt;=0.7,"Moderate","Poor")))</f>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16928.290056198035</v>
      </c>
      <c r="E2599" s="9">
        <f>IF(OR(C2599="",D2599="",D2599=0),"",C2599/D2599)</f>
        <v>0.86494264638613372</v>
      </c>
      <c r="F2599" t="str">
        <f>IF(E2599="","",IF(E2599&gt;=0.9,"Expected",IF(E2599&gt;=0.7,"Moderate","Poor")))</f>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18749.751478316513</v>
      </c>
      <c r="E2600" s="9">
        <f>IF(OR(C2600="",D2600="",D2600=0),"",C2600/D2600)</f>
        <v>0.80011727181287351</v>
      </c>
      <c r="F2600" t="str">
        <f>IF(E2600="","",IF(E2600&gt;=0.9,"Expected",IF(E2600&gt;=0.7,"Moderate","Poor")))</f>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21877.733818928697</v>
      </c>
      <c r="E2601" s="9">
        <f>IF(OR(C2601="",D2601="",D2601=0),"",C2601/D2601)</f>
        <v>0.95037265614826538</v>
      </c>
      <c r="F2601" t="str">
        <f>IF(E2601="","",IF(E2601&gt;=0.9,"Expected",IF(E2601&gt;=0.7,"Moderate","Poor")))</f>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24302.824240444963</v>
      </c>
      <c r="E2602" s="9">
        <f>IF(OR(C2602="",D2602="",D2602=0),"",C2602/D2602)</f>
        <v>0.85990005907302636</v>
      </c>
      <c r="F2602" t="str">
        <f>IF(E2602="","",IF(E2602&gt;=0.9,"Expected",IF(E2602&gt;=0.7,"Moderate","Poor")))</f>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26992.018861246819</v>
      </c>
      <c r="E2603" s="9">
        <f>IF(OR(C2603="",D2603="",D2603=0),"",C2603/D2603)</f>
        <v>1.1234802463604689</v>
      </c>
      <c r="F2603" t="str">
        <f>IF(E2603="","",IF(E2603&gt;=0.9,"Expected",IF(E2603&gt;=0.7,"Moderate","Poor")))</f>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26696.239928481817</v>
      </c>
      <c r="E2604" s="9">
        <f>IF(OR(C2604="",D2604="",D2604=0),"",C2604/D2604)</f>
        <v>1.0462147506474087</v>
      </c>
      <c r="F2604" t="str">
        <f>IF(E2604="","",IF(E2604&gt;=0.9,"Expected",IF(E2604&gt;=0.7,"Moderate","Poor")))</f>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28713.218093837793</v>
      </c>
      <c r="E2605" s="9">
        <f>IF(OR(C2605="",D2605="",D2605=0),"",C2605/D2605)</f>
        <v>0.61480395343733862</v>
      </c>
      <c r="F2605" t="str">
        <f>IF(E2605="","",IF(E2605&gt;=0.9,"Expected",IF(E2605&gt;=0.7,"Moderate","Poor")))</f>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27706.76753201156</v>
      </c>
      <c r="E2606" s="9">
        <f>IF(OR(C2606="",D2606="",D2606=0),"",C2606/D2606)</f>
        <v>0.86466239601284445</v>
      </c>
      <c r="F2606" t="str">
        <f>IF(E2606="","",IF(E2606&gt;=0.9,"Expected",IF(E2606&gt;=0.7,"Moderate","Poor")))</f>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23566.324626287358</v>
      </c>
      <c r="E2607" s="9">
        <f>IF(OR(C2607="",D2607="",D2607=0),"",C2607/D2607)</f>
        <v>0.84434040163414037</v>
      </c>
      <c r="F2607" t="str">
        <f>IF(E2607="","",IF(E2607&gt;=0.9,"Expected",IF(E2607&gt;=0.7,"Moderate","Poor")))</f>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23840.681846166044</v>
      </c>
      <c r="E2608" s="9">
        <f>IF(OR(C2608="",D2608="",D2608=0),"",C2608/D2608)</f>
        <v>0.77321614033301977</v>
      </c>
      <c r="F2608" t="str">
        <f>IF(E2608="","",IF(E2608&gt;=0.9,"Expected",IF(E2608&gt;=0.7,"Moderate","Poor")))</f>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19779.160395700172</v>
      </c>
      <c r="E2609" s="9">
        <f>IF(OR(C2609="",D2609="",D2609=0),"",C2609/D2609)</f>
        <v>0.84518248831402065</v>
      </c>
      <c r="F2609" t="str">
        <f>IF(E2609="","",IF(E2609&gt;=0.9,"Expected",IF(E2609&gt;=0.7,"Moderate","Poor")))</f>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18760.279843235607</v>
      </c>
      <c r="E2610" s="9">
        <f>IF(OR(C2610="",D2610="",D2610=0),"",C2610/D2610)</f>
        <v>1.0403895977616562</v>
      </c>
      <c r="F2610" t="str">
        <f>IF(E2610="","",IF(E2610&gt;=0.9,"Expected",IF(E2610&gt;=0.7,"Moderate","Poor")))</f>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16809.872848939503</v>
      </c>
      <c r="E2611" s="9">
        <f>IF(OR(C2611="",D2611="",D2611=0),"",C2611/D2611)</f>
        <v>0.99369579711329059</v>
      </c>
      <c r="F2611" t="str">
        <f>IF(E2611="","",IF(E2611&gt;=0.9,"Expected",IF(E2611&gt;=0.7,"Moderate","Poor")))</f>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18618.592737564624</v>
      </c>
      <c r="E2612" s="9">
        <f>IF(OR(C2612="",D2612="",D2612=0),"",C2612/D2612)</f>
        <v>0.93682805386297563</v>
      </c>
      <c r="F2612" t="str">
        <f>IF(E2612="","",IF(E2612&gt;=0.9,"Expected",IF(E2612&gt;=0.7,"Moderate","Poor")))</f>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21724.694136162008</v>
      </c>
      <c r="E2613" s="9">
        <f>IF(OR(C2613="",D2613="",D2613=0),"",C2613/D2613)</f>
        <v>0.98592872542895038</v>
      </c>
      <c r="F2613" t="str">
        <f>IF(E2613="","",IF(E2613&gt;=0.9,"Expected",IF(E2613&gt;=0.7,"Moderate","Poor")))</f>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24132.820503180628</v>
      </c>
      <c r="E2614" s="9">
        <f>IF(OR(C2614="",D2614="",D2614=0),"",C2614/D2614)</f>
        <v>0.80748953473679863</v>
      </c>
      <c r="F2614" t="str">
        <f>IF(E2614="","",IF(E2614&gt;=0.9,"Expected",IF(E2614&gt;=0.7,"Moderate","Poor")))</f>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26803.203601039953</v>
      </c>
      <c r="E2615" s="9">
        <f>IF(OR(C2615="",D2615="",D2615=0),"",C2615/D2615)</f>
        <v>0.96477422568236137</v>
      </c>
      <c r="F2615" t="str">
        <f>IF(E2615="","",IF(E2615&gt;=0.9,"Expected",IF(E2615&gt;=0.7,"Moderate","Poor")))</f>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26509.493708625017</v>
      </c>
      <c r="E2616" s="9">
        <f>IF(OR(C2616="",D2616="",D2616=0),"",C2616/D2616)</f>
        <v>0.87621439531463541</v>
      </c>
      <c r="F2616" t="str">
        <f>IF(E2616="","",IF(E2616&gt;=0.9,"Expected",IF(E2616&gt;=0.7,"Moderate","Poor")))</f>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28512.362656768266</v>
      </c>
      <c r="E2617" s="9">
        <f>IF(OR(C2617="",D2617="",D2617=0),"",C2617/D2617)</f>
        <v>0.4649562072279918</v>
      </c>
      <c r="F2617" t="str">
        <f>IF(E2617="","",IF(E2617&gt;=0.9,"Expected",IF(E2617&gt;=0.7,"Moderate","Poor")))</f>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27512.952443635233</v>
      </c>
      <c r="E2618" s="9">
        <f>IF(OR(C2618="",D2618="",D2618=0),"",C2618/D2618)</f>
        <v>0.89514202630395523</v>
      </c>
      <c r="F2618" t="str">
        <f>IF(E2618="","",IF(E2618&gt;=0.9,"Expected",IF(E2618&gt;=0.7,"Moderate","Poor")))</f>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23401.472869947615</v>
      </c>
      <c r="E2619" s="9">
        <f>IF(OR(C2619="",D2619="",D2619=0),"",C2619/D2619)</f>
        <v>1.0618348741591677</v>
      </c>
      <c r="F2619" t="str">
        <f>IF(E2619="","",IF(E2619&gt;=0.9,"Expected",IF(E2619&gt;=0.7,"Moderate","Poor")))</f>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23673.910899189719</v>
      </c>
      <c r="E2620" s="9">
        <f>IF(OR(C2620="",D2620="",D2620=0),"",C2620/D2620)</f>
        <v>0.85997620277842735</v>
      </c>
      <c r="F2620" t="str">
        <f>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19640.800707379509</v>
      </c>
      <c r="E2621" s="9">
        <f>IF(OR(C2621="",D2621="",D2621=0),"",C2621/D2621)</f>
        <v>0.89003346963507401</v>
      </c>
      <c r="F2621" t="str">
        <f>IF(E2621="","",IF(E2621&gt;=0.9,"Expected",IF(E2621&gt;=0.7,"Moderate","Poor")))</f>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18629.047454196345</v>
      </c>
      <c r="E2622" s="9">
        <f>IF(OR(C2622="",D2622="",D2622=0),"",C2622/D2622)</f>
        <v>0.93967982222605695</v>
      </c>
      <c r="F2622" t="str">
        <f>IF(E2622="","",IF(E2622&gt;=0.9,"Expected",IF(E2622&gt;=0.7,"Moderate","Poor")))</f>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16692.283996755727</v>
      </c>
      <c r="E2623" s="9">
        <f>IF(OR(C2623="",D2623="",D2623=0),"",C2623/D2623)</f>
        <v>0.69822679761890216</v>
      </c>
      <c r="F2623" t="str">
        <f>IF(E2623="","",IF(E2623&gt;=0.9,"Expected",IF(E2623&gt;=0.7,"Moderate","Poor")))</f>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2994.701717727155</v>
      </c>
      <c r="E2624" s="9">
        <f>IF(OR(C2624="",D2624="",D2624=0),"",C2624/D2624)</f>
        <v>0.73486116729856676</v>
      </c>
      <c r="F2624" t="str">
        <f>IF(E2624="","",IF(E2624&gt;=0.9,"Expected",IF(E2624&gt;=0.7,"Moderate","Poor")))</f>
        <v>Moderate</v>
      </c>
      <c r="G2624" t="s">
        <v>874</v>
      </c>
    </row>
    <row r="2625" spans="1:7" ht="15" hidden="1" customHeight="1" x14ac:dyDescent="0.3">
      <c r="A2625" s="12" t="s">
        <v>202</v>
      </c>
      <c r="B2625" s="42">
        <v>46235</v>
      </c>
      <c r="C2625" s="12" cm="1">
        <f t="array" ref="C2625">IFERROR(IF(SUMPRODUCT((measured[Site Name]=A2625)*(measured[Date]=B2625)*ISNUMBER(measured[Measured Value (kWh)]))=0,"",SUMIFS(measured[Measured Value (kWh)],measured[Site Name],A2625,measured[Date],B2625)),"")</f>
        <v>18697</v>
      </c>
      <c r="D2625" s="12" cm="1">
        <f t="array" ref="D2625">IFERROR(IF(SUMPRODUCT((expected_production[Site Name]=A2625)*(expected_production[Date]=B2625)*ISNUMBER(expected_production[Expected Production (kWh)]))=0,"",SUMIFS(expected_production[Expected Production (kWh)],expected_production[Site Name],A2625,expected_production[Date],B2625)),"")</f>
        <v>21572.72500049564</v>
      </c>
      <c r="E2625" s="43">
        <f>IF(OR(C2625="",D2625="",D2625=0),"",C2625/D2625)</f>
        <v>0.86669625647990367</v>
      </c>
      <c r="F2625" s="12" t="str">
        <f>IF(E2625="","",IF(E2625&gt;=0.9,"Expected",IF(E2625&gt;=0.7,"Moderate","Poor")))</f>
        <v>Moderate</v>
      </c>
      <c r="G2625" s="12" t="s">
        <v>874</v>
      </c>
    </row>
    <row r="2626" spans="1:7" ht="15" customHeight="1" x14ac:dyDescent="0.3">
      <c r="A2626" t="s">
        <v>188</v>
      </c>
      <c r="B2626" s="2">
        <v>46266</v>
      </c>
      <c r="C2626" cm="1">
        <f t="array" ref="C2626">IFERROR(IF(SUMPRODUCT((measured[Site Name]=A2626)*(measured[Date]=B2626)*ISNUMBER(measured[Measured Value (kWh)]))=0,"",SUMIFS(measured[Measured Value (kWh)],measured[Site Name],A2626,measured[Date],B2626)),"")</f>
        <v>15845.86</v>
      </c>
      <c r="D2626" cm="1">
        <f t="array" ref="D2626">IFERROR(IF(SUMPRODUCT((expected_production[Site Name]=A2626)*(expected_production[Date]=B2626)*ISNUMBER(expected_production[Expected Production (kWh)]))=0,"",SUMIFS(expected_production[Expected Production (kWh)],expected_production[Site Name],A2626,expected_production[Date],B2626)),"")</f>
        <v>18063.713033882868</v>
      </c>
      <c r="E2626" s="9">
        <f>IF(OR(C2626="",D2626="",D2626=0),"",C2626/D2626)</f>
        <v>0.87722053435399761</v>
      </c>
      <c r="F2626" t="str">
        <f>IF(E2626="","",IF(E2626&gt;=0.9,"Expected",IF(E2626&gt;=0.7,"Moderate","Poor")))</f>
        <v>Moderate</v>
      </c>
      <c r="G2626" t="s">
        <v>874</v>
      </c>
    </row>
    <row r="2627" spans="1:7"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26615.709146167072</v>
      </c>
      <c r="E2627" s="9" t="str">
        <f>IF(OR(C2627="",D2627="",D2627=0),"",C2627/D2627)</f>
        <v/>
      </c>
      <c r="F2627" t="str">
        <f>IF(E2627="","",IF(E2627&gt;=0.9,"Expected",IF(E2627&gt;=0.7,"Moderate","Poor")))</f>
        <v/>
      </c>
    </row>
    <row r="2628" spans="1:7"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26324.053820698267</v>
      </c>
      <c r="E2628" s="9" t="str">
        <f>IF(OR(C2628="",D2628="",D2628=0),"",C2628/D2628)</f>
        <v/>
      </c>
      <c r="F2628" t="str">
        <f>IF(E2628="","",IF(E2628&gt;=0.9,"Expected",IF(E2628&gt;=0.7,"Moderate","Poor")))</f>
        <v/>
      </c>
    </row>
    <row r="2629" spans="1:7"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28312.912248785648</v>
      </c>
      <c r="E2629" s="9" t="str">
        <f>IF(OR(C2629="",D2629="",D2629=0),"",C2629/D2629)</f>
        <v/>
      </c>
      <c r="F2629" t="str">
        <f>IF(E2629="","",IF(E2629&gt;=0.9,"Expected",IF(E2629&gt;=0.7,"Moderate","Poor")))</f>
        <v/>
      </c>
    </row>
    <row r="2630" spans="1:7"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IF(OR(C2630="",D2630="",D2630=0),"",C2630/D2630)</f>
        <v/>
      </c>
      <c r="F2630" t="str">
        <f>IF(E2630="","",IF(E2630&gt;=0.9,"Expected",IF(E2630&gt;=0.7,"Moderate","Poor")))</f>
        <v/>
      </c>
    </row>
    <row r="2631" spans="1:7"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IF(OR(C2631="",D2631="",D2631=0),"",C2631/D2631)</f>
        <v/>
      </c>
      <c r="F2631" t="str">
        <f>IF(E2631="","",IF(E2631&gt;=0.9,"Expected",IF(E2631&gt;=0.7,"Moderate","Poor")))</f>
        <v/>
      </c>
    </row>
    <row r="2632" spans="1:7"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IF(OR(C2632="",D2632="",D2632=0),"",C2632/D2632)</f>
        <v/>
      </c>
      <c r="F2632" t="str">
        <f>IF(E2632="","",IF(E2632&gt;=0.9,"Expected",IF(E2632&gt;=0.7,"Moderate","Poor")))</f>
        <v/>
      </c>
    </row>
    <row r="2633" spans="1:7"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IF(OR(C2633="",D2633="",D2633=0),"",C2633/D2633)</f>
        <v/>
      </c>
      <c r="F2633" t="str">
        <f>IF(E2633="","",IF(E2633&gt;=0.9,"Expected",IF(E2633&gt;=0.7,"Moderate","Poor")))</f>
        <v/>
      </c>
    </row>
    <row r="2634" spans="1:7"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IF(OR(C2634="",D2634="",D2634=0),"",C2634/D2634)</f>
        <v/>
      </c>
      <c r="F2634" t="str">
        <f>IF(E2634="","",IF(E2634&gt;=0.9,"Expected",IF(E2634&gt;=0.7,"Moderate","Poor")))</f>
        <v/>
      </c>
    </row>
    <row r="2635" spans="1:7"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IF(OR(C2635="",D2635="",D2635=0),"",C2635/D2635)</f>
        <v/>
      </c>
      <c r="F2635" t="str">
        <f>IF(E2635="","",IF(E2635&gt;=0.9,"Expected",IF(E2635&gt;=0.7,"Moderate","Poor")))</f>
        <v/>
      </c>
    </row>
    <row r="2636" spans="1:7"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IF(OR(C2636="",D2636="",D2636=0),"",C2636/D2636)</f>
        <v/>
      </c>
      <c r="F2636" t="str">
        <f>IF(E2636="","",IF(E2636&gt;=0.9,"Expected",IF(E2636&gt;=0.7,"Moderate","Poor")))</f>
        <v/>
      </c>
    </row>
    <row r="2637" spans="1:7"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IF(OR(C2637="",D2637="",D2637=0),"",C2637/D2637)</f>
        <v/>
      </c>
      <c r="F2637" t="str">
        <f>IF(E2637="","",IF(E2637&gt;=0.9,"Expected",IF(E2637&gt;=0.7,"Moderate","Poor")))</f>
        <v/>
      </c>
    </row>
    <row r="2638" spans="1:7"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IF(OR(C2638="",D2638="",D2638=0),"",C2638/D2638)</f>
        <v/>
      </c>
      <c r="F2638" t="str">
        <f>IF(E2638="","",IF(E2638&gt;=0.9,"Expected",IF(E2638&gt;=0.7,"Moderate","Poor")))</f>
        <v/>
      </c>
    </row>
    <row r="2639" spans="1:7"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IF(OR(C2639="",D2639="",D2639=0),"",C2639/D2639)</f>
        <v/>
      </c>
      <c r="F2639" t="str">
        <f>IF(E2639="","",IF(E2639&gt;=0.9,"Expected",IF(E2639&gt;=0.7,"Moderate","Poor")))</f>
        <v/>
      </c>
    </row>
    <row r="2640" spans="1:7"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IF(OR(C2640="",D2640="",D2640=0),"",C2640/D2640)</f>
        <v/>
      </c>
      <c r="F2640" t="str">
        <f>IF(E2640="","",IF(E2640&gt;=0.9,"Expected",IF(E2640&gt;=0.7,"Moderate","Poor")))</f>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IF(OR(C2641="",D2641="",D2641=0),"",C2641/D2641)</f>
        <v/>
      </c>
      <c r="F2641" t="str">
        <f>IF(E2641="","",IF(E2641&gt;=0.9,"Expected",IF(E2641&gt;=0.7,"Moderate","Poor")))</f>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IF(OR(C2642="",D2642="",D2642=0),"",C2642/D2642)</f>
        <v/>
      </c>
      <c r="F2642" t="str">
        <f>IF(E2642="","",IF(E2642&gt;=0.9,"Expected",IF(E2642&gt;=0.7,"Moderate","Poor")))</f>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IF(OR(C2643="",D2643="",D2643=0),"",C2643/D2643)</f>
        <v/>
      </c>
      <c r="F2643" t="str">
        <f>IF(E2643="","",IF(E2643&gt;=0.9,"Expected",IF(E2643&gt;=0.7,"Moderate","Poor")))</f>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IF(OR(C2644="",D2644="",D2644=0),"",C2644/D2644)</f>
        <v/>
      </c>
      <c r="F2644" t="str">
        <f>IF(E2644="","",IF(E2644&gt;=0.9,"Expected",IF(E2644&gt;=0.7,"Moderate","Poor")))</f>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IF(OR(C2645="",D2645="",D2645=0),"",C2645/D2645)</f>
        <v/>
      </c>
      <c r="F2645" t="str">
        <f>IF(E2645="","",IF(E2645&gt;=0.9,"Expected",IF(E2645&gt;=0.7,"Moderate","Poor")))</f>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IF(OR(C2646="",D2646="",D2646=0),"",C2646/D2646)</f>
        <v/>
      </c>
      <c r="F2646" t="str">
        <f>IF(E2646="","",IF(E2646&gt;=0.9,"Expected",IF(E2646&gt;=0.7,"Moderate","Poor")))</f>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IF(OR(C2647="",D2647="",D2647=0),"",C2647/D2647)</f>
        <v/>
      </c>
      <c r="F2647" t="str">
        <f>IF(E2647="","",IF(E2647&gt;=0.9,"Expected",IF(E2647&gt;=0.7,"Moderate","Poor")))</f>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IF(OR(C2648="",D2648="",D2648=0),"",C2648/D2648)</f>
        <v/>
      </c>
      <c r="F2648" t="str">
        <f>IF(E2648="","",IF(E2648&gt;=0.9,"Expected",IF(E2648&gt;=0.7,"Moderate","Poor")))</f>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IF(OR(C2649="",D2649="",D2649=0),"",C2649/D2649)</f>
        <v/>
      </c>
      <c r="F2649" t="str">
        <f>IF(E2649="","",IF(E2649&gt;=0.9,"Expected",IF(E2649&gt;=0.7,"Moderate","Poor")))</f>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IF(OR(C2650="",D2650="",D2650=0),"",C2650/D2650)</f>
        <v/>
      </c>
      <c r="F2650" t="str">
        <f>IF(E2650="","",IF(E2650&gt;=0.9,"Expected",IF(E2650&gt;=0.7,"Moderate","Poor")))</f>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IF(OR(C2651="",D2651="",D2651=0),"",C2651/D2651)</f>
        <v/>
      </c>
      <c r="F2651" t="str">
        <f>IF(E2651="","",IF(E2651&gt;=0.9,"Expected",IF(E2651&gt;=0.7,"Moderate","Poor")))</f>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IF(OR(C2652="",D2652="",D2652=0),"",C2652/D2652)</f>
        <v/>
      </c>
      <c r="F2652" t="str">
        <f>IF(E2652="","",IF(E2652&gt;=0.9,"Expected",IF(E2652&gt;=0.7,"Moderate","Poor")))</f>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IF(OR(C2653="",D2653="",D2653=0),"",C2653/D2653)</f>
        <v/>
      </c>
      <c r="F2653" t="str">
        <f>IF(E2653="","",IF(E2653&gt;=0.9,"Expected",IF(E2653&gt;=0.7,"Moderate","Poor")))</f>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IF(OR(C2654="",D2654="",D2654=0),"",C2654/D2654)</f>
        <v/>
      </c>
      <c r="F2654" t="str">
        <f>IF(E2654="","",IF(E2654&gt;=0.9,"Expected",IF(E2654&gt;=0.7,"Moderate","Poor")))</f>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IF(OR(C2655="",D2655="",D2655=0),"",C2655/D2655)</f>
        <v/>
      </c>
      <c r="F2655" t="str">
        <f>IF(E2655="","",IF(E2655&gt;=0.9,"Expected",IF(E2655&gt;=0.7,"Moderate","Poor")))</f>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IF(OR(C2656="",D2656="",D2656=0),"",C2656/D2656)</f>
        <v/>
      </c>
      <c r="F2656" t="str">
        <f>IF(E2656="","",IF(E2656&gt;=0.9,"Expected",IF(E2656&gt;=0.7,"Moderate","Poor")))</f>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IF(OR(C2657="",D2657="",D2657=0),"",C2657/D2657)</f>
        <v/>
      </c>
      <c r="F2657" t="str">
        <f>IF(E2657="","",IF(E2657&gt;=0.9,"Expected",IF(E2657&gt;=0.7,"Moderate","Poor")))</f>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IF(OR(C2658="",D2658="",D2658=0),"",C2658/D2658)</f>
        <v/>
      </c>
      <c r="F2658" t="str">
        <f>IF(E2658="","",IF(E2658&gt;=0.9,"Expected",IF(E2658&gt;=0.7,"Moderate","Poor")))</f>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IF(OR(C2659="",D2659="",D2659=0),"",C2659/D2659)</f>
        <v/>
      </c>
      <c r="F2659" t="str">
        <f>IF(E2659="","",IF(E2659&gt;=0.9,"Expected",IF(E2659&gt;=0.7,"Moderate","Poor")))</f>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11637.493877240553</v>
      </c>
      <c r="E2660" s="9">
        <f>IF(OR(C2660="",D2660="",D2660=0),"",C2660/D2660)</f>
        <v>0.85014781570359355</v>
      </c>
      <c r="F2660" t="str">
        <f>IF(E2660="","",IF(E2660&gt;=0.9,"Expected",IF(E2660&gt;=0.7,"Moderate","Poor")))</f>
        <v>Moderate</v>
      </c>
      <c r="G2660" t="s">
        <v>874</v>
      </c>
    </row>
    <row r="2661" spans="1:7" ht="15" hidden="1"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IF(OR(C2661="",D2661="",D2661=0),"",C2661/D2661)</f>
        <v/>
      </c>
      <c r="F2661" t="str">
        <f>IF(E2661="","",IF(E2661&gt;=0.9,"Expected",IF(E2661&gt;=0.7,"Moderate","Poor")))</f>
        <v/>
      </c>
      <c r="G2661" t="s">
        <v>874</v>
      </c>
    </row>
    <row r="2662" spans="1:7" ht="15"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IF(OR(C2662="",D2662="",D2662=0),"",C2662/D2662)</f>
        <v/>
      </c>
      <c r="F2662" t="str">
        <f>IF(E2662="","",IF(E2662&gt;=0.9,"Expected",IF(E2662&gt;=0.7,"Moderate","Poor")))</f>
        <v/>
      </c>
      <c r="G2662" t="s">
        <v>874</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IF(OR(C2663="",D2663="",D2663=0),"",C2663/D2663)</f>
        <v/>
      </c>
      <c r="F2663" t="str">
        <f>IF(E2663="","",IF(E2663&gt;=0.9,"Expected",IF(E2663&gt;=0.7,"Moderate","Poor")))</f>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IF(OR(C2664="",D2664="",D2664=0),"",C2664/D2664)</f>
        <v/>
      </c>
      <c r="F2664" t="str">
        <f>IF(E2664="","",IF(E2664&gt;=0.9,"Expected",IF(E2664&gt;=0.7,"Moderate","Poor")))</f>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IF(OR(C2665="",D2665="",D2665=0),"",C2665/D2665)</f>
        <v/>
      </c>
      <c r="F2665" t="str">
        <f>IF(E2665="","",IF(E2665&gt;=0.9,"Expected",IF(E2665&gt;=0.7,"Moderate","Poor")))</f>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IF(OR(C2666="",D2666="",D2666=0),"",C2666/D2666)</f>
        <v/>
      </c>
      <c r="F2666" t="str">
        <f>IF(E2666="","",IF(E2666&gt;=0.9,"Expected",IF(E2666&gt;=0.7,"Moderate","Poor")))</f>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IF(OR(C2667="",D2667="",D2667=0),"",C2667/D2667)</f>
        <v/>
      </c>
      <c r="F2667" t="str">
        <f>IF(E2667="","",IF(E2667&gt;=0.9,"Expected",IF(E2667&gt;=0.7,"Moderate","Poor")))</f>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IF(OR(C2668="",D2668="",D2668=0),"",C2668/D2668)</f>
        <v/>
      </c>
      <c r="F2668" t="str">
        <f>IF(E2668="","",IF(E2668&gt;=0.9,"Expected",IF(E2668&gt;=0.7,"Moderate","Poor")))</f>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IF(OR(C2669="",D2669="",D2669=0),"",C2669/D2669)</f>
        <v/>
      </c>
      <c r="F2669" t="str">
        <f>IF(E2669="","",IF(E2669&gt;=0.9,"Expected",IF(E2669&gt;=0.7,"Moderate","Poor")))</f>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IF(OR(C2670="",D2670="",D2670=0),"",C2670/D2670)</f>
        <v/>
      </c>
      <c r="F2670" t="str">
        <f>IF(E2670="","",IF(E2670&gt;=0.9,"Expected",IF(E2670&gt;=0.7,"Moderate","Poor")))</f>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IF(OR(C2671="",D2671="",D2671=0),"",C2671/D2671)</f>
        <v/>
      </c>
      <c r="F2671" t="str">
        <f>IF(E2671="","",IF(E2671&gt;=0.9,"Expected",IF(E2671&gt;=0.7,"Moderate","Poor")))</f>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IF(OR(C2672="",D2672="",D2672=0),"",C2672/D2672)</f>
        <v/>
      </c>
      <c r="F2672" t="str">
        <f>IF(E2672="","",IF(E2672&gt;=0.9,"Expected",IF(E2672&gt;=0.7,"Moderate","Poor")))</f>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IF(OR(C2673="",D2673="",D2673=0),"",C2673/D2673)</f>
        <v/>
      </c>
      <c r="F2673" t="str">
        <f>IF(E2673="","",IF(E2673&gt;=0.9,"Expected",IF(E2673&gt;=0.7,"Moderate","Poor")))</f>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IF(OR(C2674="",D2674="",D2674=0),"",C2674/D2674)</f>
        <v/>
      </c>
      <c r="F2674" t="str">
        <f>IF(E2674="","",IF(E2674&gt;=0.9,"Expected",IF(E2674&gt;=0.7,"Moderate","Poor")))</f>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IF(OR(C2675="",D2675="",D2675=0),"",C2675/D2675)</f>
        <v/>
      </c>
      <c r="F2675" t="str">
        <f>IF(E2675="","",IF(E2675&gt;=0.9,"Expected",IF(E2675&gt;=0.7,"Moderate","Poor")))</f>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IF(OR(C2676="",D2676="",D2676=0),"",C2676/D2676)</f>
        <v/>
      </c>
      <c r="F2676" t="str">
        <f>IF(E2676="","",IF(E2676&gt;=0.9,"Expected",IF(E2676&gt;=0.7,"Moderate","Poor")))</f>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IF(OR(C2677="",D2677="",D2677=0),"",C2677/D2677)</f>
        <v/>
      </c>
      <c r="F2677" t="str">
        <f>IF(E2677="","",IF(E2677&gt;=0.9,"Expected",IF(E2677&gt;=0.7,"Moderate","Poor")))</f>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IF(OR(C2678="",D2678="",D2678=0),"",C2678/D2678)</f>
        <v/>
      </c>
      <c r="F2678" t="str">
        <f>IF(E2678="","",IF(E2678&gt;=0.9,"Expected",IF(E2678&gt;=0.7,"Moderate","Poor")))</f>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IF(OR(C2679="",D2679="",D2679=0),"",C2679/D2679)</f>
        <v/>
      </c>
      <c r="F2679" t="str">
        <f>IF(E2679="","",IF(E2679&gt;=0.9,"Expected",IF(E2679&gt;=0.7,"Moderate","Poor")))</f>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IF(OR(C2680="",D2680="",D2680=0),"",C2680/D2680)</f>
        <v/>
      </c>
      <c r="F2680" t="str">
        <f>IF(E2680="","",IF(E2680&gt;=0.9,"Expected",IF(E2680&gt;=0.7,"Moderate","Poor")))</f>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IF(OR(C2681="",D2681="",D2681=0),"",C2681/D2681)</f>
        <v/>
      </c>
      <c r="F2681" t="str">
        <f>IF(E2681="","",IF(E2681&gt;=0.9,"Expected",IF(E2681&gt;=0.7,"Moderate","Poor")))</f>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IF(OR(C2682="",D2682="",D2682=0),"",C2682/D2682)</f>
        <v/>
      </c>
      <c r="F2682" t="str">
        <f>IF(E2682="","",IF(E2682&gt;=0.9,"Expected",IF(E2682&gt;=0.7,"Moderate","Poor")))</f>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IF(OR(C2683="",D2683="",D2683=0),"",C2683/D2683)</f>
        <v/>
      </c>
      <c r="F2683" t="str">
        <f>IF(E2683="","",IF(E2683&gt;=0.9,"Expected",IF(E2683&gt;=0.7,"Moderate","Poor")))</f>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IF(OR(C2684="",D2684="",D2684=0),"",C2684/D2684)</f>
        <v/>
      </c>
      <c r="F2684" t="str">
        <f>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IF(OR(C2685="",D2685="",D2685=0),"",C2685/D2685)</f>
        <v/>
      </c>
      <c r="F2685" t="str">
        <f>IF(E2685="","",IF(E2685&gt;=0.9,"Expected",IF(E2685&gt;=0.7,"Moderate","Poor")))</f>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IF(OR(C2686="",D2686="",D2686=0),"",C2686/D2686)</f>
        <v/>
      </c>
      <c r="F2686" t="str">
        <f>IF(E2686="","",IF(E2686&gt;=0.9,"Expected",IF(E2686&gt;=0.7,"Moderate","Poor")))</f>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IF(OR(C2687="",D2687="",D2687=0),"",C2687/D2687)</f>
        <v/>
      </c>
      <c r="F2687" t="str">
        <f>IF(E2687="","",IF(E2687&gt;=0.9,"Expected",IF(E2687&gt;=0.7,"Moderate","Poor")))</f>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IF(OR(C2688="",D2688="",D2688=0),"",C2688/D2688)</f>
        <v/>
      </c>
      <c r="F2688" t="str">
        <f>IF(E2688="","",IF(E2688&gt;=0.9,"Expected",IF(E2688&gt;=0.7,"Moderate","Poor")))</f>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IF(OR(C2689="",D2689="",D2689=0),"",C2689/D2689)</f>
        <v/>
      </c>
      <c r="F2689" t="str">
        <f>IF(E2689="","",IF(E2689&gt;=0.9,"Expected",IF(E2689&gt;=0.7,"Moderate","Poor")))</f>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IF(OR(C2690="",D2690="",D2690=0),"",C2690/D2690)</f>
        <v/>
      </c>
      <c r="F2690" t="str">
        <f>IF(E2690="","",IF(E2690&gt;=0.9,"Expected",IF(E2690&gt;=0.7,"Moderate","Poor")))</f>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IF(OR(C2691="",D2691="",D2691=0),"",C2691/D2691)</f>
        <v/>
      </c>
      <c r="F2691" t="str">
        <f>IF(E2691="","",IF(E2691&gt;=0.9,"Expected",IF(E2691&gt;=0.7,"Moderate","Poor")))</f>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IF(OR(C2692="",D2692="",D2692=0),"",C2692/D2692)</f>
        <v/>
      </c>
      <c r="F2692" t="str">
        <f>IF(E2692="","",IF(E2692&gt;=0.9,"Expected",IF(E2692&gt;=0.7,"Moderate","Poor")))</f>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IF(OR(C2693="",D2693="",D2693=0),"",C2693/D2693)</f>
        <v/>
      </c>
      <c r="F2693" t="str">
        <f>IF(E2693="","",IF(E2693&gt;=0.9,"Expected",IF(E2693&gt;=0.7,"Moderate","Poor")))</f>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18749.151057661766</v>
      </c>
      <c r="E2694" s="9">
        <f>IF(OR(C2694="",D2694="",D2694=0),"",C2694/D2694)</f>
        <v>0.94030924097737056</v>
      </c>
      <c r="F2694" t="str">
        <f>IF(E2694="","",IF(E2694&gt;=0.9,"Expected",IF(E2694&gt;=0.7,"Moderate","Poor")))</f>
        <v>Expected</v>
      </c>
    </row>
    <row r="2695" spans="1:7" hidden="1" x14ac:dyDescent="0.3">
      <c r="A2695" t="s">
        <v>251</v>
      </c>
      <c r="B2695" s="2">
        <v>46174</v>
      </c>
      <c r="C2695" cm="1">
        <f t="array" ref="C2695">IFERROR(IF(SUMPRODUCT((measured[Site Name]=A2695)*(measured[Date]=B2695)*ISNUMBER(measured[Measured Value (kWh)]))=0,"",SUMIFS(measured[Measured Value (kWh)],measured[Site Name],A2695,measured[Date],B2695)),"")</f>
        <v>14172</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16753.394404270173</v>
      </c>
      <c r="E2695" s="9">
        <f>IF(OR(C2695="",D2695="",D2695=0),"",C2695/D2695)</f>
        <v>0.84591812608361816</v>
      </c>
      <c r="F2695" t="str">
        <f>IF(E2695="","",IF(E2695&gt;=0.9,"Expected",IF(E2695&gt;=0.7,"Moderate","Poor")))</f>
        <v>Moderate</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4038.5707143910558</v>
      </c>
      <c r="E2696" s="9">
        <f>IF(OR(C2696="",D2696="",D2696=0),"",C2696/D2696)</f>
        <v>0.56769861471787963</v>
      </c>
      <c r="F2696" t="str">
        <f>IF(E2696="","",IF(E2696&gt;=0.9,"Expected",IF(E2696&gt;=0.7,"Moderate","Poor")))</f>
        <v>Poor</v>
      </c>
      <c r="G2696" t="s">
        <v>875</v>
      </c>
    </row>
    <row r="2697" spans="1:7" hidden="1"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21267.698831424816</v>
      </c>
      <c r="E2697" s="9">
        <f>IF(OR(C2697="",D2697="",D2697=0),"",C2697/D2697)</f>
        <v>0.93851775682036898</v>
      </c>
      <c r="F2697" t="str">
        <f>IF(E2697="","",IF(E2697&gt;=0.9,"Expected",IF(E2697&gt;=0.7,"Moderate","Poor")))</f>
        <v>Expected</v>
      </c>
      <c r="G2697" t="s">
        <v>874</v>
      </c>
    </row>
    <row r="2698" spans="1:7" x14ac:dyDescent="0.3">
      <c r="A2698" t="s">
        <v>124</v>
      </c>
      <c r="B2698" s="2">
        <v>46266</v>
      </c>
      <c r="C2698" cm="1">
        <f t="array" ref="C2698">IFERROR(IF(SUMPRODUCT((measured[Site Name]=A2698)*(measured[Date]=B2698)*ISNUMBER(measured[Measured Value (kWh)]))=0,"",SUMIFS(measured[Measured Value (kWh)],measured[Site Name],A2698,measured[Date],B2698)),"")</f>
        <v>43037.19</v>
      </c>
      <c r="D2698" cm="1">
        <f t="array" ref="D2698">IFERROR(IF(SUMPRODUCT((expected_production[Site Name]=A2698)*(expected_production[Date]=B2698)*ISNUMBER(expected_production[Expected Production (kWh)]))=0,"",SUMIFS(expected_production[Expected Production (kWh)],expected_production[Site Name],A2698,expected_production[Date],B2698)),"")</f>
        <v>48830.272950042265</v>
      </c>
      <c r="E2698" s="9">
        <f>IF(OR(C2698="",D2698="",D2698=0),"",C2698/D2698)</f>
        <v>0.88136288003204277</v>
      </c>
      <c r="F2698" t="str">
        <f>IF(E2698="","",IF(E2698&gt;=0.9,"Expected",IF(E2698&gt;=0.7,"Moderate","Poor")))</f>
        <v>Moderate</v>
      </c>
      <c r="G2698" t="s">
        <v>874</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26779.750469297083</v>
      </c>
      <c r="E2699" s="9" t="str">
        <f>IF(OR(C2699="",D2699="",D2699=0),"",C2699/D2699)</f>
        <v/>
      </c>
      <c r="F2699" t="str">
        <f>IF(E2699="","",IF(E2699&gt;=0.9,"Expected",IF(E2699&gt;=0.7,"Moderate","Poor")))</f>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27050.694446476831</v>
      </c>
      <c r="E2700" s="9" t="str">
        <f>IF(OR(C2700="",D2700="",D2700=0),"",C2700/D2700)</f>
        <v/>
      </c>
      <c r="F2700" t="str">
        <f>IF(E2700="","",IF(E2700&gt;=0.9,"Expected",IF(E2700&gt;=0.7,"Moderate","Poor")))</f>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27282.404654213155</v>
      </c>
      <c r="E2701" s="9" t="str">
        <f>IF(OR(C2701="",D2701="",D2701=0),"",C2701/D2701)</f>
        <v/>
      </c>
      <c r="F2701" t="str">
        <f>IF(E2701="","",IF(E2701&gt;=0.9,"Expected",IF(E2701&gt;=0.7,"Moderate","Poor")))</f>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IF(OR(C2702="",D2702="",D2702=0),"",C2702/D2702)</f>
        <v/>
      </c>
      <c r="F2702" t="str">
        <f>IF(E2702="","",IF(E2702&gt;=0.9,"Expected",IF(E2702&gt;=0.7,"Moderate","Poor")))</f>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IF(OR(C2703="",D2703="",D2703=0),"",C2703/D2703)</f>
        <v/>
      </c>
      <c r="F2703" t="str">
        <f>IF(E2703="","",IF(E2703&gt;=0.9,"Expected",IF(E2703&gt;=0.7,"Moderate","Poor")))</f>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IF(OR(C2704="",D2704="",D2704=0),"",C2704/D2704)</f>
        <v/>
      </c>
      <c r="F2704" t="str">
        <f>IF(E2704="","",IF(E2704&gt;=0.9,"Expected",IF(E2704&gt;=0.7,"Moderate","Poor")))</f>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IF(OR(C2705="",D2705="",D2705=0),"",C2705/D2705)</f>
        <v/>
      </c>
      <c r="F2705" t="str">
        <f>IF(E2705="","",IF(E2705&gt;=0.9,"Expected",IF(E2705&gt;=0.7,"Moderate","Poor")))</f>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IF(OR(C2706="",D2706="",D2706=0),"",C2706/D2706)</f>
        <v/>
      </c>
      <c r="F2706" t="str">
        <f>IF(E2706="","",IF(E2706&gt;=0.9,"Expected",IF(E2706&gt;=0.7,"Moderate","Poor")))</f>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IF(OR(C2707="",D2707="",D2707=0),"",C2707/D2707)</f>
        <v/>
      </c>
      <c r="F2707" t="str">
        <f>IF(E2707="","",IF(E2707&gt;=0.9,"Expected",IF(E2707&gt;=0.7,"Moderate","Poor")))</f>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IF(OR(C2708="",D2708="",D2708=0),"",C2708/D2708)</f>
        <v/>
      </c>
      <c r="F2708" t="str">
        <f>IF(E2708="","",IF(E2708&gt;=0.9,"Expected",IF(E2708&gt;=0.7,"Moderate","Poor")))</f>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IF(OR(C2709="",D2709="",D2709=0),"",C2709/D2709)</f>
        <v/>
      </c>
      <c r="F2709" t="str">
        <f>IF(E2709="","",IF(E2709&gt;=0.9,"Expected",IF(E2709&gt;=0.7,"Moderate","Poor")))</f>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IF(OR(C2710="",D2710="",D2710=0),"",C2710/D2710)</f>
        <v/>
      </c>
      <c r="F2710" t="str">
        <f>IF(E2710="","",IF(E2710&gt;=0.9,"Expected",IF(E2710&gt;=0.7,"Moderate","Poor")))</f>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IF(OR(C2711="",D2711="",D2711=0),"",C2711/D2711)</f>
        <v/>
      </c>
      <c r="F2711" t="str">
        <f>IF(E2711="","",IF(E2711&gt;=0.9,"Expected",IF(E2711&gt;=0.7,"Moderate","Poor")))</f>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IF(OR(C2712="",D2712="",D2712=0),"",C2712/D2712)</f>
        <v/>
      </c>
      <c r="F2712" t="str">
        <f>IF(E2712="","",IF(E2712&gt;=0.9,"Expected",IF(E2712&gt;=0.7,"Moderate","Poor")))</f>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IF(OR(C2713="",D2713="",D2713=0),"",C2713/D2713)</f>
        <v/>
      </c>
      <c r="F2713" t="str">
        <f>IF(E2713="","",IF(E2713&gt;=0.9,"Expected",IF(E2713&gt;=0.7,"Moderate","Poor")))</f>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IF(OR(C2714="",D2714="",D2714=0),"",C2714/D2714)</f>
        <v/>
      </c>
      <c r="F2714" t="str">
        <f>IF(E2714="","",IF(E2714&gt;=0.9,"Expected",IF(E2714&gt;=0.7,"Moderate","Poor")))</f>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IF(OR(C2715="",D2715="",D2715=0),"",C2715/D2715)</f>
        <v/>
      </c>
      <c r="F2715" t="str">
        <f>IF(E2715="","",IF(E2715&gt;=0.9,"Expected",IF(E2715&gt;=0.7,"Moderate","Poor")))</f>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IF(OR(C2716="",D2716="",D2716=0),"",C2716/D2716)</f>
        <v/>
      </c>
      <c r="F2716" t="str">
        <f>IF(E2716="","",IF(E2716&gt;=0.9,"Expected",IF(E2716&gt;=0.7,"Moderate","Poor")))</f>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IF(OR(C2717="",D2717="",D2717=0),"",C2717/D2717)</f>
        <v/>
      </c>
      <c r="F2717" t="str">
        <f>IF(E2717="","",IF(E2717&gt;=0.9,"Expected",IF(E2717&gt;=0.7,"Moderate","Poor")))</f>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IF(OR(C2718="",D2718="",D2718=0),"",C2718/D2718)</f>
        <v/>
      </c>
      <c r="F2718" t="str">
        <f>IF(E2718="","",IF(E2718&gt;=0.9,"Expected",IF(E2718&gt;=0.7,"Moderate","Poor")))</f>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IF(OR(C2719="",D2719="",D2719=0),"",C2719/D2719)</f>
        <v/>
      </c>
      <c r="F2719" t="str">
        <f>IF(E2719="","",IF(E2719&gt;=0.9,"Expected",IF(E2719&gt;=0.7,"Moderate","Poor")))</f>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IF(OR(C2720="",D2720="",D2720=0),"",C2720/D2720)</f>
        <v/>
      </c>
      <c r="F2720" t="str">
        <f>IF(E2720="","",IF(E2720&gt;=0.9,"Expected",IF(E2720&gt;=0.7,"Moderate","Poor")))</f>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IF(OR(C2721="",D2721="",D2721=0),"",C2721/D2721)</f>
        <v/>
      </c>
      <c r="F2721" t="str">
        <f>IF(E2721="","",IF(E2721&gt;=0.9,"Expected",IF(E2721&gt;=0.7,"Moderate","Poor")))</f>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IF(OR(C2722="",D2722="",D2722=0),"",C2722/D2722)</f>
        <v/>
      </c>
      <c r="F2722" t="str">
        <f>IF(E2722="","",IF(E2722&gt;=0.9,"Expected",IF(E2722&gt;=0.7,"Moderate","Poor")))</f>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IF(OR(C2723="",D2723="",D2723=0),"",C2723/D2723)</f>
        <v/>
      </c>
      <c r="F2723" t="str">
        <f>IF(E2723="","",IF(E2723&gt;=0.9,"Expected",IF(E2723&gt;=0.7,"Moderate","Poor")))</f>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IF(OR(C2724="",D2724="",D2724=0),"",C2724/D2724)</f>
        <v/>
      </c>
      <c r="F2724" t="str">
        <f>IF(E2724="","",IF(E2724&gt;=0.9,"Expected",IF(E2724&gt;=0.7,"Moderate","Poor")))</f>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IF(OR(C2725="",D2725="",D2725=0),"",C2725/D2725)</f>
        <v/>
      </c>
      <c r="F2725" t="str">
        <f>IF(E2725="","",IF(E2725&gt;=0.9,"Expected",IF(E2725&gt;=0.7,"Moderate","Poor")))</f>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IF(OR(C2726="",D2726="",D2726=0),"",C2726/D2726)</f>
        <v/>
      </c>
      <c r="F2726" t="str">
        <f>IF(E2726="","",IF(E2726&gt;=0.9,"Expected",IF(E2726&gt;=0.7,"Moderate","Poor")))</f>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IF(OR(C2727="",D2727="",D2727=0),"",C2727/D2727)</f>
        <v/>
      </c>
      <c r="F2727" t="str">
        <f>IF(E2727="","",IF(E2727&gt;=0.9,"Expected",IF(E2727&gt;=0.7,"Moderate","Poor")))</f>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IF(OR(C2728="",D2728="",D2728=0),"",C2728/D2728)</f>
        <v/>
      </c>
      <c r="F2728" t="str">
        <f>IF(E2728="","",IF(E2728&gt;=0.9,"Expected",IF(E2728&gt;=0.7,"Moderate","Poor")))</f>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IF(OR(C2729="",D2729="",D2729=0),"",C2729/D2729)</f>
        <v/>
      </c>
      <c r="F2729" t="str">
        <f>IF(E2729="","",IF(E2729&gt;=0.9,"Expected",IF(E2729&gt;=0.7,"Moderate","Poor")))</f>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29918.773725437732</v>
      </c>
      <c r="E2730" s="9">
        <f>IF(OR(C2730="",D2730="",D2730=0),"",C2730/D2730)</f>
        <v>0.93309974052392597</v>
      </c>
      <c r="F2730" t="str">
        <f>IF(E2730="","",IF(E2730&gt;=0.9,"Expected",IF(E2730&gt;=0.7,"Moderate","Poor")))</f>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28625.575620097101</v>
      </c>
      <c r="E2731" s="9">
        <f>IF(OR(C2731="",D2731="",D2731=0),"",C2731/D2731)</f>
        <v>0.88365035294665617</v>
      </c>
      <c r="F2731" t="str">
        <f>IF(E2731="","",IF(E2731&gt;=0.9,"Expected",IF(E2731&gt;=0.7,"Moderate","Poor")))</f>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18488.351481788224</v>
      </c>
      <c r="E2732" s="9">
        <f>IF(OR(C2732="",D2732="",D2732=0),"",C2732/D2732)</f>
        <v>0.79536566656497321</v>
      </c>
      <c r="F2732" t="str">
        <f>IF(E2732="","",IF(E2732&gt;=0.9,"Expected",IF(E2732&gt;=0.7,"Moderate","Poor")))</f>
        <v>Moderate</v>
      </c>
      <c r="G2732" t="s">
        <v>874</v>
      </c>
    </row>
    <row r="2733" spans="1:7" hidden="1"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31591.627029084106</v>
      </c>
      <c r="E2733" s="9">
        <f>IF(OR(C2733="",D2733="",D2733=0),"",C2733/D2733)</f>
        <v>0.92306103681059526</v>
      </c>
      <c r="F2733" t="str">
        <f>IF(E2733="","",IF(E2733&gt;=0.9,"Expected",IF(E2733&gt;=0.7,"Moderate","Poor")))</f>
        <v>Expected</v>
      </c>
      <c r="G2733" t="s">
        <v>874</v>
      </c>
    </row>
    <row r="2734" spans="1:7" x14ac:dyDescent="0.3">
      <c r="A2734" t="s">
        <v>222</v>
      </c>
      <c r="B2734" s="2">
        <v>46266</v>
      </c>
      <c r="C2734" cm="1">
        <f t="array" ref="C2734">IFERROR(IF(SUMPRODUCT((measured[Site Name]=A2734)*(measured[Date]=B2734)*ISNUMBER(measured[Measured Value (kWh)]))=0,"",SUMIFS(measured[Measured Value (kWh)],measured[Site Name],A2734,measured[Date],B2734)),"")</f>
        <v>9418.8441600000006</v>
      </c>
      <c r="D2734" cm="1">
        <f t="array" ref="D2734">IFERROR(IF(SUMPRODUCT((expected_production[Site Name]=A2734)*(expected_production[Date]=B2734)*ISNUMBER(expected_production[Expected Production (kWh)]))=0,"",SUMIFS(expected_production[Expected Production (kWh)],expected_production[Site Name],A2734,expected_production[Date],B2734)),"")</f>
        <v>10685.385624323986</v>
      </c>
      <c r="E2734" s="9">
        <f>IF(OR(C2734="",D2734="",D2734=0),"",C2734/D2734)</f>
        <v>0.88146974673138068</v>
      </c>
      <c r="F2734" t="str">
        <f>IF(E2734="","",IF(E2734&gt;=0.9,"Expected",IF(E2734&gt;=0.7,"Moderate","Poor")))</f>
        <v>Moderate</v>
      </c>
      <c r="G2734" t="s">
        <v>874</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28380.822681652753</v>
      </c>
      <c r="E2735" s="9" t="str">
        <f>IF(OR(C2735="",D2735="",D2735=0),"",C2735/D2735)</f>
        <v/>
      </c>
      <c r="F2735" t="str">
        <f>IF(E2735="","",IF(E2735&gt;=0.9,"Expected",IF(E2735&gt;=0.7,"Moderate","Poor")))</f>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28887.620101055476</v>
      </c>
      <c r="E2736" s="9" t="str">
        <f>IF(OR(C2736="",D2736="",D2736=0),"",C2736/D2736)</f>
        <v/>
      </c>
      <c r="F2736" t="str">
        <f>IF(E2736="","",IF(E2736&gt;=0.9,"Expected",IF(E2736&gt;=0.7,"Moderate","Poor")))</f>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28783.124934475545</v>
      </c>
      <c r="E2737" s="9" t="str">
        <f>IF(OR(C2737="",D2737="",D2737=0),"",C2737/D2737)</f>
        <v/>
      </c>
      <c r="F2737" t="str">
        <f>IF(E2737="","",IF(E2737&gt;=0.9,"Expected",IF(E2737&gt;=0.7,"Moderate","Poor")))</f>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IF(OR(C2738="",D2738="",D2738=0),"",C2738/D2738)</f>
        <v/>
      </c>
      <c r="F2738" t="str">
        <f>IF(E2738="","",IF(E2738&gt;=0.9,"Expected",IF(E2738&gt;=0.7,"Moderate","Poor")))</f>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IF(OR(C2739="",D2739="",D2739=0),"",C2739/D2739)</f>
        <v/>
      </c>
      <c r="F2739" t="str">
        <f>IF(E2739="","",IF(E2739&gt;=0.9,"Expected",IF(E2739&gt;=0.7,"Moderate","Poor")))</f>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IF(OR(C2740="",D2740="",D2740=0),"",C2740/D2740)</f>
        <v/>
      </c>
      <c r="F2740" t="str">
        <f>IF(E2740="","",IF(E2740&gt;=0.9,"Expected",IF(E2740&gt;=0.7,"Moderate","Poor")))</f>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IF(OR(C2741="",D2741="",D2741=0),"",C2741/D2741)</f>
        <v/>
      </c>
      <c r="F2741" t="str">
        <f>IF(E2741="","",IF(E2741&gt;=0.9,"Expected",IF(E2741&gt;=0.7,"Moderate","Poor")))</f>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IF(OR(C2742="",D2742="",D2742=0),"",C2742/D2742)</f>
        <v/>
      </c>
      <c r="F2742" t="str">
        <f>IF(E2742="","",IF(E2742&gt;=0.9,"Expected",IF(E2742&gt;=0.7,"Moderate","Poor")))</f>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IF(OR(C2743="",D2743="",D2743=0),"",C2743/D2743)</f>
        <v/>
      </c>
      <c r="F2743" t="str">
        <f>IF(E2743="","",IF(E2743&gt;=0.9,"Expected",IF(E2743&gt;=0.7,"Moderate","Poor")))</f>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IF(OR(C2744="",D2744="",D2744=0),"",C2744/D2744)</f>
        <v/>
      </c>
      <c r="F2744" t="str">
        <f>IF(E2744="","",IF(E2744&gt;=0.9,"Expected",IF(E2744&gt;=0.7,"Moderate","Poor")))</f>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IF(OR(C2745="",D2745="",D2745=0),"",C2745/D2745)</f>
        <v/>
      </c>
      <c r="F2745" t="str">
        <f>IF(E2745="","",IF(E2745&gt;=0.9,"Expected",IF(E2745&gt;=0.7,"Moderate","Poor")))</f>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IF(OR(C2746="",D2746="",D2746=0),"",C2746/D2746)</f>
        <v/>
      </c>
      <c r="F2746" t="str">
        <f>IF(E2746="","",IF(E2746&gt;=0.9,"Expected",IF(E2746&gt;=0.7,"Moderate","Poor")))</f>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IF(OR(C2747="",D2747="",D2747=0),"",C2747/D2747)</f>
        <v/>
      </c>
      <c r="F2747" t="str">
        <f>IF(E2747="","",IF(E2747&gt;=0.9,"Expected",IF(E2747&gt;=0.7,"Moderate","Poor")))</f>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IF(OR(C2748="",D2748="",D2748=0),"",C2748/D2748)</f>
        <v/>
      </c>
      <c r="F2748" t="str">
        <f>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IF(OR(C2749="",D2749="",D2749=0),"",C2749/D2749)</f>
        <v/>
      </c>
      <c r="F2749" t="str">
        <f>IF(E2749="","",IF(E2749&gt;=0.9,"Expected",IF(E2749&gt;=0.7,"Moderate","Poor")))</f>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IF(OR(C2750="",D2750="",D2750=0),"",C2750/D2750)</f>
        <v/>
      </c>
      <c r="F2750" t="str">
        <f>IF(E2750="","",IF(E2750&gt;=0.9,"Expected",IF(E2750&gt;=0.7,"Moderate","Poor")))</f>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IF(OR(C2751="",D2751="",D2751=0),"",C2751/D2751)</f>
        <v/>
      </c>
      <c r="F2751" t="str">
        <f>IF(E2751="","",IF(E2751&gt;=0.9,"Expected",IF(E2751&gt;=0.7,"Moderate","Poor")))</f>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IF(OR(C2752="",D2752="",D2752=0),"",C2752/D2752)</f>
        <v/>
      </c>
      <c r="F2752" t="str">
        <f>IF(E2752="","",IF(E2752&gt;=0.9,"Expected",IF(E2752&gt;=0.7,"Moderate","Poor")))</f>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IF(OR(C2753="",D2753="",D2753=0),"",C2753/D2753)</f>
        <v/>
      </c>
      <c r="F2753" t="str">
        <f>IF(E2753="","",IF(E2753&gt;=0.9,"Expected",IF(E2753&gt;=0.7,"Moderate","Poor")))</f>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IF(OR(C2754="",D2754="",D2754=0),"",C2754/D2754)</f>
        <v/>
      </c>
      <c r="F2754" t="str">
        <f>IF(E2754="","",IF(E2754&gt;=0.9,"Expected",IF(E2754&gt;=0.7,"Moderate","Poor")))</f>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IF(OR(C2755="",D2755="",D2755=0),"",C2755/D2755)</f>
        <v/>
      </c>
      <c r="F2755" t="str">
        <f>IF(E2755="","",IF(E2755&gt;=0.9,"Expected",IF(E2755&gt;=0.7,"Moderate","Poor")))</f>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IF(OR(C2756="",D2756="",D2756=0),"",C2756/D2756)</f>
        <v/>
      </c>
      <c r="F2756" t="str">
        <f>IF(E2756="","",IF(E2756&gt;=0.9,"Expected",IF(E2756&gt;=0.7,"Moderate","Poor")))</f>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IF(OR(C2757="",D2757="",D2757=0),"",C2757/D2757)</f>
        <v/>
      </c>
      <c r="F2757" t="str">
        <f>IF(E2757="","",IF(E2757&gt;=0.9,"Expected",IF(E2757&gt;=0.7,"Moderate","Poor")))</f>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IF(OR(C2758="",D2758="",D2758=0),"",C2758/D2758)</f>
        <v/>
      </c>
      <c r="F2758" t="str">
        <f>IF(E2758="","",IF(E2758&gt;=0.9,"Expected",IF(E2758&gt;=0.7,"Moderate","Poor")))</f>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IF(OR(C2759="",D2759="",D2759=0),"",C2759/D2759)</f>
        <v/>
      </c>
      <c r="F2759" t="str">
        <f>IF(E2759="","",IF(E2759&gt;=0.9,"Expected",IF(E2759&gt;=0.7,"Moderate","Poor")))</f>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IF(OR(C2760="",D2760="",D2760=0),"",C2760/D2760)</f>
        <v/>
      </c>
      <c r="F2760" t="str">
        <f>IF(E2760="","",IF(E2760&gt;=0.9,"Expected",IF(E2760&gt;=0.7,"Moderate","Poor")))</f>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IF(OR(C2761="",D2761="",D2761=0),"",C2761/D2761)</f>
        <v/>
      </c>
      <c r="F2761" t="str">
        <f>IF(E2761="","",IF(E2761&gt;=0.9,"Expected",IF(E2761&gt;=0.7,"Moderate","Poor")))</f>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IF(OR(C2762="",D2762="",D2762=0),"",C2762/D2762)</f>
        <v/>
      </c>
      <c r="F2762" t="str">
        <f>IF(E2762="","",IF(E2762&gt;=0.9,"Expected",IF(E2762&gt;=0.7,"Moderate","Poor")))</f>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IF(OR(C2763="",D2763="",D2763=0),"",C2763/D2763)</f>
        <v/>
      </c>
      <c r="F2763" t="str">
        <f>IF(E2763="","",IF(E2763&gt;=0.9,"Expected",IF(E2763&gt;=0.7,"Moderate","Poor")))</f>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IF(OR(C2764="",D2764="",D2764=0),"",C2764/D2764)</f>
        <v/>
      </c>
      <c r="F2764" t="str">
        <f>IF(E2764="","",IF(E2764&gt;=0.9,"Expected",IF(E2764&gt;=0.7,"Moderate","Poor")))</f>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IF(OR(C2765="",D2765="",D2765=0),"",C2765/D2765)</f>
        <v/>
      </c>
      <c r="F2765" t="str">
        <f>IF(E2765="","",IF(E2765&gt;=0.9,"Expected",IF(E2765&gt;=0.7,"Moderate","Poor")))</f>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IF(OR(C2766="",D2766="",D2766=0),"",C2766/D2766)</f>
        <v/>
      </c>
      <c r="F2766" t="str">
        <f>IF(E2766="","",IF(E2766&gt;=0.9,"Expected",IF(E2766&gt;=0.7,"Moderate","Poor")))</f>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9986.794899892071</v>
      </c>
      <c r="E2767" s="9">
        <f>IF(OR(C2767="",D2767="",D2767=0),"",C2767/D2767)</f>
        <v>1.0182446021906286</v>
      </c>
      <c r="F2767" t="str">
        <f>IF(E2767="","",IF(E2767&gt;=0.9,"Expected",IF(E2767&gt;=0.7,"Moderate","Poor")))</f>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IF(OR(C2768="",D2768="",D2768=0),"",C2768/D2768)</f>
        <v/>
      </c>
      <c r="F2768" t="str">
        <f>IF(E2768="","",IF(E2768&gt;=0.9,"Expected",IF(E2768&gt;=0.7,"Moderate","Poor")))</f>
        <v/>
      </c>
    </row>
    <row r="2769" spans="1:7" hidden="1"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13090.378706665202</v>
      </c>
      <c r="E2769" s="9">
        <f>IF(OR(C2769="",D2769="",D2769=0),"",C2769/D2769)</f>
        <v>1.1331779112278195</v>
      </c>
      <c r="F2769" t="str">
        <f>IF(E2769="","",IF(E2769&gt;=0.9,"Expected",IF(E2769&gt;=0.7,"Moderate","Poor")))</f>
        <v>Expected</v>
      </c>
      <c r="G2769" t="s">
        <v>875</v>
      </c>
    </row>
    <row r="2770" spans="1:7" x14ac:dyDescent="0.3">
      <c r="A2770" t="s">
        <v>213</v>
      </c>
      <c r="B2770" s="2">
        <v>46266</v>
      </c>
      <c r="C2770" cm="1">
        <f t="array" ref="C2770">IFERROR(IF(SUMPRODUCT((measured[Site Name]=A2770)*(measured[Date]=B2770)*ISNUMBER(measured[Measured Value (kWh)]))=0,"",SUMIFS(measured[Measured Value (kWh)],measured[Site Name],A2770,measured[Date],B2770)),"")</f>
        <v>6939.4892900000004</v>
      </c>
      <c r="D2770" cm="1">
        <f t="array" ref="D2770">IFERROR(IF(SUMPRODUCT((expected_production[Site Name]=A2770)*(expected_production[Date]=B2770)*ISNUMBER(expected_production[Expected Production (kWh)]))=0,"",SUMIFS(expected_production[Expected Production (kWh)],expected_production[Site Name],A2770,expected_production[Date],B2770)),"")</f>
        <v>7807.3860868750344</v>
      </c>
      <c r="E2770" s="9">
        <f>IF(OR(C2770="",D2770="",D2770=0),"",C2770/D2770)</f>
        <v>0.88883644446198817</v>
      </c>
      <c r="F2770" t="str">
        <f>IF(E2770="","",IF(E2770&gt;=0.9,"Expected",IF(E2770&gt;=0.7,"Moderate","Poor")))</f>
        <v>Moderate</v>
      </c>
      <c r="G2770" t="s">
        <v>874</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17009.308190599775</v>
      </c>
      <c r="E2771" s="9" t="str">
        <f>IF(OR(C2771="",D2771="",D2771=0),"",C2771/D2771)</f>
        <v/>
      </c>
      <c r="F2771" t="str">
        <f>IF(E2771="","",IF(E2771&gt;=0.9,"Expected",IF(E2771&gt;=0.7,"Moderate","Poor")))</f>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17184.879960613085</v>
      </c>
      <c r="E2772" s="9" t="str">
        <f>IF(OR(C2772="",D2772="",D2772=0),"",C2772/D2772)</f>
        <v/>
      </c>
      <c r="F2772" t="str">
        <f>IF(E2772="","",IF(E2772&gt;=0.9,"Expected",IF(E2772&gt;=0.7,"Moderate","Poor")))</f>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17400.022045041002</v>
      </c>
      <c r="E2773" s="9" t="str">
        <f>IF(OR(C2773="",D2773="",D2773=0),"",C2773/D2773)</f>
        <v/>
      </c>
      <c r="F2773" t="str">
        <f>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4643.2029957837503</v>
      </c>
      <c r="E2774" s="9">
        <f>IF(OR(C2774="",D2774="",D2774=0),"",C2774/D2774)</f>
        <v>0.8819093422618719</v>
      </c>
      <c r="F2774" t="str">
        <f>IF(E2774="","",IF(E2774&gt;=0.9,"Expected",IF(E2774&gt;=0.7,"Moderate","Poor")))</f>
        <v>Moderate</v>
      </c>
      <c r="G2774" t="s">
        <v>874</v>
      </c>
    </row>
    <row r="2775" spans="1:7" hidden="1"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5249.1498985010539</v>
      </c>
      <c r="E2775" s="9">
        <f>IF(OR(C2775="",D2775="",D2775=0),"",C2775/D2775)</f>
        <v>0.80906986504857714</v>
      </c>
      <c r="F2775" t="str">
        <f>IF(E2775="","",IF(E2775&gt;=0.9,"Expected",IF(E2775&gt;=0.7,"Moderate","Poor")))</f>
        <v>Moderate</v>
      </c>
      <c r="G2775" t="s">
        <v>874</v>
      </c>
    </row>
    <row r="2776" spans="1:7" x14ac:dyDescent="0.3">
      <c r="A2776" t="s">
        <v>122</v>
      </c>
      <c r="B2776" s="2">
        <v>46266</v>
      </c>
      <c r="C2776" cm="1">
        <f t="array" ref="C2776">IFERROR(IF(SUMPRODUCT((measured[Site Name]=A2776)*(measured[Date]=B2776)*ISNUMBER(measured[Measured Value (kWh)]))=0,"",SUMIFS(measured[Measured Value (kWh)],measured[Site Name],A2776,measured[Date],B2776)),"")</f>
        <v>14407.6783</v>
      </c>
      <c r="D2776" cm="1">
        <f t="array" ref="D2776">IFERROR(IF(SUMPRODUCT((expected_production[Site Name]=A2776)*(expected_production[Date]=B2776)*ISNUMBER(expected_production[Expected Production (kWh)]))=0,"",SUMIFS(expected_production[Expected Production (kWh)],expected_production[Site Name],A2776,expected_production[Date],B2776)),"")</f>
        <v>16146.881402321082</v>
      </c>
      <c r="E2776" s="9">
        <f>IF(OR(C2776="",D2776="",D2776=0),"",C2776/D2776)</f>
        <v>0.89228860614093097</v>
      </c>
      <c r="F2776" t="str">
        <f>IF(E2776="","",IF(E2776&gt;=0.9,"Expected",IF(E2776&gt;=0.7,"Moderate","Poor")))</f>
        <v>Moderate</v>
      </c>
      <c r="G2776" t="s">
        <v>874</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6018.0390241425775</v>
      </c>
      <c r="E2777" s="9" t="str">
        <f t="shared" ref="E2773:E2779" si="8">IF(OR(C2777="",D2777="",D2777=0),"",C2777/D2777)</f>
        <v/>
      </c>
      <c r="F2777" t="str">
        <f t="shared" ref="F2773:F2779" si="9">IF(E2777="","",IF(E2777&gt;=0.9,"Expected",IF(E2777&gt;=0.7,"Moderate","Poor")))</f>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5881.6153939933638</v>
      </c>
      <c r="E2778" s="9" t="str">
        <f t="shared" si="8"/>
        <v/>
      </c>
      <c r="F2778" t="str">
        <f t="shared" si="9"/>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5969.7196852837315</v>
      </c>
      <c r="E2779" s="9" t="str">
        <f t="shared" si="8"/>
        <v/>
      </c>
      <c r="F2779" t="str">
        <f t="shared" si="9"/>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90"/>
  <sheetViews>
    <sheetView zoomScale="85" zoomScaleNormal="85" workbookViewId="0">
      <pane ySplit="23" topLeftCell="A246" activePane="bottomLeft" state="frozen"/>
      <selection pane="bottomLeft" activeCell="G1816" sqref="G1816"/>
    </sheetView>
  </sheetViews>
  <sheetFormatPr defaultRowHeight="14.4" x14ac:dyDescent="0.3"/>
  <cols>
    <col min="1" max="1" width="26.886718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276</v>
      </c>
    </row>
    <row r="8" spans="1:8" ht="72" hidden="1" customHeight="1" x14ac:dyDescent="0.3">
      <c r="A8" t="s">
        <v>31</v>
      </c>
      <c r="B8" s="2">
        <v>45717</v>
      </c>
      <c r="C8" s="10" t="s">
        <v>277</v>
      </c>
    </row>
    <row r="9" spans="1:8" ht="57.6" hidden="1" customHeight="1" x14ac:dyDescent="0.3">
      <c r="A9" t="s">
        <v>31</v>
      </c>
      <c r="B9" s="2">
        <v>45748</v>
      </c>
      <c r="C9" s="10" t="s">
        <v>278</v>
      </c>
    </row>
    <row r="10" spans="1:8" ht="57.6" hidden="1" customHeight="1" x14ac:dyDescent="0.3">
      <c r="A10" t="s">
        <v>31</v>
      </c>
      <c r="B10" s="2">
        <v>45778</v>
      </c>
      <c r="C10" s="10" t="s">
        <v>279</v>
      </c>
    </row>
    <row r="11" spans="1:8" ht="57.6" hidden="1" customHeight="1" x14ac:dyDescent="0.3">
      <c r="A11" t="s">
        <v>31</v>
      </c>
      <c r="B11" s="2">
        <v>45809</v>
      </c>
      <c r="C11" s="10" t="s">
        <v>280</v>
      </c>
    </row>
    <row r="12" spans="1:8" ht="57.6" hidden="1" customHeight="1" x14ac:dyDescent="0.3">
      <c r="A12" t="s">
        <v>31</v>
      </c>
      <c r="B12" s="2">
        <v>45839</v>
      </c>
      <c r="C12" s="10" t="s">
        <v>281</v>
      </c>
    </row>
    <row r="13" spans="1:8" ht="57.6" hidden="1" customHeight="1" x14ac:dyDescent="0.3">
      <c r="A13" t="s">
        <v>31</v>
      </c>
      <c r="B13" s="2">
        <v>45870</v>
      </c>
      <c r="C13" s="10" t="s">
        <v>282</v>
      </c>
    </row>
    <row r="14" spans="1:8" ht="57.6" hidden="1" customHeight="1" x14ac:dyDescent="0.3">
      <c r="A14" t="s">
        <v>31</v>
      </c>
      <c r="B14" s="2">
        <v>45901</v>
      </c>
      <c r="C14" s="10" t="s">
        <v>283</v>
      </c>
    </row>
    <row r="15" spans="1:8" ht="57.6" hidden="1" customHeight="1" x14ac:dyDescent="0.3">
      <c r="A15" t="s">
        <v>31</v>
      </c>
      <c r="B15" s="2">
        <v>45931</v>
      </c>
      <c r="C15" s="10" t="s">
        <v>284</v>
      </c>
    </row>
    <row r="16" spans="1:8" ht="57.6" hidden="1" customHeight="1" x14ac:dyDescent="0.3">
      <c r="A16" t="s">
        <v>31</v>
      </c>
      <c r="B16" s="2">
        <v>45962</v>
      </c>
      <c r="C16" s="10" t="s">
        <v>285</v>
      </c>
    </row>
    <row r="17" spans="1:8" ht="28.8" hidden="1" x14ac:dyDescent="0.3">
      <c r="A17" t="s">
        <v>31</v>
      </c>
      <c r="B17" s="2">
        <v>45992</v>
      </c>
      <c r="C17" s="10" t="s">
        <v>286</v>
      </c>
    </row>
    <row r="18" spans="1:8" ht="28.8" hidden="1" x14ac:dyDescent="0.3">
      <c r="A18" t="s">
        <v>31</v>
      </c>
      <c r="B18" s="2">
        <v>46023</v>
      </c>
      <c r="C18" s="10" t="s">
        <v>286</v>
      </c>
    </row>
    <row r="19" spans="1:8" ht="28.8" hidden="1" x14ac:dyDescent="0.3">
      <c r="A19" t="s">
        <v>31</v>
      </c>
      <c r="B19" s="2">
        <v>46054</v>
      </c>
      <c r="C19" s="10" t="s">
        <v>286</v>
      </c>
    </row>
    <row r="20" spans="1:8" ht="28.8" hidden="1" x14ac:dyDescent="0.3">
      <c r="A20" t="s">
        <v>31</v>
      </c>
      <c r="B20" s="2">
        <v>46082</v>
      </c>
      <c r="C20" s="10" t="s">
        <v>286</v>
      </c>
    </row>
    <row r="21" spans="1:8" ht="28.95" hidden="1" customHeight="1" x14ac:dyDescent="0.3">
      <c r="A21" t="s">
        <v>31</v>
      </c>
      <c r="B21" s="2">
        <v>46113</v>
      </c>
      <c r="C21" s="10" t="s">
        <v>287</v>
      </c>
    </row>
    <row r="22" spans="1:8" hidden="1" x14ac:dyDescent="0.3">
      <c r="A22" t="s">
        <v>31</v>
      </c>
      <c r="B22" s="2">
        <v>46143</v>
      </c>
      <c r="C22" s="10" t="s">
        <v>852</v>
      </c>
    </row>
    <row r="23" spans="1:8" hidden="1" x14ac:dyDescent="0.3">
      <c r="A23" t="s">
        <v>31</v>
      </c>
      <c r="B23" s="2">
        <v>46174</v>
      </c>
      <c r="C23" s="10"/>
    </row>
    <row r="24" spans="1:8" hidden="1" x14ac:dyDescent="0.3">
      <c r="A24" t="s">
        <v>31</v>
      </c>
      <c r="B24" s="2">
        <v>46204</v>
      </c>
      <c r="C24" s="10">
        <v>31</v>
      </c>
      <c r="D24">
        <v>0</v>
      </c>
      <c r="E24" t="s">
        <v>33</v>
      </c>
      <c r="F24" t="s">
        <v>33</v>
      </c>
      <c r="G24" t="s">
        <v>1014</v>
      </c>
      <c r="H24" t="s">
        <v>36</v>
      </c>
    </row>
    <row r="25" spans="1:8" hidden="1" x14ac:dyDescent="0.3">
      <c r="A25" t="s">
        <v>31</v>
      </c>
      <c r="B25" s="2">
        <v>46235</v>
      </c>
      <c r="C25" s="10" t="s">
        <v>919</v>
      </c>
      <c r="D25">
        <v>0</v>
      </c>
      <c r="E25" t="s">
        <v>33</v>
      </c>
      <c r="F25" t="s">
        <v>33</v>
      </c>
      <c r="G25" t="s">
        <v>1073</v>
      </c>
      <c r="H25" t="s">
        <v>36</v>
      </c>
    </row>
    <row r="26" spans="1:8" hidden="1" x14ac:dyDescent="0.3">
      <c r="A26" t="s">
        <v>43</v>
      </c>
      <c r="B26" s="2">
        <v>45536</v>
      </c>
      <c r="C26" s="10"/>
    </row>
    <row r="27" spans="1:8" hidden="1" x14ac:dyDescent="0.3">
      <c r="A27" t="s">
        <v>43</v>
      </c>
      <c r="B27" s="2">
        <v>45566</v>
      </c>
      <c r="C27" s="10"/>
    </row>
    <row r="28" spans="1:8" hidden="1" x14ac:dyDescent="0.3">
      <c r="A28" t="s">
        <v>43</v>
      </c>
      <c r="B28" s="2">
        <v>45597</v>
      </c>
      <c r="C28" s="10"/>
    </row>
    <row r="29" spans="1:8" hidden="1" x14ac:dyDescent="0.3">
      <c r="A29" t="s">
        <v>43</v>
      </c>
      <c r="B29" s="2">
        <v>45627</v>
      </c>
      <c r="C29" s="10"/>
    </row>
    <row r="30" spans="1:8" hidden="1" x14ac:dyDescent="0.3">
      <c r="A30" t="s">
        <v>43</v>
      </c>
      <c r="B30" s="2">
        <v>45658</v>
      </c>
      <c r="C30" s="10"/>
    </row>
    <row r="31" spans="1:8" ht="43.2" hidden="1" customHeight="1" x14ac:dyDescent="0.3">
      <c r="A31" t="s">
        <v>43</v>
      </c>
      <c r="B31" s="2">
        <v>45689</v>
      </c>
      <c r="C31" s="10" t="s">
        <v>288</v>
      </c>
    </row>
    <row r="32" spans="1:8" hidden="1" x14ac:dyDescent="0.3">
      <c r="A32" t="s">
        <v>43</v>
      </c>
      <c r="B32" s="2">
        <v>45717</v>
      </c>
      <c r="C32" s="10" t="s">
        <v>289</v>
      </c>
    </row>
    <row r="33" spans="1:8" hidden="1" x14ac:dyDescent="0.3">
      <c r="A33" t="s">
        <v>43</v>
      </c>
      <c r="B33" s="2">
        <v>45748</v>
      </c>
      <c r="C33" s="10" t="s">
        <v>289</v>
      </c>
    </row>
    <row r="34" spans="1:8" ht="72" hidden="1" customHeight="1" x14ac:dyDescent="0.3">
      <c r="A34" t="s">
        <v>43</v>
      </c>
      <c r="B34" s="2">
        <v>45778</v>
      </c>
      <c r="C34" s="10" t="s">
        <v>290</v>
      </c>
    </row>
    <row r="35" spans="1:8" ht="72" hidden="1" customHeight="1" x14ac:dyDescent="0.3">
      <c r="A35" t="s">
        <v>43</v>
      </c>
      <c r="B35" s="2">
        <v>45809</v>
      </c>
      <c r="C35" s="10" t="s">
        <v>291</v>
      </c>
    </row>
    <row r="36" spans="1:8" ht="72" hidden="1" customHeight="1" x14ac:dyDescent="0.3">
      <c r="A36" t="s">
        <v>43</v>
      </c>
      <c r="B36" s="2">
        <v>45839</v>
      </c>
      <c r="C36" s="10" t="s">
        <v>292</v>
      </c>
    </row>
    <row r="37" spans="1:8" ht="57.6" hidden="1" customHeight="1" x14ac:dyDescent="0.3">
      <c r="A37" t="s">
        <v>43</v>
      </c>
      <c r="B37" s="2">
        <v>45870</v>
      </c>
      <c r="C37" s="10" t="s">
        <v>293</v>
      </c>
    </row>
    <row r="38" spans="1:8" ht="57.6" hidden="1" customHeight="1" x14ac:dyDescent="0.3">
      <c r="A38" t="s">
        <v>43</v>
      </c>
      <c r="B38" s="2">
        <v>45901</v>
      </c>
      <c r="C38" s="10" t="s">
        <v>294</v>
      </c>
    </row>
    <row r="39" spans="1:8" ht="72" hidden="1" customHeight="1" x14ac:dyDescent="0.3">
      <c r="A39" t="s">
        <v>43</v>
      </c>
      <c r="B39" s="2">
        <v>45931</v>
      </c>
      <c r="C39" s="10" t="s">
        <v>295</v>
      </c>
    </row>
    <row r="40" spans="1:8" ht="57.6" hidden="1" customHeight="1" x14ac:dyDescent="0.3">
      <c r="A40" t="s">
        <v>43</v>
      </c>
      <c r="B40" s="2">
        <v>45962</v>
      </c>
      <c r="C40" s="10" t="s">
        <v>296</v>
      </c>
    </row>
    <row r="41" spans="1:8" ht="28.8" hidden="1" x14ac:dyDescent="0.3">
      <c r="A41" t="s">
        <v>43</v>
      </c>
      <c r="B41" s="2">
        <v>45992</v>
      </c>
      <c r="C41" s="10" t="s">
        <v>297</v>
      </c>
    </row>
    <row r="42" spans="1:8" ht="28.8" hidden="1" x14ac:dyDescent="0.3">
      <c r="A42" t="s">
        <v>43</v>
      </c>
      <c r="B42" s="2">
        <v>46023</v>
      </c>
      <c r="C42" s="10" t="s">
        <v>298</v>
      </c>
    </row>
    <row r="43" spans="1:8" ht="28.8" hidden="1" x14ac:dyDescent="0.3">
      <c r="A43" t="s">
        <v>43</v>
      </c>
      <c r="B43" s="2">
        <v>46054</v>
      </c>
      <c r="C43" s="10" t="s">
        <v>299</v>
      </c>
    </row>
    <row r="44" spans="1:8" hidden="1" x14ac:dyDescent="0.3">
      <c r="A44" t="s">
        <v>43</v>
      </c>
      <c r="B44" s="2">
        <v>46082</v>
      </c>
      <c r="C44" s="10" t="s">
        <v>300</v>
      </c>
    </row>
    <row r="45" spans="1:8" hidden="1" x14ac:dyDescent="0.3">
      <c r="A45" t="s">
        <v>43</v>
      </c>
      <c r="B45" s="2">
        <v>46113</v>
      </c>
      <c r="C45" s="10" t="s">
        <v>300</v>
      </c>
    </row>
    <row r="46" spans="1:8" ht="28.8" hidden="1" x14ac:dyDescent="0.3">
      <c r="A46" t="s">
        <v>43</v>
      </c>
      <c r="B46" s="2">
        <v>46143</v>
      </c>
      <c r="C46" s="10" t="s">
        <v>867</v>
      </c>
    </row>
    <row r="47" spans="1:8" hidden="1" x14ac:dyDescent="0.3">
      <c r="A47" t="s">
        <v>43</v>
      </c>
      <c r="B47" s="2">
        <v>46174</v>
      </c>
      <c r="C47" s="10" t="s">
        <v>892</v>
      </c>
      <c r="D47">
        <v>0</v>
      </c>
      <c r="E47" t="s">
        <v>33</v>
      </c>
    </row>
    <row r="48" spans="1:8" hidden="1" x14ac:dyDescent="0.3">
      <c r="A48" t="s">
        <v>43</v>
      </c>
      <c r="B48" s="2">
        <v>46204</v>
      </c>
      <c r="C48" s="10">
        <v>31</v>
      </c>
      <c r="D48">
        <v>0</v>
      </c>
      <c r="E48" t="s">
        <v>33</v>
      </c>
      <c r="F48" t="s">
        <v>33</v>
      </c>
      <c r="G48" s="10" t="s">
        <v>932</v>
      </c>
      <c r="H48" t="s">
        <v>36</v>
      </c>
    </row>
    <row r="49" spans="1:8" hidden="1" x14ac:dyDescent="0.3">
      <c r="A49" t="s">
        <v>43</v>
      </c>
      <c r="B49" s="2">
        <v>46235</v>
      </c>
      <c r="C49" s="10" t="s">
        <v>919</v>
      </c>
      <c r="D49">
        <v>0</v>
      </c>
      <c r="E49" t="s">
        <v>33</v>
      </c>
      <c r="F49" t="s">
        <v>33</v>
      </c>
      <c r="G49" t="s">
        <v>1073</v>
      </c>
      <c r="H49" t="s">
        <v>36</v>
      </c>
    </row>
    <row r="50" spans="1:8" hidden="1" x14ac:dyDescent="0.3">
      <c r="A50" t="s">
        <v>49</v>
      </c>
      <c r="B50" s="2">
        <v>45536</v>
      </c>
      <c r="C50" s="10"/>
    </row>
    <row r="51" spans="1:8" hidden="1" x14ac:dyDescent="0.3">
      <c r="A51" t="s">
        <v>49</v>
      </c>
      <c r="B51" s="2">
        <v>45566</v>
      </c>
      <c r="C51" s="10"/>
    </row>
    <row r="52" spans="1:8" hidden="1" x14ac:dyDescent="0.3">
      <c r="A52" t="s">
        <v>49</v>
      </c>
      <c r="B52" s="2">
        <v>45597</v>
      </c>
      <c r="C52" s="10"/>
    </row>
    <row r="53" spans="1:8" hidden="1" x14ac:dyDescent="0.3">
      <c r="A53" t="s">
        <v>49</v>
      </c>
      <c r="B53" s="2">
        <v>45627</v>
      </c>
      <c r="C53" s="10"/>
    </row>
    <row r="54" spans="1:8" hidden="1" x14ac:dyDescent="0.3">
      <c r="A54" t="s">
        <v>49</v>
      </c>
      <c r="B54" s="2">
        <v>45658</v>
      </c>
      <c r="C54" s="10" t="s">
        <v>892</v>
      </c>
      <c r="D54" t="s">
        <v>33</v>
      </c>
      <c r="E54" t="s">
        <v>33</v>
      </c>
      <c r="F54" t="s">
        <v>893</v>
      </c>
      <c r="G54" s="10" t="s">
        <v>932</v>
      </c>
    </row>
    <row r="55" spans="1:8" hidden="1" x14ac:dyDescent="0.3">
      <c r="A55" t="s">
        <v>49</v>
      </c>
      <c r="B55" s="2">
        <v>45689</v>
      </c>
      <c r="C55" s="10" t="s">
        <v>895</v>
      </c>
      <c r="D55" t="s">
        <v>33</v>
      </c>
      <c r="E55" t="s">
        <v>33</v>
      </c>
      <c r="F55" t="s">
        <v>893</v>
      </c>
      <c r="G55" s="10" t="s">
        <v>932</v>
      </c>
    </row>
    <row r="56" spans="1:8" hidden="1" x14ac:dyDescent="0.3">
      <c r="A56" t="s">
        <v>49</v>
      </c>
      <c r="B56" s="2">
        <v>45717</v>
      </c>
      <c r="C56" s="10" t="s">
        <v>892</v>
      </c>
      <c r="D56" t="s">
        <v>33</v>
      </c>
      <c r="E56" t="s">
        <v>33</v>
      </c>
      <c r="F56" t="s">
        <v>893</v>
      </c>
      <c r="G56" s="10" t="s">
        <v>932</v>
      </c>
    </row>
    <row r="57" spans="1:8" hidden="1" x14ac:dyDescent="0.3">
      <c r="A57" t="s">
        <v>49</v>
      </c>
      <c r="B57" s="2">
        <v>45748</v>
      </c>
      <c r="C57" s="10" t="s">
        <v>896</v>
      </c>
      <c r="F57" t="s">
        <v>893</v>
      </c>
      <c r="G57" s="10" t="s">
        <v>932</v>
      </c>
    </row>
    <row r="58" spans="1:8" hidden="1" x14ac:dyDescent="0.3">
      <c r="A58" t="s">
        <v>49</v>
      </c>
      <c r="B58" s="2">
        <v>45778</v>
      </c>
      <c r="C58" s="10">
        <v>0</v>
      </c>
      <c r="D58">
        <v>30</v>
      </c>
      <c r="F58" t="s">
        <v>893</v>
      </c>
      <c r="G58" s="10" t="s">
        <v>932</v>
      </c>
    </row>
    <row r="59" spans="1:8" hidden="1" x14ac:dyDescent="0.3">
      <c r="A59" t="s">
        <v>49</v>
      </c>
      <c r="B59" s="2">
        <v>45809</v>
      </c>
      <c r="C59" s="10" t="s">
        <v>898</v>
      </c>
      <c r="D59">
        <v>4</v>
      </c>
      <c r="E59" t="s">
        <v>897</v>
      </c>
      <c r="F59" t="s">
        <v>893</v>
      </c>
      <c r="G59" s="10" t="s">
        <v>932</v>
      </c>
    </row>
    <row r="60" spans="1:8" hidden="1" x14ac:dyDescent="0.3">
      <c r="A60" t="s">
        <v>49</v>
      </c>
      <c r="B60" s="2">
        <v>45839</v>
      </c>
      <c r="C60" s="10" t="s">
        <v>899</v>
      </c>
      <c r="D60" s="10" t="s">
        <v>892</v>
      </c>
      <c r="E60" t="s">
        <v>913</v>
      </c>
      <c r="F60" t="s">
        <v>982</v>
      </c>
      <c r="G60" t="s">
        <v>992</v>
      </c>
    </row>
    <row r="61" spans="1:8" hidden="1" x14ac:dyDescent="0.3">
      <c r="A61" t="s">
        <v>49</v>
      </c>
      <c r="B61" s="2">
        <v>45870</v>
      </c>
      <c r="C61" s="10" t="s">
        <v>892</v>
      </c>
      <c r="D61">
        <v>0</v>
      </c>
      <c r="F61" t="s">
        <v>33</v>
      </c>
      <c r="G61" s="10" t="s">
        <v>932</v>
      </c>
    </row>
    <row r="62" spans="1:8" hidden="1" x14ac:dyDescent="0.3">
      <c r="A62" t="s">
        <v>49</v>
      </c>
      <c r="B62" s="2">
        <v>45901</v>
      </c>
      <c r="C62" s="10" t="s">
        <v>892</v>
      </c>
      <c r="D62">
        <v>0</v>
      </c>
      <c r="F62" t="s">
        <v>912</v>
      </c>
      <c r="G62" t="s">
        <v>914</v>
      </c>
    </row>
    <row r="63" spans="1:8" hidden="1" x14ac:dyDescent="0.3">
      <c r="A63" t="s">
        <v>49</v>
      </c>
      <c r="B63" s="2">
        <v>45931</v>
      </c>
      <c r="C63" s="10" t="s">
        <v>901</v>
      </c>
      <c r="D63" t="s">
        <v>900</v>
      </c>
      <c r="E63" t="s">
        <v>908</v>
      </c>
      <c r="F63" t="s">
        <v>915</v>
      </c>
      <c r="G63" s="10" t="s">
        <v>990</v>
      </c>
    </row>
    <row r="64" spans="1:8" hidden="1" x14ac:dyDescent="0.3">
      <c r="A64" t="s">
        <v>49</v>
      </c>
      <c r="B64" s="2">
        <v>45962</v>
      </c>
      <c r="C64" s="10" t="s">
        <v>896</v>
      </c>
      <c r="D64">
        <v>0</v>
      </c>
      <c r="F64" t="s">
        <v>33</v>
      </c>
      <c r="G64" s="10" t="s">
        <v>932</v>
      </c>
    </row>
    <row r="65" spans="1:8" hidden="1" x14ac:dyDescent="0.3">
      <c r="A65" t="s">
        <v>49</v>
      </c>
      <c r="B65" s="2">
        <v>45992</v>
      </c>
      <c r="C65" s="10" t="s">
        <v>911</v>
      </c>
      <c r="D65">
        <v>0</v>
      </c>
      <c r="E65" t="s">
        <v>33</v>
      </c>
      <c r="F65" t="s">
        <v>893</v>
      </c>
      <c r="G65" s="10" t="s">
        <v>932</v>
      </c>
    </row>
    <row r="66" spans="1:8" hidden="1" x14ac:dyDescent="0.3">
      <c r="A66" t="s">
        <v>49</v>
      </c>
      <c r="B66" s="2">
        <v>46023</v>
      </c>
      <c r="C66" s="10" t="s">
        <v>892</v>
      </c>
      <c r="D66">
        <v>0</v>
      </c>
      <c r="F66" t="s">
        <v>33</v>
      </c>
      <c r="G66" t="s">
        <v>894</v>
      </c>
    </row>
    <row r="67" spans="1:8" hidden="1" x14ac:dyDescent="0.3">
      <c r="A67" t="s">
        <v>49</v>
      </c>
      <c r="B67" s="2">
        <v>46054</v>
      </c>
      <c r="C67" s="10" t="s">
        <v>903</v>
      </c>
      <c r="D67">
        <v>0</v>
      </c>
      <c r="F67" t="s">
        <v>912</v>
      </c>
      <c r="G67" s="10" t="s">
        <v>932</v>
      </c>
    </row>
    <row r="68" spans="1:8" hidden="1" x14ac:dyDescent="0.3">
      <c r="A68" t="s">
        <v>49</v>
      </c>
      <c r="B68" s="2">
        <v>46082</v>
      </c>
      <c r="C68" s="10" t="s">
        <v>905</v>
      </c>
      <c r="D68" t="s">
        <v>904</v>
      </c>
      <c r="E68" t="s">
        <v>908</v>
      </c>
      <c r="F68" t="s">
        <v>910</v>
      </c>
      <c r="G68" s="10" t="s">
        <v>990</v>
      </c>
    </row>
    <row r="69" spans="1:8" hidden="1" x14ac:dyDescent="0.3">
      <c r="A69" t="s">
        <v>49</v>
      </c>
      <c r="B69" s="2">
        <v>46113</v>
      </c>
      <c r="C69" s="10" t="s">
        <v>896</v>
      </c>
      <c r="D69" t="s">
        <v>907</v>
      </c>
      <c r="E69" t="s">
        <v>908</v>
      </c>
      <c r="F69" t="s">
        <v>910</v>
      </c>
      <c r="G69" s="10" t="s">
        <v>991</v>
      </c>
    </row>
    <row r="70" spans="1:8" hidden="1" x14ac:dyDescent="0.3">
      <c r="A70" t="s">
        <v>49</v>
      </c>
      <c r="B70" s="2">
        <v>46143</v>
      </c>
      <c r="C70" s="10" t="s">
        <v>892</v>
      </c>
      <c r="D70" t="s">
        <v>906</v>
      </c>
      <c r="E70" t="s">
        <v>909</v>
      </c>
      <c r="F70" t="s">
        <v>910</v>
      </c>
      <c r="G70" s="10" t="s">
        <v>990</v>
      </c>
    </row>
    <row r="71" spans="1:8" hidden="1" x14ac:dyDescent="0.3">
      <c r="A71" t="s">
        <v>49</v>
      </c>
      <c r="B71" s="2">
        <v>46174</v>
      </c>
      <c r="C71" s="10" t="s">
        <v>896</v>
      </c>
      <c r="D71">
        <v>0</v>
      </c>
      <c r="E71" t="s">
        <v>33</v>
      </c>
      <c r="F71" t="s">
        <v>912</v>
      </c>
      <c r="G71" s="10" t="s">
        <v>1016</v>
      </c>
      <c r="H71" t="s">
        <v>36</v>
      </c>
    </row>
    <row r="72" spans="1:8" hidden="1" x14ac:dyDescent="0.3">
      <c r="A72" t="s">
        <v>49</v>
      </c>
      <c r="B72" s="2">
        <v>46204</v>
      </c>
      <c r="C72" s="10">
        <v>30</v>
      </c>
      <c r="D72" t="s">
        <v>1019</v>
      </c>
      <c r="E72" t="s">
        <v>927</v>
      </c>
      <c r="F72" t="s">
        <v>33</v>
      </c>
      <c r="G72" s="10" t="s">
        <v>1015</v>
      </c>
      <c r="H72" t="s">
        <v>36</v>
      </c>
    </row>
    <row r="73" spans="1:8" hidden="1" x14ac:dyDescent="0.3">
      <c r="A73" t="s">
        <v>49</v>
      </c>
      <c r="B73" s="2">
        <v>46235</v>
      </c>
      <c r="C73" s="10" t="s">
        <v>919</v>
      </c>
      <c r="D73">
        <v>0</v>
      </c>
      <c r="E73" t="s">
        <v>33</v>
      </c>
      <c r="F73" t="s">
        <v>33</v>
      </c>
      <c r="G73" t="s">
        <v>1073</v>
      </c>
      <c r="H73" t="s">
        <v>36</v>
      </c>
    </row>
    <row r="74" spans="1:8" hidden="1" x14ac:dyDescent="0.3">
      <c r="A74" t="s">
        <v>250</v>
      </c>
      <c r="B74" s="2">
        <v>46204</v>
      </c>
      <c r="C74">
        <v>31</v>
      </c>
      <c r="D74">
        <v>0</v>
      </c>
      <c r="E74" t="s">
        <v>33</v>
      </c>
      <c r="F74" t="s">
        <v>33</v>
      </c>
      <c r="G74" t="s">
        <v>959</v>
      </c>
      <c r="H74" t="s">
        <v>36</v>
      </c>
    </row>
    <row r="75" spans="1:8" hidden="1" x14ac:dyDescent="0.3">
      <c r="A75" t="s">
        <v>250</v>
      </c>
      <c r="B75" s="2">
        <v>46174</v>
      </c>
      <c r="C75" t="s">
        <v>919</v>
      </c>
      <c r="D75">
        <v>0</v>
      </c>
      <c r="E75" t="s">
        <v>33</v>
      </c>
      <c r="F75" t="s">
        <v>33</v>
      </c>
      <c r="G75" s="10" t="s">
        <v>996</v>
      </c>
      <c r="H75" t="s">
        <v>36</v>
      </c>
    </row>
    <row r="76" spans="1:8" hidden="1" x14ac:dyDescent="0.3">
      <c r="A76" t="s">
        <v>250</v>
      </c>
      <c r="B76" s="2">
        <v>45536</v>
      </c>
    </row>
    <row r="77" spans="1:8" hidden="1" x14ac:dyDescent="0.3">
      <c r="A77" t="s">
        <v>250</v>
      </c>
      <c r="B77" s="2">
        <v>45566</v>
      </c>
    </row>
    <row r="78" spans="1:8" hidden="1" x14ac:dyDescent="0.3">
      <c r="A78" t="s">
        <v>250</v>
      </c>
      <c r="B78" s="2">
        <v>45597</v>
      </c>
    </row>
    <row r="79" spans="1:8" ht="28.95" hidden="1" customHeight="1" x14ac:dyDescent="0.3">
      <c r="A79" t="s">
        <v>250</v>
      </c>
      <c r="B79" s="2">
        <v>45627</v>
      </c>
    </row>
    <row r="80" spans="1:8" ht="28.95" hidden="1" customHeight="1" x14ac:dyDescent="0.3">
      <c r="A80" t="s">
        <v>250</v>
      </c>
      <c r="B80" s="2">
        <v>45658</v>
      </c>
    </row>
    <row r="81" spans="1:8" hidden="1" x14ac:dyDescent="0.3">
      <c r="A81" t="s">
        <v>250</v>
      </c>
      <c r="B81" s="2">
        <v>45689</v>
      </c>
    </row>
    <row r="82" spans="1:8" ht="43.2" hidden="1" customHeight="1" x14ac:dyDescent="0.3">
      <c r="A82" t="s">
        <v>250</v>
      </c>
      <c r="B82" s="2">
        <v>45717</v>
      </c>
    </row>
    <row r="83" spans="1:8" ht="57.6" hidden="1" customHeight="1" x14ac:dyDescent="0.3">
      <c r="A83" t="s">
        <v>250</v>
      </c>
      <c r="B83" s="2">
        <v>45748</v>
      </c>
    </row>
    <row r="84" spans="1:8" ht="43.2" hidden="1" customHeight="1" x14ac:dyDescent="0.3">
      <c r="A84" t="s">
        <v>250</v>
      </c>
      <c r="B84" s="2">
        <v>45778</v>
      </c>
    </row>
    <row r="85" spans="1:8" ht="72" hidden="1" customHeight="1" x14ac:dyDescent="0.3">
      <c r="A85" t="s">
        <v>250</v>
      </c>
      <c r="B85" s="2">
        <v>45809</v>
      </c>
    </row>
    <row r="86" spans="1:8" ht="43.2" hidden="1" customHeight="1" x14ac:dyDescent="0.3">
      <c r="A86" t="s">
        <v>250</v>
      </c>
      <c r="B86" s="2">
        <v>45839</v>
      </c>
      <c r="C86" t="s">
        <v>911</v>
      </c>
      <c r="D86" t="s">
        <v>36</v>
      </c>
      <c r="E86" t="s">
        <v>36</v>
      </c>
      <c r="F86" t="s">
        <v>36</v>
      </c>
      <c r="G86" t="s">
        <v>36</v>
      </c>
      <c r="H86" t="s">
        <v>916</v>
      </c>
    </row>
    <row r="87" spans="1:8" ht="43.2" hidden="1" customHeight="1" x14ac:dyDescent="0.3">
      <c r="A87" t="s">
        <v>250</v>
      </c>
      <c r="B87" s="2">
        <v>45870</v>
      </c>
      <c r="C87" t="s">
        <v>911</v>
      </c>
      <c r="D87" t="s">
        <v>36</v>
      </c>
      <c r="E87" t="s">
        <v>36</v>
      </c>
      <c r="F87" t="s">
        <v>36</v>
      </c>
      <c r="G87" t="s">
        <v>36</v>
      </c>
      <c r="H87" t="s">
        <v>916</v>
      </c>
    </row>
    <row r="88" spans="1:8" ht="43.2" hidden="1" customHeight="1" x14ac:dyDescent="0.3">
      <c r="A88" t="s">
        <v>250</v>
      </c>
      <c r="B88" s="2">
        <v>45901</v>
      </c>
      <c r="C88" t="s">
        <v>919</v>
      </c>
      <c r="D88" t="s">
        <v>36</v>
      </c>
      <c r="E88" t="s">
        <v>36</v>
      </c>
      <c r="F88" t="s">
        <v>36</v>
      </c>
      <c r="G88" t="s">
        <v>36</v>
      </c>
      <c r="H88" t="s">
        <v>916</v>
      </c>
    </row>
    <row r="89" spans="1:8" hidden="1" x14ac:dyDescent="0.3">
      <c r="A89" t="s">
        <v>250</v>
      </c>
      <c r="B89" s="2">
        <v>45931</v>
      </c>
      <c r="C89" t="s">
        <v>911</v>
      </c>
      <c r="D89" t="s">
        <v>36</v>
      </c>
      <c r="E89" t="s">
        <v>36</v>
      </c>
      <c r="F89" t="s">
        <v>36</v>
      </c>
      <c r="G89" t="s">
        <v>36</v>
      </c>
      <c r="H89" t="s">
        <v>916</v>
      </c>
    </row>
    <row r="90" spans="1:8" hidden="1" x14ac:dyDescent="0.3">
      <c r="A90" t="s">
        <v>250</v>
      </c>
      <c r="B90" s="2">
        <v>45962</v>
      </c>
      <c r="C90" t="s">
        <v>919</v>
      </c>
      <c r="D90" t="s">
        <v>36</v>
      </c>
      <c r="E90" t="s">
        <v>36</v>
      </c>
      <c r="F90" t="s">
        <v>36</v>
      </c>
      <c r="G90" t="s">
        <v>36</v>
      </c>
      <c r="H90" t="s">
        <v>916</v>
      </c>
    </row>
    <row r="91" spans="1:8" hidden="1" x14ac:dyDescent="0.3">
      <c r="A91" t="s">
        <v>250</v>
      </c>
      <c r="B91" s="2">
        <v>45992</v>
      </c>
      <c r="C91" t="s">
        <v>911</v>
      </c>
      <c r="D91" t="s">
        <v>36</v>
      </c>
      <c r="E91" t="s">
        <v>36</v>
      </c>
      <c r="F91" t="s">
        <v>36</v>
      </c>
      <c r="G91" t="s">
        <v>36</v>
      </c>
      <c r="H91" t="s">
        <v>916</v>
      </c>
    </row>
    <row r="92" spans="1:8" hidden="1" x14ac:dyDescent="0.3">
      <c r="A92" t="s">
        <v>250</v>
      </c>
      <c r="B92" s="2">
        <v>46023</v>
      </c>
      <c r="C92" t="s">
        <v>911</v>
      </c>
      <c r="D92" t="s">
        <v>36</v>
      </c>
      <c r="E92" t="s">
        <v>36</v>
      </c>
      <c r="F92" t="s">
        <v>36</v>
      </c>
      <c r="G92" t="s">
        <v>36</v>
      </c>
      <c r="H92" t="s">
        <v>916</v>
      </c>
    </row>
    <row r="93" spans="1:8" hidden="1" x14ac:dyDescent="0.3">
      <c r="A93" t="s">
        <v>250</v>
      </c>
      <c r="B93" s="2">
        <v>46054</v>
      </c>
      <c r="C93" t="s">
        <v>895</v>
      </c>
      <c r="D93" t="s">
        <v>36</v>
      </c>
      <c r="E93" t="s">
        <v>36</v>
      </c>
      <c r="F93" t="s">
        <v>36</v>
      </c>
      <c r="G93" t="s">
        <v>36</v>
      </c>
      <c r="H93" t="s">
        <v>916</v>
      </c>
    </row>
    <row r="94" spans="1:8" hidden="1" x14ac:dyDescent="0.3">
      <c r="A94" t="s">
        <v>250</v>
      </c>
      <c r="B94" s="2">
        <v>46082</v>
      </c>
      <c r="C94" t="s">
        <v>911</v>
      </c>
      <c r="D94" t="s">
        <v>36</v>
      </c>
      <c r="E94" t="s">
        <v>36</v>
      </c>
      <c r="F94" t="s">
        <v>36</v>
      </c>
      <c r="G94" t="s">
        <v>36</v>
      </c>
      <c r="H94" t="s">
        <v>916</v>
      </c>
    </row>
    <row r="95" spans="1:8" hidden="1" x14ac:dyDescent="0.3">
      <c r="A95" t="s">
        <v>250</v>
      </c>
      <c r="B95" s="2">
        <v>46113</v>
      </c>
      <c r="C95" t="s">
        <v>963</v>
      </c>
      <c r="D95" t="s">
        <v>962</v>
      </c>
      <c r="E95" t="s">
        <v>916</v>
      </c>
      <c r="F95" t="s">
        <v>33</v>
      </c>
      <c r="G95" t="s">
        <v>33</v>
      </c>
      <c r="H95" t="s">
        <v>36</v>
      </c>
    </row>
    <row r="96" spans="1:8" hidden="1" x14ac:dyDescent="0.3">
      <c r="A96" t="s">
        <v>250</v>
      </c>
      <c r="B96" s="2">
        <v>46143</v>
      </c>
      <c r="C96" t="s">
        <v>911</v>
      </c>
      <c r="D96" t="s">
        <v>33</v>
      </c>
      <c r="E96" t="s">
        <v>33</v>
      </c>
      <c r="F96" t="s">
        <v>33</v>
      </c>
      <c r="G96" t="s">
        <v>943</v>
      </c>
      <c r="H96" t="s">
        <v>36</v>
      </c>
    </row>
    <row r="97" spans="1:8" hidden="1" x14ac:dyDescent="0.3">
      <c r="A97" t="s">
        <v>250</v>
      </c>
      <c r="B97" s="2">
        <v>46235</v>
      </c>
      <c r="C97" s="10" t="s">
        <v>919</v>
      </c>
      <c r="D97">
        <v>0</v>
      </c>
      <c r="E97" t="s">
        <v>33</v>
      </c>
      <c r="F97" t="s">
        <v>33</v>
      </c>
      <c r="G97" t="s">
        <v>959</v>
      </c>
      <c r="H97" t="s">
        <v>36</v>
      </c>
    </row>
    <row r="98" spans="1:8" ht="28.8" hidden="1" x14ac:dyDescent="0.3">
      <c r="A98" t="s">
        <v>55</v>
      </c>
      <c r="B98" s="2">
        <v>45536</v>
      </c>
      <c r="C98" s="10" t="s">
        <v>315</v>
      </c>
    </row>
    <row r="99" spans="1:8" hidden="1" x14ac:dyDescent="0.3">
      <c r="A99" t="s">
        <v>55</v>
      </c>
      <c r="B99" s="2">
        <v>45566</v>
      </c>
      <c r="C99" s="10"/>
    </row>
    <row r="100" spans="1:8" hidden="1" x14ac:dyDescent="0.3">
      <c r="A100" t="s">
        <v>55</v>
      </c>
      <c r="B100" s="2">
        <v>45597</v>
      </c>
      <c r="C100" s="10"/>
    </row>
    <row r="101" spans="1:8" hidden="1" x14ac:dyDescent="0.3">
      <c r="A101" t="s">
        <v>55</v>
      </c>
      <c r="B101" s="2">
        <v>45627</v>
      </c>
      <c r="C101" s="10"/>
    </row>
    <row r="102" spans="1:8" hidden="1" x14ac:dyDescent="0.3">
      <c r="A102" t="s">
        <v>55</v>
      </c>
      <c r="B102" s="2">
        <v>45658</v>
      </c>
      <c r="C102" s="10"/>
    </row>
    <row r="103" spans="1:8" ht="72" hidden="1" customHeight="1" x14ac:dyDescent="0.3">
      <c r="A103" t="s">
        <v>55</v>
      </c>
      <c r="B103" s="2">
        <v>45689</v>
      </c>
      <c r="C103" s="10" t="s">
        <v>316</v>
      </c>
    </row>
    <row r="104" spans="1:8" ht="86.4" hidden="1" customHeight="1" x14ac:dyDescent="0.3">
      <c r="A104" t="s">
        <v>55</v>
      </c>
      <c r="B104" s="2">
        <v>45717</v>
      </c>
      <c r="C104" s="10" t="s">
        <v>317</v>
      </c>
    </row>
    <row r="105" spans="1:8" ht="72" hidden="1" customHeight="1" x14ac:dyDescent="0.3">
      <c r="A105" t="s">
        <v>55</v>
      </c>
      <c r="B105" s="2">
        <v>45748</v>
      </c>
      <c r="C105" s="10" t="s">
        <v>318</v>
      </c>
    </row>
    <row r="106" spans="1:8" ht="72" hidden="1" customHeight="1" x14ac:dyDescent="0.3">
      <c r="A106" t="s">
        <v>55</v>
      </c>
      <c r="B106" s="2">
        <v>45778</v>
      </c>
      <c r="C106" s="10" t="s">
        <v>319</v>
      </c>
    </row>
    <row r="107" spans="1:8" ht="57.6" hidden="1" customHeight="1" x14ac:dyDescent="0.3">
      <c r="A107" t="s">
        <v>55</v>
      </c>
      <c r="B107" s="2">
        <v>45809</v>
      </c>
      <c r="C107" s="10" t="s">
        <v>320</v>
      </c>
    </row>
    <row r="108" spans="1:8" ht="72" hidden="1" customHeight="1" x14ac:dyDescent="0.3">
      <c r="A108" t="s">
        <v>55</v>
      </c>
      <c r="B108" s="2">
        <v>45839</v>
      </c>
      <c r="C108" s="10" t="s">
        <v>321</v>
      </c>
    </row>
    <row r="109" spans="1:8" ht="57.6" hidden="1" customHeight="1" x14ac:dyDescent="0.3">
      <c r="A109" t="s">
        <v>55</v>
      </c>
      <c r="B109" s="2">
        <v>45870</v>
      </c>
      <c r="C109" s="10" t="s">
        <v>322</v>
      </c>
    </row>
    <row r="110" spans="1:8" ht="72" hidden="1" customHeight="1" x14ac:dyDescent="0.3">
      <c r="A110" t="s">
        <v>55</v>
      </c>
      <c r="B110" s="2">
        <v>45901</v>
      </c>
      <c r="C110" s="10" t="s">
        <v>323</v>
      </c>
    </row>
    <row r="111" spans="1:8" ht="86.4" hidden="1" customHeight="1" x14ac:dyDescent="0.3">
      <c r="A111" t="s">
        <v>55</v>
      </c>
      <c r="B111" s="2">
        <v>45931</v>
      </c>
      <c r="C111" s="10" t="s">
        <v>324</v>
      </c>
    </row>
    <row r="112" spans="1:8" ht="57.6" hidden="1" customHeight="1" x14ac:dyDescent="0.3">
      <c r="A112" t="s">
        <v>55</v>
      </c>
      <c r="B112" s="2">
        <v>45962</v>
      </c>
      <c r="C112" s="10" t="s">
        <v>325</v>
      </c>
    </row>
    <row r="113" spans="1:8" hidden="1" x14ac:dyDescent="0.3">
      <c r="A113" t="s">
        <v>55</v>
      </c>
      <c r="B113" s="2">
        <v>45992</v>
      </c>
      <c r="C113" s="10" t="s">
        <v>326</v>
      </c>
    </row>
    <row r="114" spans="1:8" ht="28.8" hidden="1" x14ac:dyDescent="0.3">
      <c r="A114" t="s">
        <v>55</v>
      </c>
      <c r="B114" s="2">
        <v>46023</v>
      </c>
      <c r="C114" s="10" t="s">
        <v>327</v>
      </c>
    </row>
    <row r="115" spans="1:8" ht="43.2" hidden="1" x14ac:dyDescent="0.3">
      <c r="A115" t="s">
        <v>55</v>
      </c>
      <c r="B115" s="2">
        <v>46054</v>
      </c>
      <c r="C115" s="10" t="s">
        <v>314</v>
      </c>
    </row>
    <row r="116" spans="1:8" hidden="1" x14ac:dyDescent="0.3">
      <c r="A116" t="s">
        <v>55</v>
      </c>
      <c r="B116" s="2">
        <v>46082</v>
      </c>
      <c r="C116" s="10" t="s">
        <v>300</v>
      </c>
    </row>
    <row r="117" spans="1:8" hidden="1" x14ac:dyDescent="0.3">
      <c r="A117" t="s">
        <v>55</v>
      </c>
      <c r="B117" s="2">
        <v>46113</v>
      </c>
      <c r="C117" s="10" t="s">
        <v>300</v>
      </c>
    </row>
    <row r="118" spans="1:8" hidden="1" x14ac:dyDescent="0.3">
      <c r="A118" t="s">
        <v>55</v>
      </c>
      <c r="B118" s="2">
        <v>46143</v>
      </c>
      <c r="C118" s="10" t="s">
        <v>852</v>
      </c>
    </row>
    <row r="119" spans="1:8" hidden="1" x14ac:dyDescent="0.3">
      <c r="A119" t="s">
        <v>55</v>
      </c>
      <c r="B119" s="2">
        <v>46174</v>
      </c>
      <c r="C119" s="10"/>
    </row>
    <row r="120" spans="1:8" hidden="1" x14ac:dyDescent="0.3">
      <c r="A120" t="s">
        <v>55</v>
      </c>
      <c r="B120" s="2">
        <v>46204</v>
      </c>
      <c r="C120" s="10">
        <v>31</v>
      </c>
      <c r="D120">
        <v>0</v>
      </c>
      <c r="E120" t="s">
        <v>33</v>
      </c>
      <c r="F120" t="s">
        <v>33</v>
      </c>
      <c r="G120" s="10" t="s">
        <v>932</v>
      </c>
      <c r="H120" t="s">
        <v>36</v>
      </c>
    </row>
    <row r="121" spans="1:8" hidden="1" x14ac:dyDescent="0.3">
      <c r="A121" t="s">
        <v>55</v>
      </c>
      <c r="B121" s="2">
        <v>46235</v>
      </c>
      <c r="C121" s="10" t="s">
        <v>919</v>
      </c>
      <c r="D121">
        <v>0</v>
      </c>
      <c r="E121" t="s">
        <v>33</v>
      </c>
      <c r="F121" t="s">
        <v>33</v>
      </c>
      <c r="G121" t="s">
        <v>1073</v>
      </c>
      <c r="H121" t="s">
        <v>36</v>
      </c>
    </row>
    <row r="122" spans="1:8" hidden="1" x14ac:dyDescent="0.3">
      <c r="A122" t="s">
        <v>60</v>
      </c>
      <c r="B122" s="2">
        <v>45536</v>
      </c>
      <c r="C122" s="10"/>
    </row>
    <row r="123" spans="1:8" hidden="1" x14ac:dyDescent="0.3">
      <c r="A123" t="s">
        <v>60</v>
      </c>
      <c r="B123" s="2">
        <v>45566</v>
      </c>
      <c r="C123" s="10"/>
    </row>
    <row r="124" spans="1:8" hidden="1" x14ac:dyDescent="0.3">
      <c r="A124" t="s">
        <v>60</v>
      </c>
      <c r="B124" s="2">
        <v>45597</v>
      </c>
      <c r="C124" s="10"/>
    </row>
    <row r="125" spans="1:8" hidden="1" x14ac:dyDescent="0.3">
      <c r="A125" t="s">
        <v>60</v>
      </c>
      <c r="B125" s="2">
        <v>45627</v>
      </c>
      <c r="C125" s="10"/>
    </row>
    <row r="126" spans="1:8" hidden="1" x14ac:dyDescent="0.3">
      <c r="A126" t="s">
        <v>60</v>
      </c>
      <c r="B126" s="2">
        <v>45658</v>
      </c>
      <c r="C126" s="10"/>
    </row>
    <row r="127" spans="1:8" ht="28.95" hidden="1" customHeight="1" x14ac:dyDescent="0.3">
      <c r="A127" t="s">
        <v>60</v>
      </c>
      <c r="B127" s="2">
        <v>45689</v>
      </c>
      <c r="C127" s="10" t="s">
        <v>328</v>
      </c>
    </row>
    <row r="128" spans="1:8" ht="57.6" hidden="1" customHeight="1" x14ac:dyDescent="0.3">
      <c r="A128" t="s">
        <v>60</v>
      </c>
      <c r="B128" s="2">
        <v>45717</v>
      </c>
      <c r="C128" s="10" t="s">
        <v>329</v>
      </c>
    </row>
    <row r="129" spans="1:8" ht="86.4" hidden="1" customHeight="1" x14ac:dyDescent="0.3">
      <c r="A129" t="s">
        <v>60</v>
      </c>
      <c r="B129" s="2">
        <v>45748</v>
      </c>
      <c r="C129" s="10" t="s">
        <v>330</v>
      </c>
    </row>
    <row r="130" spans="1:8" ht="72" hidden="1" customHeight="1" x14ac:dyDescent="0.3">
      <c r="A130" t="s">
        <v>60</v>
      </c>
      <c r="B130" s="2">
        <v>45778</v>
      </c>
      <c r="C130" s="10" t="s">
        <v>331</v>
      </c>
    </row>
    <row r="131" spans="1:8" ht="72" hidden="1" customHeight="1" x14ac:dyDescent="0.3">
      <c r="A131" t="s">
        <v>60</v>
      </c>
      <c r="B131" s="2">
        <v>45809</v>
      </c>
      <c r="C131" s="10" t="s">
        <v>332</v>
      </c>
    </row>
    <row r="132" spans="1:8" ht="72" hidden="1" customHeight="1" x14ac:dyDescent="0.3">
      <c r="A132" t="s">
        <v>60</v>
      </c>
      <c r="B132" s="2">
        <v>45839</v>
      </c>
      <c r="C132" s="10" t="s">
        <v>333</v>
      </c>
    </row>
    <row r="133" spans="1:8" ht="72" hidden="1" customHeight="1" x14ac:dyDescent="0.3">
      <c r="A133" t="s">
        <v>60</v>
      </c>
      <c r="B133" s="2">
        <v>45870</v>
      </c>
      <c r="C133" s="10" t="s">
        <v>334</v>
      </c>
    </row>
    <row r="134" spans="1:8" ht="57.6" hidden="1" customHeight="1" x14ac:dyDescent="0.3">
      <c r="A134" t="s">
        <v>60</v>
      </c>
      <c r="B134" s="2">
        <v>45901</v>
      </c>
      <c r="C134" s="10" t="s">
        <v>335</v>
      </c>
    </row>
    <row r="135" spans="1:8" ht="57.6" hidden="1" customHeight="1" x14ac:dyDescent="0.3">
      <c r="A135" t="s">
        <v>60</v>
      </c>
      <c r="B135" s="2">
        <v>45931</v>
      </c>
      <c r="C135" s="10" t="s">
        <v>336</v>
      </c>
    </row>
    <row r="136" spans="1:8" ht="57.6" hidden="1" customHeight="1" x14ac:dyDescent="0.3">
      <c r="A136" t="s">
        <v>60</v>
      </c>
      <c r="B136" s="2">
        <v>45962</v>
      </c>
      <c r="C136" s="10" t="s">
        <v>337</v>
      </c>
    </row>
    <row r="137" spans="1:8" hidden="1" x14ac:dyDescent="0.3">
      <c r="A137" t="s">
        <v>60</v>
      </c>
      <c r="B137" s="2">
        <v>45992</v>
      </c>
      <c r="C137" s="10" t="s">
        <v>326</v>
      </c>
    </row>
    <row r="138" spans="1:8" hidden="1" x14ac:dyDescent="0.3">
      <c r="A138" t="s">
        <v>60</v>
      </c>
      <c r="B138" s="2">
        <v>46023</v>
      </c>
      <c r="C138" s="10" t="s">
        <v>338</v>
      </c>
    </row>
    <row r="139" spans="1:8" hidden="1" x14ac:dyDescent="0.3">
      <c r="A139" t="s">
        <v>60</v>
      </c>
      <c r="B139" s="2">
        <v>46054</v>
      </c>
      <c r="C139" s="10" t="s">
        <v>326</v>
      </c>
    </row>
    <row r="140" spans="1:8" hidden="1" x14ac:dyDescent="0.3">
      <c r="A140" t="s">
        <v>60</v>
      </c>
      <c r="B140" s="2">
        <v>46082</v>
      </c>
      <c r="C140" s="10" t="s">
        <v>339</v>
      </c>
    </row>
    <row r="141" spans="1:8" hidden="1" x14ac:dyDescent="0.3">
      <c r="A141" t="s">
        <v>60</v>
      </c>
      <c r="B141" s="2">
        <v>46113</v>
      </c>
      <c r="C141" s="10" t="s">
        <v>339</v>
      </c>
    </row>
    <row r="142" spans="1:8" hidden="1" x14ac:dyDescent="0.3">
      <c r="A142" t="s">
        <v>60</v>
      </c>
      <c r="B142" s="2">
        <v>46143</v>
      </c>
      <c r="C142" s="10" t="s">
        <v>868</v>
      </c>
    </row>
    <row r="143" spans="1:8" hidden="1" x14ac:dyDescent="0.3">
      <c r="A143" t="s">
        <v>60</v>
      </c>
      <c r="B143" s="2">
        <v>46174</v>
      </c>
      <c r="C143" s="10"/>
    </row>
    <row r="144" spans="1:8" hidden="1" x14ac:dyDescent="0.3">
      <c r="A144" t="s">
        <v>60</v>
      </c>
      <c r="B144" s="2">
        <v>46204</v>
      </c>
      <c r="C144" s="10">
        <v>31</v>
      </c>
      <c r="D144">
        <v>0</v>
      </c>
      <c r="E144" t="s">
        <v>33</v>
      </c>
      <c r="F144" t="s">
        <v>33</v>
      </c>
      <c r="G144" t="s">
        <v>1014</v>
      </c>
      <c r="H144" t="s">
        <v>36</v>
      </c>
    </row>
    <row r="145" spans="1:8" hidden="1" x14ac:dyDescent="0.3">
      <c r="A145" t="s">
        <v>60</v>
      </c>
      <c r="B145" s="2">
        <v>46235</v>
      </c>
      <c r="C145" s="10" t="s">
        <v>919</v>
      </c>
      <c r="D145">
        <v>0</v>
      </c>
      <c r="E145" t="s">
        <v>33</v>
      </c>
      <c r="F145" t="s">
        <v>33</v>
      </c>
      <c r="G145" t="s">
        <v>959</v>
      </c>
      <c r="H145" t="s">
        <v>36</v>
      </c>
    </row>
    <row r="146" spans="1:8" hidden="1" x14ac:dyDescent="0.3">
      <c r="A146" t="s">
        <v>61</v>
      </c>
      <c r="B146" s="2">
        <v>45536</v>
      </c>
      <c r="C146" s="10"/>
    </row>
    <row r="147" spans="1:8" hidden="1" x14ac:dyDescent="0.3">
      <c r="A147" t="s">
        <v>61</v>
      </c>
      <c r="B147" s="2">
        <v>45566</v>
      </c>
      <c r="C147" s="10"/>
    </row>
    <row r="148" spans="1:8" hidden="1" x14ac:dyDescent="0.3">
      <c r="A148" t="s">
        <v>61</v>
      </c>
      <c r="B148" s="2">
        <v>45597</v>
      </c>
      <c r="C148" s="10"/>
    </row>
    <row r="149" spans="1:8" hidden="1" x14ac:dyDescent="0.3">
      <c r="A149" t="s">
        <v>61</v>
      </c>
      <c r="B149" s="2">
        <v>45627</v>
      </c>
      <c r="C149" s="10"/>
    </row>
    <row r="150" spans="1:8" hidden="1" x14ac:dyDescent="0.3">
      <c r="A150" t="s">
        <v>61</v>
      </c>
      <c r="B150" s="2">
        <v>45658</v>
      </c>
      <c r="C150" s="10"/>
    </row>
    <row r="151" spans="1:8" ht="43.2" hidden="1" customHeight="1" x14ac:dyDescent="0.3">
      <c r="A151" t="s">
        <v>61</v>
      </c>
      <c r="B151" s="2">
        <v>45689</v>
      </c>
      <c r="C151" s="10" t="s">
        <v>340</v>
      </c>
    </row>
    <row r="152" spans="1:8" ht="57.6" hidden="1" customHeight="1" x14ac:dyDescent="0.3">
      <c r="A152" t="s">
        <v>61</v>
      </c>
      <c r="B152" s="2">
        <v>45717</v>
      </c>
      <c r="C152" s="10" t="s">
        <v>341</v>
      </c>
    </row>
    <row r="153" spans="1:8" ht="28.95" hidden="1" customHeight="1" x14ac:dyDescent="0.3">
      <c r="A153" t="s">
        <v>61</v>
      </c>
      <c r="B153" s="2">
        <v>45748</v>
      </c>
      <c r="C153" s="10" t="s">
        <v>342</v>
      </c>
    </row>
    <row r="154" spans="1:8" ht="57.6" hidden="1" customHeight="1" x14ac:dyDescent="0.3">
      <c r="A154" t="s">
        <v>61</v>
      </c>
      <c r="B154" s="2">
        <v>45778</v>
      </c>
      <c r="C154" s="10" t="s">
        <v>343</v>
      </c>
    </row>
    <row r="155" spans="1:8" ht="72" hidden="1" customHeight="1" x14ac:dyDescent="0.3">
      <c r="A155" t="s">
        <v>61</v>
      </c>
      <c r="B155" s="2">
        <v>45809</v>
      </c>
      <c r="C155" s="10" t="s">
        <v>344</v>
      </c>
    </row>
    <row r="156" spans="1:8" ht="57.6" hidden="1" customHeight="1" x14ac:dyDescent="0.3">
      <c r="A156" t="s">
        <v>61</v>
      </c>
      <c r="B156" s="2">
        <v>45839</v>
      </c>
      <c r="C156" s="10" t="s">
        <v>345</v>
      </c>
    </row>
    <row r="157" spans="1:8" ht="72" hidden="1" customHeight="1" x14ac:dyDescent="0.3">
      <c r="A157" t="s">
        <v>61</v>
      </c>
      <c r="B157" s="2">
        <v>45870</v>
      </c>
      <c r="C157" s="10" t="s">
        <v>346</v>
      </c>
    </row>
    <row r="158" spans="1:8" ht="57.6" hidden="1" customHeight="1" x14ac:dyDescent="0.3">
      <c r="A158" t="s">
        <v>61</v>
      </c>
      <c r="B158" s="2">
        <v>45901</v>
      </c>
      <c r="C158" s="10" t="s">
        <v>347</v>
      </c>
    </row>
    <row r="159" spans="1:8" ht="57.6" hidden="1" customHeight="1" x14ac:dyDescent="0.3">
      <c r="A159" t="s">
        <v>61</v>
      </c>
      <c r="B159" s="2">
        <v>45931</v>
      </c>
      <c r="C159" s="10" t="s">
        <v>348</v>
      </c>
    </row>
    <row r="160" spans="1:8" ht="57.6" hidden="1" customHeight="1" x14ac:dyDescent="0.3">
      <c r="A160" t="s">
        <v>61</v>
      </c>
      <c r="B160" s="2">
        <v>45962</v>
      </c>
      <c r="C160" s="10" t="s">
        <v>349</v>
      </c>
    </row>
    <row r="161" spans="1:8" hidden="1" x14ac:dyDescent="0.3">
      <c r="A161" t="s">
        <v>61</v>
      </c>
      <c r="B161" s="2">
        <v>45992</v>
      </c>
      <c r="C161" s="10" t="s">
        <v>326</v>
      </c>
    </row>
    <row r="162" spans="1:8" hidden="1" x14ac:dyDescent="0.3">
      <c r="A162" t="s">
        <v>61</v>
      </c>
      <c r="B162" s="2">
        <v>46023</v>
      </c>
      <c r="C162" s="10" t="s">
        <v>338</v>
      </c>
    </row>
    <row r="163" spans="1:8" ht="43.2" hidden="1" x14ac:dyDescent="0.3">
      <c r="A163" t="s">
        <v>61</v>
      </c>
      <c r="B163" s="2">
        <v>46054</v>
      </c>
      <c r="C163" s="10" t="s">
        <v>314</v>
      </c>
    </row>
    <row r="164" spans="1:8" hidden="1" x14ac:dyDescent="0.3">
      <c r="A164" t="s">
        <v>61</v>
      </c>
      <c r="B164" s="2">
        <v>46082</v>
      </c>
      <c r="C164" s="10" t="s">
        <v>338</v>
      </c>
    </row>
    <row r="165" spans="1:8" hidden="1" x14ac:dyDescent="0.3">
      <c r="A165" t="s">
        <v>61</v>
      </c>
      <c r="B165" s="2">
        <v>46113</v>
      </c>
      <c r="C165" s="10" t="s">
        <v>302</v>
      </c>
    </row>
    <row r="166" spans="1:8" hidden="1" x14ac:dyDescent="0.3">
      <c r="A166" t="s">
        <v>61</v>
      </c>
      <c r="B166" s="2">
        <v>46143</v>
      </c>
      <c r="C166" s="10" t="s">
        <v>302</v>
      </c>
    </row>
    <row r="167" spans="1:8" hidden="1" x14ac:dyDescent="0.3">
      <c r="A167" t="s">
        <v>61</v>
      </c>
      <c r="B167" s="2">
        <v>46174</v>
      </c>
      <c r="C167" s="10"/>
    </row>
    <row r="168" spans="1:8" hidden="1" x14ac:dyDescent="0.3">
      <c r="A168" t="s">
        <v>61</v>
      </c>
      <c r="B168" s="2">
        <v>46204</v>
      </c>
      <c r="C168" s="10">
        <v>31</v>
      </c>
      <c r="D168">
        <v>0</v>
      </c>
      <c r="E168" t="s">
        <v>33</v>
      </c>
      <c r="F168" t="s">
        <v>33</v>
      </c>
      <c r="G168" t="s">
        <v>1014</v>
      </c>
      <c r="H168" t="s">
        <v>36</v>
      </c>
    </row>
    <row r="169" spans="1:8" hidden="1" x14ac:dyDescent="0.3">
      <c r="A169" t="s">
        <v>61</v>
      </c>
      <c r="B169" s="2">
        <v>46235</v>
      </c>
      <c r="C169" s="10" t="s">
        <v>919</v>
      </c>
      <c r="D169">
        <v>0</v>
      </c>
      <c r="E169" t="s">
        <v>33</v>
      </c>
      <c r="F169" t="s">
        <v>33</v>
      </c>
      <c r="G169" t="s">
        <v>959</v>
      </c>
      <c r="H169" t="s">
        <v>36</v>
      </c>
    </row>
    <row r="170" spans="1:8" hidden="1" x14ac:dyDescent="0.3">
      <c r="A170" t="s">
        <v>64</v>
      </c>
      <c r="B170" s="2">
        <v>45536</v>
      </c>
      <c r="C170" s="10"/>
    </row>
    <row r="171" spans="1:8" hidden="1" x14ac:dyDescent="0.3">
      <c r="A171" t="s">
        <v>64</v>
      </c>
      <c r="B171" s="2">
        <v>45566</v>
      </c>
      <c r="C171" s="10"/>
    </row>
    <row r="172" spans="1:8" hidden="1" x14ac:dyDescent="0.3">
      <c r="A172" t="s">
        <v>64</v>
      </c>
      <c r="B172" s="2">
        <v>45597</v>
      </c>
      <c r="C172" s="10"/>
    </row>
    <row r="173" spans="1:8" hidden="1" x14ac:dyDescent="0.3">
      <c r="A173" t="s">
        <v>64</v>
      </c>
      <c r="B173" s="2">
        <v>45627</v>
      </c>
      <c r="C173" s="10"/>
    </row>
    <row r="174" spans="1:8" hidden="1" x14ac:dyDescent="0.3">
      <c r="A174" t="s">
        <v>64</v>
      </c>
      <c r="B174" s="2">
        <v>45658</v>
      </c>
      <c r="C174" s="10"/>
    </row>
    <row r="175" spans="1:8" ht="28.95" hidden="1" customHeight="1" x14ac:dyDescent="0.3">
      <c r="A175" t="s">
        <v>64</v>
      </c>
      <c r="B175" s="2">
        <v>45689</v>
      </c>
      <c r="C175" s="10" t="s">
        <v>303</v>
      </c>
    </row>
    <row r="176" spans="1:8" ht="28.95" hidden="1" customHeight="1" x14ac:dyDescent="0.3">
      <c r="A176" t="s">
        <v>64</v>
      </c>
      <c r="B176" s="2">
        <v>45717</v>
      </c>
      <c r="C176" s="10" t="s">
        <v>304</v>
      </c>
    </row>
    <row r="177" spans="1:8" ht="28.95" hidden="1" customHeight="1" x14ac:dyDescent="0.3">
      <c r="A177" t="s">
        <v>64</v>
      </c>
      <c r="B177" s="2">
        <v>45748</v>
      </c>
      <c r="C177" s="10" t="s">
        <v>305</v>
      </c>
    </row>
    <row r="178" spans="1:8" ht="28.95" hidden="1" customHeight="1" x14ac:dyDescent="0.3">
      <c r="A178" t="s">
        <v>64</v>
      </c>
      <c r="B178" s="2">
        <v>45778</v>
      </c>
      <c r="C178" s="10" t="s">
        <v>306</v>
      </c>
    </row>
    <row r="179" spans="1:8" ht="28.95" hidden="1" customHeight="1" x14ac:dyDescent="0.3">
      <c r="A179" t="s">
        <v>64</v>
      </c>
      <c r="B179" s="2">
        <v>45809</v>
      </c>
      <c r="C179" s="10" t="s">
        <v>307</v>
      </c>
    </row>
    <row r="180" spans="1:8" ht="28.95" hidden="1" customHeight="1" x14ac:dyDescent="0.3">
      <c r="A180" t="s">
        <v>64</v>
      </c>
      <c r="B180" s="2">
        <v>45839</v>
      </c>
      <c r="C180" s="10" t="s">
        <v>308</v>
      </c>
    </row>
    <row r="181" spans="1:8" ht="28.95" hidden="1" customHeight="1" x14ac:dyDescent="0.3">
      <c r="A181" t="s">
        <v>64</v>
      </c>
      <c r="B181" s="2">
        <v>45870</v>
      </c>
      <c r="C181" s="10" t="s">
        <v>309</v>
      </c>
    </row>
    <row r="182" spans="1:8" ht="28.95" hidden="1" customHeight="1" x14ac:dyDescent="0.3">
      <c r="A182" t="s">
        <v>64</v>
      </c>
      <c r="B182" s="2">
        <v>45901</v>
      </c>
      <c r="C182" s="10" t="s">
        <v>310</v>
      </c>
    </row>
    <row r="183" spans="1:8" ht="43.2" hidden="1" customHeight="1" x14ac:dyDescent="0.3">
      <c r="A183" t="s">
        <v>64</v>
      </c>
      <c r="B183" s="2">
        <v>45931</v>
      </c>
      <c r="C183" s="10" t="s">
        <v>311</v>
      </c>
    </row>
    <row r="184" spans="1:8" ht="86.4" hidden="1" x14ac:dyDescent="0.3">
      <c r="A184" t="s">
        <v>64</v>
      </c>
      <c r="B184" s="2">
        <v>45962</v>
      </c>
      <c r="C184" s="10" t="s">
        <v>312</v>
      </c>
    </row>
    <row r="185" spans="1:8" ht="28.8" hidden="1" x14ac:dyDescent="0.3">
      <c r="A185" t="s">
        <v>64</v>
      </c>
      <c r="B185" s="2">
        <v>45992</v>
      </c>
      <c r="C185" s="10" t="s">
        <v>313</v>
      </c>
    </row>
    <row r="186" spans="1:8" ht="28.8" hidden="1" x14ac:dyDescent="0.3">
      <c r="A186" t="s">
        <v>64</v>
      </c>
      <c r="B186" s="2">
        <v>46023</v>
      </c>
      <c r="C186" s="10" t="s">
        <v>313</v>
      </c>
    </row>
    <row r="187" spans="1:8" ht="43.2" hidden="1" x14ac:dyDescent="0.3">
      <c r="A187" t="s">
        <v>64</v>
      </c>
      <c r="B187" s="2">
        <v>46054</v>
      </c>
      <c r="C187" s="10" t="s">
        <v>314</v>
      </c>
    </row>
    <row r="188" spans="1:8" hidden="1" x14ac:dyDescent="0.3">
      <c r="A188" t="s">
        <v>64</v>
      </c>
      <c r="B188" s="2">
        <v>46082</v>
      </c>
      <c r="C188" s="10" t="s">
        <v>300</v>
      </c>
    </row>
    <row r="189" spans="1:8" hidden="1" x14ac:dyDescent="0.3">
      <c r="A189" t="s">
        <v>64</v>
      </c>
      <c r="B189" s="2">
        <v>46113</v>
      </c>
      <c r="C189" s="10" t="s">
        <v>300</v>
      </c>
    </row>
    <row r="190" spans="1:8" hidden="1" x14ac:dyDescent="0.3">
      <c r="A190" t="s">
        <v>64</v>
      </c>
      <c r="B190" s="2">
        <v>46143</v>
      </c>
      <c r="C190" s="10" t="s">
        <v>852</v>
      </c>
    </row>
    <row r="191" spans="1:8" hidden="1" x14ac:dyDescent="0.3">
      <c r="A191" t="s">
        <v>64</v>
      </c>
      <c r="B191" s="2">
        <v>46235</v>
      </c>
      <c r="C191" s="10" t="s">
        <v>898</v>
      </c>
      <c r="D191" t="s">
        <v>1074</v>
      </c>
      <c r="E191" t="s">
        <v>1076</v>
      </c>
      <c r="F191" t="s">
        <v>1075</v>
      </c>
      <c r="G191" t="s">
        <v>1077</v>
      </c>
      <c r="H191" t="s">
        <v>36</v>
      </c>
    </row>
    <row r="192" spans="1:8" ht="27.6" hidden="1" customHeight="1" x14ac:dyDescent="0.3">
      <c r="A192" t="s">
        <v>64</v>
      </c>
      <c r="B192" s="2">
        <v>46174</v>
      </c>
      <c r="C192" s="10"/>
    </row>
    <row r="193" spans="1:8" hidden="1" x14ac:dyDescent="0.3">
      <c r="A193" t="s">
        <v>64</v>
      </c>
      <c r="B193" s="2">
        <v>46204</v>
      </c>
      <c r="C193" s="10">
        <v>31</v>
      </c>
      <c r="D193">
        <v>0</v>
      </c>
      <c r="E193" t="s">
        <v>33</v>
      </c>
      <c r="F193" t="s">
        <v>33</v>
      </c>
      <c r="G193" s="10" t="s">
        <v>932</v>
      </c>
      <c r="H193" t="s">
        <v>36</v>
      </c>
    </row>
    <row r="194" spans="1:8" hidden="1" x14ac:dyDescent="0.3">
      <c r="A194" t="s">
        <v>66</v>
      </c>
      <c r="B194" s="2">
        <v>45536</v>
      </c>
      <c r="C194" s="10"/>
    </row>
    <row r="195" spans="1:8" hidden="1" x14ac:dyDescent="0.3">
      <c r="A195" t="s">
        <v>66</v>
      </c>
      <c r="B195" s="2">
        <v>45566</v>
      </c>
      <c r="C195" s="10"/>
    </row>
    <row r="196" spans="1:8" hidden="1" x14ac:dyDescent="0.3">
      <c r="A196" t="s">
        <v>66</v>
      </c>
      <c r="B196" s="2">
        <v>45597</v>
      </c>
      <c r="C196" s="10"/>
    </row>
    <row r="197" spans="1:8" hidden="1" x14ac:dyDescent="0.3">
      <c r="A197" t="s">
        <v>66</v>
      </c>
      <c r="B197" s="2">
        <v>45627</v>
      </c>
      <c r="C197" s="10"/>
    </row>
    <row r="198" spans="1:8" hidden="1" x14ac:dyDescent="0.3">
      <c r="A198" t="s">
        <v>66</v>
      </c>
      <c r="B198" s="2">
        <v>45658</v>
      </c>
      <c r="C198" s="10"/>
    </row>
    <row r="199" spans="1:8" ht="28.95" hidden="1" customHeight="1" x14ac:dyDescent="0.3">
      <c r="A199" t="s">
        <v>66</v>
      </c>
      <c r="B199" s="2">
        <v>45689</v>
      </c>
      <c r="C199" s="10" t="s">
        <v>350</v>
      </c>
    </row>
    <row r="200" spans="1:8" ht="28.95" hidden="1" customHeight="1" x14ac:dyDescent="0.3">
      <c r="A200" t="s">
        <v>66</v>
      </c>
      <c r="B200" s="2">
        <v>45717</v>
      </c>
      <c r="C200" s="10" t="s">
        <v>350</v>
      </c>
    </row>
    <row r="201" spans="1:8" ht="28.95" hidden="1" customHeight="1" x14ac:dyDescent="0.3">
      <c r="A201" t="s">
        <v>66</v>
      </c>
      <c r="B201" s="2">
        <v>45748</v>
      </c>
      <c r="C201" s="10" t="s">
        <v>350</v>
      </c>
    </row>
    <row r="202" spans="1:8" ht="43.2" hidden="1" customHeight="1" x14ac:dyDescent="0.3">
      <c r="A202" t="s">
        <v>66</v>
      </c>
      <c r="B202" s="2">
        <v>45778</v>
      </c>
      <c r="C202" s="10" t="s">
        <v>350</v>
      </c>
    </row>
    <row r="203" spans="1:8" ht="72" hidden="1" customHeight="1" x14ac:dyDescent="0.3">
      <c r="A203" t="s">
        <v>66</v>
      </c>
      <c r="B203" s="2">
        <v>45809</v>
      </c>
      <c r="C203" s="10" t="s">
        <v>350</v>
      </c>
    </row>
    <row r="204" spans="1:8" ht="72" hidden="1" customHeight="1" x14ac:dyDescent="0.3">
      <c r="A204" t="s">
        <v>66</v>
      </c>
      <c r="B204" s="2">
        <v>45839</v>
      </c>
      <c r="C204" s="10" t="s">
        <v>350</v>
      </c>
    </row>
    <row r="205" spans="1:8" ht="72" hidden="1" customHeight="1" x14ac:dyDescent="0.3">
      <c r="A205" t="s">
        <v>66</v>
      </c>
      <c r="B205" s="2">
        <v>45870</v>
      </c>
      <c r="C205" s="10" t="s">
        <v>350</v>
      </c>
    </row>
    <row r="206" spans="1:8" ht="57.6" hidden="1" customHeight="1" x14ac:dyDescent="0.3">
      <c r="A206" t="s">
        <v>66</v>
      </c>
      <c r="B206" s="2">
        <v>45901</v>
      </c>
      <c r="C206" s="10" t="s">
        <v>351</v>
      </c>
    </row>
    <row r="207" spans="1:8" ht="57.6" hidden="1" customHeight="1" x14ac:dyDescent="0.3">
      <c r="A207" t="s">
        <v>66</v>
      </c>
      <c r="B207" s="2">
        <v>45931</v>
      </c>
      <c r="C207" s="10" t="s">
        <v>352</v>
      </c>
    </row>
    <row r="208" spans="1:8" ht="57.6" hidden="1" customHeight="1" x14ac:dyDescent="0.3">
      <c r="A208" t="s">
        <v>66</v>
      </c>
      <c r="B208" s="2">
        <v>45962</v>
      </c>
      <c r="C208" s="10" t="s">
        <v>353</v>
      </c>
    </row>
    <row r="209" spans="1:8" hidden="1" x14ac:dyDescent="0.3">
      <c r="A209" t="s">
        <v>66</v>
      </c>
      <c r="B209" s="2">
        <v>45992</v>
      </c>
      <c r="C209" s="10" t="s">
        <v>353</v>
      </c>
    </row>
    <row r="210" spans="1:8" hidden="1" x14ac:dyDescent="0.3">
      <c r="A210" t="s">
        <v>66</v>
      </c>
      <c r="B210" s="2">
        <v>46023</v>
      </c>
      <c r="C210" s="10" t="s">
        <v>353</v>
      </c>
    </row>
    <row r="211" spans="1:8" hidden="1" x14ac:dyDescent="0.3">
      <c r="A211" t="s">
        <v>66</v>
      </c>
      <c r="B211" s="2">
        <v>46054</v>
      </c>
      <c r="C211" s="10" t="s">
        <v>353</v>
      </c>
    </row>
    <row r="212" spans="1:8" hidden="1" x14ac:dyDescent="0.3">
      <c r="A212" t="s">
        <v>66</v>
      </c>
      <c r="B212" s="2">
        <v>46082</v>
      </c>
      <c r="C212" s="10" t="s">
        <v>353</v>
      </c>
    </row>
    <row r="213" spans="1:8" hidden="1" x14ac:dyDescent="0.3">
      <c r="A213" t="s">
        <v>66</v>
      </c>
      <c r="B213" s="2">
        <v>46113</v>
      </c>
      <c r="C213" s="10" t="s">
        <v>353</v>
      </c>
    </row>
    <row r="214" spans="1:8" hidden="1" x14ac:dyDescent="0.3">
      <c r="A214" t="s">
        <v>66</v>
      </c>
      <c r="B214" s="2">
        <v>46143</v>
      </c>
      <c r="C214" s="10" t="s">
        <v>853</v>
      </c>
    </row>
    <row r="215" spans="1:8" hidden="1" x14ac:dyDescent="0.3">
      <c r="A215" t="s">
        <v>66</v>
      </c>
      <c r="B215" s="2">
        <v>46235</v>
      </c>
      <c r="C215" t="s">
        <v>896</v>
      </c>
      <c r="D215">
        <v>0</v>
      </c>
      <c r="E215" t="s">
        <v>33</v>
      </c>
      <c r="F215" t="s">
        <v>1078</v>
      </c>
      <c r="G215" t="s">
        <v>1073</v>
      </c>
      <c r="H215" t="s">
        <v>36</v>
      </c>
    </row>
    <row r="216" spans="1:8" hidden="1" x14ac:dyDescent="0.3">
      <c r="A216" t="s">
        <v>66</v>
      </c>
      <c r="B216" s="2">
        <v>46174</v>
      </c>
      <c r="C216" s="10"/>
    </row>
    <row r="217" spans="1:8" hidden="1" x14ac:dyDescent="0.3">
      <c r="A217" t="s">
        <v>66</v>
      </c>
      <c r="B217" s="2">
        <v>46204</v>
      </c>
      <c r="C217" s="10">
        <v>31</v>
      </c>
      <c r="D217">
        <v>0</v>
      </c>
      <c r="E217" t="s">
        <v>33</v>
      </c>
      <c r="F217" t="s">
        <v>33</v>
      </c>
      <c r="G217" s="10" t="s">
        <v>932</v>
      </c>
      <c r="H217" t="s">
        <v>36</v>
      </c>
    </row>
    <row r="218" spans="1:8" hidden="1" x14ac:dyDescent="0.3">
      <c r="A218" t="s">
        <v>71</v>
      </c>
      <c r="B218" s="2">
        <v>45536</v>
      </c>
      <c r="C218" s="10"/>
    </row>
    <row r="219" spans="1:8" hidden="1" x14ac:dyDescent="0.3">
      <c r="A219" t="s">
        <v>71</v>
      </c>
      <c r="B219" s="2">
        <v>45566</v>
      </c>
      <c r="C219" s="10"/>
    </row>
    <row r="220" spans="1:8" hidden="1" x14ac:dyDescent="0.3">
      <c r="A220" t="s">
        <v>71</v>
      </c>
      <c r="B220" s="2">
        <v>45597</v>
      </c>
      <c r="C220" s="10"/>
    </row>
    <row r="221" spans="1:8" hidden="1" x14ac:dyDescent="0.3">
      <c r="A221" t="s">
        <v>71</v>
      </c>
      <c r="B221" s="2">
        <v>45627</v>
      </c>
      <c r="C221" s="10"/>
    </row>
    <row r="222" spans="1:8" hidden="1" x14ac:dyDescent="0.3">
      <c r="A222" t="s">
        <v>71</v>
      </c>
      <c r="B222" s="2">
        <v>45658</v>
      </c>
      <c r="C222" s="10"/>
    </row>
    <row r="223" spans="1:8" ht="28.8" hidden="1" x14ac:dyDescent="0.3">
      <c r="A223" t="s">
        <v>71</v>
      </c>
      <c r="B223" s="2">
        <v>45689</v>
      </c>
      <c r="C223" s="10" t="s">
        <v>354</v>
      </c>
    </row>
    <row r="224" spans="1:8" ht="28.95" hidden="1" customHeight="1" x14ac:dyDescent="0.3">
      <c r="A224" t="s">
        <v>71</v>
      </c>
      <c r="B224" s="2">
        <v>45717</v>
      </c>
      <c r="C224" s="10" t="s">
        <v>355</v>
      </c>
    </row>
    <row r="225" spans="1:8" ht="43.2" hidden="1" customHeight="1" x14ac:dyDescent="0.3">
      <c r="A225" t="s">
        <v>71</v>
      </c>
      <c r="B225" s="2">
        <v>45748</v>
      </c>
      <c r="C225" s="10" t="s">
        <v>356</v>
      </c>
    </row>
    <row r="226" spans="1:8" ht="57.6" hidden="1" customHeight="1" x14ac:dyDescent="0.3">
      <c r="A226" t="s">
        <v>71</v>
      </c>
      <c r="B226" s="2">
        <v>45778</v>
      </c>
      <c r="C226" s="10" t="s">
        <v>357</v>
      </c>
    </row>
    <row r="227" spans="1:8" ht="57.6" hidden="1" customHeight="1" x14ac:dyDescent="0.3">
      <c r="A227" t="s">
        <v>71</v>
      </c>
      <c r="B227" s="2">
        <v>45809</v>
      </c>
      <c r="C227" s="10" t="s">
        <v>358</v>
      </c>
    </row>
    <row r="228" spans="1:8" ht="43.2" hidden="1" customHeight="1" x14ac:dyDescent="0.3">
      <c r="A228" t="s">
        <v>71</v>
      </c>
      <c r="B228" s="2">
        <v>45839</v>
      </c>
      <c r="C228" s="10" t="s">
        <v>359</v>
      </c>
    </row>
    <row r="229" spans="1:8" ht="43.2" hidden="1" customHeight="1" x14ac:dyDescent="0.3">
      <c r="A229" t="s">
        <v>71</v>
      </c>
      <c r="B229" s="2">
        <v>45870</v>
      </c>
      <c r="C229" s="10" t="s">
        <v>360</v>
      </c>
    </row>
    <row r="230" spans="1:8" ht="43.2" hidden="1" customHeight="1" x14ac:dyDescent="0.3">
      <c r="A230" t="s">
        <v>71</v>
      </c>
      <c r="B230" s="2">
        <v>45901</v>
      </c>
      <c r="C230" s="10" t="s">
        <v>361</v>
      </c>
    </row>
    <row r="231" spans="1:8" ht="43.2" hidden="1" customHeight="1" x14ac:dyDescent="0.3">
      <c r="A231" t="s">
        <v>71</v>
      </c>
      <c r="B231" s="2">
        <v>45931</v>
      </c>
      <c r="C231" s="10" t="s">
        <v>362</v>
      </c>
    </row>
    <row r="232" spans="1:8" ht="43.2" hidden="1" customHeight="1" x14ac:dyDescent="0.3">
      <c r="A232" t="s">
        <v>71</v>
      </c>
      <c r="B232" s="2">
        <v>45962</v>
      </c>
      <c r="C232" s="10" t="s">
        <v>363</v>
      </c>
    </row>
    <row r="233" spans="1:8" ht="28.8" hidden="1" x14ac:dyDescent="0.3">
      <c r="A233" t="s">
        <v>71</v>
      </c>
      <c r="B233" s="2">
        <v>45992</v>
      </c>
      <c r="C233" s="10" t="s">
        <v>364</v>
      </c>
    </row>
    <row r="234" spans="1:8" hidden="1" x14ac:dyDescent="0.3">
      <c r="A234" t="s">
        <v>71</v>
      </c>
      <c r="B234" s="2">
        <v>46023</v>
      </c>
      <c r="C234" s="10" t="s">
        <v>338</v>
      </c>
    </row>
    <row r="235" spans="1:8" hidden="1" x14ac:dyDescent="0.3">
      <c r="A235" t="s">
        <v>71</v>
      </c>
      <c r="B235" s="2">
        <v>46054</v>
      </c>
      <c r="C235" s="10" t="s">
        <v>326</v>
      </c>
    </row>
    <row r="236" spans="1:8" hidden="1" x14ac:dyDescent="0.3">
      <c r="A236" t="s">
        <v>71</v>
      </c>
      <c r="B236" s="2">
        <v>46082</v>
      </c>
      <c r="C236" s="10" t="s">
        <v>326</v>
      </c>
    </row>
    <row r="237" spans="1:8" hidden="1" x14ac:dyDescent="0.3">
      <c r="A237" t="s">
        <v>71</v>
      </c>
      <c r="B237" s="2">
        <v>46113</v>
      </c>
      <c r="C237" s="10" t="s">
        <v>302</v>
      </c>
    </row>
    <row r="238" spans="1:8" hidden="1" x14ac:dyDescent="0.3">
      <c r="A238" t="s">
        <v>71</v>
      </c>
      <c r="B238" s="2">
        <v>46143</v>
      </c>
      <c r="C238" s="10" t="s">
        <v>302</v>
      </c>
    </row>
    <row r="239" spans="1:8" ht="28.8" hidden="1" x14ac:dyDescent="0.3">
      <c r="A239" t="s">
        <v>71</v>
      </c>
      <c r="B239" s="2">
        <v>46235</v>
      </c>
      <c r="C239" s="10" t="s">
        <v>898</v>
      </c>
      <c r="D239" t="s">
        <v>1079</v>
      </c>
      <c r="E239" s="32" t="s">
        <v>1017</v>
      </c>
      <c r="F239" s="32" t="s">
        <v>1018</v>
      </c>
      <c r="G239" s="10" t="s">
        <v>1020</v>
      </c>
      <c r="H239" t="s">
        <v>36</v>
      </c>
    </row>
    <row r="240" spans="1:8" hidden="1" x14ac:dyDescent="0.3">
      <c r="A240" t="s">
        <v>71</v>
      </c>
      <c r="B240" s="2">
        <v>46174</v>
      </c>
      <c r="C240" s="10"/>
    </row>
    <row r="241" spans="1:8" ht="28.8" hidden="1" x14ac:dyDescent="0.3">
      <c r="A241" t="s">
        <v>71</v>
      </c>
      <c r="B241" s="2">
        <v>46204</v>
      </c>
      <c r="C241" s="10">
        <v>24</v>
      </c>
      <c r="D241" t="s">
        <v>1023</v>
      </c>
      <c r="E241" s="32" t="s">
        <v>1017</v>
      </c>
      <c r="F241" s="32" t="s">
        <v>1018</v>
      </c>
      <c r="G241" s="10" t="s">
        <v>1020</v>
      </c>
      <c r="H241" t="s">
        <v>36</v>
      </c>
    </row>
    <row r="242" spans="1:8" hidden="1" x14ac:dyDescent="0.3">
      <c r="A242" t="s">
        <v>251</v>
      </c>
      <c r="B242" s="2">
        <v>46204</v>
      </c>
      <c r="C242">
        <v>31</v>
      </c>
      <c r="D242">
        <v>0</v>
      </c>
      <c r="E242" t="s">
        <v>33</v>
      </c>
      <c r="F242" t="s">
        <v>33</v>
      </c>
      <c r="G242" t="s">
        <v>338</v>
      </c>
      <c r="H242" t="s">
        <v>36</v>
      </c>
    </row>
    <row r="243" spans="1:8" hidden="1" x14ac:dyDescent="0.3">
      <c r="A243" t="s">
        <v>251</v>
      </c>
      <c r="B243" s="2">
        <v>46174</v>
      </c>
    </row>
    <row r="244" spans="1:8" hidden="1" x14ac:dyDescent="0.3">
      <c r="A244" t="s">
        <v>251</v>
      </c>
      <c r="B244" s="2">
        <v>46143</v>
      </c>
      <c r="C244" t="s">
        <v>302</v>
      </c>
    </row>
    <row r="245" spans="1:8" hidden="1" x14ac:dyDescent="0.3">
      <c r="A245" t="s">
        <v>251</v>
      </c>
      <c r="B245" s="2">
        <v>46235</v>
      </c>
      <c r="C245" t="s">
        <v>896</v>
      </c>
      <c r="D245">
        <v>0</v>
      </c>
      <c r="E245" t="s">
        <v>33</v>
      </c>
      <c r="F245" t="s">
        <v>33</v>
      </c>
      <c r="G245" t="s">
        <v>338</v>
      </c>
      <c r="H245" t="s">
        <v>36</v>
      </c>
    </row>
    <row r="246" spans="1:8" x14ac:dyDescent="0.3">
      <c r="A246" t="s">
        <v>31</v>
      </c>
      <c r="B246" s="2">
        <v>46266</v>
      </c>
      <c r="C246">
        <v>30</v>
      </c>
      <c r="D246">
        <v>0</v>
      </c>
      <c r="E246" t="s">
        <v>33</v>
      </c>
      <c r="F246" t="s">
        <v>33</v>
      </c>
      <c r="G246" t="s">
        <v>1073</v>
      </c>
      <c r="H246" t="s">
        <v>36</v>
      </c>
    </row>
    <row r="247" spans="1:8" hidden="1" x14ac:dyDescent="0.3">
      <c r="A247" t="s">
        <v>251</v>
      </c>
      <c r="B247" s="2">
        <v>46296</v>
      </c>
    </row>
    <row r="248" spans="1:8" ht="28.95" hidden="1" customHeight="1" x14ac:dyDescent="0.3">
      <c r="A248" t="s">
        <v>251</v>
      </c>
      <c r="B248" s="2">
        <v>46327</v>
      </c>
    </row>
    <row r="249" spans="1:8" ht="43.2" hidden="1" customHeight="1" x14ac:dyDescent="0.3">
      <c r="A249" t="s">
        <v>251</v>
      </c>
      <c r="B249" s="2">
        <v>46357</v>
      </c>
    </row>
    <row r="250" spans="1:8" ht="57.6" hidden="1" customHeight="1" x14ac:dyDescent="0.3">
      <c r="A250" t="s">
        <v>77</v>
      </c>
      <c r="B250" s="2">
        <v>45536</v>
      </c>
      <c r="C250" s="10"/>
    </row>
    <row r="251" spans="1:8" ht="57.6" hidden="1" customHeight="1" x14ac:dyDescent="0.3">
      <c r="A251" t="s">
        <v>77</v>
      </c>
      <c r="B251" s="2">
        <v>45566</v>
      </c>
      <c r="C251" s="10"/>
    </row>
    <row r="252" spans="1:8" ht="43.2" hidden="1" customHeight="1" x14ac:dyDescent="0.3">
      <c r="A252" t="s">
        <v>77</v>
      </c>
      <c r="B252" s="2">
        <v>45597</v>
      </c>
      <c r="C252" s="10"/>
    </row>
    <row r="253" spans="1:8" ht="43.2" hidden="1" customHeight="1" x14ac:dyDescent="0.3">
      <c r="A253" t="s">
        <v>77</v>
      </c>
      <c r="B253" s="2">
        <v>45627</v>
      </c>
      <c r="C253" s="10"/>
    </row>
    <row r="254" spans="1:8" ht="43.2" hidden="1" customHeight="1" x14ac:dyDescent="0.3">
      <c r="A254" t="s">
        <v>77</v>
      </c>
      <c r="B254" s="2">
        <v>45658</v>
      </c>
      <c r="C254" s="10"/>
    </row>
    <row r="255" spans="1:8" ht="43.2" hidden="1" customHeight="1" x14ac:dyDescent="0.3">
      <c r="A255" t="s">
        <v>77</v>
      </c>
      <c r="B255" s="2">
        <v>45689</v>
      </c>
      <c r="C255" s="10" t="s">
        <v>365</v>
      </c>
    </row>
    <row r="256" spans="1:8" ht="57.6" hidden="1" customHeight="1" x14ac:dyDescent="0.3">
      <c r="A256" t="s">
        <v>77</v>
      </c>
      <c r="B256" s="2">
        <v>45717</v>
      </c>
      <c r="C256" s="10" t="s">
        <v>366</v>
      </c>
    </row>
    <row r="257" spans="1:8" ht="57.6" hidden="1" x14ac:dyDescent="0.3">
      <c r="A257" t="s">
        <v>77</v>
      </c>
      <c r="B257" s="2">
        <v>45748</v>
      </c>
      <c r="C257" s="10" t="s">
        <v>367</v>
      </c>
    </row>
    <row r="258" spans="1:8" ht="100.8" hidden="1" x14ac:dyDescent="0.3">
      <c r="A258" t="s">
        <v>77</v>
      </c>
      <c r="B258" s="2">
        <v>45778</v>
      </c>
      <c r="C258" s="10" t="s">
        <v>368</v>
      </c>
    </row>
    <row r="259" spans="1:8" ht="115.2" hidden="1" x14ac:dyDescent="0.3">
      <c r="A259" t="s">
        <v>77</v>
      </c>
      <c r="B259" s="2">
        <v>45809</v>
      </c>
      <c r="C259" s="10" t="s">
        <v>369</v>
      </c>
    </row>
    <row r="260" spans="1:8" ht="72" hidden="1" x14ac:dyDescent="0.3">
      <c r="A260" t="s">
        <v>77</v>
      </c>
      <c r="B260" s="2">
        <v>45839</v>
      </c>
      <c r="C260" s="10" t="s">
        <v>370</v>
      </c>
    </row>
    <row r="261" spans="1:8" ht="72" hidden="1" x14ac:dyDescent="0.3">
      <c r="A261" t="s">
        <v>77</v>
      </c>
      <c r="B261" s="2">
        <v>45870</v>
      </c>
      <c r="C261" s="10" t="s">
        <v>371</v>
      </c>
    </row>
    <row r="262" spans="1:8" ht="72" hidden="1" x14ac:dyDescent="0.3">
      <c r="A262" t="s">
        <v>77</v>
      </c>
      <c r="B262" s="2">
        <v>45901</v>
      </c>
      <c r="C262" s="10" t="s">
        <v>372</v>
      </c>
    </row>
    <row r="263" spans="1:8" ht="10.199999999999999" hidden="1" customHeight="1" x14ac:dyDescent="0.3">
      <c r="A263" t="s">
        <v>77</v>
      </c>
      <c r="B263" s="2">
        <v>45931</v>
      </c>
      <c r="C263" s="10" t="s">
        <v>373</v>
      </c>
    </row>
    <row r="264" spans="1:8" ht="86.4" hidden="1" x14ac:dyDescent="0.3">
      <c r="A264" t="s">
        <v>77</v>
      </c>
      <c r="B264" s="2">
        <v>45962</v>
      </c>
      <c r="C264" s="10" t="s">
        <v>374</v>
      </c>
    </row>
    <row r="265" spans="1:8" hidden="1" x14ac:dyDescent="0.3">
      <c r="A265" t="s">
        <v>77</v>
      </c>
      <c r="B265" s="2">
        <v>45992</v>
      </c>
      <c r="C265" s="10" t="s">
        <v>326</v>
      </c>
    </row>
    <row r="266" spans="1:8" hidden="1" x14ac:dyDescent="0.3">
      <c r="A266" t="s">
        <v>77</v>
      </c>
      <c r="B266" s="2">
        <v>46023</v>
      </c>
      <c r="C266" s="10" t="s">
        <v>375</v>
      </c>
    </row>
    <row r="267" spans="1:8" hidden="1" x14ac:dyDescent="0.3">
      <c r="A267" t="s">
        <v>77</v>
      </c>
      <c r="B267" s="2">
        <v>46054</v>
      </c>
      <c r="C267" s="10" t="s">
        <v>326</v>
      </c>
    </row>
    <row r="268" spans="1:8" hidden="1" x14ac:dyDescent="0.3">
      <c r="A268" t="s">
        <v>77</v>
      </c>
      <c r="B268" s="2">
        <v>46082</v>
      </c>
      <c r="C268" s="10" t="s">
        <v>326</v>
      </c>
    </row>
    <row r="269" spans="1:8" hidden="1" x14ac:dyDescent="0.3">
      <c r="A269" t="s">
        <v>77</v>
      </c>
      <c r="B269" s="2">
        <v>46113</v>
      </c>
      <c r="C269" s="10" t="s">
        <v>302</v>
      </c>
    </row>
    <row r="270" spans="1:8" hidden="1" x14ac:dyDescent="0.3">
      <c r="A270" t="s">
        <v>77</v>
      </c>
      <c r="B270" s="2">
        <v>46143</v>
      </c>
      <c r="C270" s="10" t="s">
        <v>302</v>
      </c>
    </row>
    <row r="271" spans="1:8" hidden="1" x14ac:dyDescent="0.3">
      <c r="A271" t="s">
        <v>77</v>
      </c>
      <c r="B271" s="2">
        <v>46235</v>
      </c>
      <c r="C271" t="s">
        <v>896</v>
      </c>
      <c r="D271">
        <v>0</v>
      </c>
      <c r="E271" t="s">
        <v>33</v>
      </c>
      <c r="F271" t="s">
        <v>33</v>
      </c>
      <c r="G271" t="s">
        <v>338</v>
      </c>
      <c r="H271" t="s">
        <v>36</v>
      </c>
    </row>
    <row r="272" spans="1:8" ht="28.95" hidden="1" customHeight="1" x14ac:dyDescent="0.3">
      <c r="A272" t="s">
        <v>77</v>
      </c>
      <c r="B272" s="2">
        <v>46174</v>
      </c>
      <c r="C272" s="10"/>
    </row>
    <row r="273" spans="1:8" ht="28.95" hidden="1" customHeight="1" x14ac:dyDescent="0.3">
      <c r="A273" t="s">
        <v>77</v>
      </c>
      <c r="B273" s="2">
        <v>46204</v>
      </c>
      <c r="C273" s="10">
        <v>31</v>
      </c>
      <c r="D273">
        <v>0</v>
      </c>
      <c r="E273" t="s">
        <v>33</v>
      </c>
      <c r="F273" t="s">
        <v>33</v>
      </c>
      <c r="G273" t="s">
        <v>1014</v>
      </c>
      <c r="H273" t="s">
        <v>36</v>
      </c>
    </row>
    <row r="274" spans="1:8" ht="72" hidden="1" customHeight="1" x14ac:dyDescent="0.3">
      <c r="A274" t="s">
        <v>80</v>
      </c>
      <c r="B274" s="2">
        <v>45536</v>
      </c>
      <c r="C274" s="10"/>
    </row>
    <row r="275" spans="1:8" ht="43.2" hidden="1" customHeight="1" x14ac:dyDescent="0.3">
      <c r="A275" t="s">
        <v>80</v>
      </c>
      <c r="B275" s="2">
        <v>45566</v>
      </c>
      <c r="C275" s="10"/>
    </row>
    <row r="276" spans="1:8" hidden="1" x14ac:dyDescent="0.3">
      <c r="A276" t="s">
        <v>80</v>
      </c>
      <c r="B276" s="2">
        <v>45597</v>
      </c>
      <c r="C276" s="10"/>
    </row>
    <row r="277" spans="1:8" hidden="1" x14ac:dyDescent="0.3">
      <c r="A277" t="s">
        <v>80</v>
      </c>
      <c r="B277" s="2">
        <v>45627</v>
      </c>
      <c r="C277" s="10"/>
    </row>
    <row r="278" spans="1:8" hidden="1" x14ac:dyDescent="0.3">
      <c r="A278" t="s">
        <v>80</v>
      </c>
      <c r="B278" s="2">
        <v>45658</v>
      </c>
      <c r="C278" s="10"/>
      <c r="G278" s="45"/>
    </row>
    <row r="279" spans="1:8" hidden="1" x14ac:dyDescent="0.3">
      <c r="A279" t="s">
        <v>80</v>
      </c>
      <c r="B279" s="2">
        <v>45689</v>
      </c>
      <c r="C279" s="10" t="s">
        <v>365</v>
      </c>
      <c r="G279" s="45"/>
    </row>
    <row r="280" spans="1:8" ht="57.6" hidden="1" customHeight="1" x14ac:dyDescent="0.3">
      <c r="A280" t="s">
        <v>80</v>
      </c>
      <c r="B280" s="2">
        <v>45717</v>
      </c>
      <c r="C280" s="10" t="s">
        <v>376</v>
      </c>
      <c r="G280" s="45"/>
    </row>
    <row r="281" spans="1:8" ht="57.6" hidden="1" x14ac:dyDescent="0.3">
      <c r="A281" t="s">
        <v>80</v>
      </c>
      <c r="B281" s="2">
        <v>45748</v>
      </c>
      <c r="C281" s="10" t="s">
        <v>377</v>
      </c>
    </row>
    <row r="282" spans="1:8" ht="100.8" hidden="1" x14ac:dyDescent="0.3">
      <c r="A282" t="s">
        <v>80</v>
      </c>
      <c r="B282" s="2">
        <v>45778</v>
      </c>
      <c r="C282" s="10" t="s">
        <v>378</v>
      </c>
      <c r="G282" s="45"/>
    </row>
    <row r="283" spans="1:8" ht="115.2" hidden="1" x14ac:dyDescent="0.3">
      <c r="A283" t="s">
        <v>80</v>
      </c>
      <c r="B283" s="2">
        <v>45809</v>
      </c>
      <c r="C283" s="10" t="s">
        <v>379</v>
      </c>
    </row>
    <row r="284" spans="1:8" ht="86.4" hidden="1" x14ac:dyDescent="0.3">
      <c r="A284" t="s">
        <v>80</v>
      </c>
      <c r="B284" s="2">
        <v>45839</v>
      </c>
      <c r="C284" s="10" t="s">
        <v>380</v>
      </c>
    </row>
    <row r="285" spans="1:8" ht="72" hidden="1" x14ac:dyDescent="0.3">
      <c r="A285" t="s">
        <v>80</v>
      </c>
      <c r="B285" s="2">
        <v>45870</v>
      </c>
      <c r="C285" s="10" t="s">
        <v>381</v>
      </c>
    </row>
    <row r="286" spans="1:8" ht="86.4" hidden="1" x14ac:dyDescent="0.3">
      <c r="A286" t="s">
        <v>80</v>
      </c>
      <c r="B286" s="2">
        <v>45901</v>
      </c>
      <c r="C286" s="10" t="s">
        <v>382</v>
      </c>
    </row>
    <row r="287" spans="1:8" ht="72" hidden="1" x14ac:dyDescent="0.3">
      <c r="A287" t="s">
        <v>80</v>
      </c>
      <c r="B287" s="2">
        <v>45931</v>
      </c>
      <c r="C287" s="10" t="s">
        <v>383</v>
      </c>
    </row>
    <row r="288" spans="1:8" ht="100.8" hidden="1" x14ac:dyDescent="0.3">
      <c r="A288" t="s">
        <v>80</v>
      </c>
      <c r="B288" s="2">
        <v>45962</v>
      </c>
      <c r="C288" s="10" t="s">
        <v>384</v>
      </c>
    </row>
    <row r="289" spans="1:8" hidden="1" x14ac:dyDescent="0.3">
      <c r="A289" t="s">
        <v>80</v>
      </c>
      <c r="B289" s="2">
        <v>45992</v>
      </c>
      <c r="C289" s="10" t="s">
        <v>385</v>
      </c>
    </row>
    <row r="290" spans="1:8" hidden="1" x14ac:dyDescent="0.3">
      <c r="A290" t="s">
        <v>80</v>
      </c>
      <c r="B290" s="2">
        <v>46023</v>
      </c>
      <c r="C290" s="10" t="s">
        <v>375</v>
      </c>
    </row>
    <row r="291" spans="1:8" hidden="1" x14ac:dyDescent="0.3">
      <c r="A291" t="s">
        <v>80</v>
      </c>
      <c r="B291" s="2">
        <v>46054</v>
      </c>
      <c r="C291" s="10" t="s">
        <v>326</v>
      </c>
    </row>
    <row r="292" spans="1:8" ht="28.8" hidden="1" x14ac:dyDescent="0.3">
      <c r="A292" t="s">
        <v>80</v>
      </c>
      <c r="B292" s="2">
        <v>46082</v>
      </c>
      <c r="C292" s="10" t="s">
        <v>386</v>
      </c>
    </row>
    <row r="293" spans="1:8" hidden="1" x14ac:dyDescent="0.3">
      <c r="A293" t="s">
        <v>80</v>
      </c>
      <c r="B293" s="2">
        <v>46113</v>
      </c>
      <c r="C293" s="10" t="s">
        <v>302</v>
      </c>
    </row>
    <row r="294" spans="1:8" hidden="1" x14ac:dyDescent="0.3">
      <c r="A294" t="s">
        <v>80</v>
      </c>
      <c r="B294" s="2">
        <v>46143</v>
      </c>
      <c r="C294" s="10" t="s">
        <v>302</v>
      </c>
    </row>
    <row r="295" spans="1:8" hidden="1" x14ac:dyDescent="0.3">
      <c r="A295" t="s">
        <v>80</v>
      </c>
      <c r="B295" s="2">
        <v>46235</v>
      </c>
      <c r="C295" t="s">
        <v>896</v>
      </c>
      <c r="D295">
        <v>0</v>
      </c>
      <c r="E295" t="s">
        <v>33</v>
      </c>
      <c r="F295" t="s">
        <v>33</v>
      </c>
      <c r="G295" t="s">
        <v>338</v>
      </c>
      <c r="H295" t="s">
        <v>36</v>
      </c>
    </row>
    <row r="296" spans="1:8" ht="86.4" hidden="1" customHeight="1" x14ac:dyDescent="0.3">
      <c r="A296" t="s">
        <v>80</v>
      </c>
      <c r="B296" s="2">
        <v>46174</v>
      </c>
      <c r="C296" s="10"/>
    </row>
    <row r="297" spans="1:8" ht="57.6" hidden="1" customHeight="1" x14ac:dyDescent="0.3">
      <c r="A297" t="s">
        <v>80</v>
      </c>
      <c r="B297" s="2">
        <v>46204</v>
      </c>
      <c r="C297" s="10">
        <v>31</v>
      </c>
      <c r="D297">
        <v>0</v>
      </c>
      <c r="E297" t="s">
        <v>33</v>
      </c>
      <c r="F297" t="s">
        <v>33</v>
      </c>
      <c r="G297" t="s">
        <v>1014</v>
      </c>
      <c r="H297" t="s">
        <v>36</v>
      </c>
    </row>
    <row r="298" spans="1:8" ht="57.6" hidden="1" customHeight="1" x14ac:dyDescent="0.3">
      <c r="A298" t="s">
        <v>81</v>
      </c>
      <c r="B298" s="2">
        <v>45536</v>
      </c>
      <c r="C298" s="10"/>
    </row>
    <row r="299" spans="1:8" ht="57.6" hidden="1" customHeight="1" x14ac:dyDescent="0.3">
      <c r="A299" t="s">
        <v>81</v>
      </c>
      <c r="B299" s="2">
        <v>45566</v>
      </c>
      <c r="C299" s="10"/>
    </row>
    <row r="300" spans="1:8" ht="57.6" hidden="1" customHeight="1" x14ac:dyDescent="0.3">
      <c r="A300" t="s">
        <v>81</v>
      </c>
      <c r="B300" s="2">
        <v>45597</v>
      </c>
      <c r="C300" s="10"/>
    </row>
    <row r="301" spans="1:8" ht="72" hidden="1" customHeight="1" x14ac:dyDescent="0.3">
      <c r="A301" t="s">
        <v>81</v>
      </c>
      <c r="B301" s="2">
        <v>45627</v>
      </c>
      <c r="C301" s="10"/>
    </row>
    <row r="302" spans="1:8" ht="57.6" hidden="1" customHeight="1" x14ac:dyDescent="0.3">
      <c r="A302" t="s">
        <v>81</v>
      </c>
      <c r="B302" s="2">
        <v>45658</v>
      </c>
      <c r="C302" s="10"/>
    </row>
    <row r="303" spans="1:8" ht="57.6" hidden="1" customHeight="1" x14ac:dyDescent="0.3">
      <c r="A303" t="s">
        <v>81</v>
      </c>
      <c r="B303" s="2">
        <v>45689</v>
      </c>
      <c r="C303" s="10" t="s">
        <v>387</v>
      </c>
    </row>
    <row r="304" spans="1:8" ht="72" hidden="1" customHeight="1" x14ac:dyDescent="0.3">
      <c r="A304" t="s">
        <v>81</v>
      </c>
      <c r="B304" s="2">
        <v>45717</v>
      </c>
      <c r="C304" s="10" t="s">
        <v>388</v>
      </c>
    </row>
    <row r="305" spans="1:8" ht="43.2" hidden="1" x14ac:dyDescent="0.3">
      <c r="A305" t="s">
        <v>81</v>
      </c>
      <c r="B305" s="2">
        <v>45748</v>
      </c>
      <c r="C305" s="10" t="s">
        <v>388</v>
      </c>
    </row>
    <row r="306" spans="1:8" ht="144" hidden="1" x14ac:dyDescent="0.3">
      <c r="A306" t="s">
        <v>81</v>
      </c>
      <c r="B306" s="2">
        <v>45778</v>
      </c>
      <c r="C306" s="10" t="s">
        <v>389</v>
      </c>
    </row>
    <row r="307" spans="1:8" ht="72" hidden="1" x14ac:dyDescent="0.3">
      <c r="A307" t="s">
        <v>81</v>
      </c>
      <c r="B307" s="2">
        <v>45809</v>
      </c>
      <c r="C307" s="10" t="s">
        <v>390</v>
      </c>
    </row>
    <row r="308" spans="1:8" hidden="1" x14ac:dyDescent="0.3">
      <c r="A308" t="s">
        <v>81</v>
      </c>
      <c r="B308" s="2">
        <v>45839</v>
      </c>
      <c r="C308" t="s">
        <v>911</v>
      </c>
      <c r="G308" s="10" t="s">
        <v>971</v>
      </c>
      <c r="H308" t="s">
        <v>36</v>
      </c>
    </row>
    <row r="309" spans="1:8" ht="28.95" hidden="1" customHeight="1" x14ac:dyDescent="0.3">
      <c r="A309" t="s">
        <v>81</v>
      </c>
      <c r="B309" s="2">
        <v>45870</v>
      </c>
      <c r="C309" t="s">
        <v>911</v>
      </c>
      <c r="D309">
        <v>0</v>
      </c>
      <c r="E309" t="s">
        <v>33</v>
      </c>
      <c r="F309" t="s">
        <v>33</v>
      </c>
      <c r="G309" s="10" t="s">
        <v>971</v>
      </c>
      <c r="H309" t="s">
        <v>36</v>
      </c>
    </row>
    <row r="310" spans="1:8" hidden="1" x14ac:dyDescent="0.3">
      <c r="A310" t="s">
        <v>81</v>
      </c>
      <c r="B310" s="2">
        <v>45901</v>
      </c>
      <c r="C310" t="s">
        <v>919</v>
      </c>
      <c r="D310">
        <v>0</v>
      </c>
      <c r="E310" t="s">
        <v>33</v>
      </c>
      <c r="F310" t="s">
        <v>33</v>
      </c>
      <c r="G310" s="44" t="s">
        <v>932</v>
      </c>
      <c r="H310" t="s">
        <v>36</v>
      </c>
    </row>
    <row r="311" spans="1:8" hidden="1" x14ac:dyDescent="0.3">
      <c r="A311" t="s">
        <v>81</v>
      </c>
      <c r="B311" s="2">
        <v>45931</v>
      </c>
      <c r="C311" t="s">
        <v>911</v>
      </c>
      <c r="D311">
        <v>0</v>
      </c>
      <c r="E311" t="s">
        <v>33</v>
      </c>
      <c r="F311" t="s">
        <v>33</v>
      </c>
      <c r="G311" s="44" t="s">
        <v>932</v>
      </c>
      <c r="H311" t="s">
        <v>36</v>
      </c>
    </row>
    <row r="312" spans="1:8" hidden="1" x14ac:dyDescent="0.3">
      <c r="A312" t="s">
        <v>81</v>
      </c>
      <c r="B312" s="2">
        <v>45962</v>
      </c>
      <c r="C312" t="s">
        <v>919</v>
      </c>
      <c r="D312">
        <v>0</v>
      </c>
      <c r="E312" t="s">
        <v>33</v>
      </c>
      <c r="F312" t="s">
        <v>33</v>
      </c>
      <c r="G312" s="44" t="s">
        <v>932</v>
      </c>
      <c r="H312" t="s">
        <v>36</v>
      </c>
    </row>
    <row r="313" spans="1:8" hidden="1" x14ac:dyDescent="0.3">
      <c r="A313" t="s">
        <v>81</v>
      </c>
      <c r="B313" s="2">
        <v>45992</v>
      </c>
      <c r="C313" t="s">
        <v>911</v>
      </c>
      <c r="D313">
        <v>0</v>
      </c>
      <c r="E313" t="s">
        <v>33</v>
      </c>
      <c r="F313" t="s">
        <v>33</v>
      </c>
      <c r="G313" s="10" t="s">
        <v>971</v>
      </c>
      <c r="H313" t="s">
        <v>36</v>
      </c>
    </row>
    <row r="314" spans="1:8" hidden="1" x14ac:dyDescent="0.3">
      <c r="A314" t="s">
        <v>81</v>
      </c>
      <c r="B314" s="2">
        <v>46023</v>
      </c>
      <c r="C314" t="s">
        <v>911</v>
      </c>
      <c r="D314">
        <v>0</v>
      </c>
      <c r="E314" t="s">
        <v>33</v>
      </c>
      <c r="F314" t="s">
        <v>33</v>
      </c>
      <c r="G314" s="44" t="s">
        <v>932</v>
      </c>
      <c r="H314" t="s">
        <v>36</v>
      </c>
    </row>
    <row r="315" spans="1:8" ht="28.8" hidden="1" x14ac:dyDescent="0.3">
      <c r="A315" t="s">
        <v>81</v>
      </c>
      <c r="B315" s="2">
        <v>46054</v>
      </c>
      <c r="C315" t="s">
        <v>895</v>
      </c>
      <c r="D315">
        <v>0</v>
      </c>
      <c r="E315" t="s">
        <v>33</v>
      </c>
      <c r="F315" t="s">
        <v>978</v>
      </c>
      <c r="G315" s="10" t="s">
        <v>979</v>
      </c>
      <c r="H315" t="s">
        <v>36</v>
      </c>
    </row>
    <row r="316" spans="1:8" ht="28.8" hidden="1" x14ac:dyDescent="0.3">
      <c r="A316" t="s">
        <v>81</v>
      </c>
      <c r="B316" s="2">
        <v>46082</v>
      </c>
      <c r="C316" t="s">
        <v>911</v>
      </c>
      <c r="D316">
        <v>0</v>
      </c>
      <c r="E316" t="s">
        <v>33</v>
      </c>
      <c r="F316" t="s">
        <v>978</v>
      </c>
      <c r="G316" s="10" t="s">
        <v>979</v>
      </c>
      <c r="H316" t="s">
        <v>36</v>
      </c>
    </row>
    <row r="317" spans="1:8" hidden="1" x14ac:dyDescent="0.3">
      <c r="A317" t="s">
        <v>81</v>
      </c>
      <c r="B317" s="2">
        <v>46113</v>
      </c>
      <c r="C317" t="s">
        <v>919</v>
      </c>
      <c r="D317">
        <v>0</v>
      </c>
      <c r="E317" t="s">
        <v>33</v>
      </c>
      <c r="F317" t="s">
        <v>33</v>
      </c>
      <c r="G317" s="10" t="s">
        <v>971</v>
      </c>
      <c r="H317" t="s">
        <v>36</v>
      </c>
    </row>
    <row r="318" spans="1:8" hidden="1" x14ac:dyDescent="0.3">
      <c r="A318" t="s">
        <v>81</v>
      </c>
      <c r="B318" s="2">
        <v>46143</v>
      </c>
      <c r="C318" t="s">
        <v>911</v>
      </c>
      <c r="D318">
        <v>0</v>
      </c>
      <c r="E318" t="s">
        <v>33</v>
      </c>
      <c r="F318" t="s">
        <v>33</v>
      </c>
      <c r="G318" s="10" t="s">
        <v>971</v>
      </c>
      <c r="H318" t="s">
        <v>36</v>
      </c>
    </row>
    <row r="319" spans="1:8" hidden="1" x14ac:dyDescent="0.3">
      <c r="A319" t="s">
        <v>81</v>
      </c>
      <c r="B319" s="2">
        <v>46235</v>
      </c>
      <c r="C319" t="s">
        <v>896</v>
      </c>
      <c r="D319">
        <v>0</v>
      </c>
      <c r="E319" t="s">
        <v>33</v>
      </c>
      <c r="F319" t="s">
        <v>33</v>
      </c>
      <c r="G319" t="s">
        <v>338</v>
      </c>
      <c r="H319" t="s">
        <v>36</v>
      </c>
    </row>
    <row r="320" spans="1:8" ht="86.4" hidden="1" customHeight="1" x14ac:dyDescent="0.3">
      <c r="A320" t="s">
        <v>81</v>
      </c>
      <c r="B320" s="2">
        <v>46174</v>
      </c>
      <c r="C320" t="s">
        <v>919</v>
      </c>
      <c r="D320">
        <v>0</v>
      </c>
      <c r="E320" t="s">
        <v>33</v>
      </c>
      <c r="F320" t="s">
        <v>33</v>
      </c>
      <c r="G320" s="10" t="s">
        <v>971</v>
      </c>
      <c r="H320" t="s">
        <v>36</v>
      </c>
    </row>
    <row r="321" spans="1:8" ht="57.6" hidden="1" customHeight="1" x14ac:dyDescent="0.3">
      <c r="A321" t="s">
        <v>81</v>
      </c>
      <c r="B321" s="2">
        <v>46204</v>
      </c>
      <c r="C321" s="10">
        <v>31</v>
      </c>
      <c r="D321">
        <v>0</v>
      </c>
      <c r="E321" t="s">
        <v>33</v>
      </c>
      <c r="F321" t="s">
        <v>33</v>
      </c>
      <c r="G321" t="s">
        <v>338</v>
      </c>
      <c r="H321" t="s">
        <v>36</v>
      </c>
    </row>
    <row r="322" spans="1:8" ht="57.6" hidden="1" customHeight="1" x14ac:dyDescent="0.3">
      <c r="A322" t="s">
        <v>85</v>
      </c>
      <c r="B322" s="2">
        <v>45536</v>
      </c>
      <c r="C322" s="10"/>
    </row>
    <row r="323" spans="1:8" ht="57.6" hidden="1" customHeight="1" x14ac:dyDescent="0.3">
      <c r="A323" t="s">
        <v>85</v>
      </c>
      <c r="B323" s="2">
        <v>45566</v>
      </c>
      <c r="C323" s="10"/>
    </row>
    <row r="324" spans="1:8" ht="57.6" hidden="1" customHeight="1" x14ac:dyDescent="0.3">
      <c r="A324" t="s">
        <v>85</v>
      </c>
      <c r="B324" s="2">
        <v>45597</v>
      </c>
      <c r="C324" s="10"/>
    </row>
    <row r="325" spans="1:8" ht="57.6" hidden="1" customHeight="1" x14ac:dyDescent="0.3">
      <c r="A325" t="s">
        <v>85</v>
      </c>
      <c r="B325" s="2">
        <v>45627</v>
      </c>
      <c r="C325" s="10"/>
    </row>
    <row r="326" spans="1:8" ht="57.6" hidden="1" customHeight="1" x14ac:dyDescent="0.3">
      <c r="A326" t="s">
        <v>85</v>
      </c>
      <c r="B326" s="2">
        <v>45658</v>
      </c>
      <c r="C326" s="10"/>
    </row>
    <row r="327" spans="1:8" ht="57.6" hidden="1" customHeight="1" x14ac:dyDescent="0.3">
      <c r="A327" t="s">
        <v>85</v>
      </c>
      <c r="B327" s="2">
        <v>45689</v>
      </c>
      <c r="C327" s="10" t="s">
        <v>391</v>
      </c>
    </row>
    <row r="328" spans="1:8" ht="57.6" hidden="1" customHeight="1" x14ac:dyDescent="0.3">
      <c r="A328" t="s">
        <v>85</v>
      </c>
      <c r="B328" s="2">
        <v>45717</v>
      </c>
      <c r="C328" s="10" t="s">
        <v>392</v>
      </c>
    </row>
    <row r="329" spans="1:8" ht="86.4" hidden="1" x14ac:dyDescent="0.3">
      <c r="A329" t="s">
        <v>85</v>
      </c>
      <c r="B329" s="2">
        <v>45748</v>
      </c>
      <c r="C329" s="10" t="s">
        <v>393</v>
      </c>
    </row>
    <row r="330" spans="1:8" ht="115.2" hidden="1" x14ac:dyDescent="0.3">
      <c r="A330" t="s">
        <v>85</v>
      </c>
      <c r="B330" s="2">
        <v>45778</v>
      </c>
      <c r="C330" s="10" t="s">
        <v>394</v>
      </c>
    </row>
    <row r="331" spans="1:8" ht="115.2" hidden="1" x14ac:dyDescent="0.3">
      <c r="A331" t="s">
        <v>85</v>
      </c>
      <c r="B331" s="2">
        <v>45809</v>
      </c>
      <c r="C331" s="10" t="s">
        <v>395</v>
      </c>
    </row>
    <row r="332" spans="1:8" ht="115.2" hidden="1" x14ac:dyDescent="0.3">
      <c r="A332" t="s">
        <v>85</v>
      </c>
      <c r="B332" s="2">
        <v>45839</v>
      </c>
      <c r="C332" s="10" t="s">
        <v>396</v>
      </c>
    </row>
    <row r="333" spans="1:8" ht="144" hidden="1" x14ac:dyDescent="0.3">
      <c r="A333" t="s">
        <v>85</v>
      </c>
      <c r="B333" s="2">
        <v>45870</v>
      </c>
      <c r="C333" s="10" t="s">
        <v>397</v>
      </c>
    </row>
    <row r="334" spans="1:8" ht="115.2" hidden="1" x14ac:dyDescent="0.3">
      <c r="A334" t="s">
        <v>85</v>
      </c>
      <c r="B334" s="2">
        <v>45901</v>
      </c>
      <c r="C334" s="10" t="s">
        <v>398</v>
      </c>
    </row>
    <row r="335" spans="1:8" ht="115.2" hidden="1" x14ac:dyDescent="0.3">
      <c r="A335" t="s">
        <v>85</v>
      </c>
      <c r="B335" s="2">
        <v>45931</v>
      </c>
      <c r="C335" s="10" t="s">
        <v>399</v>
      </c>
    </row>
    <row r="336" spans="1:8" ht="144" hidden="1" x14ac:dyDescent="0.3">
      <c r="A336" t="s">
        <v>85</v>
      </c>
      <c r="B336" s="2">
        <v>45962</v>
      </c>
      <c r="C336" s="10" t="s">
        <v>400</v>
      </c>
    </row>
    <row r="337" spans="1:8" ht="28.8" hidden="1" x14ac:dyDescent="0.3">
      <c r="A337" t="s">
        <v>85</v>
      </c>
      <c r="B337" s="2">
        <v>45992</v>
      </c>
      <c r="C337" s="10" t="s">
        <v>401</v>
      </c>
    </row>
    <row r="338" spans="1:8" ht="28.8" hidden="1" x14ac:dyDescent="0.3">
      <c r="A338" t="s">
        <v>85</v>
      </c>
      <c r="B338" s="2">
        <v>46023</v>
      </c>
      <c r="C338" s="10" t="s">
        <v>401</v>
      </c>
    </row>
    <row r="339" spans="1:8" ht="28.8" hidden="1" x14ac:dyDescent="0.3">
      <c r="A339" t="s">
        <v>85</v>
      </c>
      <c r="B339" s="2">
        <v>46054</v>
      </c>
      <c r="C339" s="10" t="s">
        <v>401</v>
      </c>
    </row>
    <row r="340" spans="1:8" ht="28.8" hidden="1" x14ac:dyDescent="0.3">
      <c r="A340" t="s">
        <v>85</v>
      </c>
      <c r="B340" s="2">
        <v>46082</v>
      </c>
      <c r="C340" s="10" t="s">
        <v>402</v>
      </c>
    </row>
    <row r="341" spans="1:8" ht="57.6" hidden="1" x14ac:dyDescent="0.3">
      <c r="A341" t="s">
        <v>85</v>
      </c>
      <c r="B341" s="2">
        <v>46113</v>
      </c>
      <c r="C341" s="10" t="s">
        <v>403</v>
      </c>
    </row>
    <row r="342" spans="1:8" hidden="1" x14ac:dyDescent="0.3">
      <c r="A342" t="s">
        <v>85</v>
      </c>
      <c r="B342" s="2">
        <v>46143</v>
      </c>
      <c r="C342" s="10" t="s">
        <v>852</v>
      </c>
    </row>
    <row r="343" spans="1:8" hidden="1" x14ac:dyDescent="0.3">
      <c r="A343" t="s">
        <v>85</v>
      </c>
      <c r="B343" s="2">
        <v>46235</v>
      </c>
      <c r="C343" s="10">
        <v>30</v>
      </c>
      <c r="D343">
        <v>0</v>
      </c>
      <c r="E343" t="s">
        <v>33</v>
      </c>
      <c r="F343" t="s">
        <v>33</v>
      </c>
      <c r="G343" t="s">
        <v>1073</v>
      </c>
      <c r="H343" t="s">
        <v>36</v>
      </c>
    </row>
    <row r="344" spans="1:8" hidden="1" x14ac:dyDescent="0.3">
      <c r="A344" t="s">
        <v>85</v>
      </c>
      <c r="B344" s="2">
        <v>46174</v>
      </c>
      <c r="C344" s="10"/>
    </row>
    <row r="345" spans="1:8" hidden="1" x14ac:dyDescent="0.3">
      <c r="A345" t="s">
        <v>85</v>
      </c>
      <c r="B345" s="2">
        <v>46204</v>
      </c>
      <c r="C345" s="10">
        <v>31</v>
      </c>
      <c r="D345">
        <v>0</v>
      </c>
      <c r="E345" t="s">
        <v>33</v>
      </c>
      <c r="F345" t="s">
        <v>33</v>
      </c>
      <c r="G345" t="s">
        <v>338</v>
      </c>
      <c r="H345" t="s">
        <v>36</v>
      </c>
    </row>
    <row r="346" spans="1:8" hidden="1" x14ac:dyDescent="0.3">
      <c r="A346" t="s">
        <v>90</v>
      </c>
      <c r="B346" s="2">
        <v>45536</v>
      </c>
      <c r="C346" s="10"/>
    </row>
    <row r="347" spans="1:8" hidden="1" x14ac:dyDescent="0.3">
      <c r="A347" t="s">
        <v>90</v>
      </c>
      <c r="B347" s="2">
        <v>45566</v>
      </c>
      <c r="C347" s="10"/>
    </row>
    <row r="348" spans="1:8" hidden="1" x14ac:dyDescent="0.3">
      <c r="A348" t="s">
        <v>90</v>
      </c>
      <c r="B348" s="2">
        <v>45597</v>
      </c>
      <c r="C348" s="10"/>
    </row>
    <row r="349" spans="1:8" hidden="1" x14ac:dyDescent="0.3">
      <c r="A349" t="s">
        <v>90</v>
      </c>
      <c r="B349" s="2">
        <v>45627</v>
      </c>
      <c r="C349" s="10"/>
    </row>
    <row r="350" spans="1:8" hidden="1" x14ac:dyDescent="0.3">
      <c r="A350" t="s">
        <v>90</v>
      </c>
      <c r="B350" s="2">
        <v>45658</v>
      </c>
      <c r="C350" s="10"/>
    </row>
    <row r="351" spans="1:8" ht="86.4" hidden="1" x14ac:dyDescent="0.3">
      <c r="A351" t="s">
        <v>90</v>
      </c>
      <c r="B351" s="2">
        <v>45689</v>
      </c>
      <c r="C351" s="10" t="s">
        <v>404</v>
      </c>
    </row>
    <row r="352" spans="1:8" ht="43.2" hidden="1" customHeight="1" x14ac:dyDescent="0.3">
      <c r="A352" t="s">
        <v>90</v>
      </c>
      <c r="B352" s="2">
        <v>45717</v>
      </c>
      <c r="C352" s="10" t="s">
        <v>405</v>
      </c>
    </row>
    <row r="353" spans="1:8" ht="86.4" hidden="1" x14ac:dyDescent="0.3">
      <c r="A353" t="s">
        <v>90</v>
      </c>
      <c r="B353" s="2">
        <v>45748</v>
      </c>
      <c r="C353" s="10" t="s">
        <v>406</v>
      </c>
    </row>
    <row r="354" spans="1:8" ht="100.8" hidden="1" x14ac:dyDescent="0.3">
      <c r="A354" t="s">
        <v>90</v>
      </c>
      <c r="B354" s="2">
        <v>45778</v>
      </c>
      <c r="C354" s="10" t="s">
        <v>407</v>
      </c>
    </row>
    <row r="355" spans="1:8" ht="129.6" hidden="1" x14ac:dyDescent="0.3">
      <c r="A355" t="s">
        <v>90</v>
      </c>
      <c r="B355" s="2">
        <v>45809</v>
      </c>
      <c r="C355" s="10" t="s">
        <v>408</v>
      </c>
    </row>
    <row r="356" spans="1:8" ht="129.6" hidden="1" x14ac:dyDescent="0.3">
      <c r="A356" t="s">
        <v>90</v>
      </c>
      <c r="B356" s="2">
        <v>45839</v>
      </c>
      <c r="C356" s="10" t="s">
        <v>409</v>
      </c>
    </row>
    <row r="357" spans="1:8" ht="129.6" hidden="1" x14ac:dyDescent="0.3">
      <c r="A357" t="s">
        <v>90</v>
      </c>
      <c r="B357" s="2">
        <v>45870</v>
      </c>
      <c r="C357" s="10" t="s">
        <v>410</v>
      </c>
    </row>
    <row r="358" spans="1:8" ht="129.6" hidden="1" x14ac:dyDescent="0.3">
      <c r="A358" t="s">
        <v>90</v>
      </c>
      <c r="B358" s="2">
        <v>45901</v>
      </c>
      <c r="C358" s="10" t="s">
        <v>411</v>
      </c>
    </row>
    <row r="359" spans="1:8" ht="115.2" hidden="1" x14ac:dyDescent="0.3">
      <c r="A359" t="s">
        <v>90</v>
      </c>
      <c r="B359" s="2">
        <v>45931</v>
      </c>
      <c r="C359" s="10" t="s">
        <v>412</v>
      </c>
    </row>
    <row r="360" spans="1:8" ht="115.2" hidden="1" x14ac:dyDescent="0.3">
      <c r="A360" t="s">
        <v>90</v>
      </c>
      <c r="B360" s="2">
        <v>45962</v>
      </c>
      <c r="C360" s="10" t="s">
        <v>413</v>
      </c>
    </row>
    <row r="361" spans="1:8" hidden="1" x14ac:dyDescent="0.3">
      <c r="A361" t="s">
        <v>90</v>
      </c>
      <c r="B361" s="2">
        <v>45992</v>
      </c>
      <c r="C361" s="10" t="s">
        <v>326</v>
      </c>
    </row>
    <row r="362" spans="1:8" hidden="1" x14ac:dyDescent="0.3">
      <c r="A362" t="s">
        <v>90</v>
      </c>
      <c r="B362" s="2">
        <v>46023</v>
      </c>
      <c r="C362" s="10" t="s">
        <v>338</v>
      </c>
    </row>
    <row r="363" spans="1:8" ht="28.95" hidden="1" customHeight="1" x14ac:dyDescent="0.3">
      <c r="A363" t="s">
        <v>90</v>
      </c>
      <c r="B363" s="2">
        <v>46054</v>
      </c>
      <c r="C363" s="10" t="s">
        <v>326</v>
      </c>
    </row>
    <row r="364" spans="1:8" hidden="1" x14ac:dyDescent="0.3">
      <c r="A364" t="s">
        <v>90</v>
      </c>
      <c r="B364" s="2">
        <v>46082</v>
      </c>
      <c r="C364" s="10" t="s">
        <v>326</v>
      </c>
    </row>
    <row r="365" spans="1:8" hidden="1" x14ac:dyDescent="0.3">
      <c r="A365" t="s">
        <v>90</v>
      </c>
      <c r="B365" s="2">
        <v>46113</v>
      </c>
      <c r="C365" s="10" t="s">
        <v>302</v>
      </c>
    </row>
    <row r="366" spans="1:8" hidden="1" x14ac:dyDescent="0.3">
      <c r="A366" t="s">
        <v>90</v>
      </c>
      <c r="B366" s="2">
        <v>46143</v>
      </c>
      <c r="C366" s="10" t="s">
        <v>302</v>
      </c>
    </row>
    <row r="367" spans="1:8" hidden="1" x14ac:dyDescent="0.3">
      <c r="A367" t="s">
        <v>90</v>
      </c>
      <c r="B367" s="2">
        <v>46235</v>
      </c>
      <c r="C367" t="s">
        <v>896</v>
      </c>
      <c r="D367">
        <v>0</v>
      </c>
      <c r="E367" t="s">
        <v>33</v>
      </c>
      <c r="F367" t="s">
        <v>33</v>
      </c>
      <c r="G367" t="s">
        <v>338</v>
      </c>
      <c r="H367" t="s">
        <v>36</v>
      </c>
    </row>
    <row r="368" spans="1:8" ht="43.2" hidden="1" customHeight="1" x14ac:dyDescent="0.3">
      <c r="A368" t="s">
        <v>90</v>
      </c>
      <c r="B368" s="2">
        <v>46174</v>
      </c>
      <c r="C368" s="10"/>
    </row>
    <row r="369" spans="1:8" ht="43.2" hidden="1" customHeight="1" x14ac:dyDescent="0.3">
      <c r="A369" t="s">
        <v>90</v>
      </c>
      <c r="B369" s="2">
        <v>46204</v>
      </c>
      <c r="C369" s="10">
        <v>31</v>
      </c>
      <c r="D369">
        <v>0</v>
      </c>
      <c r="E369" t="s">
        <v>33</v>
      </c>
      <c r="F369" t="s">
        <v>33</v>
      </c>
      <c r="G369" t="s">
        <v>338</v>
      </c>
      <c r="H369" t="s">
        <v>36</v>
      </c>
    </row>
    <row r="370" spans="1:8" ht="57.6" hidden="1" customHeight="1" x14ac:dyDescent="0.3">
      <c r="A370" t="s">
        <v>93</v>
      </c>
      <c r="B370" s="2">
        <v>45536</v>
      </c>
      <c r="C370" s="10"/>
    </row>
    <row r="371" spans="1:8" ht="57.6" hidden="1" customHeight="1" x14ac:dyDescent="0.3">
      <c r="A371" t="s">
        <v>93</v>
      </c>
      <c r="B371" s="2">
        <v>45566</v>
      </c>
      <c r="C371" s="10"/>
    </row>
    <row r="372" spans="1:8" hidden="1" x14ac:dyDescent="0.3">
      <c r="A372" t="s">
        <v>93</v>
      </c>
      <c r="B372" s="2">
        <v>45597</v>
      </c>
      <c r="C372" s="10"/>
    </row>
    <row r="373" spans="1:8" hidden="1" x14ac:dyDescent="0.3">
      <c r="A373" t="s">
        <v>93</v>
      </c>
      <c r="B373" s="2">
        <v>45627</v>
      </c>
      <c r="C373" s="10"/>
    </row>
    <row r="374" spans="1:8" hidden="1" x14ac:dyDescent="0.3">
      <c r="A374" t="s">
        <v>93</v>
      </c>
      <c r="B374" s="2">
        <v>45658</v>
      </c>
      <c r="C374" s="10"/>
    </row>
    <row r="375" spans="1:8" hidden="1" x14ac:dyDescent="0.3">
      <c r="A375" t="s">
        <v>93</v>
      </c>
      <c r="B375" s="2">
        <v>45689</v>
      </c>
      <c r="C375" s="10"/>
    </row>
    <row r="376" spans="1:8" hidden="1" x14ac:dyDescent="0.3">
      <c r="A376" t="s">
        <v>93</v>
      </c>
      <c r="B376" s="2">
        <v>45717</v>
      </c>
      <c r="C376" s="10"/>
    </row>
    <row r="377" spans="1:8" hidden="1" x14ac:dyDescent="0.3">
      <c r="A377" t="s">
        <v>93</v>
      </c>
      <c r="B377" s="2">
        <v>45748</v>
      </c>
      <c r="C377" s="10"/>
    </row>
    <row r="378" spans="1:8" hidden="1" x14ac:dyDescent="0.3">
      <c r="A378" t="s">
        <v>93</v>
      </c>
      <c r="B378" s="2">
        <v>45778</v>
      </c>
      <c r="C378" s="10"/>
    </row>
    <row r="379" spans="1:8" hidden="1" x14ac:dyDescent="0.3">
      <c r="A379" t="s">
        <v>93</v>
      </c>
      <c r="B379" s="2">
        <v>45809</v>
      </c>
      <c r="C379" s="10"/>
    </row>
    <row r="380" spans="1:8" hidden="1" x14ac:dyDescent="0.3">
      <c r="A380" t="s">
        <v>93</v>
      </c>
      <c r="B380" s="2">
        <v>45839</v>
      </c>
      <c r="C380" s="10"/>
    </row>
    <row r="381" spans="1:8" hidden="1" x14ac:dyDescent="0.3">
      <c r="A381" t="s">
        <v>93</v>
      </c>
      <c r="B381" s="2">
        <v>45870</v>
      </c>
      <c r="C381" s="10"/>
    </row>
    <row r="382" spans="1:8" hidden="1" x14ac:dyDescent="0.3">
      <c r="A382" t="s">
        <v>93</v>
      </c>
      <c r="B382" s="2">
        <v>45901</v>
      </c>
      <c r="C382" s="10"/>
    </row>
    <row r="383" spans="1:8" hidden="1" x14ac:dyDescent="0.3">
      <c r="A383" t="s">
        <v>93</v>
      </c>
      <c r="B383" s="2">
        <v>45931</v>
      </c>
      <c r="C383" s="10"/>
    </row>
    <row r="384" spans="1:8" ht="72" hidden="1" x14ac:dyDescent="0.3">
      <c r="A384" t="s">
        <v>93</v>
      </c>
      <c r="B384" s="2">
        <v>45962</v>
      </c>
      <c r="C384" s="10" t="s">
        <v>414</v>
      </c>
    </row>
    <row r="385" spans="1:8" hidden="1" x14ac:dyDescent="0.3">
      <c r="A385" t="s">
        <v>93</v>
      </c>
      <c r="B385" s="2">
        <v>45992</v>
      </c>
      <c r="C385" s="10" t="s">
        <v>415</v>
      </c>
    </row>
    <row r="386" spans="1:8" hidden="1" x14ac:dyDescent="0.3">
      <c r="A386" t="s">
        <v>93</v>
      </c>
      <c r="B386" s="2">
        <v>46023</v>
      </c>
      <c r="C386" s="10" t="s">
        <v>338</v>
      </c>
    </row>
    <row r="387" spans="1:8" hidden="1" x14ac:dyDescent="0.3">
      <c r="A387" t="s">
        <v>93</v>
      </c>
      <c r="B387" s="2">
        <v>46054</v>
      </c>
      <c r="C387" s="10" t="s">
        <v>326</v>
      </c>
    </row>
    <row r="388" spans="1:8" hidden="1" x14ac:dyDescent="0.3">
      <c r="A388" t="s">
        <v>93</v>
      </c>
      <c r="B388" s="2">
        <v>46082</v>
      </c>
      <c r="C388" s="10" t="s">
        <v>326</v>
      </c>
    </row>
    <row r="389" spans="1:8" hidden="1" x14ac:dyDescent="0.3">
      <c r="A389" t="s">
        <v>93</v>
      </c>
      <c r="B389" s="2">
        <v>46113</v>
      </c>
      <c r="C389" s="10" t="s">
        <v>416</v>
      </c>
    </row>
    <row r="390" spans="1:8" hidden="1" x14ac:dyDescent="0.3">
      <c r="A390" t="s">
        <v>93</v>
      </c>
      <c r="B390" s="2">
        <v>46143</v>
      </c>
      <c r="C390" s="10" t="s">
        <v>854</v>
      </c>
    </row>
    <row r="391" spans="1:8" hidden="1" x14ac:dyDescent="0.3">
      <c r="A391" t="s">
        <v>93</v>
      </c>
      <c r="B391" s="2">
        <v>46235</v>
      </c>
      <c r="C391" t="s">
        <v>36</v>
      </c>
      <c r="D391" t="s">
        <v>36</v>
      </c>
      <c r="E391" t="s">
        <v>36</v>
      </c>
      <c r="F391" t="s">
        <v>36</v>
      </c>
      <c r="G391" t="s">
        <v>36</v>
      </c>
      <c r="H391" t="s">
        <v>1094</v>
      </c>
    </row>
    <row r="392" spans="1:8" hidden="1" x14ac:dyDescent="0.3">
      <c r="A392" t="s">
        <v>93</v>
      </c>
      <c r="B392" s="2">
        <v>46174</v>
      </c>
      <c r="C392" s="10"/>
    </row>
    <row r="393" spans="1:8" hidden="1" x14ac:dyDescent="0.3">
      <c r="A393" t="s">
        <v>93</v>
      </c>
      <c r="B393" s="2">
        <v>46204</v>
      </c>
      <c r="C393" s="10">
        <v>31</v>
      </c>
      <c r="D393">
        <v>0</v>
      </c>
      <c r="E393" t="s">
        <v>33</v>
      </c>
      <c r="F393" t="s">
        <v>1064</v>
      </c>
      <c r="G393" s="10" t="s">
        <v>36</v>
      </c>
      <c r="H393" s="10" t="s">
        <v>36</v>
      </c>
    </row>
    <row r="394" spans="1:8" ht="28.8" hidden="1" x14ac:dyDescent="0.3">
      <c r="A394" t="s">
        <v>95</v>
      </c>
      <c r="B394" s="2">
        <v>45536</v>
      </c>
      <c r="C394" s="10" t="s">
        <v>417</v>
      </c>
    </row>
    <row r="395" spans="1:8" ht="57.6" hidden="1" x14ac:dyDescent="0.3">
      <c r="A395" t="s">
        <v>95</v>
      </c>
      <c r="B395" s="2">
        <v>45566</v>
      </c>
      <c r="C395" s="10" t="s">
        <v>418</v>
      </c>
    </row>
    <row r="396" spans="1:8" hidden="1" x14ac:dyDescent="0.3">
      <c r="A396" t="s">
        <v>95</v>
      </c>
      <c r="B396" s="2">
        <v>45597</v>
      </c>
      <c r="C396" s="10"/>
    </row>
    <row r="397" spans="1:8" hidden="1" x14ac:dyDescent="0.3">
      <c r="A397" t="s">
        <v>95</v>
      </c>
      <c r="B397" s="2">
        <v>45627</v>
      </c>
      <c r="C397" s="10"/>
    </row>
    <row r="398" spans="1:8" hidden="1" x14ac:dyDescent="0.3">
      <c r="A398" t="s">
        <v>95</v>
      </c>
      <c r="B398" s="2">
        <v>45658</v>
      </c>
      <c r="C398" s="10"/>
    </row>
    <row r="399" spans="1:8" ht="100.8" hidden="1" x14ac:dyDescent="0.3">
      <c r="A399" t="s">
        <v>95</v>
      </c>
      <c r="B399" s="2">
        <v>45689</v>
      </c>
      <c r="C399" s="10" t="s">
        <v>419</v>
      </c>
    </row>
    <row r="400" spans="1:8" ht="72" hidden="1" x14ac:dyDescent="0.3">
      <c r="A400" t="s">
        <v>95</v>
      </c>
      <c r="B400" s="2">
        <v>45717</v>
      </c>
      <c r="C400" s="10" t="s">
        <v>420</v>
      </c>
    </row>
    <row r="401" spans="1:8" ht="72" hidden="1" x14ac:dyDescent="0.3">
      <c r="A401" t="s">
        <v>95</v>
      </c>
      <c r="B401" s="2">
        <v>45748</v>
      </c>
      <c r="C401" s="10" t="s">
        <v>420</v>
      </c>
    </row>
    <row r="402" spans="1:8" ht="115.2" hidden="1" x14ac:dyDescent="0.3">
      <c r="A402" t="s">
        <v>95</v>
      </c>
      <c r="B402" s="2">
        <v>45778</v>
      </c>
      <c r="C402" s="10" t="s">
        <v>421</v>
      </c>
    </row>
    <row r="403" spans="1:8" ht="115.2" hidden="1" x14ac:dyDescent="0.3">
      <c r="A403" t="s">
        <v>95</v>
      </c>
      <c r="B403" s="2">
        <v>45809</v>
      </c>
      <c r="C403" s="10" t="s">
        <v>422</v>
      </c>
    </row>
    <row r="404" spans="1:8" hidden="1" x14ac:dyDescent="0.3">
      <c r="A404" t="s">
        <v>95</v>
      </c>
      <c r="B404" s="2">
        <v>45839</v>
      </c>
      <c r="C404" s="10" t="s">
        <v>911</v>
      </c>
      <c r="D404">
        <v>0</v>
      </c>
      <c r="E404" t="s">
        <v>33</v>
      </c>
      <c r="F404" t="s">
        <v>33</v>
      </c>
      <c r="G404" s="10" t="s">
        <v>932</v>
      </c>
      <c r="H404" t="s">
        <v>36</v>
      </c>
    </row>
    <row r="405" spans="1:8" hidden="1" x14ac:dyDescent="0.3">
      <c r="A405" t="s">
        <v>95</v>
      </c>
      <c r="B405" s="2">
        <v>45870</v>
      </c>
      <c r="C405" s="10" t="s">
        <v>911</v>
      </c>
      <c r="D405">
        <v>0</v>
      </c>
      <c r="E405" t="s">
        <v>33</v>
      </c>
      <c r="F405" t="s">
        <v>33</v>
      </c>
      <c r="G405" s="10" t="s">
        <v>932</v>
      </c>
      <c r="H405" t="s">
        <v>36</v>
      </c>
    </row>
    <row r="406" spans="1:8" hidden="1" x14ac:dyDescent="0.3">
      <c r="A406" t="s">
        <v>95</v>
      </c>
      <c r="B406" s="2">
        <v>45901</v>
      </c>
      <c r="C406" s="10" t="s">
        <v>931</v>
      </c>
      <c r="D406">
        <v>0</v>
      </c>
      <c r="E406" t="s">
        <v>33</v>
      </c>
      <c r="F406" t="s">
        <v>33</v>
      </c>
      <c r="G406" s="10" t="s">
        <v>932</v>
      </c>
      <c r="H406" t="s">
        <v>36</v>
      </c>
    </row>
    <row r="407" spans="1:8" hidden="1" x14ac:dyDescent="0.3">
      <c r="A407" t="s">
        <v>95</v>
      </c>
      <c r="B407" s="2">
        <v>45931</v>
      </c>
      <c r="C407" s="10" t="s">
        <v>911</v>
      </c>
      <c r="D407">
        <v>0</v>
      </c>
      <c r="E407" t="s">
        <v>33</v>
      </c>
      <c r="F407" t="s">
        <v>33</v>
      </c>
      <c r="G407" s="10" t="s">
        <v>932</v>
      </c>
      <c r="H407" t="s">
        <v>36</v>
      </c>
    </row>
    <row r="408" spans="1:8" hidden="1" x14ac:dyDescent="0.3">
      <c r="A408" t="s">
        <v>95</v>
      </c>
      <c r="B408" s="2">
        <v>45962</v>
      </c>
      <c r="C408" s="10" t="s">
        <v>931</v>
      </c>
      <c r="D408">
        <v>0</v>
      </c>
      <c r="E408" t="s">
        <v>33</v>
      </c>
      <c r="F408" t="s">
        <v>33</v>
      </c>
      <c r="G408" s="10" t="s">
        <v>933</v>
      </c>
      <c r="H408" t="s">
        <v>36</v>
      </c>
    </row>
    <row r="409" spans="1:8" hidden="1" x14ac:dyDescent="0.3">
      <c r="A409" t="s">
        <v>95</v>
      </c>
      <c r="B409" s="2">
        <v>45992</v>
      </c>
      <c r="C409" s="10" t="s">
        <v>935</v>
      </c>
      <c r="D409" t="s">
        <v>934</v>
      </c>
      <c r="E409" t="s">
        <v>936</v>
      </c>
      <c r="F409" t="s">
        <v>33</v>
      </c>
      <c r="G409" s="10" t="s">
        <v>938</v>
      </c>
      <c r="H409" t="s">
        <v>36</v>
      </c>
    </row>
    <row r="410" spans="1:8" hidden="1" x14ac:dyDescent="0.3">
      <c r="A410" t="s">
        <v>95</v>
      </c>
      <c r="B410" s="2">
        <v>46023</v>
      </c>
      <c r="C410" s="10" t="s">
        <v>930</v>
      </c>
      <c r="D410" t="s">
        <v>904</v>
      </c>
      <c r="E410" t="s">
        <v>937</v>
      </c>
      <c r="F410" t="s">
        <v>939</v>
      </c>
      <c r="G410" s="10" t="s">
        <v>938</v>
      </c>
      <c r="H410" t="s">
        <v>36</v>
      </c>
    </row>
    <row r="411" spans="1:8" ht="28.8" hidden="1" x14ac:dyDescent="0.3">
      <c r="A411" t="s">
        <v>95</v>
      </c>
      <c r="B411" s="2">
        <v>46054</v>
      </c>
      <c r="C411" s="10" t="s">
        <v>940</v>
      </c>
      <c r="D411" t="s">
        <v>941</v>
      </c>
      <c r="E411" t="s">
        <v>937</v>
      </c>
      <c r="F411" t="s">
        <v>939</v>
      </c>
      <c r="G411" s="10" t="s">
        <v>424</v>
      </c>
      <c r="H411" t="s">
        <v>36</v>
      </c>
    </row>
    <row r="412" spans="1:8" hidden="1" x14ac:dyDescent="0.3">
      <c r="A412" t="s">
        <v>95</v>
      </c>
      <c r="B412" s="2">
        <v>46082</v>
      </c>
      <c r="C412" s="10" t="s">
        <v>911</v>
      </c>
      <c r="D412">
        <v>0</v>
      </c>
      <c r="E412" t="s">
        <v>33</v>
      </c>
      <c r="F412" t="s">
        <v>33</v>
      </c>
      <c r="G412" s="10" t="s">
        <v>932</v>
      </c>
      <c r="H412" t="s">
        <v>36</v>
      </c>
    </row>
    <row r="413" spans="1:8" hidden="1" x14ac:dyDescent="0.3">
      <c r="A413" t="s">
        <v>95</v>
      </c>
      <c r="B413" s="2">
        <v>46113</v>
      </c>
      <c r="C413" s="10" t="s">
        <v>919</v>
      </c>
      <c r="D413">
        <v>0</v>
      </c>
      <c r="E413" t="s">
        <v>33</v>
      </c>
      <c r="F413" t="s">
        <v>33</v>
      </c>
      <c r="G413" s="10" t="s">
        <v>932</v>
      </c>
      <c r="H413" t="s">
        <v>36</v>
      </c>
    </row>
    <row r="414" spans="1:8" hidden="1" x14ac:dyDescent="0.3">
      <c r="A414" t="s">
        <v>95</v>
      </c>
      <c r="B414" s="2">
        <v>46143</v>
      </c>
      <c r="C414" s="10" t="s">
        <v>911</v>
      </c>
      <c r="D414">
        <v>0</v>
      </c>
      <c r="E414" t="s">
        <v>33</v>
      </c>
      <c r="F414" t="s">
        <v>33</v>
      </c>
      <c r="G414" s="10" t="s">
        <v>932</v>
      </c>
      <c r="H414" t="s">
        <v>36</v>
      </c>
    </row>
    <row r="415" spans="1:8" hidden="1" x14ac:dyDescent="0.3">
      <c r="A415" t="s">
        <v>95</v>
      </c>
      <c r="B415" s="2">
        <v>46235</v>
      </c>
      <c r="C415" s="10" t="s">
        <v>919</v>
      </c>
      <c r="D415">
        <v>0</v>
      </c>
      <c r="E415" t="s">
        <v>33</v>
      </c>
      <c r="F415" t="s">
        <v>33</v>
      </c>
      <c r="G415" t="s">
        <v>1073</v>
      </c>
      <c r="H415" t="s">
        <v>36</v>
      </c>
    </row>
    <row r="416" spans="1:8" ht="28.95" hidden="1" customHeight="1" x14ac:dyDescent="0.3">
      <c r="A416" t="s">
        <v>95</v>
      </c>
      <c r="B416" s="2">
        <v>46174</v>
      </c>
      <c r="C416" s="10" t="s">
        <v>919</v>
      </c>
      <c r="D416">
        <v>0</v>
      </c>
      <c r="E416" t="s">
        <v>33</v>
      </c>
      <c r="F416" t="s">
        <v>33</v>
      </c>
      <c r="G416" s="10" t="s">
        <v>932</v>
      </c>
      <c r="H416" t="s">
        <v>36</v>
      </c>
    </row>
    <row r="417" spans="1:8" ht="43.2" hidden="1" customHeight="1" x14ac:dyDescent="0.3">
      <c r="A417" t="s">
        <v>95</v>
      </c>
      <c r="B417" s="2">
        <v>46204</v>
      </c>
      <c r="C417" s="10">
        <v>31</v>
      </c>
      <c r="D417">
        <v>0</v>
      </c>
      <c r="E417" t="s">
        <v>33</v>
      </c>
      <c r="F417" t="s">
        <v>33</v>
      </c>
      <c r="G417" s="10" t="s">
        <v>932</v>
      </c>
      <c r="H417" t="s">
        <v>36</v>
      </c>
    </row>
    <row r="418" spans="1:8" ht="72" hidden="1" customHeight="1" x14ac:dyDescent="0.3">
      <c r="A418" t="s">
        <v>271</v>
      </c>
      <c r="B418" s="2">
        <v>46174</v>
      </c>
      <c r="C418" t="s">
        <v>919</v>
      </c>
      <c r="D418">
        <v>0</v>
      </c>
      <c r="E418" t="s">
        <v>36</v>
      </c>
      <c r="F418" t="s">
        <v>912</v>
      </c>
      <c r="G418" t="s">
        <v>33</v>
      </c>
      <c r="H418" t="s">
        <v>36</v>
      </c>
    </row>
    <row r="419" spans="1:8" ht="72" hidden="1" customHeight="1" x14ac:dyDescent="0.3">
      <c r="A419" t="s">
        <v>271</v>
      </c>
      <c r="B419" s="2">
        <v>46204</v>
      </c>
      <c r="C419">
        <v>18</v>
      </c>
      <c r="D419" s="41" t="s">
        <v>1022</v>
      </c>
      <c r="E419" t="s">
        <v>1024</v>
      </c>
      <c r="F419" t="s">
        <v>1008</v>
      </c>
      <c r="G419" s="32" t="s">
        <v>1025</v>
      </c>
      <c r="H419" t="s">
        <v>36</v>
      </c>
    </row>
    <row r="420" spans="1:8" ht="72" hidden="1" customHeight="1" x14ac:dyDescent="0.3">
      <c r="A420" t="s">
        <v>271</v>
      </c>
      <c r="B420" s="2">
        <v>45536</v>
      </c>
    </row>
    <row r="421" spans="1:8" ht="57.6" hidden="1" customHeight="1" x14ac:dyDescent="0.3">
      <c r="A421" t="s">
        <v>271</v>
      </c>
      <c r="B421" s="2">
        <v>45566</v>
      </c>
    </row>
    <row r="422" spans="1:8" ht="57.6" hidden="1" customHeight="1" x14ac:dyDescent="0.3">
      <c r="A422" t="s">
        <v>271</v>
      </c>
      <c r="B422" s="2">
        <v>45597</v>
      </c>
    </row>
    <row r="423" spans="1:8" ht="57.6" hidden="1" customHeight="1" x14ac:dyDescent="0.3">
      <c r="A423" t="s">
        <v>271</v>
      </c>
      <c r="B423" s="2">
        <v>45627</v>
      </c>
    </row>
    <row r="424" spans="1:8" ht="57.6" hidden="1" customHeight="1" x14ac:dyDescent="0.3">
      <c r="A424" t="s">
        <v>271</v>
      </c>
      <c r="B424" s="2">
        <v>45658</v>
      </c>
    </row>
    <row r="425" spans="1:8" hidden="1" x14ac:dyDescent="0.3">
      <c r="A425" t="s">
        <v>271</v>
      </c>
      <c r="B425" s="2">
        <v>45689</v>
      </c>
    </row>
    <row r="426" spans="1:8" hidden="1" x14ac:dyDescent="0.3">
      <c r="A426" t="s">
        <v>271</v>
      </c>
      <c r="B426" s="2">
        <v>45717</v>
      </c>
    </row>
    <row r="427" spans="1:8" hidden="1" x14ac:dyDescent="0.3">
      <c r="A427" t="s">
        <v>271</v>
      </c>
      <c r="B427" s="2">
        <v>45748</v>
      </c>
    </row>
    <row r="428" spans="1:8" hidden="1" x14ac:dyDescent="0.3">
      <c r="A428" t="s">
        <v>271</v>
      </c>
      <c r="B428" s="2">
        <v>45778</v>
      </c>
    </row>
    <row r="429" spans="1:8" hidden="1" x14ac:dyDescent="0.3">
      <c r="A429" t="s">
        <v>271</v>
      </c>
      <c r="B429" s="2">
        <v>45809</v>
      </c>
    </row>
    <row r="430" spans="1:8" hidden="1" x14ac:dyDescent="0.3">
      <c r="A430" t="s">
        <v>271</v>
      </c>
      <c r="B430" s="2">
        <v>45839</v>
      </c>
      <c r="C430" t="s">
        <v>36</v>
      </c>
      <c r="D430" t="s">
        <v>36</v>
      </c>
      <c r="E430" t="s">
        <v>36</v>
      </c>
      <c r="F430" t="s">
        <v>36</v>
      </c>
      <c r="G430" t="s">
        <v>36</v>
      </c>
      <c r="H430" t="s">
        <v>916</v>
      </c>
    </row>
    <row r="431" spans="1:8" hidden="1" x14ac:dyDescent="0.3">
      <c r="A431" t="s">
        <v>271</v>
      </c>
      <c r="B431" s="2">
        <v>45870</v>
      </c>
      <c r="C431" t="s">
        <v>36</v>
      </c>
      <c r="D431" t="s">
        <v>36</v>
      </c>
      <c r="E431" t="s">
        <v>36</v>
      </c>
      <c r="F431" t="s">
        <v>36</v>
      </c>
      <c r="G431" t="s">
        <v>36</v>
      </c>
      <c r="H431" t="s">
        <v>916</v>
      </c>
    </row>
    <row r="432" spans="1:8" hidden="1" x14ac:dyDescent="0.3">
      <c r="A432" t="s">
        <v>271</v>
      </c>
      <c r="B432" s="2">
        <v>45901</v>
      </c>
      <c r="C432" t="s">
        <v>36</v>
      </c>
      <c r="D432" t="s">
        <v>36</v>
      </c>
      <c r="E432" t="s">
        <v>36</v>
      </c>
      <c r="F432" t="s">
        <v>36</v>
      </c>
      <c r="G432" t="s">
        <v>36</v>
      </c>
      <c r="H432" t="s">
        <v>916</v>
      </c>
    </row>
    <row r="433" spans="1:8" hidden="1" x14ac:dyDescent="0.3">
      <c r="A433" t="s">
        <v>271</v>
      </c>
      <c r="B433" s="2">
        <v>45931</v>
      </c>
      <c r="C433" t="s">
        <v>36</v>
      </c>
      <c r="D433" t="s">
        <v>36</v>
      </c>
      <c r="E433" t="s">
        <v>36</v>
      </c>
      <c r="F433" t="s">
        <v>36</v>
      </c>
      <c r="G433" t="s">
        <v>36</v>
      </c>
      <c r="H433" t="s">
        <v>916</v>
      </c>
    </row>
    <row r="434" spans="1:8" hidden="1" x14ac:dyDescent="0.3">
      <c r="A434" t="s">
        <v>271</v>
      </c>
      <c r="B434" s="2">
        <v>45962</v>
      </c>
      <c r="C434" t="s">
        <v>36</v>
      </c>
      <c r="D434" t="s">
        <v>36</v>
      </c>
      <c r="E434" t="s">
        <v>36</v>
      </c>
      <c r="F434" t="s">
        <v>36</v>
      </c>
      <c r="G434" t="s">
        <v>36</v>
      </c>
      <c r="H434" t="s">
        <v>916</v>
      </c>
    </row>
    <row r="435" spans="1:8" hidden="1" x14ac:dyDescent="0.3">
      <c r="A435" t="s">
        <v>271</v>
      </c>
      <c r="B435" s="2">
        <v>45992</v>
      </c>
      <c r="C435" t="s">
        <v>36</v>
      </c>
      <c r="D435" t="s">
        <v>36</v>
      </c>
      <c r="E435" t="s">
        <v>36</v>
      </c>
      <c r="F435" t="s">
        <v>36</v>
      </c>
      <c r="G435" t="s">
        <v>36</v>
      </c>
      <c r="H435" t="s">
        <v>916</v>
      </c>
    </row>
    <row r="436" spans="1:8" hidden="1" x14ac:dyDescent="0.3">
      <c r="A436" t="s">
        <v>271</v>
      </c>
      <c r="B436" s="2">
        <v>46023</v>
      </c>
      <c r="C436" t="s">
        <v>36</v>
      </c>
      <c r="D436" t="s">
        <v>36</v>
      </c>
      <c r="E436" t="s">
        <v>36</v>
      </c>
      <c r="F436" t="s">
        <v>36</v>
      </c>
      <c r="G436" t="s">
        <v>36</v>
      </c>
      <c r="H436" t="s">
        <v>916</v>
      </c>
    </row>
    <row r="437" spans="1:8" hidden="1" x14ac:dyDescent="0.3">
      <c r="A437" t="s">
        <v>271</v>
      </c>
      <c r="B437" s="2">
        <v>46054</v>
      </c>
      <c r="C437" t="s">
        <v>36</v>
      </c>
      <c r="D437" t="s">
        <v>36</v>
      </c>
      <c r="E437" t="s">
        <v>36</v>
      </c>
      <c r="F437" t="s">
        <v>36</v>
      </c>
      <c r="G437" t="s">
        <v>36</v>
      </c>
      <c r="H437" t="s">
        <v>916</v>
      </c>
    </row>
    <row r="438" spans="1:8" hidden="1" x14ac:dyDescent="0.3">
      <c r="A438" t="s">
        <v>271</v>
      </c>
      <c r="B438" s="2">
        <v>46082</v>
      </c>
      <c r="C438" t="s">
        <v>36</v>
      </c>
      <c r="D438" t="s">
        <v>36</v>
      </c>
      <c r="E438" t="s">
        <v>36</v>
      </c>
      <c r="F438" t="s">
        <v>36</v>
      </c>
      <c r="G438" t="s">
        <v>36</v>
      </c>
      <c r="H438" t="s">
        <v>916</v>
      </c>
    </row>
    <row r="439" spans="1:8" ht="57.6" hidden="1" customHeight="1" x14ac:dyDescent="0.3">
      <c r="A439" t="s">
        <v>271</v>
      </c>
      <c r="B439" s="2">
        <v>46113</v>
      </c>
      <c r="C439" t="s">
        <v>36</v>
      </c>
      <c r="D439" t="s">
        <v>36</v>
      </c>
      <c r="E439" t="s">
        <v>36</v>
      </c>
      <c r="F439" t="s">
        <v>36</v>
      </c>
      <c r="G439" t="s">
        <v>36</v>
      </c>
      <c r="H439" t="s">
        <v>916</v>
      </c>
    </row>
    <row r="440" spans="1:8" ht="43.2" hidden="1" customHeight="1" x14ac:dyDescent="0.3">
      <c r="A440" t="s">
        <v>271</v>
      </c>
      <c r="B440" s="2">
        <v>46143</v>
      </c>
      <c r="C440" t="s">
        <v>917</v>
      </c>
      <c r="D440" t="s">
        <v>918</v>
      </c>
      <c r="E440" t="s">
        <v>916</v>
      </c>
      <c r="F440" t="s">
        <v>36</v>
      </c>
      <c r="G440" t="s">
        <v>36</v>
      </c>
    </row>
    <row r="441" spans="1:8" hidden="1" x14ac:dyDescent="0.3">
      <c r="A441" t="s">
        <v>271</v>
      </c>
      <c r="B441" s="2">
        <v>46235</v>
      </c>
      <c r="C441" t="s">
        <v>896</v>
      </c>
      <c r="D441">
        <v>0</v>
      </c>
      <c r="E441" t="s">
        <v>33</v>
      </c>
      <c r="F441" t="s">
        <v>33</v>
      </c>
      <c r="G441" t="s">
        <v>338</v>
      </c>
      <c r="H441" t="s">
        <v>36</v>
      </c>
    </row>
    <row r="442" spans="1:8" ht="57.6" hidden="1" customHeight="1" x14ac:dyDescent="0.3">
      <c r="A442" t="s">
        <v>239</v>
      </c>
      <c r="B442" s="2">
        <v>45536</v>
      </c>
      <c r="C442" s="10"/>
    </row>
    <row r="443" spans="1:8" ht="72" hidden="1" customHeight="1" x14ac:dyDescent="0.3">
      <c r="A443" t="s">
        <v>239</v>
      </c>
      <c r="B443" s="2">
        <v>45566</v>
      </c>
      <c r="C443" s="10"/>
    </row>
    <row r="444" spans="1:8" ht="57.6" hidden="1" customHeight="1" x14ac:dyDescent="0.3">
      <c r="A444" t="s">
        <v>239</v>
      </c>
      <c r="B444" s="2">
        <v>45597</v>
      </c>
      <c r="C444" s="10"/>
    </row>
    <row r="445" spans="1:8" ht="86.4" hidden="1" customHeight="1" x14ac:dyDescent="0.3">
      <c r="A445" t="s">
        <v>239</v>
      </c>
      <c r="B445" s="2">
        <v>45627</v>
      </c>
      <c r="C445" s="10"/>
    </row>
    <row r="446" spans="1:8" ht="57.6" hidden="1" customHeight="1" x14ac:dyDescent="0.3">
      <c r="A446" t="s">
        <v>239</v>
      </c>
      <c r="B446" s="2">
        <v>45658</v>
      </c>
      <c r="C446" s="10"/>
    </row>
    <row r="447" spans="1:8" ht="57.6" hidden="1" customHeight="1" x14ac:dyDescent="0.3">
      <c r="A447" t="s">
        <v>239</v>
      </c>
      <c r="B447" s="2">
        <v>45689</v>
      </c>
      <c r="C447" s="10"/>
    </row>
    <row r="448" spans="1:8" ht="57.6" hidden="1" customHeight="1" x14ac:dyDescent="0.3">
      <c r="A448" t="s">
        <v>239</v>
      </c>
      <c r="B448" s="2">
        <v>45717</v>
      </c>
      <c r="C448" s="10"/>
    </row>
    <row r="449" spans="1:8" hidden="1" x14ac:dyDescent="0.3">
      <c r="A449" t="s">
        <v>239</v>
      </c>
      <c r="B449" s="2">
        <v>45748</v>
      </c>
      <c r="C449" s="10"/>
    </row>
    <row r="450" spans="1:8" hidden="1" x14ac:dyDescent="0.3">
      <c r="A450" t="s">
        <v>239</v>
      </c>
      <c r="B450" s="2">
        <v>45778</v>
      </c>
      <c r="C450" s="10"/>
    </row>
    <row r="451" spans="1:8" hidden="1" x14ac:dyDescent="0.3">
      <c r="A451" t="s">
        <v>239</v>
      </c>
      <c r="B451" s="2">
        <v>45809</v>
      </c>
      <c r="C451" s="10"/>
    </row>
    <row r="452" spans="1:8" hidden="1" x14ac:dyDescent="0.3">
      <c r="A452" t="s">
        <v>239</v>
      </c>
      <c r="B452" s="2">
        <v>45839</v>
      </c>
      <c r="C452" t="s">
        <v>911</v>
      </c>
      <c r="D452" t="s">
        <v>36</v>
      </c>
      <c r="E452" t="s">
        <v>36</v>
      </c>
      <c r="F452" t="s">
        <v>36</v>
      </c>
      <c r="G452" t="s">
        <v>36</v>
      </c>
      <c r="H452" t="s">
        <v>967</v>
      </c>
    </row>
    <row r="453" spans="1:8" hidden="1" x14ac:dyDescent="0.3">
      <c r="A453" t="s">
        <v>239</v>
      </c>
      <c r="B453" s="2">
        <v>45870</v>
      </c>
      <c r="C453" t="s">
        <v>911</v>
      </c>
      <c r="D453" t="s">
        <v>36</v>
      </c>
      <c r="E453" t="s">
        <v>36</v>
      </c>
      <c r="F453" t="s">
        <v>36</v>
      </c>
      <c r="G453" t="s">
        <v>36</v>
      </c>
      <c r="H453" t="s">
        <v>967</v>
      </c>
    </row>
    <row r="454" spans="1:8" hidden="1" x14ac:dyDescent="0.3">
      <c r="A454" t="s">
        <v>239</v>
      </c>
      <c r="B454" s="2">
        <v>45901</v>
      </c>
      <c r="C454" t="s">
        <v>919</v>
      </c>
      <c r="D454" t="s">
        <v>36</v>
      </c>
      <c r="E454" t="s">
        <v>36</v>
      </c>
      <c r="F454" t="s">
        <v>36</v>
      </c>
      <c r="G454" t="s">
        <v>36</v>
      </c>
      <c r="H454" t="s">
        <v>967</v>
      </c>
    </row>
    <row r="455" spans="1:8" hidden="1" x14ac:dyDescent="0.3">
      <c r="A455" t="s">
        <v>239</v>
      </c>
      <c r="B455" s="2">
        <v>45931</v>
      </c>
      <c r="C455" t="s">
        <v>911</v>
      </c>
      <c r="D455" t="s">
        <v>36</v>
      </c>
      <c r="E455" t="s">
        <v>36</v>
      </c>
      <c r="F455" t="s">
        <v>36</v>
      </c>
      <c r="G455" t="s">
        <v>36</v>
      </c>
      <c r="H455" t="s">
        <v>967</v>
      </c>
    </row>
    <row r="456" spans="1:8" hidden="1" x14ac:dyDescent="0.3">
      <c r="A456" t="s">
        <v>239</v>
      </c>
      <c r="B456" s="2">
        <v>45962</v>
      </c>
      <c r="C456" t="s">
        <v>919</v>
      </c>
      <c r="D456">
        <v>0</v>
      </c>
      <c r="E456" t="s">
        <v>33</v>
      </c>
      <c r="F456" t="s">
        <v>33</v>
      </c>
      <c r="G456" s="10" t="s">
        <v>338</v>
      </c>
      <c r="H456" t="s">
        <v>36</v>
      </c>
    </row>
    <row r="457" spans="1:8" hidden="1" x14ac:dyDescent="0.3">
      <c r="A457" t="s">
        <v>239</v>
      </c>
      <c r="B457" s="2">
        <v>45992</v>
      </c>
      <c r="C457" t="s">
        <v>911</v>
      </c>
      <c r="D457">
        <v>0</v>
      </c>
      <c r="E457" t="s">
        <v>33</v>
      </c>
      <c r="F457" t="s">
        <v>33</v>
      </c>
      <c r="G457" s="10" t="s">
        <v>338</v>
      </c>
      <c r="H457" t="s">
        <v>36</v>
      </c>
    </row>
    <row r="458" spans="1:8" hidden="1" x14ac:dyDescent="0.3">
      <c r="A458" t="s">
        <v>239</v>
      </c>
      <c r="B458" s="2">
        <v>46023</v>
      </c>
      <c r="C458" t="s">
        <v>911</v>
      </c>
      <c r="D458">
        <v>0</v>
      </c>
      <c r="E458" t="s">
        <v>33</v>
      </c>
      <c r="F458" t="s">
        <v>33</v>
      </c>
      <c r="G458" s="10" t="s">
        <v>338</v>
      </c>
      <c r="H458" t="s">
        <v>36</v>
      </c>
    </row>
    <row r="459" spans="1:8" hidden="1" x14ac:dyDescent="0.3">
      <c r="A459" t="s">
        <v>239</v>
      </c>
      <c r="B459" s="2">
        <v>46054</v>
      </c>
      <c r="C459" t="s">
        <v>895</v>
      </c>
      <c r="D459">
        <v>0</v>
      </c>
      <c r="E459" t="s">
        <v>33</v>
      </c>
      <c r="F459" t="s">
        <v>33</v>
      </c>
      <c r="G459" s="10" t="s">
        <v>338</v>
      </c>
      <c r="H459" t="s">
        <v>36</v>
      </c>
    </row>
    <row r="460" spans="1:8" hidden="1" x14ac:dyDescent="0.3">
      <c r="A460" t="s">
        <v>239</v>
      </c>
      <c r="B460" s="2">
        <v>46082</v>
      </c>
      <c r="C460" t="s">
        <v>911</v>
      </c>
      <c r="D460">
        <v>0</v>
      </c>
      <c r="E460" t="s">
        <v>33</v>
      </c>
      <c r="F460" t="s">
        <v>33</v>
      </c>
      <c r="G460" s="10" t="s">
        <v>338</v>
      </c>
      <c r="H460" t="s">
        <v>36</v>
      </c>
    </row>
    <row r="461" spans="1:8" hidden="1" x14ac:dyDescent="0.3">
      <c r="A461" t="s">
        <v>239</v>
      </c>
      <c r="B461" s="2">
        <v>46113</v>
      </c>
      <c r="C461" t="s">
        <v>919</v>
      </c>
      <c r="D461">
        <v>0</v>
      </c>
      <c r="E461" t="s">
        <v>33</v>
      </c>
      <c r="F461" t="s">
        <v>33</v>
      </c>
      <c r="G461" s="10" t="s">
        <v>302</v>
      </c>
      <c r="H461" t="s">
        <v>36</v>
      </c>
    </row>
    <row r="462" spans="1:8" hidden="1" x14ac:dyDescent="0.3">
      <c r="A462" t="s">
        <v>239</v>
      </c>
      <c r="B462" s="2">
        <v>46143</v>
      </c>
      <c r="C462" t="s">
        <v>911</v>
      </c>
      <c r="D462">
        <v>0</v>
      </c>
      <c r="E462" t="s">
        <v>33</v>
      </c>
      <c r="F462" t="s">
        <v>33</v>
      </c>
      <c r="G462" s="10" t="s">
        <v>302</v>
      </c>
      <c r="H462" t="s">
        <v>36</v>
      </c>
    </row>
    <row r="463" spans="1:8" hidden="1" x14ac:dyDescent="0.3">
      <c r="A463" t="s">
        <v>239</v>
      </c>
      <c r="B463" s="2">
        <v>46235</v>
      </c>
      <c r="C463" t="s">
        <v>896</v>
      </c>
      <c r="D463">
        <v>0</v>
      </c>
      <c r="E463" t="s">
        <v>33</v>
      </c>
      <c r="F463" t="s">
        <v>33</v>
      </c>
      <c r="G463" t="s">
        <v>338</v>
      </c>
      <c r="H463" t="s">
        <v>36</v>
      </c>
    </row>
    <row r="464" spans="1:8" ht="57.6" hidden="1" customHeight="1" x14ac:dyDescent="0.3">
      <c r="A464" t="s">
        <v>239</v>
      </c>
      <c r="B464" s="2">
        <v>46174</v>
      </c>
      <c r="C464" t="s">
        <v>919</v>
      </c>
      <c r="D464">
        <v>0</v>
      </c>
      <c r="E464" t="s">
        <v>33</v>
      </c>
      <c r="F464" t="s">
        <v>33</v>
      </c>
      <c r="G464" t="s">
        <v>959</v>
      </c>
      <c r="H464" t="s">
        <v>36</v>
      </c>
    </row>
    <row r="465" spans="1:8" ht="57.6" hidden="1" customHeight="1" x14ac:dyDescent="0.3">
      <c r="A465" t="s">
        <v>239</v>
      </c>
      <c r="B465" s="2">
        <v>46204</v>
      </c>
      <c r="C465" s="10">
        <v>31</v>
      </c>
      <c r="D465">
        <v>0</v>
      </c>
      <c r="E465" t="s">
        <v>33</v>
      </c>
      <c r="F465" t="s">
        <v>1026</v>
      </c>
      <c r="G465" t="s">
        <v>338</v>
      </c>
      <c r="H465" t="s">
        <v>36</v>
      </c>
    </row>
    <row r="466" spans="1:8" ht="72" hidden="1" customHeight="1" x14ac:dyDescent="0.3">
      <c r="A466" t="s">
        <v>98</v>
      </c>
      <c r="B466" s="2">
        <v>45536</v>
      </c>
      <c r="C466" s="10"/>
    </row>
    <row r="467" spans="1:8" ht="57.6" hidden="1" customHeight="1" x14ac:dyDescent="0.3">
      <c r="A467" t="s">
        <v>98</v>
      </c>
      <c r="B467" s="2">
        <v>45566</v>
      </c>
      <c r="C467" s="10"/>
    </row>
    <row r="468" spans="1:8" hidden="1" x14ac:dyDescent="0.3">
      <c r="A468" t="s">
        <v>98</v>
      </c>
      <c r="B468" s="2">
        <v>45597</v>
      </c>
      <c r="C468" s="10"/>
    </row>
    <row r="469" spans="1:8" hidden="1" x14ac:dyDescent="0.3">
      <c r="A469" t="s">
        <v>98</v>
      </c>
      <c r="B469" s="2">
        <v>45627</v>
      </c>
      <c r="C469" s="10"/>
    </row>
    <row r="470" spans="1:8" hidden="1" x14ac:dyDescent="0.3">
      <c r="A470" t="s">
        <v>98</v>
      </c>
      <c r="B470" s="2">
        <v>45658</v>
      </c>
      <c r="C470" s="10"/>
    </row>
    <row r="471" spans="1:8" ht="43.2" hidden="1" x14ac:dyDescent="0.3">
      <c r="A471" t="s">
        <v>98</v>
      </c>
      <c r="B471" s="2">
        <v>45689</v>
      </c>
      <c r="C471" s="10" t="s">
        <v>425</v>
      </c>
    </row>
    <row r="472" spans="1:8" ht="43.2" hidden="1" x14ac:dyDescent="0.3">
      <c r="A472" t="s">
        <v>98</v>
      </c>
      <c r="B472" s="2">
        <v>45717</v>
      </c>
      <c r="C472" s="10" t="s">
        <v>426</v>
      </c>
    </row>
    <row r="473" spans="1:8" ht="43.2" hidden="1" x14ac:dyDescent="0.3">
      <c r="A473" t="s">
        <v>98</v>
      </c>
      <c r="B473" s="2">
        <v>45748</v>
      </c>
      <c r="C473" s="10" t="s">
        <v>427</v>
      </c>
    </row>
    <row r="474" spans="1:8" ht="129.6" hidden="1" x14ac:dyDescent="0.3">
      <c r="A474" t="s">
        <v>98</v>
      </c>
      <c r="B474" s="2">
        <v>45778</v>
      </c>
      <c r="C474" s="10" t="s">
        <v>428</v>
      </c>
    </row>
    <row r="475" spans="1:8" ht="129.6" hidden="1" x14ac:dyDescent="0.3">
      <c r="A475" t="s">
        <v>98</v>
      </c>
      <c r="B475" s="2">
        <v>45809</v>
      </c>
      <c r="C475" s="10" t="s">
        <v>429</v>
      </c>
    </row>
    <row r="476" spans="1:8" ht="129.6" hidden="1" x14ac:dyDescent="0.3">
      <c r="A476" t="s">
        <v>98</v>
      </c>
      <c r="B476" s="2">
        <v>45839</v>
      </c>
      <c r="C476" s="10" t="s">
        <v>430</v>
      </c>
    </row>
    <row r="477" spans="1:8" ht="115.2" hidden="1" x14ac:dyDescent="0.3">
      <c r="A477" t="s">
        <v>98</v>
      </c>
      <c r="B477" s="2">
        <v>45870</v>
      </c>
      <c r="C477" s="10" t="s">
        <v>431</v>
      </c>
    </row>
    <row r="478" spans="1:8" ht="115.2" hidden="1" x14ac:dyDescent="0.3">
      <c r="A478" t="s">
        <v>98</v>
      </c>
      <c r="B478" s="2">
        <v>45901</v>
      </c>
      <c r="C478" s="10" t="s">
        <v>432</v>
      </c>
    </row>
    <row r="479" spans="1:8" ht="115.2" hidden="1" x14ac:dyDescent="0.3">
      <c r="A479" t="s">
        <v>98</v>
      </c>
      <c r="B479" s="2">
        <v>45931</v>
      </c>
      <c r="C479" s="10" t="s">
        <v>433</v>
      </c>
    </row>
    <row r="480" spans="1:8" ht="115.2" hidden="1" x14ac:dyDescent="0.3">
      <c r="A480" t="s">
        <v>98</v>
      </c>
      <c r="B480" s="2">
        <v>45962</v>
      </c>
      <c r="C480" s="10" t="s">
        <v>434</v>
      </c>
    </row>
    <row r="481" spans="1:8" ht="28.8" hidden="1" x14ac:dyDescent="0.3">
      <c r="A481" t="s">
        <v>98</v>
      </c>
      <c r="B481" s="2">
        <v>45992</v>
      </c>
      <c r="C481" s="10" t="s">
        <v>435</v>
      </c>
    </row>
    <row r="482" spans="1:8" ht="28.8" hidden="1" x14ac:dyDescent="0.3">
      <c r="A482" t="s">
        <v>98</v>
      </c>
      <c r="B482" s="2">
        <v>46023</v>
      </c>
      <c r="C482" s="10" t="s">
        <v>436</v>
      </c>
    </row>
    <row r="483" spans="1:8" ht="43.2" hidden="1" x14ac:dyDescent="0.3">
      <c r="A483" t="s">
        <v>98</v>
      </c>
      <c r="B483" s="2">
        <v>46054</v>
      </c>
      <c r="C483" s="10" t="s">
        <v>437</v>
      </c>
    </row>
    <row r="484" spans="1:8" ht="28.8" hidden="1" x14ac:dyDescent="0.3">
      <c r="A484" t="s">
        <v>98</v>
      </c>
      <c r="B484" s="2">
        <v>46082</v>
      </c>
      <c r="C484" s="10" t="s">
        <v>438</v>
      </c>
    </row>
    <row r="485" spans="1:8" ht="28.8" hidden="1" x14ac:dyDescent="0.3">
      <c r="A485" t="s">
        <v>98</v>
      </c>
      <c r="B485" s="2">
        <v>46113</v>
      </c>
      <c r="C485" s="10" t="s">
        <v>438</v>
      </c>
    </row>
    <row r="486" spans="1:8" ht="28.8" hidden="1" x14ac:dyDescent="0.3">
      <c r="A486" t="s">
        <v>98</v>
      </c>
      <c r="B486" s="2">
        <v>46143</v>
      </c>
      <c r="C486" s="10" t="s">
        <v>855</v>
      </c>
    </row>
    <row r="487" spans="1:8" hidden="1" x14ac:dyDescent="0.3">
      <c r="A487" t="s">
        <v>98</v>
      </c>
      <c r="B487" s="2">
        <v>46235</v>
      </c>
      <c r="C487" t="s">
        <v>896</v>
      </c>
      <c r="D487">
        <v>0</v>
      </c>
      <c r="E487" t="s">
        <v>33</v>
      </c>
      <c r="F487" t="s">
        <v>33</v>
      </c>
      <c r="G487" t="s">
        <v>1073</v>
      </c>
      <c r="H487" t="s">
        <v>36</v>
      </c>
    </row>
    <row r="488" spans="1:8" hidden="1" x14ac:dyDescent="0.3">
      <c r="A488" t="s">
        <v>98</v>
      </c>
      <c r="B488" s="2">
        <v>46174</v>
      </c>
      <c r="C488" s="10"/>
    </row>
    <row r="489" spans="1:8" hidden="1" x14ac:dyDescent="0.3">
      <c r="A489" t="s">
        <v>98</v>
      </c>
      <c r="B489" s="2">
        <v>46204</v>
      </c>
      <c r="C489" s="10">
        <v>31</v>
      </c>
      <c r="D489">
        <v>0</v>
      </c>
      <c r="E489" t="s">
        <v>33</v>
      </c>
      <c r="F489" t="s">
        <v>1026</v>
      </c>
      <c r="G489" s="10" t="s">
        <v>932</v>
      </c>
      <c r="H489" t="s">
        <v>36</v>
      </c>
    </row>
    <row r="490" spans="1:8" ht="57.6" hidden="1" customHeight="1" x14ac:dyDescent="0.3">
      <c r="A490" t="s">
        <v>102</v>
      </c>
      <c r="B490" s="2">
        <v>45536</v>
      </c>
      <c r="C490" s="10"/>
    </row>
    <row r="491" spans="1:8" ht="57.6" hidden="1" customHeight="1" x14ac:dyDescent="0.3">
      <c r="A491" t="s">
        <v>102</v>
      </c>
      <c r="B491" s="2">
        <v>45566</v>
      </c>
      <c r="C491" s="10"/>
    </row>
    <row r="492" spans="1:8" hidden="1" x14ac:dyDescent="0.3">
      <c r="A492" t="s">
        <v>102</v>
      </c>
      <c r="B492" s="2">
        <v>45597</v>
      </c>
      <c r="C492" s="10"/>
    </row>
    <row r="493" spans="1:8" hidden="1" x14ac:dyDescent="0.3">
      <c r="A493" t="s">
        <v>102</v>
      </c>
      <c r="B493" s="2">
        <v>45627</v>
      </c>
      <c r="C493" s="10"/>
    </row>
    <row r="494" spans="1:8" hidden="1" x14ac:dyDescent="0.3">
      <c r="A494" t="s">
        <v>102</v>
      </c>
      <c r="B494" s="2">
        <v>45658</v>
      </c>
      <c r="C494" s="10"/>
    </row>
    <row r="495" spans="1:8" ht="57.6" hidden="1" x14ac:dyDescent="0.3">
      <c r="A495" t="s">
        <v>102</v>
      </c>
      <c r="B495" s="2">
        <v>45689</v>
      </c>
      <c r="C495" s="10" t="s">
        <v>439</v>
      </c>
    </row>
    <row r="496" spans="1:8" ht="43.2" hidden="1" x14ac:dyDescent="0.3">
      <c r="A496" t="s">
        <v>102</v>
      </c>
      <c r="B496" s="2">
        <v>45717</v>
      </c>
      <c r="C496" s="10" t="s">
        <v>440</v>
      </c>
    </row>
    <row r="497" spans="1:8" ht="43.2" hidden="1" x14ac:dyDescent="0.3">
      <c r="A497" t="s">
        <v>102</v>
      </c>
      <c r="B497" s="2">
        <v>45748</v>
      </c>
      <c r="C497" s="10" t="s">
        <v>441</v>
      </c>
    </row>
    <row r="498" spans="1:8" ht="115.2" hidden="1" x14ac:dyDescent="0.3">
      <c r="A498" t="s">
        <v>102</v>
      </c>
      <c r="B498" s="2">
        <v>45778</v>
      </c>
      <c r="C498" s="10" t="s">
        <v>442</v>
      </c>
    </row>
    <row r="499" spans="1:8" ht="144" hidden="1" x14ac:dyDescent="0.3">
      <c r="A499" t="s">
        <v>102</v>
      </c>
      <c r="B499" s="2">
        <v>45809</v>
      </c>
      <c r="C499" s="10" t="s">
        <v>443</v>
      </c>
    </row>
    <row r="500" spans="1:8" ht="115.2" hidden="1" x14ac:dyDescent="0.3">
      <c r="A500" t="s">
        <v>102</v>
      </c>
      <c r="B500" s="2">
        <v>45839</v>
      </c>
      <c r="C500" s="10" t="s">
        <v>444</v>
      </c>
    </row>
    <row r="501" spans="1:8" ht="187.2" hidden="1" x14ac:dyDescent="0.3">
      <c r="A501" t="s">
        <v>102</v>
      </c>
      <c r="B501" s="2">
        <v>45870</v>
      </c>
      <c r="C501" s="10" t="s">
        <v>445</v>
      </c>
    </row>
    <row r="502" spans="1:8" ht="115.2" hidden="1" x14ac:dyDescent="0.3">
      <c r="A502" t="s">
        <v>102</v>
      </c>
      <c r="B502" s="2">
        <v>45901</v>
      </c>
      <c r="C502" s="10" t="s">
        <v>446</v>
      </c>
    </row>
    <row r="503" spans="1:8" ht="115.2" hidden="1" x14ac:dyDescent="0.3">
      <c r="A503" t="s">
        <v>102</v>
      </c>
      <c r="B503" s="2">
        <v>45931</v>
      </c>
      <c r="C503" s="10" t="s">
        <v>447</v>
      </c>
    </row>
    <row r="504" spans="1:8" ht="115.2" hidden="1" x14ac:dyDescent="0.3">
      <c r="A504" t="s">
        <v>102</v>
      </c>
      <c r="B504" s="2">
        <v>45962</v>
      </c>
      <c r="C504" s="10" t="s">
        <v>448</v>
      </c>
    </row>
    <row r="505" spans="1:8" ht="28.8" hidden="1" x14ac:dyDescent="0.3">
      <c r="A505" t="s">
        <v>102</v>
      </c>
      <c r="B505" s="2">
        <v>45992</v>
      </c>
      <c r="C505" s="10" t="s">
        <v>435</v>
      </c>
    </row>
    <row r="506" spans="1:8" hidden="1" x14ac:dyDescent="0.3">
      <c r="A506" t="s">
        <v>102</v>
      </c>
      <c r="B506" s="2">
        <v>46023</v>
      </c>
      <c r="C506" s="10" t="s">
        <v>423</v>
      </c>
    </row>
    <row r="507" spans="1:8" hidden="1" x14ac:dyDescent="0.3">
      <c r="A507" t="s">
        <v>102</v>
      </c>
      <c r="B507" s="2">
        <v>46054</v>
      </c>
      <c r="C507" s="10" t="s">
        <v>423</v>
      </c>
    </row>
    <row r="508" spans="1:8" hidden="1" x14ac:dyDescent="0.3">
      <c r="A508" t="s">
        <v>102</v>
      </c>
      <c r="B508" s="2">
        <v>46082</v>
      </c>
      <c r="C508" s="10" t="s">
        <v>423</v>
      </c>
    </row>
    <row r="509" spans="1:8" hidden="1" x14ac:dyDescent="0.3">
      <c r="A509" t="s">
        <v>102</v>
      </c>
      <c r="B509" s="2">
        <v>46113</v>
      </c>
      <c r="C509" s="10" t="s">
        <v>423</v>
      </c>
    </row>
    <row r="510" spans="1:8" hidden="1" x14ac:dyDescent="0.3">
      <c r="A510" t="s">
        <v>102</v>
      </c>
      <c r="B510" s="2">
        <v>46143</v>
      </c>
      <c r="C510" s="10" t="s">
        <v>852</v>
      </c>
    </row>
    <row r="511" spans="1:8" hidden="1" x14ac:dyDescent="0.3">
      <c r="A511" t="s">
        <v>102</v>
      </c>
      <c r="B511" s="2">
        <v>46235</v>
      </c>
      <c r="C511" t="s">
        <v>896</v>
      </c>
      <c r="D511">
        <v>0</v>
      </c>
      <c r="E511" t="s">
        <v>33</v>
      </c>
      <c r="F511" t="s">
        <v>33</v>
      </c>
      <c r="G511" t="s">
        <v>1073</v>
      </c>
      <c r="H511" t="s">
        <v>36</v>
      </c>
    </row>
    <row r="512" spans="1:8" hidden="1" x14ac:dyDescent="0.3">
      <c r="A512" t="s">
        <v>102</v>
      </c>
      <c r="B512" s="2">
        <v>46174</v>
      </c>
      <c r="C512" s="10"/>
    </row>
    <row r="513" spans="1:8" hidden="1" x14ac:dyDescent="0.3">
      <c r="A513" t="s">
        <v>102</v>
      </c>
      <c r="B513" s="2">
        <v>46204</v>
      </c>
      <c r="C513" s="10">
        <v>31</v>
      </c>
      <c r="D513">
        <v>0</v>
      </c>
      <c r="E513" t="s">
        <v>33</v>
      </c>
      <c r="F513" t="s">
        <v>1026</v>
      </c>
      <c r="G513" s="10" t="s">
        <v>932</v>
      </c>
      <c r="H513" t="s">
        <v>36</v>
      </c>
    </row>
    <row r="514" spans="1:8" hidden="1" x14ac:dyDescent="0.3">
      <c r="A514" t="s">
        <v>104</v>
      </c>
      <c r="B514" s="2">
        <v>45536</v>
      </c>
      <c r="C514" s="10" t="s">
        <v>449</v>
      </c>
    </row>
    <row r="515" spans="1:8" hidden="1" x14ac:dyDescent="0.3">
      <c r="A515" t="s">
        <v>104</v>
      </c>
      <c r="B515" s="2">
        <v>45566</v>
      </c>
      <c r="C515" s="10" t="s">
        <v>449</v>
      </c>
    </row>
    <row r="516" spans="1:8" hidden="1" x14ac:dyDescent="0.3">
      <c r="A516" t="s">
        <v>104</v>
      </c>
      <c r="B516" s="2">
        <v>45597</v>
      </c>
      <c r="C516" s="10"/>
    </row>
    <row r="517" spans="1:8" hidden="1" x14ac:dyDescent="0.3">
      <c r="A517" t="s">
        <v>104</v>
      </c>
      <c r="B517" s="2">
        <v>45627</v>
      </c>
      <c r="C517" s="10"/>
    </row>
    <row r="518" spans="1:8" hidden="1" x14ac:dyDescent="0.3">
      <c r="A518" t="s">
        <v>104</v>
      </c>
      <c r="B518" s="2">
        <v>45658</v>
      </c>
      <c r="C518" s="10"/>
    </row>
    <row r="519" spans="1:8" ht="57.6" hidden="1" x14ac:dyDescent="0.3">
      <c r="A519" t="s">
        <v>104</v>
      </c>
      <c r="B519" s="2">
        <v>45689</v>
      </c>
      <c r="C519" s="10" t="s">
        <v>450</v>
      </c>
    </row>
    <row r="520" spans="1:8" ht="72" hidden="1" x14ac:dyDescent="0.3">
      <c r="A520" t="s">
        <v>104</v>
      </c>
      <c r="B520" s="2">
        <v>45717</v>
      </c>
      <c r="C520" s="10" t="s">
        <v>451</v>
      </c>
    </row>
    <row r="521" spans="1:8" ht="57.6" hidden="1" x14ac:dyDescent="0.3">
      <c r="A521" t="s">
        <v>104</v>
      </c>
      <c r="B521" s="2">
        <v>45748</v>
      </c>
      <c r="C521" s="10" t="s">
        <v>452</v>
      </c>
    </row>
    <row r="522" spans="1:8" ht="144" hidden="1" x14ac:dyDescent="0.3">
      <c r="A522" t="s">
        <v>104</v>
      </c>
      <c r="B522" s="2">
        <v>45778</v>
      </c>
      <c r="C522" s="10" t="s">
        <v>453</v>
      </c>
    </row>
    <row r="523" spans="1:8" ht="115.2" hidden="1" x14ac:dyDescent="0.3">
      <c r="A523" t="s">
        <v>104</v>
      </c>
      <c r="B523" s="2">
        <v>45809</v>
      </c>
      <c r="C523" s="10" t="s">
        <v>454</v>
      </c>
    </row>
    <row r="524" spans="1:8" hidden="1" x14ac:dyDescent="0.3">
      <c r="A524" t="s">
        <v>104</v>
      </c>
      <c r="B524" s="2">
        <v>45839</v>
      </c>
      <c r="C524" t="s">
        <v>949</v>
      </c>
      <c r="D524" t="s">
        <v>948</v>
      </c>
      <c r="E524" t="s">
        <v>950</v>
      </c>
      <c r="F524" t="s">
        <v>951</v>
      </c>
      <c r="G524" s="10" t="s">
        <v>932</v>
      </c>
      <c r="H524" t="s">
        <v>36</v>
      </c>
    </row>
    <row r="525" spans="1:8" hidden="1" x14ac:dyDescent="0.3">
      <c r="A525" t="s">
        <v>104</v>
      </c>
      <c r="B525" s="2">
        <v>45870</v>
      </c>
      <c r="C525" t="s">
        <v>898</v>
      </c>
      <c r="D525" t="s">
        <v>952</v>
      </c>
      <c r="E525" t="s">
        <v>950</v>
      </c>
      <c r="F525" t="s">
        <v>951</v>
      </c>
      <c r="G525" s="10" t="s">
        <v>932</v>
      </c>
      <c r="H525" t="s">
        <v>36</v>
      </c>
    </row>
    <row r="526" spans="1:8" hidden="1" x14ac:dyDescent="0.3">
      <c r="A526" t="s">
        <v>104</v>
      </c>
      <c r="B526" s="2">
        <v>45901</v>
      </c>
      <c r="C526" t="s">
        <v>919</v>
      </c>
      <c r="D526" t="s">
        <v>33</v>
      </c>
      <c r="E526" t="s">
        <v>33</v>
      </c>
      <c r="F526" t="s">
        <v>33</v>
      </c>
      <c r="G526" s="10" t="s">
        <v>932</v>
      </c>
      <c r="H526" t="s">
        <v>36</v>
      </c>
    </row>
    <row r="527" spans="1:8" hidden="1" x14ac:dyDescent="0.3">
      <c r="A527" t="s">
        <v>104</v>
      </c>
      <c r="B527" s="2">
        <v>45931</v>
      </c>
      <c r="C527" t="s">
        <v>954</v>
      </c>
      <c r="D527" t="s">
        <v>953</v>
      </c>
      <c r="E527" t="s">
        <v>950</v>
      </c>
      <c r="F527" t="s">
        <v>951</v>
      </c>
      <c r="G527" s="10" t="s">
        <v>932</v>
      </c>
      <c r="H527" t="s">
        <v>36</v>
      </c>
    </row>
    <row r="528" spans="1:8" hidden="1" x14ac:dyDescent="0.3">
      <c r="A528" t="s">
        <v>104</v>
      </c>
      <c r="B528" s="2">
        <v>45962</v>
      </c>
      <c r="C528" t="s">
        <v>919</v>
      </c>
      <c r="D528">
        <v>0</v>
      </c>
      <c r="E528" t="s">
        <v>33</v>
      </c>
      <c r="F528" t="s">
        <v>33</v>
      </c>
      <c r="G528" s="10" t="s">
        <v>932</v>
      </c>
      <c r="H528" t="s">
        <v>36</v>
      </c>
    </row>
    <row r="529" spans="1:8" hidden="1" x14ac:dyDescent="0.3">
      <c r="A529" t="s">
        <v>104</v>
      </c>
      <c r="B529" s="2">
        <v>45992</v>
      </c>
      <c r="C529" t="s">
        <v>919</v>
      </c>
      <c r="D529" t="s">
        <v>955</v>
      </c>
      <c r="E529" t="s">
        <v>936</v>
      </c>
      <c r="F529" t="s">
        <v>33</v>
      </c>
      <c r="G529" s="10" t="s">
        <v>932</v>
      </c>
      <c r="H529" t="s">
        <v>36</v>
      </c>
    </row>
    <row r="530" spans="1:8" hidden="1" x14ac:dyDescent="0.3">
      <c r="A530" t="s">
        <v>104</v>
      </c>
      <c r="B530" s="2">
        <v>46023</v>
      </c>
      <c r="C530" t="s">
        <v>911</v>
      </c>
      <c r="D530">
        <v>0</v>
      </c>
      <c r="E530" t="s">
        <v>33</v>
      </c>
      <c r="F530" t="s">
        <v>33</v>
      </c>
      <c r="G530" s="10" t="s">
        <v>932</v>
      </c>
      <c r="H530" t="s">
        <v>36</v>
      </c>
    </row>
    <row r="531" spans="1:8" hidden="1" x14ac:dyDescent="0.3">
      <c r="A531" t="s">
        <v>104</v>
      </c>
      <c r="B531" s="2">
        <v>46054</v>
      </c>
      <c r="C531" t="s">
        <v>895</v>
      </c>
      <c r="D531">
        <v>0</v>
      </c>
      <c r="E531" t="s">
        <v>33</v>
      </c>
      <c r="F531" t="s">
        <v>33</v>
      </c>
      <c r="G531" s="10" t="s">
        <v>932</v>
      </c>
      <c r="H531" t="s">
        <v>36</v>
      </c>
    </row>
    <row r="532" spans="1:8" hidden="1" x14ac:dyDescent="0.3">
      <c r="A532" t="s">
        <v>104</v>
      </c>
      <c r="B532" s="2">
        <v>46082</v>
      </c>
      <c r="C532" t="s">
        <v>917</v>
      </c>
      <c r="D532" t="s">
        <v>956</v>
      </c>
      <c r="E532" t="s">
        <v>950</v>
      </c>
      <c r="F532" t="s">
        <v>951</v>
      </c>
      <c r="G532" s="10" t="s">
        <v>932</v>
      </c>
      <c r="H532" t="s">
        <v>36</v>
      </c>
    </row>
    <row r="533" spans="1:8" hidden="1" x14ac:dyDescent="0.3">
      <c r="A533" t="s">
        <v>104</v>
      </c>
      <c r="B533" s="2">
        <v>46113</v>
      </c>
      <c r="C533" t="s">
        <v>919</v>
      </c>
      <c r="D533">
        <v>0</v>
      </c>
      <c r="E533" t="s">
        <v>33</v>
      </c>
      <c r="F533" t="s">
        <v>33</v>
      </c>
      <c r="G533" s="10" t="s">
        <v>932</v>
      </c>
    </row>
    <row r="534" spans="1:8" hidden="1" x14ac:dyDescent="0.3">
      <c r="A534" t="s">
        <v>104</v>
      </c>
      <c r="B534" s="2">
        <v>46143</v>
      </c>
      <c r="C534" t="s">
        <v>957</v>
      </c>
      <c r="D534" t="s">
        <v>958</v>
      </c>
      <c r="E534" t="s">
        <v>950</v>
      </c>
      <c r="F534" t="s">
        <v>951</v>
      </c>
      <c r="G534" s="10" t="s">
        <v>856</v>
      </c>
    </row>
    <row r="535" spans="1:8" ht="28.95" hidden="1" customHeight="1" x14ac:dyDescent="0.3">
      <c r="A535" t="s">
        <v>104</v>
      </c>
      <c r="B535" s="2">
        <v>46235</v>
      </c>
      <c r="C535" t="s">
        <v>896</v>
      </c>
      <c r="D535">
        <v>0</v>
      </c>
      <c r="E535" t="s">
        <v>33</v>
      </c>
      <c r="F535" t="s">
        <v>33</v>
      </c>
      <c r="G535" t="s">
        <v>1073</v>
      </c>
      <c r="H535" t="s">
        <v>36</v>
      </c>
    </row>
    <row r="536" spans="1:8" hidden="1" x14ac:dyDescent="0.3">
      <c r="A536" t="s">
        <v>104</v>
      </c>
      <c r="B536" s="2">
        <v>46174</v>
      </c>
      <c r="C536" t="s">
        <v>919</v>
      </c>
      <c r="D536">
        <v>0</v>
      </c>
      <c r="E536" t="s">
        <v>33</v>
      </c>
      <c r="F536" t="s">
        <v>998</v>
      </c>
      <c r="G536" s="10" t="s">
        <v>996</v>
      </c>
      <c r="H536" t="s">
        <v>36</v>
      </c>
    </row>
    <row r="537" spans="1:8" hidden="1" x14ac:dyDescent="0.3">
      <c r="A537" t="s">
        <v>104</v>
      </c>
      <c r="B537" s="2">
        <v>46204</v>
      </c>
      <c r="C537" s="10">
        <v>31</v>
      </c>
      <c r="D537">
        <v>0</v>
      </c>
      <c r="E537" t="s">
        <v>33</v>
      </c>
      <c r="F537" t="s">
        <v>912</v>
      </c>
      <c r="G537" s="10" t="s">
        <v>932</v>
      </c>
      <c r="H537" t="s">
        <v>1027</v>
      </c>
    </row>
    <row r="538" spans="1:8" ht="43.2" hidden="1" customHeight="1" x14ac:dyDescent="0.3">
      <c r="A538" t="s">
        <v>107</v>
      </c>
      <c r="B538" s="2">
        <v>45536</v>
      </c>
      <c r="C538" s="10"/>
    </row>
    <row r="539" spans="1:8" ht="57.6" hidden="1" customHeight="1" x14ac:dyDescent="0.3">
      <c r="A539" t="s">
        <v>107</v>
      </c>
      <c r="B539" s="2">
        <v>45566</v>
      </c>
      <c r="C539" s="10"/>
    </row>
    <row r="540" spans="1:8" ht="57.6" hidden="1" customHeight="1" x14ac:dyDescent="0.3">
      <c r="A540" t="s">
        <v>107</v>
      </c>
      <c r="B540" s="2">
        <v>45597</v>
      </c>
      <c r="C540" s="10"/>
    </row>
    <row r="541" spans="1:8" ht="57.6" hidden="1" customHeight="1" x14ac:dyDescent="0.3">
      <c r="A541" t="s">
        <v>107</v>
      </c>
      <c r="B541" s="2">
        <v>45627</v>
      </c>
      <c r="C541" s="10"/>
    </row>
    <row r="542" spans="1:8" ht="57.6" hidden="1" customHeight="1" x14ac:dyDescent="0.3">
      <c r="A542" t="s">
        <v>107</v>
      </c>
      <c r="B542" s="2">
        <v>45658</v>
      </c>
      <c r="C542" s="10"/>
    </row>
    <row r="543" spans="1:8" ht="57.6" hidden="1" customHeight="1" x14ac:dyDescent="0.3">
      <c r="A543" t="s">
        <v>107</v>
      </c>
      <c r="B543" s="2">
        <v>45689</v>
      </c>
      <c r="C543" s="10" t="s">
        <v>450</v>
      </c>
    </row>
    <row r="544" spans="1:8" ht="57.6" hidden="1" customHeight="1" x14ac:dyDescent="0.3">
      <c r="A544" t="s">
        <v>107</v>
      </c>
      <c r="B544" s="2">
        <v>45717</v>
      </c>
      <c r="C544" s="10" t="s">
        <v>455</v>
      </c>
    </row>
    <row r="545" spans="1:8" hidden="1" x14ac:dyDescent="0.3">
      <c r="A545" t="s">
        <v>107</v>
      </c>
      <c r="B545" s="2">
        <v>45748</v>
      </c>
      <c r="C545" s="10" t="s">
        <v>455</v>
      </c>
    </row>
    <row r="546" spans="1:8" ht="129.6" hidden="1" x14ac:dyDescent="0.3">
      <c r="A546" t="s">
        <v>107</v>
      </c>
      <c r="B546" s="2">
        <v>45778</v>
      </c>
      <c r="C546" s="10" t="s">
        <v>456</v>
      </c>
    </row>
    <row r="547" spans="1:8" ht="129.6" hidden="1" x14ac:dyDescent="0.3">
      <c r="A547" t="s">
        <v>107</v>
      </c>
      <c r="B547" s="2">
        <v>45809</v>
      </c>
      <c r="C547" s="10" t="s">
        <v>457</v>
      </c>
    </row>
    <row r="548" spans="1:8" hidden="1" x14ac:dyDescent="0.3">
      <c r="A548" t="s">
        <v>107</v>
      </c>
      <c r="B548" s="2">
        <v>45839</v>
      </c>
      <c r="C548" t="s">
        <v>911</v>
      </c>
      <c r="D548">
        <v>0</v>
      </c>
      <c r="E548" t="s">
        <v>33</v>
      </c>
      <c r="F548" t="s">
        <v>33</v>
      </c>
      <c r="G548" s="10" t="s">
        <v>959</v>
      </c>
      <c r="H548" t="s">
        <v>36</v>
      </c>
    </row>
    <row r="549" spans="1:8" hidden="1" x14ac:dyDescent="0.3">
      <c r="A549" t="s">
        <v>107</v>
      </c>
      <c r="B549" s="2">
        <v>45870</v>
      </c>
      <c r="C549" t="s">
        <v>898</v>
      </c>
      <c r="D549" t="s">
        <v>960</v>
      </c>
      <c r="E549" t="s">
        <v>469</v>
      </c>
      <c r="F549" t="s">
        <v>951</v>
      </c>
      <c r="G549" s="10" t="s">
        <v>961</v>
      </c>
      <c r="H549" t="s">
        <v>36</v>
      </c>
    </row>
    <row r="550" spans="1:8" hidden="1" x14ac:dyDescent="0.3">
      <c r="A550" t="s">
        <v>107</v>
      </c>
      <c r="B550" s="2">
        <v>45901</v>
      </c>
      <c r="C550" t="s">
        <v>919</v>
      </c>
      <c r="D550">
        <v>0</v>
      </c>
      <c r="E550" t="s">
        <v>33</v>
      </c>
      <c r="F550" t="s">
        <v>33</v>
      </c>
      <c r="G550" s="10" t="s">
        <v>959</v>
      </c>
      <c r="H550" t="s">
        <v>36</v>
      </c>
    </row>
    <row r="551" spans="1:8" hidden="1" x14ac:dyDescent="0.3">
      <c r="A551" t="s">
        <v>107</v>
      </c>
      <c r="B551" s="2">
        <v>45931</v>
      </c>
      <c r="C551" t="s">
        <v>911</v>
      </c>
      <c r="D551">
        <v>0</v>
      </c>
      <c r="E551" t="s">
        <v>33</v>
      </c>
      <c r="F551" t="s">
        <v>33</v>
      </c>
      <c r="G551" s="10" t="s">
        <v>959</v>
      </c>
      <c r="H551" t="s">
        <v>36</v>
      </c>
    </row>
    <row r="552" spans="1:8" hidden="1" x14ac:dyDescent="0.3">
      <c r="A552" t="s">
        <v>107</v>
      </c>
      <c r="B552" s="2">
        <v>45962</v>
      </c>
      <c r="C552" t="s">
        <v>919</v>
      </c>
      <c r="D552">
        <v>0</v>
      </c>
      <c r="E552" t="s">
        <v>33</v>
      </c>
      <c r="F552" t="s">
        <v>33</v>
      </c>
      <c r="G552" s="10" t="s">
        <v>959</v>
      </c>
      <c r="H552" t="s">
        <v>36</v>
      </c>
    </row>
    <row r="553" spans="1:8" hidden="1" x14ac:dyDescent="0.3">
      <c r="A553" t="s">
        <v>107</v>
      </c>
      <c r="B553" s="2">
        <v>45992</v>
      </c>
      <c r="C553" t="s">
        <v>911</v>
      </c>
      <c r="D553">
        <v>0</v>
      </c>
      <c r="E553" t="s">
        <v>33</v>
      </c>
      <c r="F553" t="s">
        <v>33</v>
      </c>
      <c r="G553" s="10" t="s">
        <v>959</v>
      </c>
      <c r="H553" t="s">
        <v>36</v>
      </c>
    </row>
    <row r="554" spans="1:8" ht="28.8" hidden="1" x14ac:dyDescent="0.3">
      <c r="A554" t="s">
        <v>107</v>
      </c>
      <c r="B554" s="2">
        <v>46023</v>
      </c>
      <c r="C554" t="s">
        <v>911</v>
      </c>
      <c r="D554">
        <v>0</v>
      </c>
      <c r="E554" t="s">
        <v>33</v>
      </c>
      <c r="F554" t="s">
        <v>33</v>
      </c>
      <c r="G554" s="10" t="s">
        <v>959</v>
      </c>
      <c r="H554" s="10" t="s">
        <v>458</v>
      </c>
    </row>
    <row r="555" spans="1:8" hidden="1" x14ac:dyDescent="0.3">
      <c r="A555" t="s">
        <v>107</v>
      </c>
      <c r="B555" s="2">
        <v>46054</v>
      </c>
      <c r="C555" t="s">
        <v>895</v>
      </c>
      <c r="D555">
        <v>0</v>
      </c>
      <c r="E555" t="s">
        <v>33</v>
      </c>
      <c r="F555" t="s">
        <v>33</v>
      </c>
      <c r="G555" s="10" t="s">
        <v>959</v>
      </c>
      <c r="H555" t="s">
        <v>36</v>
      </c>
    </row>
    <row r="556" spans="1:8" hidden="1" x14ac:dyDescent="0.3">
      <c r="A556" t="s">
        <v>107</v>
      </c>
      <c r="B556" s="2">
        <v>46082</v>
      </c>
      <c r="C556" t="s">
        <v>911</v>
      </c>
      <c r="D556">
        <v>0</v>
      </c>
      <c r="E556" t="s">
        <v>33</v>
      </c>
      <c r="F556" t="s">
        <v>33</v>
      </c>
      <c r="G556" s="10" t="s">
        <v>932</v>
      </c>
      <c r="H556" t="s">
        <v>36</v>
      </c>
    </row>
    <row r="557" spans="1:8" hidden="1" x14ac:dyDescent="0.3">
      <c r="A557" t="s">
        <v>107</v>
      </c>
      <c r="B557" s="2">
        <v>46113</v>
      </c>
      <c r="C557" t="s">
        <v>919</v>
      </c>
      <c r="D557">
        <v>0</v>
      </c>
      <c r="E557" t="s">
        <v>33</v>
      </c>
      <c r="F557" t="s">
        <v>33</v>
      </c>
      <c r="G557" s="10" t="s">
        <v>932</v>
      </c>
      <c r="H557" t="s">
        <v>36</v>
      </c>
    </row>
    <row r="558" spans="1:8" hidden="1" x14ac:dyDescent="0.3">
      <c r="A558" t="s">
        <v>107</v>
      </c>
      <c r="B558" s="2">
        <v>46143</v>
      </c>
      <c r="C558" t="s">
        <v>911</v>
      </c>
      <c r="D558">
        <v>0</v>
      </c>
      <c r="E558" t="s">
        <v>33</v>
      </c>
      <c r="F558" t="s">
        <v>33</v>
      </c>
      <c r="G558" s="10" t="s">
        <v>959</v>
      </c>
      <c r="H558" t="s">
        <v>36</v>
      </c>
    </row>
    <row r="559" spans="1:8" hidden="1" x14ac:dyDescent="0.3">
      <c r="A559" t="s">
        <v>107</v>
      </c>
      <c r="B559" s="2">
        <v>46235</v>
      </c>
      <c r="C559" s="10">
        <v>0</v>
      </c>
      <c r="D559">
        <v>30</v>
      </c>
      <c r="E559" t="s">
        <v>1080</v>
      </c>
      <c r="F559" t="s">
        <v>33</v>
      </c>
      <c r="G559" t="s">
        <v>36</v>
      </c>
      <c r="H559" t="s">
        <v>36</v>
      </c>
    </row>
    <row r="560" spans="1:8" ht="28.95" hidden="1" customHeight="1" x14ac:dyDescent="0.3">
      <c r="A560" t="s">
        <v>107</v>
      </c>
      <c r="B560" s="2">
        <v>46204</v>
      </c>
      <c r="C560" s="10">
        <v>17</v>
      </c>
      <c r="D560" t="s">
        <v>1028</v>
      </c>
      <c r="E560" t="s">
        <v>1029</v>
      </c>
      <c r="F560" t="s">
        <v>33</v>
      </c>
      <c r="G560" s="10" t="s">
        <v>1030</v>
      </c>
      <c r="H560" s="32" t="s">
        <v>1031</v>
      </c>
    </row>
    <row r="561" spans="1:8" ht="28.95" hidden="1" customHeight="1" x14ac:dyDescent="0.3">
      <c r="A561" t="s">
        <v>107</v>
      </c>
      <c r="B561" s="2">
        <v>46174</v>
      </c>
      <c r="C561" t="s">
        <v>919</v>
      </c>
      <c r="D561">
        <v>0</v>
      </c>
      <c r="E561" t="s">
        <v>33</v>
      </c>
      <c r="F561" t="s">
        <v>33</v>
      </c>
      <c r="G561" s="10" t="s">
        <v>338</v>
      </c>
      <c r="H561" t="s">
        <v>36</v>
      </c>
    </row>
    <row r="562" spans="1:8" ht="72" hidden="1" customHeight="1" x14ac:dyDescent="0.3">
      <c r="A562" t="s">
        <v>228</v>
      </c>
      <c r="B562" s="2">
        <v>45536</v>
      </c>
      <c r="C562" s="10"/>
    </row>
    <row r="563" spans="1:8" ht="57.6" hidden="1" customHeight="1" x14ac:dyDescent="0.3">
      <c r="A563" t="s">
        <v>228</v>
      </c>
      <c r="B563" s="2">
        <v>45566</v>
      </c>
      <c r="C563" s="10"/>
    </row>
    <row r="564" spans="1:8" ht="57.6" hidden="1" customHeight="1" x14ac:dyDescent="0.3">
      <c r="A564" t="s">
        <v>228</v>
      </c>
      <c r="B564" s="2">
        <v>45597</v>
      </c>
      <c r="C564" s="10"/>
    </row>
    <row r="565" spans="1:8" ht="57.6" hidden="1" customHeight="1" x14ac:dyDescent="0.3">
      <c r="A565" t="s">
        <v>228</v>
      </c>
      <c r="B565" s="2">
        <v>45627</v>
      </c>
      <c r="C565" s="10"/>
    </row>
    <row r="566" spans="1:8" ht="57.6" hidden="1" customHeight="1" x14ac:dyDescent="0.3">
      <c r="A566" t="s">
        <v>228</v>
      </c>
      <c r="B566" s="2">
        <v>45658</v>
      </c>
      <c r="C566" s="10"/>
    </row>
    <row r="567" spans="1:8" ht="57.6" hidden="1" customHeight="1" x14ac:dyDescent="0.3">
      <c r="A567" t="s">
        <v>228</v>
      </c>
      <c r="B567" s="2">
        <v>45689</v>
      </c>
      <c r="C567" s="10"/>
    </row>
    <row r="568" spans="1:8" ht="57.6" hidden="1" customHeight="1" x14ac:dyDescent="0.3">
      <c r="A568" t="s">
        <v>228</v>
      </c>
      <c r="B568" s="2">
        <v>45717</v>
      </c>
      <c r="C568" s="10"/>
    </row>
    <row r="569" spans="1:8" hidden="1" x14ac:dyDescent="0.3">
      <c r="A569" t="s">
        <v>228</v>
      </c>
      <c r="B569" s="2">
        <v>45748</v>
      </c>
      <c r="C569" s="10"/>
    </row>
    <row r="570" spans="1:8" hidden="1" x14ac:dyDescent="0.3">
      <c r="A570" t="s">
        <v>228</v>
      </c>
      <c r="B570" s="2">
        <v>45778</v>
      </c>
      <c r="C570" s="10"/>
    </row>
    <row r="571" spans="1:8" hidden="1" x14ac:dyDescent="0.3">
      <c r="A571" t="s">
        <v>228</v>
      </c>
      <c r="B571" s="2">
        <v>45809</v>
      </c>
      <c r="C571" s="10"/>
    </row>
    <row r="572" spans="1:8" hidden="1" x14ac:dyDescent="0.3">
      <c r="A572" t="s">
        <v>228</v>
      </c>
      <c r="B572" s="2">
        <v>45839</v>
      </c>
      <c r="C572" s="10"/>
    </row>
    <row r="573" spans="1:8" hidden="1" x14ac:dyDescent="0.3">
      <c r="A573" t="s">
        <v>228</v>
      </c>
      <c r="B573" s="2">
        <v>45870</v>
      </c>
      <c r="C573" s="10"/>
    </row>
    <row r="574" spans="1:8" hidden="1" x14ac:dyDescent="0.3">
      <c r="A574" t="s">
        <v>228</v>
      </c>
      <c r="B574" s="2">
        <v>45901</v>
      </c>
      <c r="C574" s="10"/>
    </row>
    <row r="575" spans="1:8" hidden="1" x14ac:dyDescent="0.3">
      <c r="A575" t="s">
        <v>228</v>
      </c>
      <c r="B575" s="2">
        <v>45931</v>
      </c>
      <c r="C575" s="10"/>
    </row>
    <row r="576" spans="1:8" hidden="1" x14ac:dyDescent="0.3">
      <c r="A576" t="s">
        <v>228</v>
      </c>
      <c r="B576" s="2">
        <v>45962</v>
      </c>
      <c r="C576" s="10"/>
    </row>
    <row r="577" spans="1:8" hidden="1" x14ac:dyDescent="0.3">
      <c r="A577" t="s">
        <v>228</v>
      </c>
      <c r="B577" s="2">
        <v>45992</v>
      </c>
      <c r="C577" s="10"/>
    </row>
    <row r="578" spans="1:8" hidden="1" x14ac:dyDescent="0.3">
      <c r="A578" t="s">
        <v>228</v>
      </c>
      <c r="B578" s="2">
        <v>46023</v>
      </c>
      <c r="C578" s="10"/>
    </row>
    <row r="579" spans="1:8" hidden="1" x14ac:dyDescent="0.3">
      <c r="A579" t="s">
        <v>228</v>
      </c>
      <c r="B579" s="2">
        <v>46054</v>
      </c>
      <c r="C579" s="10"/>
    </row>
    <row r="580" spans="1:8" hidden="1" x14ac:dyDescent="0.3">
      <c r="A580" t="s">
        <v>228</v>
      </c>
      <c r="B580" s="2">
        <v>46082</v>
      </c>
      <c r="C580" s="10" t="s">
        <v>459</v>
      </c>
    </row>
    <row r="581" spans="1:8" hidden="1" x14ac:dyDescent="0.3">
      <c r="A581" t="s">
        <v>228</v>
      </c>
      <c r="B581" s="2">
        <v>46113</v>
      </c>
      <c r="C581" s="10" t="s">
        <v>460</v>
      </c>
    </row>
    <row r="582" spans="1:8" hidden="1" x14ac:dyDescent="0.3">
      <c r="A582" t="s">
        <v>228</v>
      </c>
      <c r="B582" s="2">
        <v>46143</v>
      </c>
      <c r="C582" s="10" t="s">
        <v>852</v>
      </c>
    </row>
    <row r="583" spans="1:8" hidden="1" x14ac:dyDescent="0.3">
      <c r="A583" t="s">
        <v>228</v>
      </c>
      <c r="B583" s="2">
        <v>46235</v>
      </c>
      <c r="C583" t="s">
        <v>896</v>
      </c>
      <c r="D583">
        <v>0</v>
      </c>
      <c r="E583" t="s">
        <v>33</v>
      </c>
      <c r="F583" t="s">
        <v>33</v>
      </c>
      <c r="G583" t="s">
        <v>1073</v>
      </c>
      <c r="H583" t="s">
        <v>36</v>
      </c>
    </row>
    <row r="584" spans="1:8" ht="43.2" hidden="1" customHeight="1" x14ac:dyDescent="0.3">
      <c r="A584" t="s">
        <v>228</v>
      </c>
      <c r="B584" s="2">
        <v>46174</v>
      </c>
      <c r="C584" s="10"/>
    </row>
    <row r="585" spans="1:8" ht="57.6" hidden="1" customHeight="1" x14ac:dyDescent="0.3">
      <c r="A585" t="s">
        <v>228</v>
      </c>
      <c r="B585" s="2">
        <v>46204</v>
      </c>
      <c r="C585">
        <v>31</v>
      </c>
      <c r="D585">
        <v>0</v>
      </c>
      <c r="E585" t="s">
        <v>33</v>
      </c>
      <c r="F585" t="s">
        <v>33</v>
      </c>
      <c r="G585" s="10" t="s">
        <v>932</v>
      </c>
      <c r="H585" t="s">
        <v>36</v>
      </c>
    </row>
    <row r="586" spans="1:8" ht="57.6" hidden="1" customHeight="1" x14ac:dyDescent="0.3">
      <c r="A586" t="s">
        <v>109</v>
      </c>
      <c r="B586" s="2">
        <v>45536</v>
      </c>
      <c r="C586" s="10"/>
    </row>
    <row r="587" spans="1:8" ht="57.6" hidden="1" customHeight="1" x14ac:dyDescent="0.3">
      <c r="A587" t="s">
        <v>109</v>
      </c>
      <c r="B587" s="2">
        <v>45566</v>
      </c>
      <c r="C587" s="10"/>
    </row>
    <row r="588" spans="1:8" hidden="1" x14ac:dyDescent="0.3">
      <c r="A588" t="s">
        <v>109</v>
      </c>
      <c r="B588" s="2">
        <v>45597</v>
      </c>
      <c r="C588" s="10"/>
    </row>
    <row r="589" spans="1:8" hidden="1" x14ac:dyDescent="0.3">
      <c r="A589" t="s">
        <v>109</v>
      </c>
      <c r="B589" s="2">
        <v>45627</v>
      </c>
      <c r="C589" s="10"/>
    </row>
    <row r="590" spans="1:8" hidden="1" x14ac:dyDescent="0.3">
      <c r="A590" t="s">
        <v>109</v>
      </c>
      <c r="B590" s="2">
        <v>45658</v>
      </c>
      <c r="C590" s="10"/>
    </row>
    <row r="591" spans="1:8" ht="28.8" hidden="1" x14ac:dyDescent="0.3">
      <c r="A591" t="s">
        <v>109</v>
      </c>
      <c r="B591" s="2">
        <v>45689</v>
      </c>
      <c r="C591" s="10" t="s">
        <v>461</v>
      </c>
    </row>
    <row r="592" spans="1:8" hidden="1" x14ac:dyDescent="0.3">
      <c r="A592" t="s">
        <v>109</v>
      </c>
      <c r="B592" s="2">
        <v>45717</v>
      </c>
      <c r="C592" s="10"/>
    </row>
    <row r="593" spans="1:8" hidden="1" x14ac:dyDescent="0.3">
      <c r="A593" t="s">
        <v>109</v>
      </c>
      <c r="B593" s="2">
        <v>45748</v>
      </c>
      <c r="C593" s="10"/>
    </row>
    <row r="594" spans="1:8" ht="72" hidden="1" x14ac:dyDescent="0.3">
      <c r="A594" t="s">
        <v>109</v>
      </c>
      <c r="B594" s="2">
        <v>45778</v>
      </c>
      <c r="C594" s="10" t="s">
        <v>462</v>
      </c>
    </row>
    <row r="595" spans="1:8" ht="129.6" hidden="1" x14ac:dyDescent="0.3">
      <c r="A595" t="s">
        <v>109</v>
      </c>
      <c r="B595" s="2">
        <v>45809</v>
      </c>
      <c r="C595" s="10" t="s">
        <v>463</v>
      </c>
    </row>
    <row r="596" spans="1:8" ht="129.6" hidden="1" x14ac:dyDescent="0.3">
      <c r="A596" t="s">
        <v>109</v>
      </c>
      <c r="B596" s="2">
        <v>45839</v>
      </c>
      <c r="C596" s="10" t="s">
        <v>464</v>
      </c>
    </row>
    <row r="597" spans="1:8" ht="129.6" hidden="1" x14ac:dyDescent="0.3">
      <c r="A597" t="s">
        <v>109</v>
      </c>
      <c r="B597" s="2">
        <v>45870</v>
      </c>
      <c r="C597" s="10" t="s">
        <v>465</v>
      </c>
    </row>
    <row r="598" spans="1:8" ht="115.2" hidden="1" x14ac:dyDescent="0.3">
      <c r="A598" t="s">
        <v>109</v>
      </c>
      <c r="B598" s="2">
        <v>45901</v>
      </c>
      <c r="C598" s="10" t="s">
        <v>466</v>
      </c>
    </row>
    <row r="599" spans="1:8" ht="100.8" hidden="1" x14ac:dyDescent="0.3">
      <c r="A599" t="s">
        <v>109</v>
      </c>
      <c r="B599" s="2">
        <v>45931</v>
      </c>
      <c r="C599" s="10" t="s">
        <v>467</v>
      </c>
    </row>
    <row r="600" spans="1:8" ht="115.2" hidden="1" x14ac:dyDescent="0.3">
      <c r="A600" t="s">
        <v>109</v>
      </c>
      <c r="B600" s="2">
        <v>45962</v>
      </c>
      <c r="C600" s="10" t="s">
        <v>468</v>
      </c>
    </row>
    <row r="601" spans="1:8" hidden="1" x14ac:dyDescent="0.3">
      <c r="A601" t="s">
        <v>109</v>
      </c>
      <c r="B601" s="2">
        <v>45992</v>
      </c>
      <c r="C601" s="10" t="s">
        <v>469</v>
      </c>
    </row>
    <row r="602" spans="1:8" hidden="1" x14ac:dyDescent="0.3">
      <c r="A602" t="s">
        <v>109</v>
      </c>
      <c r="B602" s="2">
        <v>46023</v>
      </c>
      <c r="C602" s="10" t="s">
        <v>469</v>
      </c>
    </row>
    <row r="603" spans="1:8" hidden="1" x14ac:dyDescent="0.3">
      <c r="A603" t="s">
        <v>109</v>
      </c>
      <c r="B603" s="2">
        <v>46054</v>
      </c>
      <c r="C603" s="10" t="s">
        <v>326</v>
      </c>
    </row>
    <row r="604" spans="1:8" ht="28.8" hidden="1" x14ac:dyDescent="0.3">
      <c r="A604" t="s">
        <v>109</v>
      </c>
      <c r="B604" s="2">
        <v>46082</v>
      </c>
      <c r="C604" s="10" t="s">
        <v>470</v>
      </c>
    </row>
    <row r="605" spans="1:8" ht="28.8" hidden="1" x14ac:dyDescent="0.3">
      <c r="A605" t="s">
        <v>109</v>
      </c>
      <c r="B605" s="2">
        <v>46113</v>
      </c>
      <c r="C605" s="10" t="s">
        <v>470</v>
      </c>
    </row>
    <row r="606" spans="1:8" hidden="1" x14ac:dyDescent="0.3">
      <c r="A606" t="s">
        <v>109</v>
      </c>
      <c r="B606" s="2">
        <v>46143</v>
      </c>
      <c r="C606" s="10" t="s">
        <v>857</v>
      </c>
    </row>
    <row r="607" spans="1:8" hidden="1" x14ac:dyDescent="0.3">
      <c r="A607" t="s">
        <v>109</v>
      </c>
      <c r="B607" s="2">
        <v>46235</v>
      </c>
      <c r="C607" t="s">
        <v>896</v>
      </c>
      <c r="D607">
        <v>0</v>
      </c>
      <c r="E607" t="s">
        <v>33</v>
      </c>
      <c r="F607" t="s">
        <v>33</v>
      </c>
      <c r="G607" t="s">
        <v>1073</v>
      </c>
      <c r="H607" t="s">
        <v>36</v>
      </c>
    </row>
    <row r="608" spans="1:8" ht="28.95" hidden="1" customHeight="1" x14ac:dyDescent="0.3">
      <c r="A608" t="s">
        <v>109</v>
      </c>
      <c r="B608" s="2">
        <v>46174</v>
      </c>
      <c r="C608" s="10"/>
    </row>
    <row r="609" spans="1:8" hidden="1" x14ac:dyDescent="0.3">
      <c r="A609" t="s">
        <v>109</v>
      </c>
      <c r="B609" s="2">
        <v>46204</v>
      </c>
      <c r="C609" s="10">
        <v>31</v>
      </c>
      <c r="D609">
        <v>0</v>
      </c>
      <c r="E609" t="s">
        <v>33</v>
      </c>
      <c r="F609" t="s">
        <v>33</v>
      </c>
      <c r="G609" s="10" t="s">
        <v>932</v>
      </c>
      <c r="H609" t="s">
        <v>36</v>
      </c>
    </row>
    <row r="610" spans="1:8" ht="43.2" hidden="1" customHeight="1" x14ac:dyDescent="0.3">
      <c r="A610" t="s">
        <v>113</v>
      </c>
      <c r="B610" s="2">
        <v>45536</v>
      </c>
      <c r="C610" s="10"/>
    </row>
    <row r="611" spans="1:8" ht="43.2" hidden="1" customHeight="1" x14ac:dyDescent="0.3">
      <c r="A611" t="s">
        <v>113</v>
      </c>
      <c r="B611" s="2">
        <v>45566</v>
      </c>
      <c r="C611" s="10"/>
    </row>
    <row r="612" spans="1:8" ht="48" hidden="1" customHeight="1" x14ac:dyDescent="0.3">
      <c r="A612" t="s">
        <v>113</v>
      </c>
      <c r="B612" s="2">
        <v>45597</v>
      </c>
      <c r="C612" s="10"/>
    </row>
    <row r="613" spans="1:8" ht="57.6" hidden="1" customHeight="1" x14ac:dyDescent="0.3">
      <c r="A613" t="s">
        <v>113</v>
      </c>
      <c r="B613" s="2">
        <v>45627</v>
      </c>
      <c r="C613" s="10"/>
    </row>
    <row r="614" spans="1:8" ht="57.6" hidden="1" customHeight="1" x14ac:dyDescent="0.3">
      <c r="A614" t="s">
        <v>113</v>
      </c>
      <c r="B614" s="2">
        <v>45658</v>
      </c>
      <c r="C614" s="10"/>
    </row>
    <row r="615" spans="1:8" ht="57.6" hidden="1" customHeight="1" x14ac:dyDescent="0.3">
      <c r="A615" t="s">
        <v>113</v>
      </c>
      <c r="B615" s="2">
        <v>45689</v>
      </c>
      <c r="C615" s="10" t="s">
        <v>471</v>
      </c>
    </row>
    <row r="616" spans="1:8" ht="57.6" hidden="1" customHeight="1" x14ac:dyDescent="0.3">
      <c r="A616" t="s">
        <v>113</v>
      </c>
      <c r="B616" s="2">
        <v>45717</v>
      </c>
      <c r="C616" s="10" t="s">
        <v>472</v>
      </c>
    </row>
    <row r="617" spans="1:8" ht="28.8" hidden="1" x14ac:dyDescent="0.3">
      <c r="A617" t="s">
        <v>113</v>
      </c>
      <c r="B617" s="2">
        <v>45748</v>
      </c>
      <c r="C617" s="10" t="s">
        <v>473</v>
      </c>
    </row>
    <row r="618" spans="1:8" ht="129.6" hidden="1" x14ac:dyDescent="0.3">
      <c r="A618" t="s">
        <v>113</v>
      </c>
      <c r="B618" s="2">
        <v>45778</v>
      </c>
      <c r="C618" s="10" t="s">
        <v>474</v>
      </c>
    </row>
    <row r="619" spans="1:8" ht="129.6" hidden="1" x14ac:dyDescent="0.3">
      <c r="A619" t="s">
        <v>113</v>
      </c>
      <c r="B619" s="2">
        <v>45809</v>
      </c>
      <c r="C619" s="10" t="s">
        <v>475</v>
      </c>
    </row>
    <row r="620" spans="1:8" ht="129.6" hidden="1" x14ac:dyDescent="0.3">
      <c r="A620" t="s">
        <v>113</v>
      </c>
      <c r="B620" s="2">
        <v>45839</v>
      </c>
      <c r="C620" s="10" t="s">
        <v>476</v>
      </c>
    </row>
    <row r="621" spans="1:8" ht="129.6" hidden="1" x14ac:dyDescent="0.3">
      <c r="A621" t="s">
        <v>113</v>
      </c>
      <c r="B621" s="2">
        <v>45870</v>
      </c>
      <c r="C621" s="10" t="s">
        <v>477</v>
      </c>
    </row>
    <row r="622" spans="1:8" ht="100.8" hidden="1" x14ac:dyDescent="0.3">
      <c r="A622" t="s">
        <v>113</v>
      </c>
      <c r="B622" s="2">
        <v>45901</v>
      </c>
      <c r="C622" s="10" t="s">
        <v>478</v>
      </c>
    </row>
    <row r="623" spans="1:8" ht="100.8" hidden="1" x14ac:dyDescent="0.3">
      <c r="A623" t="s">
        <v>113</v>
      </c>
      <c r="B623" s="2">
        <v>45931</v>
      </c>
      <c r="C623" s="10" t="s">
        <v>479</v>
      </c>
    </row>
    <row r="624" spans="1:8" ht="100.8" hidden="1" x14ac:dyDescent="0.3">
      <c r="A624" t="s">
        <v>113</v>
      </c>
      <c r="B624" s="2">
        <v>45962</v>
      </c>
      <c r="C624" s="10" t="s">
        <v>480</v>
      </c>
    </row>
    <row r="625" spans="1:8" hidden="1" x14ac:dyDescent="0.3">
      <c r="A625" t="s">
        <v>113</v>
      </c>
      <c r="B625" s="2">
        <v>45992</v>
      </c>
      <c r="C625" s="10" t="s">
        <v>326</v>
      </c>
    </row>
    <row r="626" spans="1:8" hidden="1" x14ac:dyDescent="0.3">
      <c r="A626" t="s">
        <v>113</v>
      </c>
      <c r="B626" s="2">
        <v>46023</v>
      </c>
      <c r="C626" s="10" t="s">
        <v>338</v>
      </c>
    </row>
    <row r="627" spans="1:8" hidden="1" x14ac:dyDescent="0.3">
      <c r="A627" t="s">
        <v>113</v>
      </c>
      <c r="B627" s="2">
        <v>46054</v>
      </c>
      <c r="C627" s="10" t="s">
        <v>326</v>
      </c>
    </row>
    <row r="628" spans="1:8" hidden="1" x14ac:dyDescent="0.3">
      <c r="A628" t="s">
        <v>113</v>
      </c>
      <c r="B628" s="2">
        <v>46082</v>
      </c>
      <c r="C628" s="10" t="s">
        <v>326</v>
      </c>
    </row>
    <row r="629" spans="1:8" hidden="1" x14ac:dyDescent="0.3">
      <c r="A629" t="s">
        <v>113</v>
      </c>
      <c r="B629" s="2">
        <v>46113</v>
      </c>
      <c r="C629" s="10" t="s">
        <v>481</v>
      </c>
    </row>
    <row r="630" spans="1:8" ht="28.8" hidden="1" x14ac:dyDescent="0.3">
      <c r="A630" t="s">
        <v>113</v>
      </c>
      <c r="B630" s="2">
        <v>46143</v>
      </c>
      <c r="C630" s="10" t="s">
        <v>867</v>
      </c>
    </row>
    <row r="631" spans="1:8" hidden="1" x14ac:dyDescent="0.3">
      <c r="A631" t="s">
        <v>113</v>
      </c>
      <c r="B631" s="2">
        <v>46235</v>
      </c>
      <c r="C631" t="s">
        <v>896</v>
      </c>
      <c r="D631">
        <v>0</v>
      </c>
      <c r="E631" t="s">
        <v>33</v>
      </c>
      <c r="F631" t="s">
        <v>33</v>
      </c>
      <c r="G631" t="s">
        <v>338</v>
      </c>
      <c r="H631" t="s">
        <v>36</v>
      </c>
    </row>
    <row r="632" spans="1:8" hidden="1" x14ac:dyDescent="0.3">
      <c r="A632" t="s">
        <v>113</v>
      </c>
      <c r="B632" s="2">
        <v>46174</v>
      </c>
      <c r="C632" s="10"/>
    </row>
    <row r="633" spans="1:8" hidden="1" x14ac:dyDescent="0.3">
      <c r="A633" t="s">
        <v>113</v>
      </c>
      <c r="B633" s="2">
        <v>46204</v>
      </c>
      <c r="C633" s="10">
        <v>31</v>
      </c>
      <c r="D633">
        <v>0</v>
      </c>
      <c r="E633" t="s">
        <v>33</v>
      </c>
      <c r="F633" t="s">
        <v>33</v>
      </c>
      <c r="G633" s="10" t="s">
        <v>932</v>
      </c>
      <c r="H633" t="s">
        <v>36</v>
      </c>
    </row>
    <row r="634" spans="1:8" hidden="1" x14ac:dyDescent="0.3">
      <c r="A634" t="s">
        <v>114</v>
      </c>
      <c r="B634" s="2">
        <v>45536</v>
      </c>
      <c r="C634" s="10"/>
    </row>
    <row r="635" spans="1:8" hidden="1" x14ac:dyDescent="0.3">
      <c r="A635" t="s">
        <v>114</v>
      </c>
      <c r="B635" s="2">
        <v>45566</v>
      </c>
      <c r="C635" s="10"/>
    </row>
    <row r="636" spans="1:8" hidden="1" x14ac:dyDescent="0.3">
      <c r="A636" t="s">
        <v>114</v>
      </c>
      <c r="B636" s="2">
        <v>45597</v>
      </c>
      <c r="C636" s="10"/>
    </row>
    <row r="637" spans="1:8" hidden="1" x14ac:dyDescent="0.3">
      <c r="A637" t="s">
        <v>114</v>
      </c>
      <c r="B637" s="2">
        <v>45627</v>
      </c>
      <c r="C637" s="10"/>
    </row>
    <row r="638" spans="1:8" hidden="1" x14ac:dyDescent="0.3">
      <c r="A638" t="s">
        <v>114</v>
      </c>
      <c r="B638" s="2">
        <v>45658</v>
      </c>
      <c r="C638" s="10"/>
    </row>
    <row r="639" spans="1:8" ht="72" hidden="1" x14ac:dyDescent="0.3">
      <c r="A639" t="s">
        <v>114</v>
      </c>
      <c r="B639" s="2">
        <v>45689</v>
      </c>
      <c r="C639" s="10" t="s">
        <v>482</v>
      </c>
    </row>
    <row r="640" spans="1:8" ht="72" hidden="1" x14ac:dyDescent="0.3">
      <c r="A640" t="s">
        <v>114</v>
      </c>
      <c r="B640" s="2">
        <v>45717</v>
      </c>
      <c r="C640" s="10" t="s">
        <v>483</v>
      </c>
    </row>
    <row r="641" spans="1:8" ht="100.8" hidden="1" x14ac:dyDescent="0.3">
      <c r="A641" t="s">
        <v>114</v>
      </c>
      <c r="B641" s="2">
        <v>45748</v>
      </c>
      <c r="C641" s="10" t="s">
        <v>484</v>
      </c>
    </row>
    <row r="642" spans="1:8" ht="115.2" hidden="1" x14ac:dyDescent="0.3">
      <c r="A642" t="s">
        <v>114</v>
      </c>
      <c r="B642" s="2">
        <v>45778</v>
      </c>
      <c r="C642" s="10" t="s">
        <v>485</v>
      </c>
    </row>
    <row r="643" spans="1:8" ht="100.8" hidden="1" x14ac:dyDescent="0.3">
      <c r="A643" t="s">
        <v>114</v>
      </c>
      <c r="B643" s="2">
        <v>45809</v>
      </c>
      <c r="C643" s="10" t="s">
        <v>486</v>
      </c>
    </row>
    <row r="644" spans="1:8" hidden="1" x14ac:dyDescent="0.3">
      <c r="A644" t="s">
        <v>114</v>
      </c>
      <c r="B644" s="2">
        <v>45839</v>
      </c>
      <c r="C644" t="s">
        <v>911</v>
      </c>
      <c r="D644">
        <v>0</v>
      </c>
      <c r="E644" t="s">
        <v>33</v>
      </c>
      <c r="F644" t="s">
        <v>33</v>
      </c>
      <c r="G644" s="10" t="s">
        <v>959</v>
      </c>
      <c r="H644" t="s">
        <v>36</v>
      </c>
    </row>
    <row r="645" spans="1:8" hidden="1" x14ac:dyDescent="0.3">
      <c r="A645" t="s">
        <v>114</v>
      </c>
      <c r="B645" s="2">
        <v>45870</v>
      </c>
      <c r="C645" t="s">
        <v>911</v>
      </c>
      <c r="D645">
        <v>0</v>
      </c>
      <c r="E645" t="s">
        <v>33</v>
      </c>
      <c r="F645" t="s">
        <v>33</v>
      </c>
      <c r="G645" s="10" t="s">
        <v>959</v>
      </c>
      <c r="H645" t="s">
        <v>36</v>
      </c>
    </row>
    <row r="646" spans="1:8" hidden="1" x14ac:dyDescent="0.3">
      <c r="A646" t="s">
        <v>114</v>
      </c>
      <c r="B646" s="2">
        <v>45901</v>
      </c>
      <c r="C646" t="s">
        <v>919</v>
      </c>
      <c r="D646">
        <v>0</v>
      </c>
      <c r="E646" t="s">
        <v>33</v>
      </c>
      <c r="F646" t="s">
        <v>33</v>
      </c>
      <c r="G646" s="10" t="s">
        <v>959</v>
      </c>
      <c r="H646" t="s">
        <v>36</v>
      </c>
    </row>
    <row r="647" spans="1:8" hidden="1" x14ac:dyDescent="0.3">
      <c r="A647" t="s">
        <v>114</v>
      </c>
      <c r="B647" s="2">
        <v>45931</v>
      </c>
      <c r="C647" t="s">
        <v>911</v>
      </c>
      <c r="D647">
        <v>0</v>
      </c>
      <c r="E647" t="s">
        <v>33</v>
      </c>
      <c r="F647" t="s">
        <v>33</v>
      </c>
      <c r="G647" s="10" t="s">
        <v>959</v>
      </c>
      <c r="H647" t="s">
        <v>36</v>
      </c>
    </row>
    <row r="648" spans="1:8" hidden="1" x14ac:dyDescent="0.3">
      <c r="A648" t="s">
        <v>114</v>
      </c>
      <c r="B648" s="2">
        <v>45962</v>
      </c>
      <c r="C648" t="s">
        <v>919</v>
      </c>
      <c r="D648">
        <v>0</v>
      </c>
      <c r="E648" t="s">
        <v>33</v>
      </c>
      <c r="F648" t="s">
        <v>33</v>
      </c>
      <c r="G648" s="10" t="s">
        <v>959</v>
      </c>
      <c r="H648" t="s">
        <v>36</v>
      </c>
    </row>
    <row r="649" spans="1:8" hidden="1" x14ac:dyDescent="0.3">
      <c r="A649" t="s">
        <v>114</v>
      </c>
      <c r="B649" s="2">
        <v>45992</v>
      </c>
      <c r="C649" t="s">
        <v>965</v>
      </c>
      <c r="D649" t="s">
        <v>964</v>
      </c>
      <c r="E649" t="s">
        <v>976</v>
      </c>
      <c r="F649" t="s">
        <v>33</v>
      </c>
      <c r="G649" s="10" t="s">
        <v>977</v>
      </c>
      <c r="H649" t="s">
        <v>36</v>
      </c>
    </row>
    <row r="650" spans="1:8" hidden="1" x14ac:dyDescent="0.3">
      <c r="A650" t="s">
        <v>114</v>
      </c>
      <c r="B650" s="2">
        <v>46023</v>
      </c>
      <c r="C650" t="s">
        <v>902</v>
      </c>
      <c r="D650" t="s">
        <v>966</v>
      </c>
      <c r="E650" t="s">
        <v>976</v>
      </c>
      <c r="F650" t="s">
        <v>33</v>
      </c>
      <c r="G650" s="10" t="s">
        <v>487</v>
      </c>
      <c r="H650" t="s">
        <v>36</v>
      </c>
    </row>
    <row r="651" spans="1:8" hidden="1" x14ac:dyDescent="0.3">
      <c r="A651" t="s">
        <v>114</v>
      </c>
      <c r="B651" s="2">
        <v>46054</v>
      </c>
      <c r="C651" t="s">
        <v>895</v>
      </c>
      <c r="D651">
        <v>0</v>
      </c>
      <c r="E651" t="s">
        <v>33</v>
      </c>
      <c r="F651" t="s">
        <v>33</v>
      </c>
      <c r="G651" s="10" t="s">
        <v>959</v>
      </c>
      <c r="H651" t="s">
        <v>36</v>
      </c>
    </row>
    <row r="652" spans="1:8" hidden="1" x14ac:dyDescent="0.3">
      <c r="A652" t="s">
        <v>114</v>
      </c>
      <c r="B652" s="2">
        <v>46082</v>
      </c>
      <c r="C652" t="s">
        <v>911</v>
      </c>
      <c r="D652">
        <v>0</v>
      </c>
      <c r="E652" t="s">
        <v>33</v>
      </c>
      <c r="F652" t="s">
        <v>33</v>
      </c>
      <c r="G652" s="10" t="s">
        <v>959</v>
      </c>
      <c r="H652" t="s">
        <v>36</v>
      </c>
    </row>
    <row r="653" spans="1:8" hidden="1" x14ac:dyDescent="0.3">
      <c r="A653" t="s">
        <v>114</v>
      </c>
      <c r="B653" s="2">
        <v>46113</v>
      </c>
      <c r="C653" t="s">
        <v>919</v>
      </c>
      <c r="D653">
        <v>0</v>
      </c>
      <c r="E653" t="s">
        <v>33</v>
      </c>
      <c r="F653" t="s">
        <v>33</v>
      </c>
      <c r="G653" s="10" t="s">
        <v>487</v>
      </c>
      <c r="H653" t="s">
        <v>36</v>
      </c>
    </row>
    <row r="654" spans="1:8" hidden="1" x14ac:dyDescent="0.3">
      <c r="A654" t="s">
        <v>114</v>
      </c>
      <c r="B654" s="2">
        <v>46143</v>
      </c>
      <c r="C654" t="s">
        <v>911</v>
      </c>
      <c r="D654">
        <v>0</v>
      </c>
      <c r="E654" t="s">
        <v>33</v>
      </c>
      <c r="F654" t="s">
        <v>33</v>
      </c>
      <c r="G654" s="10" t="s">
        <v>959</v>
      </c>
      <c r="H654" t="s">
        <v>36</v>
      </c>
    </row>
    <row r="655" spans="1:8" hidden="1" x14ac:dyDescent="0.3">
      <c r="A655" t="s">
        <v>114</v>
      </c>
      <c r="B655" s="2">
        <v>46235</v>
      </c>
      <c r="C655" t="s">
        <v>896</v>
      </c>
      <c r="D655">
        <v>0</v>
      </c>
      <c r="E655" t="s">
        <v>33</v>
      </c>
      <c r="F655" t="s">
        <v>33</v>
      </c>
      <c r="G655" t="s">
        <v>338</v>
      </c>
      <c r="H655" t="s">
        <v>36</v>
      </c>
    </row>
    <row r="656" spans="1:8" hidden="1" x14ac:dyDescent="0.3">
      <c r="A656" t="s">
        <v>114</v>
      </c>
      <c r="B656" s="2">
        <v>46174</v>
      </c>
      <c r="C656" t="s">
        <v>919</v>
      </c>
      <c r="D656">
        <v>0</v>
      </c>
      <c r="E656" t="s">
        <v>33</v>
      </c>
      <c r="F656" t="s">
        <v>33</v>
      </c>
      <c r="G656" s="10" t="s">
        <v>996</v>
      </c>
      <c r="H656" t="s">
        <v>36</v>
      </c>
    </row>
    <row r="657" spans="1:8" hidden="1" x14ac:dyDescent="0.3">
      <c r="A657" t="s">
        <v>114</v>
      </c>
      <c r="B657" s="2">
        <v>46204</v>
      </c>
      <c r="C657" s="10">
        <v>31</v>
      </c>
      <c r="D657">
        <v>0</v>
      </c>
      <c r="E657" t="s">
        <v>33</v>
      </c>
      <c r="F657" t="s">
        <v>33</v>
      </c>
      <c r="G657" t="s">
        <v>1014</v>
      </c>
      <c r="H657" t="s">
        <v>36</v>
      </c>
    </row>
    <row r="658" spans="1:8" hidden="1" x14ac:dyDescent="0.3">
      <c r="A658" t="s">
        <v>117</v>
      </c>
      <c r="B658" s="2">
        <v>45536</v>
      </c>
      <c r="C658" s="10"/>
    </row>
    <row r="659" spans="1:8" hidden="1" x14ac:dyDescent="0.3">
      <c r="A659" t="s">
        <v>117</v>
      </c>
      <c r="B659" s="2">
        <v>45566</v>
      </c>
      <c r="C659" s="10"/>
    </row>
    <row r="660" spans="1:8" hidden="1" x14ac:dyDescent="0.3">
      <c r="A660" t="s">
        <v>117</v>
      </c>
      <c r="B660" s="2">
        <v>45597</v>
      </c>
      <c r="C660" s="10"/>
    </row>
    <row r="661" spans="1:8" hidden="1" x14ac:dyDescent="0.3">
      <c r="A661" t="s">
        <v>117</v>
      </c>
      <c r="B661" s="2">
        <v>45627</v>
      </c>
      <c r="C661" s="10"/>
    </row>
    <row r="662" spans="1:8" hidden="1" x14ac:dyDescent="0.3">
      <c r="A662" t="s">
        <v>117</v>
      </c>
      <c r="B662" s="2">
        <v>45658</v>
      </c>
      <c r="C662" s="10"/>
    </row>
    <row r="663" spans="1:8" ht="43.2" hidden="1" x14ac:dyDescent="0.3">
      <c r="A663" t="s">
        <v>117</v>
      </c>
      <c r="B663" s="2">
        <v>45689</v>
      </c>
      <c r="C663" s="10" t="s">
        <v>488</v>
      </c>
    </row>
    <row r="664" spans="1:8" ht="28.8" hidden="1" x14ac:dyDescent="0.3">
      <c r="A664" t="s">
        <v>117</v>
      </c>
      <c r="B664" s="2">
        <v>45717</v>
      </c>
      <c r="C664" s="10" t="s">
        <v>489</v>
      </c>
    </row>
    <row r="665" spans="1:8" hidden="1" x14ac:dyDescent="0.3">
      <c r="A665" t="s">
        <v>117</v>
      </c>
      <c r="B665" s="2">
        <v>45748</v>
      </c>
      <c r="C665" s="10" t="s">
        <v>490</v>
      </c>
    </row>
    <row r="666" spans="1:8" ht="86.4" hidden="1" x14ac:dyDescent="0.3">
      <c r="A666" t="s">
        <v>117</v>
      </c>
      <c r="B666" s="2">
        <v>45778</v>
      </c>
      <c r="C666" s="10" t="s">
        <v>491</v>
      </c>
    </row>
    <row r="667" spans="1:8" ht="86.4" hidden="1" x14ac:dyDescent="0.3">
      <c r="A667" t="s">
        <v>117</v>
      </c>
      <c r="B667" s="2">
        <v>45809</v>
      </c>
      <c r="C667" s="10" t="s">
        <v>492</v>
      </c>
    </row>
    <row r="668" spans="1:8" hidden="1" x14ac:dyDescent="0.3">
      <c r="A668" t="s">
        <v>117</v>
      </c>
      <c r="B668" s="2">
        <v>45839</v>
      </c>
      <c r="C668" s="10" t="s">
        <v>965</v>
      </c>
      <c r="D668">
        <v>15</v>
      </c>
      <c r="E668" t="s">
        <v>985</v>
      </c>
      <c r="F668" t="s">
        <v>986</v>
      </c>
      <c r="G668" s="32" t="s">
        <v>987</v>
      </c>
      <c r="H668" s="10" t="s">
        <v>36</v>
      </c>
    </row>
    <row r="669" spans="1:8" hidden="1" x14ac:dyDescent="0.3">
      <c r="A669" t="s">
        <v>117</v>
      </c>
      <c r="B669" s="2">
        <v>45901</v>
      </c>
      <c r="C669" s="10" t="s">
        <v>919</v>
      </c>
      <c r="D669">
        <v>0</v>
      </c>
      <c r="E669" t="s">
        <v>33</v>
      </c>
      <c r="F669" t="s">
        <v>33</v>
      </c>
      <c r="G669" t="s">
        <v>995</v>
      </c>
      <c r="H669" s="10" t="s">
        <v>36</v>
      </c>
    </row>
    <row r="670" spans="1:8" hidden="1" x14ac:dyDescent="0.3">
      <c r="A670" t="s">
        <v>117</v>
      </c>
      <c r="B670" s="2">
        <v>45931</v>
      </c>
      <c r="C670" s="10" t="s">
        <v>911</v>
      </c>
      <c r="D670">
        <v>0</v>
      </c>
      <c r="E670" t="s">
        <v>33</v>
      </c>
      <c r="F670" t="s">
        <v>33</v>
      </c>
      <c r="G670" t="s">
        <v>995</v>
      </c>
      <c r="H670" s="10" t="s">
        <v>36</v>
      </c>
    </row>
    <row r="671" spans="1:8" hidden="1" x14ac:dyDescent="0.3">
      <c r="A671" t="s">
        <v>117</v>
      </c>
      <c r="B671" s="2">
        <v>45962</v>
      </c>
      <c r="C671" s="10" t="s">
        <v>919</v>
      </c>
      <c r="D671">
        <v>0</v>
      </c>
      <c r="E671" t="s">
        <v>33</v>
      </c>
      <c r="F671" t="s">
        <v>33</v>
      </c>
      <c r="G671" s="10" t="s">
        <v>997</v>
      </c>
      <c r="H671" s="10" t="s">
        <v>36</v>
      </c>
    </row>
    <row r="672" spans="1:8" hidden="1" x14ac:dyDescent="0.3">
      <c r="A672" t="s">
        <v>117</v>
      </c>
      <c r="B672" s="2">
        <v>45992</v>
      </c>
      <c r="C672" s="10" t="s">
        <v>911</v>
      </c>
      <c r="D672">
        <v>0</v>
      </c>
      <c r="E672" t="s">
        <v>33</v>
      </c>
      <c r="F672" t="s">
        <v>33</v>
      </c>
      <c r="G672" t="s">
        <v>995</v>
      </c>
      <c r="H672" s="10" t="s">
        <v>36</v>
      </c>
    </row>
    <row r="673" spans="1:8" hidden="1" x14ac:dyDescent="0.3">
      <c r="A673" t="s">
        <v>117</v>
      </c>
      <c r="B673" s="2">
        <v>46023</v>
      </c>
      <c r="C673" s="10" t="s">
        <v>911</v>
      </c>
      <c r="D673">
        <v>0</v>
      </c>
      <c r="E673" t="s">
        <v>33</v>
      </c>
      <c r="F673" t="s">
        <v>33</v>
      </c>
      <c r="G673" s="10" t="s">
        <v>996</v>
      </c>
      <c r="H673" s="10" t="s">
        <v>36</v>
      </c>
    </row>
    <row r="674" spans="1:8" hidden="1" x14ac:dyDescent="0.3">
      <c r="A674" t="s">
        <v>117</v>
      </c>
      <c r="B674" s="2">
        <v>46054</v>
      </c>
      <c r="C674" s="10" t="s">
        <v>895</v>
      </c>
      <c r="D674">
        <v>0</v>
      </c>
      <c r="E674" t="s">
        <v>33</v>
      </c>
      <c r="F674" t="s">
        <v>33</v>
      </c>
      <c r="G674" t="s">
        <v>995</v>
      </c>
      <c r="H674" s="10" t="s">
        <v>36</v>
      </c>
    </row>
    <row r="675" spans="1:8" hidden="1" x14ac:dyDescent="0.3">
      <c r="A675" t="s">
        <v>117</v>
      </c>
      <c r="B675" s="2">
        <v>46082</v>
      </c>
      <c r="C675" s="10" t="s">
        <v>911</v>
      </c>
      <c r="D675">
        <v>0</v>
      </c>
      <c r="E675" t="s">
        <v>33</v>
      </c>
      <c r="F675" t="s">
        <v>33</v>
      </c>
      <c r="G675" s="10" t="s">
        <v>996</v>
      </c>
      <c r="H675" s="10" t="s">
        <v>36</v>
      </c>
    </row>
    <row r="676" spans="1:8" hidden="1" x14ac:dyDescent="0.3">
      <c r="A676" t="s">
        <v>117</v>
      </c>
      <c r="B676" s="2">
        <v>46113</v>
      </c>
      <c r="C676" s="10" t="s">
        <v>919</v>
      </c>
      <c r="D676">
        <v>0</v>
      </c>
      <c r="E676" t="s">
        <v>33</v>
      </c>
      <c r="F676" t="s">
        <v>33</v>
      </c>
      <c r="G676" s="10" t="s">
        <v>993</v>
      </c>
      <c r="H676" s="10" t="s">
        <v>36</v>
      </c>
    </row>
    <row r="677" spans="1:8" hidden="1" x14ac:dyDescent="0.3">
      <c r="A677" t="s">
        <v>117</v>
      </c>
      <c r="B677" s="2">
        <v>46143</v>
      </c>
      <c r="C677" s="10" t="s">
        <v>911</v>
      </c>
      <c r="D677">
        <v>0</v>
      </c>
      <c r="E677" t="s">
        <v>33</v>
      </c>
      <c r="F677" t="s">
        <v>33</v>
      </c>
      <c r="G677" t="s">
        <v>995</v>
      </c>
      <c r="H677" s="10" t="s">
        <v>36</v>
      </c>
    </row>
    <row r="678" spans="1:8" hidden="1" x14ac:dyDescent="0.3">
      <c r="A678" t="s">
        <v>117</v>
      </c>
      <c r="B678" s="2">
        <v>46235</v>
      </c>
      <c r="C678" s="10" t="s">
        <v>896</v>
      </c>
      <c r="D678">
        <v>0</v>
      </c>
      <c r="E678" t="s">
        <v>33</v>
      </c>
      <c r="F678" t="s">
        <v>33</v>
      </c>
      <c r="G678" s="10" t="s">
        <v>932</v>
      </c>
      <c r="H678" t="s">
        <v>36</v>
      </c>
    </row>
    <row r="679" spans="1:8" ht="28.95" hidden="1" customHeight="1" x14ac:dyDescent="0.3">
      <c r="A679" t="s">
        <v>117</v>
      </c>
      <c r="B679" s="2">
        <v>46174</v>
      </c>
      <c r="C679" s="10" t="s">
        <v>919</v>
      </c>
      <c r="D679">
        <v>0</v>
      </c>
      <c r="E679" t="s">
        <v>33</v>
      </c>
      <c r="F679" t="s">
        <v>33</v>
      </c>
      <c r="G679" s="10" t="s">
        <v>996</v>
      </c>
      <c r="H679" s="10" t="s">
        <v>36</v>
      </c>
    </row>
    <row r="680" spans="1:8" ht="72" hidden="1" customHeight="1" x14ac:dyDescent="0.3">
      <c r="A680" t="s">
        <v>117</v>
      </c>
      <c r="B680" s="2">
        <v>46204</v>
      </c>
      <c r="C680" s="10">
        <v>31</v>
      </c>
      <c r="D680">
        <v>0</v>
      </c>
      <c r="E680" t="s">
        <v>33</v>
      </c>
      <c r="F680" t="s">
        <v>33</v>
      </c>
      <c r="G680" t="s">
        <v>1014</v>
      </c>
      <c r="H680" t="s">
        <v>36</v>
      </c>
    </row>
    <row r="681" spans="1:8" ht="72" hidden="1" customHeight="1" x14ac:dyDescent="0.3">
      <c r="A681" t="s">
        <v>225</v>
      </c>
      <c r="B681" s="2">
        <v>45536</v>
      </c>
      <c r="C681" s="10"/>
    </row>
    <row r="682" spans="1:8" ht="57.6" hidden="1" customHeight="1" x14ac:dyDescent="0.3">
      <c r="A682" t="s">
        <v>225</v>
      </c>
      <c r="B682" s="2">
        <v>45566</v>
      </c>
      <c r="C682" s="10"/>
    </row>
    <row r="683" spans="1:8" ht="57.6" hidden="1" customHeight="1" x14ac:dyDescent="0.3">
      <c r="A683" t="s">
        <v>225</v>
      </c>
      <c r="B683" s="2">
        <v>45597</v>
      </c>
      <c r="C683" s="10"/>
    </row>
    <row r="684" spans="1:8" ht="57.6" hidden="1" customHeight="1" x14ac:dyDescent="0.3">
      <c r="A684" t="s">
        <v>225</v>
      </c>
      <c r="B684" s="2">
        <v>45627</v>
      </c>
      <c r="C684" s="10"/>
    </row>
    <row r="685" spans="1:8" ht="57.6" hidden="1" customHeight="1" x14ac:dyDescent="0.3">
      <c r="A685" t="s">
        <v>225</v>
      </c>
      <c r="B685" s="2">
        <v>45658</v>
      </c>
      <c r="C685" s="10"/>
    </row>
    <row r="686" spans="1:8" ht="57.6" hidden="1" customHeight="1" x14ac:dyDescent="0.3">
      <c r="A686" t="s">
        <v>225</v>
      </c>
      <c r="B686" s="2">
        <v>45689</v>
      </c>
      <c r="C686" s="10"/>
    </row>
    <row r="687" spans="1:8" ht="57.6" hidden="1" customHeight="1" x14ac:dyDescent="0.3">
      <c r="A687" t="s">
        <v>225</v>
      </c>
      <c r="B687" s="2">
        <v>45717</v>
      </c>
      <c r="C687" s="10"/>
    </row>
    <row r="688" spans="1:8" ht="57.6" hidden="1" customHeight="1" x14ac:dyDescent="0.3">
      <c r="A688" t="s">
        <v>225</v>
      </c>
      <c r="B688" s="2">
        <v>45748</v>
      </c>
      <c r="C688" s="10"/>
    </row>
    <row r="689" spans="1:8" hidden="1" x14ac:dyDescent="0.3">
      <c r="A689" t="s">
        <v>225</v>
      </c>
      <c r="B689" s="2">
        <v>45778</v>
      </c>
      <c r="C689" s="10"/>
    </row>
    <row r="690" spans="1:8" hidden="1" x14ac:dyDescent="0.3">
      <c r="A690" t="s">
        <v>225</v>
      </c>
      <c r="B690" s="2">
        <v>45809</v>
      </c>
      <c r="C690" s="10"/>
    </row>
    <row r="691" spans="1:8" hidden="1" x14ac:dyDescent="0.3">
      <c r="A691" t="s">
        <v>225</v>
      </c>
      <c r="B691" s="2">
        <v>45839</v>
      </c>
      <c r="C691" s="10" t="s">
        <v>36</v>
      </c>
      <c r="D691" s="10" t="s">
        <v>36</v>
      </c>
      <c r="E691" s="10" t="s">
        <v>36</v>
      </c>
      <c r="F691" s="10" t="s">
        <v>36</v>
      </c>
      <c r="G691" s="10" t="s">
        <v>36</v>
      </c>
      <c r="H691" s="10" t="s">
        <v>920</v>
      </c>
    </row>
    <row r="692" spans="1:8" hidden="1" x14ac:dyDescent="0.3">
      <c r="A692" t="s">
        <v>225</v>
      </c>
      <c r="B692" s="2">
        <v>45870</v>
      </c>
      <c r="C692" s="10" t="s">
        <v>36</v>
      </c>
      <c r="D692" s="10" t="s">
        <v>36</v>
      </c>
      <c r="E692" s="10" t="s">
        <v>36</v>
      </c>
      <c r="F692" s="10" t="s">
        <v>36</v>
      </c>
      <c r="G692" s="10" t="s">
        <v>36</v>
      </c>
      <c r="H692" s="10" t="s">
        <v>920</v>
      </c>
    </row>
    <row r="693" spans="1:8" hidden="1" x14ac:dyDescent="0.3">
      <c r="A693" t="s">
        <v>225</v>
      </c>
      <c r="B693" s="2">
        <v>45901</v>
      </c>
      <c r="C693" s="10" t="s">
        <v>36</v>
      </c>
      <c r="D693" s="10" t="s">
        <v>36</v>
      </c>
      <c r="E693" s="10" t="s">
        <v>36</v>
      </c>
      <c r="F693" s="10" t="s">
        <v>36</v>
      </c>
      <c r="G693" s="10" t="s">
        <v>36</v>
      </c>
      <c r="H693" s="10" t="s">
        <v>920</v>
      </c>
    </row>
    <row r="694" spans="1:8" hidden="1" x14ac:dyDescent="0.3">
      <c r="A694" t="s">
        <v>225</v>
      </c>
      <c r="B694" s="2">
        <v>45931</v>
      </c>
      <c r="C694" s="10" t="s">
        <v>895</v>
      </c>
      <c r="D694" s="10" t="s">
        <v>975</v>
      </c>
      <c r="E694" s="10" t="s">
        <v>920</v>
      </c>
      <c r="F694" s="10" t="s">
        <v>33</v>
      </c>
      <c r="G694" s="10" t="s">
        <v>33</v>
      </c>
      <c r="H694" s="10" t="s">
        <v>920</v>
      </c>
    </row>
    <row r="695" spans="1:8" hidden="1" x14ac:dyDescent="0.3">
      <c r="A695" t="s">
        <v>225</v>
      </c>
      <c r="B695" s="2">
        <v>45962</v>
      </c>
      <c r="C695" s="10" t="s">
        <v>919</v>
      </c>
      <c r="D695" s="10">
        <v>0</v>
      </c>
      <c r="E695" s="10" t="s">
        <v>33</v>
      </c>
      <c r="F695" s="10" t="s">
        <v>33</v>
      </c>
      <c r="G695" s="10" t="s">
        <v>33</v>
      </c>
      <c r="H695" s="10" t="s">
        <v>36</v>
      </c>
    </row>
    <row r="696" spans="1:8" hidden="1" x14ac:dyDescent="0.3">
      <c r="A696" t="s">
        <v>225</v>
      </c>
      <c r="B696" s="2">
        <v>45992</v>
      </c>
      <c r="C696" s="10" t="s">
        <v>911</v>
      </c>
      <c r="D696" s="10">
        <v>0</v>
      </c>
      <c r="E696" s="10" t="s">
        <v>33</v>
      </c>
      <c r="F696" s="10" t="s">
        <v>33</v>
      </c>
      <c r="G696" s="10" t="s">
        <v>460</v>
      </c>
      <c r="H696" s="10" t="s">
        <v>36</v>
      </c>
    </row>
    <row r="697" spans="1:8" hidden="1" x14ac:dyDescent="0.3">
      <c r="A697" t="s">
        <v>225</v>
      </c>
      <c r="B697" s="2">
        <v>46023</v>
      </c>
      <c r="C697" s="10" t="s">
        <v>892</v>
      </c>
      <c r="D697" s="10">
        <v>0</v>
      </c>
      <c r="E697" s="10" t="s">
        <v>33</v>
      </c>
      <c r="F697" s="10" t="s">
        <v>33</v>
      </c>
      <c r="G697" s="10" t="s">
        <v>460</v>
      </c>
      <c r="H697" s="10" t="s">
        <v>36</v>
      </c>
    </row>
    <row r="698" spans="1:8" hidden="1" x14ac:dyDescent="0.3">
      <c r="A698" t="s">
        <v>225</v>
      </c>
      <c r="B698" s="2">
        <v>46054</v>
      </c>
      <c r="C698" s="10" t="s">
        <v>895</v>
      </c>
      <c r="D698" s="10">
        <v>0</v>
      </c>
      <c r="E698" s="10" t="s">
        <v>33</v>
      </c>
      <c r="F698" s="10" t="s">
        <v>33</v>
      </c>
      <c r="G698" s="10" t="s">
        <v>460</v>
      </c>
      <c r="H698" s="10" t="s">
        <v>36</v>
      </c>
    </row>
    <row r="699" spans="1:8" hidden="1" x14ac:dyDescent="0.3">
      <c r="A699" t="s">
        <v>225</v>
      </c>
      <c r="B699" s="2">
        <v>46082</v>
      </c>
      <c r="C699" s="10" t="s">
        <v>892</v>
      </c>
      <c r="D699" s="10">
        <v>0</v>
      </c>
      <c r="E699" s="10" t="s">
        <v>33</v>
      </c>
      <c r="F699" s="10" t="s">
        <v>33</v>
      </c>
      <c r="G699" s="10" t="s">
        <v>460</v>
      </c>
      <c r="H699" s="10" t="s">
        <v>36</v>
      </c>
    </row>
    <row r="700" spans="1:8" hidden="1" x14ac:dyDescent="0.3">
      <c r="A700" t="s">
        <v>225</v>
      </c>
      <c r="B700" s="2">
        <v>46113</v>
      </c>
      <c r="C700" s="10" t="s">
        <v>896</v>
      </c>
      <c r="D700" s="10">
        <v>0</v>
      </c>
      <c r="E700" s="10" t="s">
        <v>33</v>
      </c>
      <c r="F700" s="10" t="s">
        <v>33</v>
      </c>
      <c r="G700" s="10" t="s">
        <v>460</v>
      </c>
      <c r="H700" s="10" t="s">
        <v>36</v>
      </c>
    </row>
    <row r="701" spans="1:8" hidden="1" x14ac:dyDescent="0.3">
      <c r="A701" t="s">
        <v>225</v>
      </c>
      <c r="B701" s="2">
        <v>46143</v>
      </c>
      <c r="C701" s="10" t="s">
        <v>892</v>
      </c>
      <c r="D701" s="10">
        <v>0</v>
      </c>
      <c r="E701" s="10" t="s">
        <v>33</v>
      </c>
      <c r="F701" s="10" t="s">
        <v>33</v>
      </c>
      <c r="G701" s="10" t="s">
        <v>460</v>
      </c>
      <c r="H701" s="10" t="s">
        <v>36</v>
      </c>
    </row>
    <row r="702" spans="1:8" hidden="1" x14ac:dyDescent="0.3">
      <c r="A702" t="s">
        <v>225</v>
      </c>
      <c r="B702" s="2">
        <v>46235</v>
      </c>
      <c r="C702" t="s">
        <v>896</v>
      </c>
      <c r="D702">
        <v>0</v>
      </c>
      <c r="E702" t="s">
        <v>33</v>
      </c>
      <c r="F702" t="s">
        <v>33</v>
      </c>
      <c r="G702" t="s">
        <v>338</v>
      </c>
      <c r="H702" t="s">
        <v>36</v>
      </c>
    </row>
    <row r="703" spans="1:8" ht="43.2" hidden="1" customHeight="1" x14ac:dyDescent="0.3">
      <c r="A703" t="s">
        <v>225</v>
      </c>
      <c r="B703" s="2">
        <v>46174</v>
      </c>
      <c r="C703" s="10" t="s">
        <v>896</v>
      </c>
      <c r="D703" s="10">
        <v>0</v>
      </c>
      <c r="E703" s="10" t="s">
        <v>33</v>
      </c>
      <c r="F703" s="10" t="s">
        <v>33</v>
      </c>
      <c r="G703" s="10" t="s">
        <v>338</v>
      </c>
      <c r="H703" s="10" t="s">
        <v>36</v>
      </c>
    </row>
    <row r="704" spans="1:8" ht="43.2" hidden="1" customHeight="1" x14ac:dyDescent="0.3">
      <c r="A704" t="s">
        <v>225</v>
      </c>
      <c r="B704" s="2">
        <v>46204</v>
      </c>
      <c r="C704" s="10">
        <v>31</v>
      </c>
      <c r="D704">
        <v>0</v>
      </c>
      <c r="E704" t="s">
        <v>33</v>
      </c>
      <c r="F704" t="s">
        <v>33</v>
      </c>
      <c r="G704" t="s">
        <v>1014</v>
      </c>
      <c r="H704" t="s">
        <v>36</v>
      </c>
    </row>
    <row r="705" spans="1:8" ht="57.6" hidden="1" customHeight="1" x14ac:dyDescent="0.3">
      <c r="A705" t="s">
        <v>223</v>
      </c>
      <c r="B705" s="2">
        <v>45536</v>
      </c>
      <c r="C705" s="10"/>
    </row>
    <row r="706" spans="1:8" ht="57.6" hidden="1" customHeight="1" x14ac:dyDescent="0.3">
      <c r="A706" t="s">
        <v>223</v>
      </c>
      <c r="B706" s="2">
        <v>45566</v>
      </c>
      <c r="C706" s="10"/>
    </row>
    <row r="707" spans="1:8" ht="57.6" hidden="1" customHeight="1" x14ac:dyDescent="0.3">
      <c r="A707" t="s">
        <v>223</v>
      </c>
      <c r="B707" s="2">
        <v>45597</v>
      </c>
      <c r="C707" s="10"/>
    </row>
    <row r="708" spans="1:8" ht="57.6" hidden="1" customHeight="1" x14ac:dyDescent="0.3">
      <c r="A708" t="s">
        <v>223</v>
      </c>
      <c r="B708" s="2">
        <v>45627</v>
      </c>
      <c r="C708" s="10"/>
    </row>
    <row r="709" spans="1:8" ht="57.6" hidden="1" customHeight="1" x14ac:dyDescent="0.3">
      <c r="A709" t="s">
        <v>223</v>
      </c>
      <c r="B709" s="2">
        <v>45658</v>
      </c>
      <c r="C709" s="10"/>
    </row>
    <row r="710" spans="1:8" ht="72" hidden="1" customHeight="1" x14ac:dyDescent="0.3">
      <c r="A710" t="s">
        <v>223</v>
      </c>
      <c r="B710" s="2">
        <v>45689</v>
      </c>
      <c r="C710" s="10"/>
    </row>
    <row r="711" spans="1:8" ht="57.6" hidden="1" customHeight="1" x14ac:dyDescent="0.3">
      <c r="A711" t="s">
        <v>223</v>
      </c>
      <c r="B711" s="2">
        <v>45717</v>
      </c>
      <c r="C711" s="10"/>
    </row>
    <row r="712" spans="1:8" ht="57.6" hidden="1" customHeight="1" x14ac:dyDescent="0.3">
      <c r="A712" t="s">
        <v>223</v>
      </c>
      <c r="B712" s="2">
        <v>45748</v>
      </c>
      <c r="C712" s="10"/>
    </row>
    <row r="713" spans="1:8" hidden="1" x14ac:dyDescent="0.3">
      <c r="A713" t="s">
        <v>223</v>
      </c>
      <c r="B713" s="2">
        <v>45778</v>
      </c>
      <c r="C713" s="10"/>
    </row>
    <row r="714" spans="1:8" hidden="1" x14ac:dyDescent="0.3">
      <c r="A714" t="s">
        <v>223</v>
      </c>
      <c r="B714" s="2">
        <v>45809</v>
      </c>
      <c r="C714" s="10"/>
    </row>
    <row r="715" spans="1:8" hidden="1" x14ac:dyDescent="0.3">
      <c r="A715" t="s">
        <v>223</v>
      </c>
      <c r="B715" s="2">
        <v>45839</v>
      </c>
      <c r="C715" s="10" t="s">
        <v>36</v>
      </c>
      <c r="D715" s="10" t="s">
        <v>36</v>
      </c>
      <c r="E715" s="10" t="s">
        <v>36</v>
      </c>
      <c r="F715" s="10" t="s">
        <v>36</v>
      </c>
      <c r="G715" s="10" t="s">
        <v>36</v>
      </c>
      <c r="H715" s="10" t="s">
        <v>920</v>
      </c>
    </row>
    <row r="716" spans="1:8" hidden="1" x14ac:dyDescent="0.3">
      <c r="A716" t="s">
        <v>223</v>
      </c>
      <c r="B716" s="2">
        <v>45870</v>
      </c>
      <c r="C716" s="10" t="s">
        <v>36</v>
      </c>
      <c r="D716" s="10" t="s">
        <v>36</v>
      </c>
      <c r="E716" s="10" t="s">
        <v>36</v>
      </c>
      <c r="F716" s="10" t="s">
        <v>36</v>
      </c>
      <c r="G716" s="10" t="s">
        <v>36</v>
      </c>
      <c r="H716" s="10" t="s">
        <v>920</v>
      </c>
    </row>
    <row r="717" spans="1:8" hidden="1" x14ac:dyDescent="0.3">
      <c r="A717" t="s">
        <v>223</v>
      </c>
      <c r="B717" s="2">
        <v>45901</v>
      </c>
      <c r="C717" s="10" t="s">
        <v>36</v>
      </c>
      <c r="D717" s="10" t="s">
        <v>36</v>
      </c>
      <c r="E717" s="10" t="s">
        <v>36</v>
      </c>
      <c r="F717" s="10" t="s">
        <v>36</v>
      </c>
      <c r="G717" s="10" t="s">
        <v>36</v>
      </c>
      <c r="H717" s="10" t="s">
        <v>920</v>
      </c>
    </row>
    <row r="718" spans="1:8" hidden="1" x14ac:dyDescent="0.3">
      <c r="A718" t="s">
        <v>223</v>
      </c>
      <c r="B718" s="2">
        <v>45931</v>
      </c>
      <c r="C718" s="10" t="s">
        <v>895</v>
      </c>
      <c r="D718" s="10" t="s">
        <v>942</v>
      </c>
      <c r="E718" s="10" t="s">
        <v>920</v>
      </c>
      <c r="F718" s="10" t="s">
        <v>33</v>
      </c>
      <c r="G718" s="10" t="s">
        <v>33</v>
      </c>
      <c r="H718" s="10" t="s">
        <v>920</v>
      </c>
    </row>
    <row r="719" spans="1:8" hidden="1" x14ac:dyDescent="0.3">
      <c r="A719" t="s">
        <v>223</v>
      </c>
      <c r="B719" s="2">
        <v>45962</v>
      </c>
      <c r="C719" s="10" t="s">
        <v>919</v>
      </c>
      <c r="D719" s="10">
        <v>0</v>
      </c>
      <c r="E719" s="10" t="s">
        <v>33</v>
      </c>
      <c r="F719" s="10" t="s">
        <v>33</v>
      </c>
      <c r="H719" s="10" t="s">
        <v>36</v>
      </c>
    </row>
    <row r="720" spans="1:8" hidden="1" x14ac:dyDescent="0.3">
      <c r="A720" t="s">
        <v>223</v>
      </c>
      <c r="B720" s="2">
        <v>45992</v>
      </c>
      <c r="C720" s="10" t="s">
        <v>911</v>
      </c>
      <c r="D720" s="10">
        <v>0</v>
      </c>
      <c r="E720" s="10" t="s">
        <v>33</v>
      </c>
      <c r="F720" s="10" t="s">
        <v>33</v>
      </c>
      <c r="G720" s="10" t="s">
        <v>493</v>
      </c>
      <c r="H720" s="10" t="s">
        <v>36</v>
      </c>
    </row>
    <row r="721" spans="1:8" hidden="1" x14ac:dyDescent="0.3">
      <c r="A721" t="s">
        <v>223</v>
      </c>
      <c r="B721" s="2">
        <v>46023</v>
      </c>
      <c r="C721" s="10" t="s">
        <v>892</v>
      </c>
      <c r="D721" s="10">
        <v>0</v>
      </c>
      <c r="E721" s="10" t="s">
        <v>33</v>
      </c>
      <c r="F721" s="10" t="s">
        <v>33</v>
      </c>
      <c r="G721" s="10" t="s">
        <v>932</v>
      </c>
      <c r="H721" s="10" t="s">
        <v>36</v>
      </c>
    </row>
    <row r="722" spans="1:8" hidden="1" x14ac:dyDescent="0.3">
      <c r="A722" t="s">
        <v>223</v>
      </c>
      <c r="B722" s="2">
        <v>46054</v>
      </c>
      <c r="C722" s="10" t="s">
        <v>895</v>
      </c>
      <c r="D722" s="10">
        <v>0</v>
      </c>
      <c r="E722" s="10" t="s">
        <v>33</v>
      </c>
      <c r="F722" s="10" t="s">
        <v>33</v>
      </c>
      <c r="G722" s="10" t="s">
        <v>932</v>
      </c>
      <c r="H722" s="10" t="s">
        <v>36</v>
      </c>
    </row>
    <row r="723" spans="1:8" hidden="1" x14ac:dyDescent="0.3">
      <c r="A723" t="s">
        <v>223</v>
      </c>
      <c r="B723" s="2">
        <v>46082</v>
      </c>
      <c r="C723" s="10" t="s">
        <v>892</v>
      </c>
      <c r="D723" s="10">
        <v>0</v>
      </c>
      <c r="E723" s="10" t="s">
        <v>33</v>
      </c>
      <c r="F723" s="10" t="s">
        <v>33</v>
      </c>
      <c r="G723" s="10" t="s">
        <v>932</v>
      </c>
      <c r="H723" s="10" t="s">
        <v>36</v>
      </c>
    </row>
    <row r="724" spans="1:8" hidden="1" x14ac:dyDescent="0.3">
      <c r="A724" t="s">
        <v>223</v>
      </c>
      <c r="B724" s="2">
        <v>46113</v>
      </c>
      <c r="C724" s="10" t="s">
        <v>896</v>
      </c>
      <c r="D724" s="10">
        <v>0</v>
      </c>
      <c r="E724" s="10" t="s">
        <v>33</v>
      </c>
      <c r="F724" s="10" t="s">
        <v>33</v>
      </c>
      <c r="G724" s="10" t="s">
        <v>932</v>
      </c>
      <c r="H724" s="10" t="s">
        <v>36</v>
      </c>
    </row>
    <row r="725" spans="1:8" hidden="1" x14ac:dyDescent="0.3">
      <c r="A725" t="s">
        <v>223</v>
      </c>
      <c r="B725" s="2">
        <v>46143</v>
      </c>
      <c r="C725" s="10" t="s">
        <v>892</v>
      </c>
      <c r="D725" s="10">
        <v>0</v>
      </c>
      <c r="E725" s="10" t="s">
        <v>33</v>
      </c>
      <c r="F725" s="10" t="s">
        <v>33</v>
      </c>
      <c r="G725" s="10" t="s">
        <v>932</v>
      </c>
      <c r="H725" s="10" t="s">
        <v>36</v>
      </c>
    </row>
    <row r="726" spans="1:8" hidden="1" x14ac:dyDescent="0.3">
      <c r="A726" t="s">
        <v>223</v>
      </c>
      <c r="B726" s="2">
        <v>46235</v>
      </c>
      <c r="C726" s="10" t="s">
        <v>896</v>
      </c>
      <c r="D726">
        <v>0</v>
      </c>
      <c r="E726" t="s">
        <v>33</v>
      </c>
      <c r="F726" t="s">
        <v>33</v>
      </c>
      <c r="G726" s="10" t="s">
        <v>932</v>
      </c>
      <c r="H726" t="s">
        <v>36</v>
      </c>
    </row>
    <row r="727" spans="1:8" ht="43.2" hidden="1" customHeight="1" x14ac:dyDescent="0.3">
      <c r="A727" t="s">
        <v>223</v>
      </c>
      <c r="B727" s="2">
        <v>46204</v>
      </c>
      <c r="C727" s="10">
        <v>31</v>
      </c>
      <c r="D727">
        <v>0</v>
      </c>
      <c r="E727" t="s">
        <v>33</v>
      </c>
      <c r="F727" t="s">
        <v>33</v>
      </c>
      <c r="G727" s="10" t="s">
        <v>932</v>
      </c>
      <c r="H727" t="s">
        <v>36</v>
      </c>
    </row>
    <row r="728" spans="1:8" ht="57.6" hidden="1" customHeight="1" x14ac:dyDescent="0.3">
      <c r="A728" t="s">
        <v>223</v>
      </c>
      <c r="B728" s="2">
        <v>46174</v>
      </c>
      <c r="C728" s="10" t="s">
        <v>896</v>
      </c>
      <c r="D728" s="10">
        <v>0</v>
      </c>
      <c r="E728" s="10" t="s">
        <v>33</v>
      </c>
      <c r="F728" s="10" t="s">
        <v>33</v>
      </c>
      <c r="G728" s="10" t="s">
        <v>996</v>
      </c>
      <c r="H728" s="10" t="s">
        <v>36</v>
      </c>
    </row>
    <row r="729" spans="1:8" ht="57.6" hidden="1" customHeight="1" x14ac:dyDescent="0.3">
      <c r="A729" t="s">
        <v>120</v>
      </c>
      <c r="B729" s="2">
        <v>45536</v>
      </c>
      <c r="C729" s="10"/>
    </row>
    <row r="730" spans="1:8" ht="57.6" hidden="1" customHeight="1" x14ac:dyDescent="0.3">
      <c r="A730" t="s">
        <v>120</v>
      </c>
      <c r="B730" s="2">
        <v>45566</v>
      </c>
      <c r="C730" s="10"/>
    </row>
    <row r="731" spans="1:8" ht="57.6" hidden="1" customHeight="1" x14ac:dyDescent="0.3">
      <c r="A731" t="s">
        <v>120</v>
      </c>
      <c r="B731" s="2">
        <v>45597</v>
      </c>
      <c r="C731" s="10"/>
    </row>
    <row r="732" spans="1:8" ht="57.6" hidden="1" customHeight="1" x14ac:dyDescent="0.3">
      <c r="A732" t="s">
        <v>120</v>
      </c>
      <c r="B732" s="2">
        <v>45627</v>
      </c>
      <c r="C732" s="10"/>
    </row>
    <row r="733" spans="1:8" ht="57.6" hidden="1" customHeight="1" x14ac:dyDescent="0.3">
      <c r="A733" t="s">
        <v>120</v>
      </c>
      <c r="B733" s="2">
        <v>45658</v>
      </c>
      <c r="C733" s="10"/>
    </row>
    <row r="734" spans="1:8" ht="57.6" hidden="1" customHeight="1" x14ac:dyDescent="0.3">
      <c r="A734" t="s">
        <v>120</v>
      </c>
      <c r="B734" s="2">
        <v>45689</v>
      </c>
      <c r="C734" s="10" t="s">
        <v>495</v>
      </c>
    </row>
    <row r="735" spans="1:8" ht="57.6" hidden="1" customHeight="1" x14ac:dyDescent="0.3">
      <c r="A735" t="s">
        <v>120</v>
      </c>
      <c r="B735" s="2">
        <v>45717</v>
      </c>
      <c r="C735" s="10" t="s">
        <v>496</v>
      </c>
    </row>
    <row r="736" spans="1:8" ht="57.6" hidden="1" customHeight="1" x14ac:dyDescent="0.3">
      <c r="A736" t="s">
        <v>120</v>
      </c>
      <c r="B736" s="2">
        <v>45748</v>
      </c>
      <c r="C736" s="10" t="s">
        <v>497</v>
      </c>
    </row>
    <row r="737" spans="1:8" ht="115.2" hidden="1" x14ac:dyDescent="0.3">
      <c r="A737" t="s">
        <v>120</v>
      </c>
      <c r="B737" s="2">
        <v>45778</v>
      </c>
      <c r="C737" s="10" t="s">
        <v>498</v>
      </c>
    </row>
    <row r="738" spans="1:8" ht="115.2" hidden="1" x14ac:dyDescent="0.3">
      <c r="A738" t="s">
        <v>120</v>
      </c>
      <c r="B738" s="2">
        <v>45809</v>
      </c>
      <c r="C738" s="10" t="s">
        <v>499</v>
      </c>
    </row>
    <row r="739" spans="1:8" ht="115.2" hidden="1" x14ac:dyDescent="0.3">
      <c r="A739" t="s">
        <v>120</v>
      </c>
      <c r="B739" s="2">
        <v>45839</v>
      </c>
      <c r="C739" s="10" t="s">
        <v>500</v>
      </c>
    </row>
    <row r="740" spans="1:8" ht="115.2" hidden="1" x14ac:dyDescent="0.3">
      <c r="A740" t="s">
        <v>120</v>
      </c>
      <c r="B740" s="2">
        <v>45870</v>
      </c>
      <c r="C740" s="10" t="s">
        <v>501</v>
      </c>
    </row>
    <row r="741" spans="1:8" ht="115.2" hidden="1" x14ac:dyDescent="0.3">
      <c r="A741" t="s">
        <v>120</v>
      </c>
      <c r="B741" s="2">
        <v>45901</v>
      </c>
      <c r="C741" s="10" t="s">
        <v>502</v>
      </c>
    </row>
    <row r="742" spans="1:8" ht="100.8" hidden="1" x14ac:dyDescent="0.3">
      <c r="A742" t="s">
        <v>120</v>
      </c>
      <c r="B742" s="2">
        <v>45931</v>
      </c>
      <c r="C742" s="10" t="s">
        <v>503</v>
      </c>
    </row>
    <row r="743" spans="1:8" ht="100.8" hidden="1" x14ac:dyDescent="0.3">
      <c r="A743" t="s">
        <v>120</v>
      </c>
      <c r="B743" s="2">
        <v>45962</v>
      </c>
      <c r="C743" s="10" t="s">
        <v>504</v>
      </c>
    </row>
    <row r="744" spans="1:8" ht="40.799999999999997" hidden="1" customHeight="1" x14ac:dyDescent="0.3">
      <c r="A744" t="s">
        <v>120</v>
      </c>
      <c r="B744" s="2">
        <v>45992</v>
      </c>
      <c r="C744" s="10" t="s">
        <v>455</v>
      </c>
    </row>
    <row r="745" spans="1:8" hidden="1" x14ac:dyDescent="0.3">
      <c r="A745" t="s">
        <v>120</v>
      </c>
      <c r="B745" s="2">
        <v>46023</v>
      </c>
      <c r="C745" s="10" t="s">
        <v>338</v>
      </c>
    </row>
    <row r="746" spans="1:8" ht="43.2" hidden="1" x14ac:dyDescent="0.3">
      <c r="A746" t="s">
        <v>120</v>
      </c>
      <c r="B746" s="2">
        <v>46054</v>
      </c>
      <c r="C746" s="10" t="s">
        <v>314</v>
      </c>
    </row>
    <row r="747" spans="1:8" ht="43.2" hidden="1" x14ac:dyDescent="0.3">
      <c r="A747" t="s">
        <v>120</v>
      </c>
      <c r="B747" s="2">
        <v>46082</v>
      </c>
      <c r="C747" s="10" t="s">
        <v>314</v>
      </c>
    </row>
    <row r="748" spans="1:8" ht="28.8" hidden="1" x14ac:dyDescent="0.3">
      <c r="A748" t="s">
        <v>120</v>
      </c>
      <c r="B748" s="2">
        <v>46113</v>
      </c>
      <c r="C748" s="10" t="s">
        <v>494</v>
      </c>
    </row>
    <row r="749" spans="1:8" hidden="1" x14ac:dyDescent="0.3">
      <c r="A749" t="s">
        <v>120</v>
      </c>
      <c r="B749" s="2">
        <v>46143</v>
      </c>
      <c r="C749" s="10" t="s">
        <v>852</v>
      </c>
    </row>
    <row r="750" spans="1:8" hidden="1" x14ac:dyDescent="0.3">
      <c r="A750" t="s">
        <v>120</v>
      </c>
      <c r="B750" s="2">
        <v>46235</v>
      </c>
      <c r="C750" s="10" t="s">
        <v>896</v>
      </c>
      <c r="D750">
        <v>0</v>
      </c>
      <c r="E750" t="s">
        <v>33</v>
      </c>
      <c r="F750" t="s">
        <v>33</v>
      </c>
      <c r="G750" t="s">
        <v>36</v>
      </c>
      <c r="H750" t="s">
        <v>36</v>
      </c>
    </row>
    <row r="751" spans="1:8" ht="57.6" hidden="1" customHeight="1" x14ac:dyDescent="0.3">
      <c r="A751" t="s">
        <v>120</v>
      </c>
      <c r="B751" s="2">
        <v>46174</v>
      </c>
      <c r="C751" s="10"/>
    </row>
    <row r="752" spans="1:8" ht="43.2" hidden="1" x14ac:dyDescent="0.3">
      <c r="A752" t="s">
        <v>120</v>
      </c>
      <c r="B752" s="2">
        <v>46204</v>
      </c>
      <c r="C752" s="10">
        <v>31</v>
      </c>
      <c r="D752">
        <v>0</v>
      </c>
      <c r="E752" t="s">
        <v>33</v>
      </c>
      <c r="F752" s="32" t="s">
        <v>1033</v>
      </c>
      <c r="G752" s="32" t="s">
        <v>1032</v>
      </c>
      <c r="H752" t="s">
        <v>1034</v>
      </c>
    </row>
    <row r="753" spans="1:7" hidden="1" x14ac:dyDescent="0.3">
      <c r="A753" t="s">
        <v>122</v>
      </c>
      <c r="B753" s="2">
        <v>45536</v>
      </c>
      <c r="C753" s="10"/>
    </row>
    <row r="754" spans="1:7" hidden="1" x14ac:dyDescent="0.3">
      <c r="A754" t="s">
        <v>122</v>
      </c>
      <c r="B754" s="2">
        <v>45566</v>
      </c>
      <c r="C754" s="10"/>
    </row>
    <row r="755" spans="1:7" hidden="1" x14ac:dyDescent="0.3">
      <c r="A755" t="s">
        <v>122</v>
      </c>
      <c r="B755" s="2">
        <v>45597</v>
      </c>
      <c r="C755" s="10"/>
    </row>
    <row r="756" spans="1:7" hidden="1" x14ac:dyDescent="0.3">
      <c r="A756" t="s">
        <v>122</v>
      </c>
      <c r="B756" s="2">
        <v>45627</v>
      </c>
      <c r="C756" s="10"/>
    </row>
    <row r="757" spans="1:7" hidden="1" x14ac:dyDescent="0.3">
      <c r="A757" t="s">
        <v>122</v>
      </c>
      <c r="B757" s="2">
        <v>45658</v>
      </c>
      <c r="C757" s="10"/>
    </row>
    <row r="758" spans="1:7" ht="57.6" hidden="1" x14ac:dyDescent="0.3">
      <c r="A758" t="s">
        <v>122</v>
      </c>
      <c r="B758" s="2">
        <v>45689</v>
      </c>
      <c r="C758" s="10" t="s">
        <v>505</v>
      </c>
    </row>
    <row r="759" spans="1:7" ht="86.4" hidden="1" x14ac:dyDescent="0.3">
      <c r="A759" t="s">
        <v>122</v>
      </c>
      <c r="B759" s="2">
        <v>45717</v>
      </c>
      <c r="C759" s="10" t="s">
        <v>506</v>
      </c>
    </row>
    <row r="760" spans="1:7" ht="86.4" hidden="1" x14ac:dyDescent="0.3">
      <c r="A760" t="s">
        <v>122</v>
      </c>
      <c r="B760" s="2">
        <v>45748</v>
      </c>
      <c r="C760" s="10" t="s">
        <v>507</v>
      </c>
    </row>
    <row r="761" spans="1:7" ht="115.2" hidden="1" x14ac:dyDescent="0.3">
      <c r="A761" t="s">
        <v>122</v>
      </c>
      <c r="B761" s="2">
        <v>45778</v>
      </c>
      <c r="C761" s="10" t="s">
        <v>508</v>
      </c>
    </row>
    <row r="762" spans="1:7" ht="115.2" hidden="1" x14ac:dyDescent="0.3">
      <c r="A762" t="s">
        <v>122</v>
      </c>
      <c r="B762" s="2">
        <v>45809</v>
      </c>
      <c r="C762" s="10" t="s">
        <v>508</v>
      </c>
    </row>
    <row r="763" spans="1:7" ht="115.2" hidden="1" x14ac:dyDescent="0.3">
      <c r="A763" t="s">
        <v>122</v>
      </c>
      <c r="B763" s="2">
        <v>45839</v>
      </c>
      <c r="C763" s="10" t="s">
        <v>509</v>
      </c>
    </row>
    <row r="764" spans="1:7" ht="115.2" hidden="1" x14ac:dyDescent="0.3">
      <c r="A764" t="s">
        <v>122</v>
      </c>
      <c r="B764" s="2">
        <v>45870</v>
      </c>
      <c r="C764" s="10" t="s">
        <v>510</v>
      </c>
      <c r="G764" s="45"/>
    </row>
    <row r="765" spans="1:7" ht="129.6" hidden="1" x14ac:dyDescent="0.3">
      <c r="A765" t="s">
        <v>122</v>
      </c>
      <c r="B765" s="2">
        <v>45901</v>
      </c>
      <c r="C765" s="10" t="s">
        <v>511</v>
      </c>
    </row>
    <row r="766" spans="1:7" ht="100.8" hidden="1" x14ac:dyDescent="0.3">
      <c r="A766" t="s">
        <v>122</v>
      </c>
      <c r="B766" s="2">
        <v>45931</v>
      </c>
      <c r="C766" s="10" t="s">
        <v>512</v>
      </c>
    </row>
    <row r="767" spans="1:7" ht="100.8" hidden="1" x14ac:dyDescent="0.3">
      <c r="A767" t="s">
        <v>122</v>
      </c>
      <c r="B767" s="2">
        <v>45962</v>
      </c>
      <c r="C767" s="10" t="s">
        <v>513</v>
      </c>
    </row>
    <row r="768" spans="1:7" hidden="1" x14ac:dyDescent="0.3">
      <c r="A768" t="s">
        <v>122</v>
      </c>
      <c r="B768" s="2">
        <v>45992</v>
      </c>
      <c r="C768" s="10" t="s">
        <v>326</v>
      </c>
    </row>
    <row r="769" spans="1:8" hidden="1" x14ac:dyDescent="0.3">
      <c r="A769" t="s">
        <v>122</v>
      </c>
      <c r="B769" s="2">
        <v>46023</v>
      </c>
      <c r="C769" s="10" t="s">
        <v>338</v>
      </c>
    </row>
    <row r="770" spans="1:8" hidden="1" x14ac:dyDescent="0.3">
      <c r="A770" t="s">
        <v>122</v>
      </c>
      <c r="B770" s="2">
        <v>46054</v>
      </c>
      <c r="C770" s="10" t="s">
        <v>326</v>
      </c>
    </row>
    <row r="771" spans="1:8" hidden="1" x14ac:dyDescent="0.3">
      <c r="A771" t="s">
        <v>122</v>
      </c>
      <c r="B771" s="2">
        <v>46082</v>
      </c>
      <c r="C771" s="10" t="s">
        <v>338</v>
      </c>
    </row>
    <row r="772" spans="1:8" hidden="1" x14ac:dyDescent="0.3">
      <c r="A772" t="s">
        <v>122</v>
      </c>
      <c r="B772" s="2">
        <v>46113</v>
      </c>
      <c r="C772" s="10" t="s">
        <v>302</v>
      </c>
    </row>
    <row r="773" spans="1:8" hidden="1" x14ac:dyDescent="0.3">
      <c r="A773" t="s">
        <v>122</v>
      </c>
      <c r="B773" s="2">
        <v>46143</v>
      </c>
      <c r="C773" s="10" t="s">
        <v>302</v>
      </c>
    </row>
    <row r="774" spans="1:8" hidden="1" x14ac:dyDescent="0.3">
      <c r="A774" t="s">
        <v>122</v>
      </c>
      <c r="B774" s="2">
        <v>46235</v>
      </c>
      <c r="C774" t="s">
        <v>896</v>
      </c>
      <c r="D774">
        <v>0</v>
      </c>
      <c r="E774" t="s">
        <v>33</v>
      </c>
      <c r="F774" t="s">
        <v>33</v>
      </c>
      <c r="G774" t="s">
        <v>338</v>
      </c>
      <c r="H774" t="s">
        <v>36</v>
      </c>
    </row>
    <row r="775" spans="1:8" hidden="1" x14ac:dyDescent="0.3">
      <c r="A775" t="s">
        <v>122</v>
      </c>
      <c r="B775" s="2">
        <v>46174</v>
      </c>
      <c r="C775" s="10"/>
    </row>
    <row r="776" spans="1:8" hidden="1" x14ac:dyDescent="0.3">
      <c r="A776" t="s">
        <v>122</v>
      </c>
      <c r="B776" s="2">
        <v>46204</v>
      </c>
      <c r="C776" s="10">
        <v>31</v>
      </c>
      <c r="D776">
        <v>0</v>
      </c>
      <c r="E776" t="s">
        <v>33</v>
      </c>
      <c r="F776" t="s">
        <v>33</v>
      </c>
      <c r="G776" t="s">
        <v>1014</v>
      </c>
      <c r="H776" t="s">
        <v>36</v>
      </c>
    </row>
    <row r="777" spans="1:8" ht="28.8" hidden="1" x14ac:dyDescent="0.3">
      <c r="A777" t="s">
        <v>124</v>
      </c>
      <c r="B777" s="2">
        <v>45536</v>
      </c>
      <c r="C777" s="10" t="s">
        <v>514</v>
      </c>
    </row>
    <row r="778" spans="1:8" hidden="1" x14ac:dyDescent="0.3">
      <c r="A778" t="s">
        <v>124</v>
      </c>
      <c r="B778" s="2">
        <v>45566</v>
      </c>
      <c r="C778" s="10"/>
    </row>
    <row r="779" spans="1:8" hidden="1" x14ac:dyDescent="0.3">
      <c r="A779" t="s">
        <v>124</v>
      </c>
      <c r="B779" s="2">
        <v>45597</v>
      </c>
      <c r="C779" s="10"/>
    </row>
    <row r="780" spans="1:8" hidden="1" x14ac:dyDescent="0.3">
      <c r="A780" t="s">
        <v>124</v>
      </c>
      <c r="B780" s="2">
        <v>45627</v>
      </c>
      <c r="C780" s="10"/>
    </row>
    <row r="781" spans="1:8" hidden="1" x14ac:dyDescent="0.3">
      <c r="A781" t="s">
        <v>124</v>
      </c>
      <c r="B781" s="2">
        <v>45658</v>
      </c>
      <c r="C781" s="10"/>
    </row>
    <row r="782" spans="1:8" ht="43.2" hidden="1" x14ac:dyDescent="0.3">
      <c r="A782" t="s">
        <v>124</v>
      </c>
      <c r="B782" s="2">
        <v>45689</v>
      </c>
      <c r="C782" s="10" t="s">
        <v>515</v>
      </c>
    </row>
    <row r="783" spans="1:8" ht="100.8" hidden="1" x14ac:dyDescent="0.3">
      <c r="A783" t="s">
        <v>124</v>
      </c>
      <c r="B783" s="2">
        <v>45717</v>
      </c>
      <c r="C783" s="10" t="s">
        <v>516</v>
      </c>
    </row>
    <row r="784" spans="1:8" ht="100.8" hidden="1" x14ac:dyDescent="0.3">
      <c r="A784" t="s">
        <v>124</v>
      </c>
      <c r="B784" s="2">
        <v>45748</v>
      </c>
      <c r="C784" s="10" t="s">
        <v>517</v>
      </c>
    </row>
    <row r="785" spans="1:8" ht="115.2" hidden="1" x14ac:dyDescent="0.3">
      <c r="A785" t="s">
        <v>124</v>
      </c>
      <c r="B785" s="2">
        <v>45778</v>
      </c>
      <c r="C785" s="10" t="s">
        <v>518</v>
      </c>
    </row>
    <row r="786" spans="1:8" ht="115.2" hidden="1" x14ac:dyDescent="0.3">
      <c r="A786" t="s">
        <v>124</v>
      </c>
      <c r="B786" s="2">
        <v>45809</v>
      </c>
      <c r="C786" s="10" t="s">
        <v>519</v>
      </c>
    </row>
    <row r="787" spans="1:8" ht="100.8" hidden="1" x14ac:dyDescent="0.3">
      <c r="A787" t="s">
        <v>124</v>
      </c>
      <c r="B787" s="2">
        <v>45839</v>
      </c>
      <c r="C787" s="10" t="s">
        <v>520</v>
      </c>
    </row>
    <row r="788" spans="1:8" ht="100.8" hidden="1" x14ac:dyDescent="0.3">
      <c r="A788" t="s">
        <v>124</v>
      </c>
      <c r="B788" s="2">
        <v>45870</v>
      </c>
      <c r="C788" s="10" t="s">
        <v>521</v>
      </c>
    </row>
    <row r="789" spans="1:8" ht="100.8" hidden="1" x14ac:dyDescent="0.3">
      <c r="A789" t="s">
        <v>124</v>
      </c>
      <c r="B789" s="2">
        <v>45901</v>
      </c>
      <c r="C789" s="10" t="s">
        <v>522</v>
      </c>
    </row>
    <row r="790" spans="1:8" ht="100.8" hidden="1" x14ac:dyDescent="0.3">
      <c r="A790" t="s">
        <v>124</v>
      </c>
      <c r="B790" s="2">
        <v>45931</v>
      </c>
      <c r="C790" s="10" t="s">
        <v>523</v>
      </c>
    </row>
    <row r="791" spans="1:8" ht="100.8" hidden="1" x14ac:dyDescent="0.3">
      <c r="A791" t="s">
        <v>124</v>
      </c>
      <c r="B791" s="2">
        <v>45962</v>
      </c>
      <c r="C791" s="10" t="s">
        <v>524</v>
      </c>
    </row>
    <row r="792" spans="1:8" ht="28.8" hidden="1" x14ac:dyDescent="0.3">
      <c r="A792" t="s">
        <v>124</v>
      </c>
      <c r="B792" s="2">
        <v>45992</v>
      </c>
      <c r="C792" s="10" t="s">
        <v>525</v>
      </c>
    </row>
    <row r="793" spans="1:8" ht="28.8" hidden="1" x14ac:dyDescent="0.3">
      <c r="A793" t="s">
        <v>124</v>
      </c>
      <c r="B793" s="2">
        <v>46023</v>
      </c>
      <c r="C793" s="10" t="s">
        <v>526</v>
      </c>
    </row>
    <row r="794" spans="1:8" hidden="1" x14ac:dyDescent="0.3">
      <c r="A794" t="s">
        <v>124</v>
      </c>
      <c r="B794" s="2">
        <v>46054</v>
      </c>
      <c r="C794" s="10" t="s">
        <v>326</v>
      </c>
    </row>
    <row r="795" spans="1:8" hidden="1" x14ac:dyDescent="0.3">
      <c r="A795" t="s">
        <v>124</v>
      </c>
      <c r="B795" s="2">
        <v>46082</v>
      </c>
      <c r="C795" s="10" t="s">
        <v>326</v>
      </c>
    </row>
    <row r="796" spans="1:8" ht="28.8" hidden="1" x14ac:dyDescent="0.3">
      <c r="A796" t="s">
        <v>124</v>
      </c>
      <c r="B796" s="2">
        <v>46113</v>
      </c>
      <c r="C796" s="10" t="s">
        <v>527</v>
      </c>
    </row>
    <row r="797" spans="1:8" hidden="1" x14ac:dyDescent="0.3">
      <c r="A797" t="s">
        <v>124</v>
      </c>
      <c r="B797" s="2">
        <v>46143</v>
      </c>
      <c r="C797" s="10" t="s">
        <v>302</v>
      </c>
    </row>
    <row r="798" spans="1:8" hidden="1" x14ac:dyDescent="0.3">
      <c r="A798" t="s">
        <v>124</v>
      </c>
      <c r="B798" s="2">
        <v>46235</v>
      </c>
      <c r="C798" t="s">
        <v>896</v>
      </c>
      <c r="D798">
        <v>0</v>
      </c>
      <c r="E798" t="s">
        <v>33</v>
      </c>
      <c r="F798" t="s">
        <v>33</v>
      </c>
      <c r="G798" t="s">
        <v>338</v>
      </c>
      <c r="H798" t="s">
        <v>36</v>
      </c>
    </row>
    <row r="799" spans="1:8" ht="57.6" hidden="1" customHeight="1" x14ac:dyDescent="0.3">
      <c r="A799" t="s">
        <v>124</v>
      </c>
      <c r="B799" s="2">
        <v>46174</v>
      </c>
      <c r="C799" s="10"/>
    </row>
    <row r="800" spans="1:8" ht="100.95" hidden="1" customHeight="1" x14ac:dyDescent="0.3">
      <c r="A800" t="s">
        <v>124</v>
      </c>
      <c r="B800" s="2">
        <v>46204</v>
      </c>
      <c r="C800" s="10">
        <v>31</v>
      </c>
      <c r="D800">
        <v>0</v>
      </c>
      <c r="E800" t="s">
        <v>33</v>
      </c>
      <c r="F800" t="s">
        <v>33</v>
      </c>
      <c r="G800" t="s">
        <v>1014</v>
      </c>
      <c r="H800" t="s">
        <v>36</v>
      </c>
    </row>
    <row r="801" spans="1:8" ht="72" hidden="1" customHeight="1" x14ac:dyDescent="0.3">
      <c r="A801" t="s">
        <v>127</v>
      </c>
      <c r="B801" s="2">
        <v>45536</v>
      </c>
      <c r="C801" s="10"/>
    </row>
    <row r="802" spans="1:8" ht="72" hidden="1" customHeight="1" x14ac:dyDescent="0.3">
      <c r="A802" t="s">
        <v>127</v>
      </c>
      <c r="B802" s="2">
        <v>45566</v>
      </c>
      <c r="C802" s="10"/>
    </row>
    <row r="803" spans="1:8" ht="57.6" hidden="1" customHeight="1" x14ac:dyDescent="0.3">
      <c r="A803" t="s">
        <v>127</v>
      </c>
      <c r="B803" s="2">
        <v>45597</v>
      </c>
      <c r="C803" s="10"/>
    </row>
    <row r="804" spans="1:8" hidden="1" x14ac:dyDescent="0.3">
      <c r="A804" t="s">
        <v>127</v>
      </c>
      <c r="B804" s="2">
        <v>45627</v>
      </c>
      <c r="C804" s="10"/>
    </row>
    <row r="805" spans="1:8" hidden="1" x14ac:dyDescent="0.3">
      <c r="A805" t="s">
        <v>127</v>
      </c>
      <c r="B805" s="2">
        <v>45658</v>
      </c>
      <c r="C805" s="10"/>
    </row>
    <row r="806" spans="1:8" ht="72" hidden="1" x14ac:dyDescent="0.3">
      <c r="A806" t="s">
        <v>127</v>
      </c>
      <c r="B806" s="2">
        <v>45689</v>
      </c>
      <c r="C806" s="10" t="s">
        <v>528</v>
      </c>
    </row>
    <row r="807" spans="1:8" hidden="1" x14ac:dyDescent="0.3">
      <c r="A807" t="s">
        <v>127</v>
      </c>
      <c r="B807" s="2">
        <v>45717</v>
      </c>
      <c r="C807" s="10" t="s">
        <v>529</v>
      </c>
    </row>
    <row r="808" spans="1:8" ht="28.8" hidden="1" x14ac:dyDescent="0.3">
      <c r="A808" t="s">
        <v>127</v>
      </c>
      <c r="B808" s="2">
        <v>45748</v>
      </c>
      <c r="C808" s="10" t="s">
        <v>530</v>
      </c>
    </row>
    <row r="809" spans="1:8" hidden="1" x14ac:dyDescent="0.3">
      <c r="A809" t="s">
        <v>127</v>
      </c>
      <c r="B809" s="2">
        <v>45778</v>
      </c>
      <c r="C809" s="10" t="s">
        <v>531</v>
      </c>
    </row>
    <row r="810" spans="1:8" hidden="1" x14ac:dyDescent="0.3">
      <c r="A810" t="s">
        <v>127</v>
      </c>
      <c r="B810" s="2">
        <v>45809</v>
      </c>
      <c r="C810" s="10" t="s">
        <v>531</v>
      </c>
    </row>
    <row r="811" spans="1:8" ht="28.8" hidden="1" x14ac:dyDescent="0.3">
      <c r="A811" t="s">
        <v>127</v>
      </c>
      <c r="B811" s="2">
        <v>45839</v>
      </c>
      <c r="C811" t="s">
        <v>911</v>
      </c>
      <c r="D811">
        <v>0</v>
      </c>
      <c r="E811" t="s">
        <v>33</v>
      </c>
      <c r="F811" t="s">
        <v>974</v>
      </c>
      <c r="G811" s="10" t="s">
        <v>932</v>
      </c>
      <c r="H811" s="10" t="s">
        <v>531</v>
      </c>
    </row>
    <row r="812" spans="1:8" ht="28.8" hidden="1" x14ac:dyDescent="0.3">
      <c r="A812" t="s">
        <v>127</v>
      </c>
      <c r="B812" s="2">
        <v>45870</v>
      </c>
      <c r="C812" t="s">
        <v>911</v>
      </c>
      <c r="D812">
        <v>0</v>
      </c>
      <c r="E812" t="s">
        <v>33</v>
      </c>
      <c r="F812" t="s">
        <v>974</v>
      </c>
      <c r="G812" s="10" t="s">
        <v>973</v>
      </c>
      <c r="H812" s="10" t="s">
        <v>531</v>
      </c>
    </row>
    <row r="813" spans="1:8" ht="28.8" hidden="1" x14ac:dyDescent="0.3">
      <c r="A813" t="s">
        <v>127</v>
      </c>
      <c r="B813" s="2">
        <v>45901</v>
      </c>
      <c r="C813" t="s">
        <v>919</v>
      </c>
      <c r="D813">
        <v>0</v>
      </c>
      <c r="E813" t="s">
        <v>33</v>
      </c>
      <c r="F813" t="s">
        <v>974</v>
      </c>
      <c r="G813" s="10" t="s">
        <v>932</v>
      </c>
      <c r="H813" s="10" t="s">
        <v>531</v>
      </c>
    </row>
    <row r="814" spans="1:8" hidden="1" x14ac:dyDescent="0.3">
      <c r="A814" t="s">
        <v>127</v>
      </c>
      <c r="B814" s="2">
        <v>45931</v>
      </c>
      <c r="C814" t="s">
        <v>911</v>
      </c>
      <c r="D814">
        <v>0</v>
      </c>
      <c r="E814" t="s">
        <v>33</v>
      </c>
      <c r="F814" t="s">
        <v>33</v>
      </c>
      <c r="G814" s="10" t="s">
        <v>973</v>
      </c>
      <c r="H814" t="s">
        <v>36</v>
      </c>
    </row>
    <row r="815" spans="1:8" hidden="1" x14ac:dyDescent="0.3">
      <c r="A815" t="s">
        <v>127</v>
      </c>
      <c r="B815" s="2">
        <v>45962</v>
      </c>
      <c r="C815" t="s">
        <v>919</v>
      </c>
      <c r="D815">
        <v>0</v>
      </c>
      <c r="E815" t="s">
        <v>33</v>
      </c>
      <c r="F815" t="s">
        <v>33</v>
      </c>
      <c r="G815" s="10" t="s">
        <v>973</v>
      </c>
      <c r="H815" t="s">
        <v>36</v>
      </c>
    </row>
    <row r="816" spans="1:8" hidden="1" x14ac:dyDescent="0.3">
      <c r="A816" t="s">
        <v>127</v>
      </c>
      <c r="B816" s="2">
        <v>45992</v>
      </c>
      <c r="C816" t="s">
        <v>911</v>
      </c>
      <c r="D816">
        <v>0</v>
      </c>
      <c r="E816" t="s">
        <v>33</v>
      </c>
      <c r="F816" t="s">
        <v>33</v>
      </c>
      <c r="G816" s="10" t="s">
        <v>973</v>
      </c>
      <c r="H816" t="s">
        <v>36</v>
      </c>
    </row>
    <row r="817" spans="1:8" hidden="1" x14ac:dyDescent="0.3">
      <c r="A817" t="s">
        <v>127</v>
      </c>
      <c r="B817" s="2">
        <v>46023</v>
      </c>
      <c r="C817" t="s">
        <v>911</v>
      </c>
      <c r="D817">
        <v>0</v>
      </c>
      <c r="E817" t="s">
        <v>33</v>
      </c>
      <c r="F817" t="s">
        <v>33</v>
      </c>
      <c r="G817" s="10" t="s">
        <v>932</v>
      </c>
      <c r="H817" t="s">
        <v>36</v>
      </c>
    </row>
    <row r="818" spans="1:8" hidden="1" x14ac:dyDescent="0.3">
      <c r="A818" t="s">
        <v>127</v>
      </c>
      <c r="B818" s="2">
        <v>46054</v>
      </c>
      <c r="C818" t="s">
        <v>895</v>
      </c>
      <c r="D818">
        <v>0</v>
      </c>
      <c r="E818" t="s">
        <v>33</v>
      </c>
      <c r="F818" t="s">
        <v>33</v>
      </c>
      <c r="G818" s="10" t="s">
        <v>326</v>
      </c>
      <c r="H818" t="s">
        <v>36</v>
      </c>
    </row>
    <row r="819" spans="1:8" hidden="1" x14ac:dyDescent="0.3">
      <c r="A819" t="s">
        <v>127</v>
      </c>
      <c r="B819" s="2">
        <v>46082</v>
      </c>
      <c r="C819" t="s">
        <v>911</v>
      </c>
      <c r="D819">
        <v>0</v>
      </c>
      <c r="E819" t="s">
        <v>33</v>
      </c>
      <c r="F819" t="s">
        <v>33</v>
      </c>
      <c r="G819" s="44" t="s">
        <v>932</v>
      </c>
      <c r="H819" t="s">
        <v>36</v>
      </c>
    </row>
    <row r="820" spans="1:8" hidden="1" x14ac:dyDescent="0.3">
      <c r="A820" t="s">
        <v>127</v>
      </c>
      <c r="B820" s="2">
        <v>46113</v>
      </c>
      <c r="C820" t="s">
        <v>919</v>
      </c>
      <c r="D820">
        <v>0</v>
      </c>
      <c r="E820" t="s">
        <v>33</v>
      </c>
      <c r="F820" t="s">
        <v>33</v>
      </c>
      <c r="G820" s="10" t="s">
        <v>932</v>
      </c>
      <c r="H820" t="s">
        <v>36</v>
      </c>
    </row>
    <row r="821" spans="1:8" hidden="1" x14ac:dyDescent="0.3">
      <c r="A821" t="s">
        <v>127</v>
      </c>
      <c r="B821" s="2">
        <v>46143</v>
      </c>
      <c r="C821" t="s">
        <v>911</v>
      </c>
      <c r="D821">
        <v>0</v>
      </c>
      <c r="E821" t="s">
        <v>33</v>
      </c>
      <c r="F821" t="s">
        <v>33</v>
      </c>
      <c r="G821" s="10" t="s">
        <v>973</v>
      </c>
      <c r="H821" t="s">
        <v>36</v>
      </c>
    </row>
    <row r="822" spans="1:8" hidden="1" x14ac:dyDescent="0.3">
      <c r="A822" t="s">
        <v>127</v>
      </c>
      <c r="B822" s="2">
        <v>46235</v>
      </c>
      <c r="C822" t="s">
        <v>896</v>
      </c>
      <c r="D822">
        <v>0</v>
      </c>
      <c r="E822" t="s">
        <v>33</v>
      </c>
      <c r="F822" t="s">
        <v>33</v>
      </c>
      <c r="G822" t="s">
        <v>338</v>
      </c>
      <c r="H822" t="s">
        <v>36</v>
      </c>
    </row>
    <row r="823" spans="1:8" ht="28.95" hidden="1" customHeight="1" x14ac:dyDescent="0.3">
      <c r="A823" t="s">
        <v>127</v>
      </c>
      <c r="B823" s="2">
        <v>46174</v>
      </c>
      <c r="C823" t="s">
        <v>919</v>
      </c>
      <c r="D823">
        <v>0</v>
      </c>
      <c r="E823" t="s">
        <v>33</v>
      </c>
      <c r="F823" t="s">
        <v>33</v>
      </c>
      <c r="G823" s="10" t="s">
        <v>996</v>
      </c>
      <c r="H823" t="s">
        <v>36</v>
      </c>
    </row>
    <row r="824" spans="1:8" ht="57.6" hidden="1" customHeight="1" x14ac:dyDescent="0.3">
      <c r="A824" t="s">
        <v>127</v>
      </c>
      <c r="B824" s="2">
        <v>46204</v>
      </c>
      <c r="C824" s="10">
        <v>31</v>
      </c>
      <c r="D824">
        <v>0</v>
      </c>
      <c r="E824" t="s">
        <v>33</v>
      </c>
      <c r="F824" t="s">
        <v>1036</v>
      </c>
      <c r="G824" t="s">
        <v>1035</v>
      </c>
      <c r="H824" t="s">
        <v>36</v>
      </c>
    </row>
    <row r="825" spans="1:8" ht="57.6" hidden="1" customHeight="1" x14ac:dyDescent="0.3">
      <c r="A825" t="s">
        <v>234</v>
      </c>
      <c r="B825" s="2">
        <v>45536</v>
      </c>
      <c r="C825" s="10"/>
    </row>
    <row r="826" spans="1:8" ht="57.6" hidden="1" customHeight="1" x14ac:dyDescent="0.3">
      <c r="A826" t="s">
        <v>234</v>
      </c>
      <c r="B826" s="2">
        <v>45566</v>
      </c>
      <c r="C826" s="10"/>
    </row>
    <row r="827" spans="1:8" ht="57.6" hidden="1" customHeight="1" x14ac:dyDescent="0.3">
      <c r="A827" t="s">
        <v>234</v>
      </c>
      <c r="B827" s="2">
        <v>45597</v>
      </c>
      <c r="C827" s="10"/>
    </row>
    <row r="828" spans="1:8" ht="57.6" hidden="1" customHeight="1" x14ac:dyDescent="0.3">
      <c r="A828" t="s">
        <v>234</v>
      </c>
      <c r="B828" s="2">
        <v>45627</v>
      </c>
      <c r="C828" s="10"/>
    </row>
    <row r="829" spans="1:8" ht="57.6" hidden="1" customHeight="1" x14ac:dyDescent="0.3">
      <c r="A829" t="s">
        <v>234</v>
      </c>
      <c r="B829" s="2">
        <v>45658</v>
      </c>
      <c r="C829" s="10"/>
    </row>
    <row r="830" spans="1:8" ht="57.6" hidden="1" customHeight="1" x14ac:dyDescent="0.3">
      <c r="A830" t="s">
        <v>234</v>
      </c>
      <c r="B830" s="2">
        <v>45689</v>
      </c>
      <c r="C830" s="10"/>
    </row>
    <row r="831" spans="1:8" ht="57.6" hidden="1" customHeight="1" x14ac:dyDescent="0.3">
      <c r="A831" t="s">
        <v>234</v>
      </c>
      <c r="B831" s="2">
        <v>45717</v>
      </c>
      <c r="C831" s="10"/>
    </row>
    <row r="832" spans="1:8" ht="57.6" hidden="1" customHeight="1" x14ac:dyDescent="0.3">
      <c r="A832" t="s">
        <v>234</v>
      </c>
      <c r="B832" s="2">
        <v>45748</v>
      </c>
      <c r="C832" s="10"/>
    </row>
    <row r="833" spans="1:8" hidden="1" x14ac:dyDescent="0.3">
      <c r="A833" t="s">
        <v>234</v>
      </c>
      <c r="B833" s="2">
        <v>45778</v>
      </c>
      <c r="C833" s="10"/>
    </row>
    <row r="834" spans="1:8" hidden="1" x14ac:dyDescent="0.3">
      <c r="A834" t="s">
        <v>234</v>
      </c>
      <c r="B834" s="2">
        <v>45809</v>
      </c>
      <c r="C834" s="10"/>
    </row>
    <row r="835" spans="1:8" hidden="1" x14ac:dyDescent="0.3">
      <c r="A835" t="s">
        <v>234</v>
      </c>
      <c r="B835" s="2">
        <v>45839</v>
      </c>
      <c r="C835" s="10"/>
    </row>
    <row r="836" spans="1:8" hidden="1" x14ac:dyDescent="0.3">
      <c r="A836" t="s">
        <v>234</v>
      </c>
      <c r="B836" s="2">
        <v>45870</v>
      </c>
      <c r="C836" s="10"/>
    </row>
    <row r="837" spans="1:8" hidden="1" x14ac:dyDescent="0.3">
      <c r="A837" t="s">
        <v>234</v>
      </c>
      <c r="B837" s="2">
        <v>45901</v>
      </c>
      <c r="C837" s="10"/>
    </row>
    <row r="838" spans="1:8" hidden="1" x14ac:dyDescent="0.3">
      <c r="A838" t="s">
        <v>234</v>
      </c>
      <c r="B838" s="2">
        <v>45931</v>
      </c>
      <c r="C838" s="10"/>
    </row>
    <row r="839" spans="1:8" hidden="1" x14ac:dyDescent="0.3">
      <c r="A839" t="s">
        <v>234</v>
      </c>
      <c r="B839" s="2">
        <v>45962</v>
      </c>
      <c r="C839" s="10"/>
    </row>
    <row r="840" spans="1:8" hidden="1" x14ac:dyDescent="0.3">
      <c r="A840" t="s">
        <v>234</v>
      </c>
      <c r="B840" s="2">
        <v>45992</v>
      </c>
      <c r="C840" s="10" t="s">
        <v>533</v>
      </c>
    </row>
    <row r="841" spans="1:8" hidden="1" x14ac:dyDescent="0.3">
      <c r="A841" t="s">
        <v>234</v>
      </c>
      <c r="B841" s="2">
        <v>46023</v>
      </c>
      <c r="C841" s="10" t="s">
        <v>533</v>
      </c>
    </row>
    <row r="842" spans="1:8" hidden="1" x14ac:dyDescent="0.3">
      <c r="A842" t="s">
        <v>234</v>
      </c>
      <c r="B842" s="2">
        <v>46054</v>
      </c>
      <c r="C842" s="10" t="s">
        <v>326</v>
      </c>
    </row>
    <row r="843" spans="1:8" hidden="1" x14ac:dyDescent="0.3">
      <c r="A843" t="s">
        <v>234</v>
      </c>
      <c r="B843" s="2">
        <v>46082</v>
      </c>
      <c r="C843" s="10" t="s">
        <v>326</v>
      </c>
    </row>
    <row r="844" spans="1:8" hidden="1" x14ac:dyDescent="0.3">
      <c r="A844" t="s">
        <v>234</v>
      </c>
      <c r="B844" s="2">
        <v>46113</v>
      </c>
      <c r="C844" s="10" t="s">
        <v>302</v>
      </c>
    </row>
    <row r="845" spans="1:8" hidden="1" x14ac:dyDescent="0.3">
      <c r="A845" t="s">
        <v>234</v>
      </c>
      <c r="B845" s="2">
        <v>46143</v>
      </c>
      <c r="C845" s="10" t="s">
        <v>302</v>
      </c>
    </row>
    <row r="846" spans="1:8" hidden="1" x14ac:dyDescent="0.3">
      <c r="A846" t="s">
        <v>234</v>
      </c>
      <c r="B846" s="2">
        <v>46235</v>
      </c>
      <c r="C846" t="s">
        <v>896</v>
      </c>
      <c r="D846">
        <v>0</v>
      </c>
      <c r="E846" t="s">
        <v>33</v>
      </c>
      <c r="F846" t="s">
        <v>33</v>
      </c>
      <c r="G846" t="s">
        <v>338</v>
      </c>
      <c r="H846" t="s">
        <v>36</v>
      </c>
    </row>
    <row r="847" spans="1:8" ht="43.2" hidden="1" customHeight="1" x14ac:dyDescent="0.3">
      <c r="A847" t="s">
        <v>234</v>
      </c>
      <c r="B847" s="2">
        <v>46174</v>
      </c>
      <c r="C847" s="10">
        <v>31</v>
      </c>
      <c r="D847">
        <v>0</v>
      </c>
      <c r="E847" t="s">
        <v>33</v>
      </c>
      <c r="F847" t="s">
        <v>33</v>
      </c>
      <c r="G847" t="s">
        <v>1014</v>
      </c>
      <c r="H847" t="s">
        <v>36</v>
      </c>
    </row>
    <row r="848" spans="1:8" hidden="1" x14ac:dyDescent="0.3">
      <c r="A848" t="s">
        <v>234</v>
      </c>
      <c r="B848" s="2">
        <v>46204</v>
      </c>
      <c r="C848" s="10">
        <v>31</v>
      </c>
      <c r="D848">
        <v>0</v>
      </c>
      <c r="E848" t="s">
        <v>33</v>
      </c>
      <c r="F848" t="s">
        <v>33</v>
      </c>
      <c r="G848" t="s">
        <v>1014</v>
      </c>
      <c r="H848" t="s">
        <v>36</v>
      </c>
    </row>
    <row r="849" spans="1:8" hidden="1" x14ac:dyDescent="0.3">
      <c r="A849" t="s">
        <v>131</v>
      </c>
      <c r="B849" s="2">
        <v>45536</v>
      </c>
      <c r="C849" s="10"/>
    </row>
    <row r="850" spans="1:8" hidden="1" x14ac:dyDescent="0.3">
      <c r="A850" t="s">
        <v>131</v>
      </c>
      <c r="B850" s="2">
        <v>45566</v>
      </c>
      <c r="C850" s="10"/>
    </row>
    <row r="851" spans="1:8" hidden="1" x14ac:dyDescent="0.3">
      <c r="A851" t="s">
        <v>131</v>
      </c>
      <c r="B851" s="2">
        <v>45597</v>
      </c>
      <c r="C851" s="10"/>
    </row>
    <row r="852" spans="1:8" hidden="1" x14ac:dyDescent="0.3">
      <c r="A852" t="s">
        <v>131</v>
      </c>
      <c r="B852" s="2">
        <v>45627</v>
      </c>
      <c r="C852" s="10"/>
    </row>
    <row r="853" spans="1:8" hidden="1" x14ac:dyDescent="0.3">
      <c r="A853" t="s">
        <v>131</v>
      </c>
      <c r="B853" s="2">
        <v>45658</v>
      </c>
      <c r="C853" s="10"/>
    </row>
    <row r="854" spans="1:8" ht="100.8" hidden="1" x14ac:dyDescent="0.3">
      <c r="A854" t="s">
        <v>131</v>
      </c>
      <c r="B854" s="2">
        <v>45689</v>
      </c>
      <c r="C854" s="10" t="s">
        <v>534</v>
      </c>
    </row>
    <row r="855" spans="1:8" ht="187.2" hidden="1" x14ac:dyDescent="0.3">
      <c r="A855" t="s">
        <v>131</v>
      </c>
      <c r="B855" s="2">
        <v>45717</v>
      </c>
      <c r="C855" s="10" t="s">
        <v>535</v>
      </c>
    </row>
    <row r="856" spans="1:8" ht="115.2" hidden="1" x14ac:dyDescent="0.3">
      <c r="A856" t="s">
        <v>131</v>
      </c>
      <c r="B856" s="2">
        <v>45748</v>
      </c>
      <c r="C856" s="10" t="s">
        <v>536</v>
      </c>
    </row>
    <row r="857" spans="1:8" ht="129.6" hidden="1" x14ac:dyDescent="0.3">
      <c r="A857" t="s">
        <v>131</v>
      </c>
      <c r="B857" s="2">
        <v>45778</v>
      </c>
      <c r="C857" s="10" t="s">
        <v>537</v>
      </c>
    </row>
    <row r="858" spans="1:8" ht="100.8" hidden="1" x14ac:dyDescent="0.3">
      <c r="A858" t="s">
        <v>131</v>
      </c>
      <c r="B858" s="2">
        <v>45809</v>
      </c>
      <c r="C858" s="10" t="s">
        <v>538</v>
      </c>
    </row>
    <row r="859" spans="1:8" hidden="1" x14ac:dyDescent="0.3">
      <c r="A859" t="s">
        <v>131</v>
      </c>
      <c r="B859" s="2">
        <v>45839</v>
      </c>
      <c r="C859" t="s">
        <v>911</v>
      </c>
      <c r="D859">
        <v>0</v>
      </c>
      <c r="E859" t="s">
        <v>33</v>
      </c>
      <c r="F859" t="s">
        <v>33</v>
      </c>
      <c r="G859" s="10" t="s">
        <v>338</v>
      </c>
      <c r="H859" t="s">
        <v>36</v>
      </c>
    </row>
    <row r="860" spans="1:8" hidden="1" x14ac:dyDescent="0.3">
      <c r="A860" t="s">
        <v>131</v>
      </c>
      <c r="B860" s="2">
        <v>45870</v>
      </c>
      <c r="C860" t="s">
        <v>911</v>
      </c>
      <c r="D860">
        <v>0</v>
      </c>
      <c r="E860" t="s">
        <v>33</v>
      </c>
      <c r="F860" t="s">
        <v>33</v>
      </c>
      <c r="G860" s="10" t="s">
        <v>338</v>
      </c>
      <c r="H860" t="s">
        <v>36</v>
      </c>
    </row>
    <row r="861" spans="1:8" hidden="1" x14ac:dyDescent="0.3">
      <c r="A861" t="s">
        <v>131</v>
      </c>
      <c r="B861" s="2">
        <v>45901</v>
      </c>
      <c r="C861" t="s">
        <v>919</v>
      </c>
      <c r="D861">
        <v>0</v>
      </c>
      <c r="E861" t="s">
        <v>33</v>
      </c>
      <c r="F861" t="s">
        <v>33</v>
      </c>
      <c r="G861" s="10" t="s">
        <v>338</v>
      </c>
      <c r="H861" t="s">
        <v>36</v>
      </c>
    </row>
    <row r="862" spans="1:8" hidden="1" x14ac:dyDescent="0.3">
      <c r="A862" t="s">
        <v>131</v>
      </c>
      <c r="B862" s="2">
        <v>45931</v>
      </c>
      <c r="C862" t="s">
        <v>911</v>
      </c>
      <c r="D862">
        <v>0</v>
      </c>
      <c r="E862" t="s">
        <v>33</v>
      </c>
      <c r="F862" t="s">
        <v>33</v>
      </c>
      <c r="G862" s="10" t="s">
        <v>338</v>
      </c>
      <c r="H862" t="s">
        <v>36</v>
      </c>
    </row>
    <row r="863" spans="1:8" hidden="1" x14ac:dyDescent="0.3">
      <c r="A863" t="s">
        <v>131</v>
      </c>
      <c r="B863" s="2">
        <v>45962</v>
      </c>
      <c r="C863" t="s">
        <v>919</v>
      </c>
      <c r="D863">
        <v>0</v>
      </c>
      <c r="E863" t="s">
        <v>33</v>
      </c>
      <c r="F863" t="s">
        <v>33</v>
      </c>
      <c r="G863" s="10" t="s">
        <v>338</v>
      </c>
      <c r="H863" t="s">
        <v>36</v>
      </c>
    </row>
    <row r="864" spans="1:8" hidden="1" x14ac:dyDescent="0.3">
      <c r="A864" t="s">
        <v>131</v>
      </c>
      <c r="B864" s="2">
        <v>45992</v>
      </c>
      <c r="C864" t="s">
        <v>911</v>
      </c>
      <c r="D864">
        <v>0</v>
      </c>
      <c r="E864" t="s">
        <v>33</v>
      </c>
      <c r="F864" t="s">
        <v>33</v>
      </c>
      <c r="G864" s="10" t="s">
        <v>338</v>
      </c>
      <c r="H864" t="s">
        <v>36</v>
      </c>
    </row>
    <row r="865" spans="1:8" hidden="1" x14ac:dyDescent="0.3">
      <c r="A865" t="s">
        <v>131</v>
      </c>
      <c r="B865" s="2">
        <v>46023</v>
      </c>
      <c r="C865" t="s">
        <v>911</v>
      </c>
      <c r="D865">
        <v>0</v>
      </c>
      <c r="E865" t="s">
        <v>33</v>
      </c>
      <c r="F865" t="s">
        <v>33</v>
      </c>
      <c r="G865" s="10" t="s">
        <v>338</v>
      </c>
      <c r="H865" t="s">
        <v>36</v>
      </c>
    </row>
    <row r="866" spans="1:8" hidden="1" x14ac:dyDescent="0.3">
      <c r="A866" t="s">
        <v>131</v>
      </c>
      <c r="B866" s="2">
        <v>46054</v>
      </c>
      <c r="C866" t="s">
        <v>895</v>
      </c>
      <c r="D866">
        <v>0</v>
      </c>
      <c r="E866" t="s">
        <v>33</v>
      </c>
      <c r="F866" t="s">
        <v>33</v>
      </c>
      <c r="G866" s="10" t="s">
        <v>338</v>
      </c>
      <c r="H866" t="s">
        <v>36</v>
      </c>
    </row>
    <row r="867" spans="1:8" hidden="1" x14ac:dyDescent="0.3">
      <c r="A867" t="s">
        <v>131</v>
      </c>
      <c r="B867" s="2">
        <v>46082</v>
      </c>
      <c r="C867" t="s">
        <v>911</v>
      </c>
      <c r="D867">
        <v>0</v>
      </c>
      <c r="E867" t="s">
        <v>33</v>
      </c>
      <c r="F867" t="s">
        <v>33</v>
      </c>
      <c r="G867" s="10" t="s">
        <v>338</v>
      </c>
      <c r="H867" t="s">
        <v>36</v>
      </c>
    </row>
    <row r="868" spans="1:8" hidden="1" x14ac:dyDescent="0.3">
      <c r="A868" t="s">
        <v>131</v>
      </c>
      <c r="B868" s="2">
        <v>46113</v>
      </c>
      <c r="C868" t="s">
        <v>919</v>
      </c>
      <c r="D868">
        <v>0</v>
      </c>
      <c r="E868" t="s">
        <v>33</v>
      </c>
      <c r="F868" t="s">
        <v>33</v>
      </c>
      <c r="G868" s="10" t="s">
        <v>338</v>
      </c>
      <c r="H868" t="s">
        <v>36</v>
      </c>
    </row>
    <row r="869" spans="1:8" hidden="1" x14ac:dyDescent="0.3">
      <c r="A869" t="s">
        <v>131</v>
      </c>
      <c r="B869" s="2">
        <v>46143</v>
      </c>
      <c r="C869" t="s">
        <v>911</v>
      </c>
      <c r="D869">
        <v>0</v>
      </c>
      <c r="E869" t="s">
        <v>33</v>
      </c>
      <c r="F869" t="s">
        <v>33</v>
      </c>
      <c r="G869" s="10" t="s">
        <v>338</v>
      </c>
      <c r="H869" t="s">
        <v>36</v>
      </c>
    </row>
    <row r="870" spans="1:8" hidden="1" x14ac:dyDescent="0.3">
      <c r="A870" t="s">
        <v>131</v>
      </c>
      <c r="B870" s="2">
        <v>46235</v>
      </c>
      <c r="C870" t="s">
        <v>896</v>
      </c>
      <c r="D870">
        <v>0</v>
      </c>
      <c r="E870" t="s">
        <v>33</v>
      </c>
      <c r="F870" t="s">
        <v>33</v>
      </c>
      <c r="G870" t="s">
        <v>338</v>
      </c>
      <c r="H870" t="s">
        <v>36</v>
      </c>
    </row>
    <row r="871" spans="1:8" hidden="1" x14ac:dyDescent="0.3">
      <c r="A871" t="s">
        <v>131</v>
      </c>
      <c r="B871" s="2">
        <v>46174</v>
      </c>
      <c r="C871" t="s">
        <v>919</v>
      </c>
      <c r="D871">
        <v>0</v>
      </c>
      <c r="E871" t="s">
        <v>33</v>
      </c>
      <c r="F871" t="s">
        <v>33</v>
      </c>
      <c r="G871" s="10" t="s">
        <v>338</v>
      </c>
      <c r="H871" t="s">
        <v>36</v>
      </c>
    </row>
    <row r="872" spans="1:8" hidden="1" x14ac:dyDescent="0.3">
      <c r="A872" t="s">
        <v>131</v>
      </c>
      <c r="B872" s="2">
        <v>46204</v>
      </c>
      <c r="C872" s="10">
        <v>31</v>
      </c>
      <c r="D872">
        <v>0</v>
      </c>
      <c r="E872" t="s">
        <v>33</v>
      </c>
      <c r="F872" t="s">
        <v>33</v>
      </c>
      <c r="G872" t="s">
        <v>1014</v>
      </c>
      <c r="H872" t="s">
        <v>36</v>
      </c>
    </row>
    <row r="873" spans="1:8" hidden="1" x14ac:dyDescent="0.3">
      <c r="A873" t="s">
        <v>134</v>
      </c>
      <c r="B873" s="2">
        <v>45536</v>
      </c>
      <c r="C873" s="10"/>
    </row>
    <row r="874" spans="1:8" hidden="1" x14ac:dyDescent="0.3">
      <c r="A874" t="s">
        <v>134</v>
      </c>
      <c r="B874" s="2">
        <v>45566</v>
      </c>
      <c r="C874" s="10"/>
    </row>
    <row r="875" spans="1:8" hidden="1" x14ac:dyDescent="0.3">
      <c r="A875" t="s">
        <v>134</v>
      </c>
      <c r="B875" s="2">
        <v>45597</v>
      </c>
      <c r="C875" s="10"/>
    </row>
    <row r="876" spans="1:8" hidden="1" x14ac:dyDescent="0.3">
      <c r="A876" t="s">
        <v>134</v>
      </c>
      <c r="B876" s="2">
        <v>45627</v>
      </c>
      <c r="C876" s="10"/>
    </row>
    <row r="877" spans="1:8" hidden="1" x14ac:dyDescent="0.3">
      <c r="A877" t="s">
        <v>134</v>
      </c>
      <c r="B877" s="2">
        <v>45658</v>
      </c>
      <c r="C877" s="10"/>
    </row>
    <row r="878" spans="1:8" ht="43.2" hidden="1" x14ac:dyDescent="0.3">
      <c r="A878" t="s">
        <v>134</v>
      </c>
      <c r="B878" s="2">
        <v>45689</v>
      </c>
      <c r="C878" s="10" t="s">
        <v>539</v>
      </c>
    </row>
    <row r="879" spans="1:8" ht="28.95" hidden="1" customHeight="1" x14ac:dyDescent="0.3">
      <c r="A879" t="s">
        <v>134</v>
      </c>
      <c r="B879" s="2">
        <v>45717</v>
      </c>
      <c r="C879" s="10" t="s">
        <v>540</v>
      </c>
    </row>
    <row r="880" spans="1:8" ht="43.2" hidden="1" customHeight="1" x14ac:dyDescent="0.3">
      <c r="A880" t="s">
        <v>134</v>
      </c>
      <c r="B880" s="2">
        <v>45748</v>
      </c>
      <c r="C880" s="10" t="s">
        <v>541</v>
      </c>
    </row>
    <row r="881" spans="1:8" ht="115.2" hidden="1" x14ac:dyDescent="0.3">
      <c r="A881" t="s">
        <v>134</v>
      </c>
      <c r="B881" s="2">
        <v>45778</v>
      </c>
      <c r="C881" s="10" t="s">
        <v>542</v>
      </c>
    </row>
    <row r="882" spans="1:8" ht="115.2" hidden="1" x14ac:dyDescent="0.3">
      <c r="A882" t="s">
        <v>134</v>
      </c>
      <c r="B882" s="2">
        <v>45809</v>
      </c>
      <c r="C882" s="10" t="s">
        <v>543</v>
      </c>
    </row>
    <row r="883" spans="1:8" ht="129.6" hidden="1" x14ac:dyDescent="0.3">
      <c r="A883" t="s">
        <v>134</v>
      </c>
      <c r="B883" s="2">
        <v>45839</v>
      </c>
      <c r="C883" s="10" t="s">
        <v>544</v>
      </c>
    </row>
    <row r="884" spans="1:8" ht="115.2" hidden="1" x14ac:dyDescent="0.3">
      <c r="A884" t="s">
        <v>134</v>
      </c>
      <c r="B884" s="2">
        <v>45870</v>
      </c>
      <c r="C884" s="10" t="s">
        <v>545</v>
      </c>
    </row>
    <row r="885" spans="1:8" ht="100.8" hidden="1" x14ac:dyDescent="0.3">
      <c r="A885" t="s">
        <v>134</v>
      </c>
      <c r="B885" s="2">
        <v>45901</v>
      </c>
      <c r="C885" s="10" t="s">
        <v>546</v>
      </c>
    </row>
    <row r="886" spans="1:8" ht="100.8" hidden="1" x14ac:dyDescent="0.3">
      <c r="A886" t="s">
        <v>134</v>
      </c>
      <c r="B886" s="2">
        <v>45931</v>
      </c>
      <c r="C886" s="10" t="s">
        <v>547</v>
      </c>
    </row>
    <row r="887" spans="1:8" ht="100.8" hidden="1" x14ac:dyDescent="0.3">
      <c r="A887" t="s">
        <v>134</v>
      </c>
      <c r="B887" s="2">
        <v>45962</v>
      </c>
      <c r="C887" s="10" t="s">
        <v>548</v>
      </c>
    </row>
    <row r="888" spans="1:8" hidden="1" x14ac:dyDescent="0.3">
      <c r="A888" t="s">
        <v>134</v>
      </c>
      <c r="B888" s="2">
        <v>45992</v>
      </c>
      <c r="C888" s="10" t="s">
        <v>455</v>
      </c>
    </row>
    <row r="889" spans="1:8" hidden="1" x14ac:dyDescent="0.3">
      <c r="A889" t="s">
        <v>134</v>
      </c>
      <c r="B889" s="2">
        <v>46023</v>
      </c>
      <c r="C889" s="10" t="s">
        <v>338</v>
      </c>
    </row>
    <row r="890" spans="1:8" hidden="1" x14ac:dyDescent="0.3">
      <c r="A890" t="s">
        <v>134</v>
      </c>
      <c r="B890" s="2">
        <v>46054</v>
      </c>
      <c r="C890" s="10" t="s">
        <v>326</v>
      </c>
    </row>
    <row r="891" spans="1:8" hidden="1" x14ac:dyDescent="0.3">
      <c r="A891" t="s">
        <v>134</v>
      </c>
      <c r="B891" s="2">
        <v>46082</v>
      </c>
      <c r="C891" s="10" t="s">
        <v>326</v>
      </c>
    </row>
    <row r="892" spans="1:8" hidden="1" x14ac:dyDescent="0.3">
      <c r="A892" t="s">
        <v>134</v>
      </c>
      <c r="B892" s="2">
        <v>46113</v>
      </c>
      <c r="C892" s="10" t="s">
        <v>532</v>
      </c>
    </row>
    <row r="893" spans="1:8" hidden="1" x14ac:dyDescent="0.3">
      <c r="A893" t="s">
        <v>134</v>
      </c>
      <c r="B893" s="2">
        <v>46143</v>
      </c>
      <c r="C893" s="10" t="s">
        <v>302</v>
      </c>
    </row>
    <row r="894" spans="1:8" hidden="1" x14ac:dyDescent="0.3">
      <c r="A894" t="s">
        <v>134</v>
      </c>
      <c r="B894" s="2">
        <v>46235</v>
      </c>
      <c r="C894" t="s">
        <v>896</v>
      </c>
      <c r="D894">
        <v>0</v>
      </c>
      <c r="E894" t="s">
        <v>33</v>
      </c>
      <c r="F894" t="s">
        <v>33</v>
      </c>
      <c r="G894" t="s">
        <v>338</v>
      </c>
      <c r="H894" t="s">
        <v>36</v>
      </c>
    </row>
    <row r="895" spans="1:8" hidden="1" x14ac:dyDescent="0.3">
      <c r="A895" t="s">
        <v>134</v>
      </c>
      <c r="B895" s="2">
        <v>46174</v>
      </c>
      <c r="C895" s="10"/>
    </row>
    <row r="896" spans="1:8" hidden="1" x14ac:dyDescent="0.3">
      <c r="A896" t="s">
        <v>134</v>
      </c>
      <c r="B896" s="2">
        <v>46204</v>
      </c>
      <c r="C896" s="10">
        <v>31</v>
      </c>
      <c r="D896">
        <v>0</v>
      </c>
      <c r="E896" t="s">
        <v>33</v>
      </c>
      <c r="F896" t="s">
        <v>33</v>
      </c>
      <c r="G896" t="s">
        <v>1014</v>
      </c>
      <c r="H896" t="s">
        <v>36</v>
      </c>
    </row>
    <row r="897" spans="1:8" hidden="1" x14ac:dyDescent="0.3">
      <c r="A897" t="s">
        <v>994</v>
      </c>
      <c r="B897" s="2">
        <v>45870</v>
      </c>
      <c r="C897" s="10" t="s">
        <v>911</v>
      </c>
      <c r="D897">
        <v>0</v>
      </c>
      <c r="E897" t="s">
        <v>33</v>
      </c>
      <c r="F897" t="s">
        <v>33</v>
      </c>
      <c r="G897" t="s">
        <v>995</v>
      </c>
      <c r="H897" s="10" t="s">
        <v>36</v>
      </c>
    </row>
    <row r="898" spans="1:8" hidden="1" x14ac:dyDescent="0.3">
      <c r="A898" t="s">
        <v>138</v>
      </c>
      <c r="B898" s="2">
        <v>45536</v>
      </c>
      <c r="C898" s="10"/>
    </row>
    <row r="899" spans="1:8" hidden="1" x14ac:dyDescent="0.3">
      <c r="A899" t="s">
        <v>138</v>
      </c>
      <c r="B899" s="2">
        <v>45566</v>
      </c>
      <c r="C899" s="10"/>
    </row>
    <row r="900" spans="1:8" hidden="1" x14ac:dyDescent="0.3">
      <c r="A900" t="s">
        <v>138</v>
      </c>
      <c r="B900" s="2">
        <v>45597</v>
      </c>
      <c r="C900" s="10"/>
    </row>
    <row r="901" spans="1:8" hidden="1" x14ac:dyDescent="0.3">
      <c r="A901" t="s">
        <v>138</v>
      </c>
      <c r="B901" s="2">
        <v>45627</v>
      </c>
      <c r="C901" s="10"/>
    </row>
    <row r="902" spans="1:8" hidden="1" x14ac:dyDescent="0.3">
      <c r="A902" t="s">
        <v>138</v>
      </c>
      <c r="B902" s="2">
        <v>45658</v>
      </c>
      <c r="C902" s="10"/>
    </row>
    <row r="903" spans="1:8" ht="86.4" hidden="1" x14ac:dyDescent="0.3">
      <c r="A903" t="s">
        <v>138</v>
      </c>
      <c r="B903" s="2">
        <v>45689</v>
      </c>
      <c r="C903" s="10" t="s">
        <v>549</v>
      </c>
    </row>
    <row r="904" spans="1:8" hidden="1" x14ac:dyDescent="0.3">
      <c r="A904" t="s">
        <v>138</v>
      </c>
      <c r="B904" s="2">
        <v>45717</v>
      </c>
      <c r="C904" s="10"/>
    </row>
    <row r="905" spans="1:8" hidden="1" x14ac:dyDescent="0.3">
      <c r="A905" t="s">
        <v>138</v>
      </c>
      <c r="B905" s="2">
        <v>45748</v>
      </c>
      <c r="C905" s="10"/>
    </row>
    <row r="906" spans="1:8" hidden="1" x14ac:dyDescent="0.3">
      <c r="A906" t="s">
        <v>138</v>
      </c>
      <c r="B906" s="2">
        <v>45778</v>
      </c>
      <c r="C906" s="10" t="s">
        <v>550</v>
      </c>
    </row>
    <row r="907" spans="1:8" hidden="1" x14ac:dyDescent="0.3">
      <c r="A907" t="s">
        <v>138</v>
      </c>
      <c r="B907" s="2">
        <v>45809</v>
      </c>
      <c r="C907" s="10" t="s">
        <v>550</v>
      </c>
    </row>
    <row r="908" spans="1:8" hidden="1" x14ac:dyDescent="0.3">
      <c r="A908" t="s">
        <v>138</v>
      </c>
      <c r="B908" s="2">
        <v>45839</v>
      </c>
      <c r="C908" s="10" t="s">
        <v>550</v>
      </c>
    </row>
    <row r="909" spans="1:8" hidden="1" x14ac:dyDescent="0.3">
      <c r="A909" t="s">
        <v>138</v>
      </c>
      <c r="B909" s="2">
        <v>45870</v>
      </c>
      <c r="C909" s="10" t="s">
        <v>550</v>
      </c>
    </row>
    <row r="910" spans="1:8" hidden="1" x14ac:dyDescent="0.3">
      <c r="A910" t="s">
        <v>138</v>
      </c>
      <c r="B910" s="2">
        <v>45901</v>
      </c>
      <c r="C910" s="10" t="s">
        <v>550</v>
      </c>
    </row>
    <row r="911" spans="1:8" hidden="1" x14ac:dyDescent="0.3">
      <c r="A911" t="s">
        <v>138</v>
      </c>
      <c r="B911" s="2">
        <v>45931</v>
      </c>
      <c r="C911" s="10" t="s">
        <v>550</v>
      </c>
    </row>
    <row r="912" spans="1:8" hidden="1" x14ac:dyDescent="0.3">
      <c r="A912" t="s">
        <v>138</v>
      </c>
      <c r="B912" s="2">
        <v>45962</v>
      </c>
      <c r="C912" s="10" t="s">
        <v>550</v>
      </c>
    </row>
    <row r="913" spans="1:8" hidden="1" x14ac:dyDescent="0.3">
      <c r="A913" t="s">
        <v>138</v>
      </c>
      <c r="B913" s="2">
        <v>45992</v>
      </c>
      <c r="C913" s="10" t="s">
        <v>550</v>
      </c>
    </row>
    <row r="914" spans="1:8" hidden="1" x14ac:dyDescent="0.3">
      <c r="A914" t="s">
        <v>138</v>
      </c>
      <c r="B914" s="2">
        <v>46023</v>
      </c>
      <c r="C914" s="10" t="s">
        <v>550</v>
      </c>
    </row>
    <row r="915" spans="1:8" hidden="1" x14ac:dyDescent="0.3">
      <c r="A915" t="s">
        <v>138</v>
      </c>
      <c r="B915" s="2">
        <v>46054</v>
      </c>
      <c r="C915" s="10" t="s">
        <v>326</v>
      </c>
    </row>
    <row r="916" spans="1:8" ht="28.8" hidden="1" x14ac:dyDescent="0.3">
      <c r="A916" t="s">
        <v>138</v>
      </c>
      <c r="B916" s="2">
        <v>46082</v>
      </c>
      <c r="C916" s="10" t="s">
        <v>551</v>
      </c>
    </row>
    <row r="917" spans="1:8" hidden="1" x14ac:dyDescent="0.3">
      <c r="A917" t="s">
        <v>138</v>
      </c>
      <c r="B917" s="2">
        <v>46113</v>
      </c>
      <c r="C917" s="10" t="s">
        <v>552</v>
      </c>
    </row>
    <row r="918" spans="1:8" hidden="1" x14ac:dyDescent="0.3">
      <c r="A918" t="s">
        <v>138</v>
      </c>
      <c r="B918" s="2">
        <v>46143</v>
      </c>
      <c r="C918" s="10" t="s">
        <v>858</v>
      </c>
    </row>
    <row r="919" spans="1:8" hidden="1" x14ac:dyDescent="0.3">
      <c r="A919" t="s">
        <v>138</v>
      </c>
      <c r="B919" s="2">
        <v>46235</v>
      </c>
      <c r="C919" s="10"/>
    </row>
    <row r="920" spans="1:8" ht="28.95" hidden="1" customHeight="1" x14ac:dyDescent="0.3">
      <c r="A920" t="s">
        <v>138</v>
      </c>
      <c r="B920" s="2">
        <v>46174</v>
      </c>
      <c r="C920" s="10"/>
    </row>
    <row r="921" spans="1:8" ht="57.6" hidden="1" customHeight="1" x14ac:dyDescent="0.3">
      <c r="A921" t="s">
        <v>138</v>
      </c>
      <c r="B921" s="2">
        <v>46204</v>
      </c>
      <c r="C921" s="10">
        <v>31</v>
      </c>
      <c r="D921">
        <v>0</v>
      </c>
      <c r="E921" t="s">
        <v>33</v>
      </c>
      <c r="F921" t="s">
        <v>1036</v>
      </c>
      <c r="G921" t="s">
        <v>1035</v>
      </c>
      <c r="H921" t="s">
        <v>36</v>
      </c>
    </row>
    <row r="922" spans="1:8" ht="57.6" hidden="1" customHeight="1" x14ac:dyDescent="0.3">
      <c r="A922" t="s">
        <v>220</v>
      </c>
      <c r="B922" s="2">
        <v>45536</v>
      </c>
      <c r="C922" s="10"/>
    </row>
    <row r="923" spans="1:8" ht="57.6" hidden="1" customHeight="1" x14ac:dyDescent="0.3">
      <c r="A923" t="s">
        <v>220</v>
      </c>
      <c r="B923" s="2">
        <v>45566</v>
      </c>
      <c r="C923" s="10"/>
    </row>
    <row r="924" spans="1:8" hidden="1" x14ac:dyDescent="0.3">
      <c r="A924" t="s">
        <v>220</v>
      </c>
      <c r="B924" s="2">
        <v>45597</v>
      </c>
      <c r="C924" s="10"/>
    </row>
    <row r="925" spans="1:8" ht="57.6" hidden="1" customHeight="1" x14ac:dyDescent="0.3">
      <c r="A925" t="s">
        <v>220</v>
      </c>
      <c r="B925" s="2">
        <v>45627</v>
      </c>
      <c r="C925" s="10"/>
    </row>
    <row r="926" spans="1:8" ht="57.6" hidden="1" customHeight="1" x14ac:dyDescent="0.3">
      <c r="A926" t="s">
        <v>220</v>
      </c>
      <c r="B926" s="2">
        <v>45658</v>
      </c>
      <c r="C926" s="10"/>
    </row>
    <row r="927" spans="1:8" ht="57.6" hidden="1" customHeight="1" x14ac:dyDescent="0.3">
      <c r="A927" t="s">
        <v>220</v>
      </c>
      <c r="B927" s="2">
        <v>45689</v>
      </c>
      <c r="C927" s="10"/>
    </row>
    <row r="928" spans="1:8" ht="57.6" hidden="1" customHeight="1" x14ac:dyDescent="0.3">
      <c r="A928" t="s">
        <v>220</v>
      </c>
      <c r="B928" s="2">
        <v>45717</v>
      </c>
      <c r="C928" s="10"/>
      <c r="G928" s="45"/>
    </row>
    <row r="929" spans="1:8" hidden="1" x14ac:dyDescent="0.3">
      <c r="A929" t="s">
        <v>220</v>
      </c>
      <c r="B929" s="2">
        <v>45748</v>
      </c>
      <c r="C929" s="10"/>
      <c r="G929" s="45"/>
    </row>
    <row r="930" spans="1:8" hidden="1" x14ac:dyDescent="0.3">
      <c r="A930" t="s">
        <v>220</v>
      </c>
      <c r="B930" s="2">
        <v>45778</v>
      </c>
      <c r="C930" s="10"/>
    </row>
    <row r="931" spans="1:8" hidden="1" x14ac:dyDescent="0.3">
      <c r="A931" t="s">
        <v>220</v>
      </c>
      <c r="B931" s="2">
        <v>45809</v>
      </c>
      <c r="C931" s="10"/>
    </row>
    <row r="932" spans="1:8" hidden="1" x14ac:dyDescent="0.3">
      <c r="A932" t="s">
        <v>220</v>
      </c>
      <c r="B932" s="2">
        <v>45839</v>
      </c>
      <c r="C932" s="10" t="s">
        <v>36</v>
      </c>
      <c r="D932" t="s">
        <v>36</v>
      </c>
      <c r="E932" t="s">
        <v>36</v>
      </c>
      <c r="F932" t="s">
        <v>36</v>
      </c>
      <c r="G932" t="s">
        <v>36</v>
      </c>
      <c r="H932" t="s">
        <v>920</v>
      </c>
    </row>
    <row r="933" spans="1:8" hidden="1" x14ac:dyDescent="0.3">
      <c r="A933" t="s">
        <v>220</v>
      </c>
      <c r="B933" s="2">
        <v>45870</v>
      </c>
      <c r="C933" s="10" t="s">
        <v>36</v>
      </c>
      <c r="D933" t="s">
        <v>36</v>
      </c>
      <c r="E933" t="s">
        <v>36</v>
      </c>
      <c r="F933" t="s">
        <v>36</v>
      </c>
      <c r="G933" t="s">
        <v>36</v>
      </c>
      <c r="H933" t="s">
        <v>920</v>
      </c>
    </row>
    <row r="934" spans="1:8" hidden="1" x14ac:dyDescent="0.3">
      <c r="A934" t="s">
        <v>220</v>
      </c>
      <c r="B934" s="2">
        <v>45901</v>
      </c>
      <c r="C934" s="10" t="s">
        <v>921</v>
      </c>
      <c r="D934" t="s">
        <v>922</v>
      </c>
      <c r="E934" t="s">
        <v>923</v>
      </c>
      <c r="F934" t="s">
        <v>33</v>
      </c>
      <c r="G934" t="s">
        <v>912</v>
      </c>
      <c r="H934" t="s">
        <v>36</v>
      </c>
    </row>
    <row r="935" spans="1:8" hidden="1" x14ac:dyDescent="0.3">
      <c r="A935" t="s">
        <v>220</v>
      </c>
      <c r="B935" s="2">
        <v>45931</v>
      </c>
      <c r="C935" s="10" t="s">
        <v>911</v>
      </c>
      <c r="D935">
        <v>0</v>
      </c>
      <c r="E935" t="s">
        <v>33</v>
      </c>
      <c r="F935" t="s">
        <v>33</v>
      </c>
      <c r="G935" t="s">
        <v>33</v>
      </c>
      <c r="H935" t="s">
        <v>36</v>
      </c>
    </row>
    <row r="936" spans="1:8" hidden="1" x14ac:dyDescent="0.3">
      <c r="A936" t="s">
        <v>220</v>
      </c>
      <c r="B936" s="2">
        <v>45962</v>
      </c>
      <c r="C936" s="10" t="s">
        <v>896</v>
      </c>
      <c r="D936">
        <v>0</v>
      </c>
      <c r="E936" t="s">
        <v>33</v>
      </c>
      <c r="F936" t="s">
        <v>33</v>
      </c>
      <c r="G936" t="s">
        <v>33</v>
      </c>
      <c r="H936" t="s">
        <v>36</v>
      </c>
    </row>
    <row r="937" spans="1:8" hidden="1" x14ac:dyDescent="0.3">
      <c r="A937" t="s">
        <v>220</v>
      </c>
      <c r="B937" s="2">
        <v>45992</v>
      </c>
      <c r="C937" s="10" t="s">
        <v>925</v>
      </c>
      <c r="D937" t="s">
        <v>924</v>
      </c>
      <c r="E937" t="s">
        <v>927</v>
      </c>
      <c r="F937" t="s">
        <v>33</v>
      </c>
      <c r="G937" t="s">
        <v>926</v>
      </c>
      <c r="H937" t="s">
        <v>36</v>
      </c>
    </row>
    <row r="938" spans="1:8" hidden="1" x14ac:dyDescent="0.3">
      <c r="A938" t="s">
        <v>220</v>
      </c>
      <c r="B938" s="2">
        <v>46023</v>
      </c>
      <c r="C938" t="s">
        <v>892</v>
      </c>
      <c r="D938">
        <v>0</v>
      </c>
      <c r="E938" t="s">
        <v>33</v>
      </c>
      <c r="F938" t="s">
        <v>912</v>
      </c>
      <c r="G938" s="10" t="s">
        <v>338</v>
      </c>
      <c r="H938" t="s">
        <v>36</v>
      </c>
    </row>
    <row r="939" spans="1:8" hidden="1" x14ac:dyDescent="0.3">
      <c r="A939" t="s">
        <v>220</v>
      </c>
      <c r="B939" s="2">
        <v>46054</v>
      </c>
      <c r="C939" s="10" t="s">
        <v>903</v>
      </c>
      <c r="D939">
        <v>0</v>
      </c>
      <c r="E939" t="s">
        <v>33</v>
      </c>
      <c r="F939" t="s">
        <v>912</v>
      </c>
      <c r="G939" s="10" t="s">
        <v>314</v>
      </c>
      <c r="H939" t="s">
        <v>36</v>
      </c>
    </row>
    <row r="940" spans="1:8" hidden="1" x14ac:dyDescent="0.3">
      <c r="A940" t="s">
        <v>220</v>
      </c>
      <c r="B940" s="2">
        <v>46082</v>
      </c>
      <c r="C940" s="10" t="s">
        <v>892</v>
      </c>
      <c r="D940">
        <v>0</v>
      </c>
      <c r="E940" t="s">
        <v>33</v>
      </c>
      <c r="F940" t="s">
        <v>912</v>
      </c>
      <c r="G940" s="10" t="s">
        <v>314</v>
      </c>
      <c r="H940" t="s">
        <v>36</v>
      </c>
    </row>
    <row r="941" spans="1:8" hidden="1" x14ac:dyDescent="0.3">
      <c r="A941" t="s">
        <v>220</v>
      </c>
      <c r="B941" s="2">
        <v>46113</v>
      </c>
      <c r="C941" s="10" t="s">
        <v>896</v>
      </c>
      <c r="D941">
        <v>0</v>
      </c>
      <c r="E941" t="s">
        <v>33</v>
      </c>
      <c r="F941" t="s">
        <v>912</v>
      </c>
      <c r="G941" s="10" t="s">
        <v>314</v>
      </c>
      <c r="H941" t="s">
        <v>36</v>
      </c>
    </row>
    <row r="942" spans="1:8" hidden="1" x14ac:dyDescent="0.3">
      <c r="A942" t="s">
        <v>220</v>
      </c>
      <c r="B942" s="2">
        <v>46143</v>
      </c>
      <c r="C942" s="10" t="s">
        <v>911</v>
      </c>
      <c r="D942">
        <v>0</v>
      </c>
      <c r="E942" t="s">
        <v>33</v>
      </c>
      <c r="F942" t="s">
        <v>912</v>
      </c>
      <c r="G942" s="10" t="s">
        <v>302</v>
      </c>
      <c r="H942" t="s">
        <v>36</v>
      </c>
    </row>
    <row r="943" spans="1:8" ht="28.95" hidden="1" customHeight="1" x14ac:dyDescent="0.3">
      <c r="A943" t="s">
        <v>220</v>
      </c>
      <c r="B943" s="2">
        <v>46235</v>
      </c>
      <c r="C943" t="s">
        <v>896</v>
      </c>
      <c r="D943">
        <v>0</v>
      </c>
      <c r="E943" t="s">
        <v>33</v>
      </c>
      <c r="F943" t="s">
        <v>33</v>
      </c>
      <c r="G943" t="s">
        <v>338</v>
      </c>
      <c r="H943" t="s">
        <v>36</v>
      </c>
    </row>
    <row r="944" spans="1:8" hidden="1" x14ac:dyDescent="0.3">
      <c r="A944" t="s">
        <v>220</v>
      </c>
      <c r="B944" s="2">
        <v>46174</v>
      </c>
      <c r="C944" s="10" t="s">
        <v>896</v>
      </c>
      <c r="D944">
        <v>0</v>
      </c>
      <c r="E944" t="s">
        <v>33</v>
      </c>
      <c r="F944" t="s">
        <v>912</v>
      </c>
      <c r="G944" s="10" t="s">
        <v>996</v>
      </c>
      <c r="H944" t="s">
        <v>36</v>
      </c>
    </row>
    <row r="945" spans="1:8" hidden="1" x14ac:dyDescent="0.3">
      <c r="A945" t="s">
        <v>220</v>
      </c>
      <c r="B945" s="2">
        <v>46204</v>
      </c>
      <c r="C945" s="10">
        <v>31</v>
      </c>
      <c r="D945">
        <v>0</v>
      </c>
      <c r="E945" t="s">
        <v>33</v>
      </c>
      <c r="F945" t="s">
        <v>1061</v>
      </c>
      <c r="G945" t="s">
        <v>1063</v>
      </c>
      <c r="H945" t="s">
        <v>1062</v>
      </c>
    </row>
    <row r="946" spans="1:8" ht="72" hidden="1" customHeight="1" x14ac:dyDescent="0.3">
      <c r="A946" t="s">
        <v>222</v>
      </c>
      <c r="B946" s="2">
        <v>45536</v>
      </c>
      <c r="C946" s="10"/>
    </row>
    <row r="947" spans="1:8" ht="57.6" hidden="1" customHeight="1" x14ac:dyDescent="0.3">
      <c r="A947" t="s">
        <v>222</v>
      </c>
      <c r="B947" s="2">
        <v>45566</v>
      </c>
      <c r="C947" s="10"/>
    </row>
    <row r="948" spans="1:8" ht="57.6" hidden="1" customHeight="1" x14ac:dyDescent="0.3">
      <c r="A948" t="s">
        <v>222</v>
      </c>
      <c r="B948" s="2">
        <v>45597</v>
      </c>
      <c r="C948" s="10"/>
    </row>
    <row r="949" spans="1:8" ht="72" hidden="1" customHeight="1" x14ac:dyDescent="0.3">
      <c r="A949" t="s">
        <v>222</v>
      </c>
      <c r="B949" s="2">
        <v>45627</v>
      </c>
      <c r="C949" s="10"/>
    </row>
    <row r="950" spans="1:8" ht="57.6" hidden="1" customHeight="1" x14ac:dyDescent="0.3">
      <c r="A950" t="s">
        <v>222</v>
      </c>
      <c r="B950" s="2">
        <v>45658</v>
      </c>
      <c r="C950" s="10"/>
    </row>
    <row r="951" spans="1:8" ht="57.6" hidden="1" customHeight="1" x14ac:dyDescent="0.3">
      <c r="A951" t="s">
        <v>222</v>
      </c>
      <c r="B951" s="2">
        <v>45689</v>
      </c>
      <c r="C951" s="10"/>
    </row>
    <row r="952" spans="1:8" ht="57.6" hidden="1" customHeight="1" x14ac:dyDescent="0.3">
      <c r="A952" t="s">
        <v>222</v>
      </c>
      <c r="B952" s="2">
        <v>45717</v>
      </c>
      <c r="C952" s="10"/>
    </row>
    <row r="953" spans="1:8" hidden="1" x14ac:dyDescent="0.3">
      <c r="A953" t="s">
        <v>222</v>
      </c>
      <c r="B953" s="2">
        <v>45748</v>
      </c>
      <c r="C953" s="10"/>
    </row>
    <row r="954" spans="1:8" hidden="1" x14ac:dyDescent="0.3">
      <c r="A954" t="s">
        <v>222</v>
      </c>
      <c r="B954" s="2">
        <v>45778</v>
      </c>
      <c r="C954" s="10"/>
    </row>
    <row r="955" spans="1:8" hidden="1" x14ac:dyDescent="0.3">
      <c r="A955" t="s">
        <v>222</v>
      </c>
      <c r="B955" s="2">
        <v>45809</v>
      </c>
      <c r="C955" s="10"/>
    </row>
    <row r="956" spans="1:8" hidden="1" x14ac:dyDescent="0.3">
      <c r="A956" t="s">
        <v>222</v>
      </c>
      <c r="B956" s="2">
        <v>45839</v>
      </c>
      <c r="C956" s="10" t="s">
        <v>36</v>
      </c>
      <c r="D956" t="s">
        <v>36</v>
      </c>
      <c r="E956" t="s">
        <v>36</v>
      </c>
      <c r="F956" t="s">
        <v>36</v>
      </c>
      <c r="H956" t="s">
        <v>920</v>
      </c>
    </row>
    <row r="957" spans="1:8" hidden="1" x14ac:dyDescent="0.3">
      <c r="A957" t="s">
        <v>222</v>
      </c>
      <c r="B957" s="2">
        <v>45870</v>
      </c>
      <c r="C957" s="10" t="s">
        <v>36</v>
      </c>
      <c r="D957" t="s">
        <v>36</v>
      </c>
      <c r="E957" t="s">
        <v>36</v>
      </c>
      <c r="F957" t="s">
        <v>36</v>
      </c>
      <c r="H957" t="s">
        <v>920</v>
      </c>
    </row>
    <row r="958" spans="1:8" hidden="1" x14ac:dyDescent="0.3">
      <c r="A958" t="s">
        <v>222</v>
      </c>
      <c r="B958" s="2">
        <v>45901</v>
      </c>
      <c r="C958" s="10" t="s">
        <v>921</v>
      </c>
      <c r="D958" t="s">
        <v>922</v>
      </c>
      <c r="E958" t="s">
        <v>923</v>
      </c>
      <c r="F958" t="s">
        <v>33</v>
      </c>
      <c r="H958" t="s">
        <v>36</v>
      </c>
    </row>
    <row r="959" spans="1:8" hidden="1" x14ac:dyDescent="0.3">
      <c r="A959" t="s">
        <v>222</v>
      </c>
      <c r="B959" s="2">
        <v>45931</v>
      </c>
      <c r="C959" s="10" t="s">
        <v>911</v>
      </c>
      <c r="D959">
        <v>0</v>
      </c>
      <c r="E959" t="s">
        <v>33</v>
      </c>
      <c r="F959" t="s">
        <v>33</v>
      </c>
      <c r="G959" s="10" t="s">
        <v>928</v>
      </c>
      <c r="H959" t="s">
        <v>36</v>
      </c>
    </row>
    <row r="960" spans="1:8" hidden="1" x14ac:dyDescent="0.3">
      <c r="A960" t="s">
        <v>222</v>
      </c>
      <c r="B960" s="2">
        <v>45962</v>
      </c>
      <c r="C960" s="10" t="s">
        <v>896</v>
      </c>
      <c r="D960">
        <v>0</v>
      </c>
      <c r="E960" t="s">
        <v>33</v>
      </c>
      <c r="F960" t="s">
        <v>33</v>
      </c>
      <c r="G960" s="10" t="s">
        <v>928</v>
      </c>
      <c r="H960" t="s">
        <v>36</v>
      </c>
    </row>
    <row r="961" spans="1:8" hidden="1" x14ac:dyDescent="0.3">
      <c r="A961" t="s">
        <v>222</v>
      </c>
      <c r="B961" s="2">
        <v>45992</v>
      </c>
      <c r="C961" s="10" t="s">
        <v>925</v>
      </c>
      <c r="D961" t="s">
        <v>924</v>
      </c>
      <c r="E961" t="s">
        <v>927</v>
      </c>
      <c r="F961" t="s">
        <v>33</v>
      </c>
      <c r="G961" s="10" t="s">
        <v>926</v>
      </c>
      <c r="H961" t="s">
        <v>36</v>
      </c>
    </row>
    <row r="962" spans="1:8" hidden="1" x14ac:dyDescent="0.3">
      <c r="A962" t="s">
        <v>222</v>
      </c>
      <c r="B962" s="2">
        <v>46023</v>
      </c>
      <c r="C962" t="s">
        <v>892</v>
      </c>
      <c r="D962">
        <v>0</v>
      </c>
      <c r="E962" t="s">
        <v>33</v>
      </c>
      <c r="F962" t="s">
        <v>912</v>
      </c>
      <c r="G962" s="10" t="s">
        <v>338</v>
      </c>
      <c r="H962" t="s">
        <v>36</v>
      </c>
    </row>
    <row r="963" spans="1:8" hidden="1" x14ac:dyDescent="0.3">
      <c r="A963" t="s">
        <v>222</v>
      </c>
      <c r="B963" s="2">
        <v>46054</v>
      </c>
      <c r="C963" s="10" t="s">
        <v>903</v>
      </c>
      <c r="D963">
        <v>0</v>
      </c>
      <c r="E963" t="s">
        <v>33</v>
      </c>
      <c r="F963" t="s">
        <v>912</v>
      </c>
      <c r="G963" s="10" t="s">
        <v>314</v>
      </c>
      <c r="H963" t="s">
        <v>36</v>
      </c>
    </row>
    <row r="964" spans="1:8" hidden="1" x14ac:dyDescent="0.3">
      <c r="A964" t="s">
        <v>222</v>
      </c>
      <c r="B964" s="2">
        <v>46082</v>
      </c>
      <c r="C964" s="10" t="s">
        <v>892</v>
      </c>
      <c r="D964">
        <v>0</v>
      </c>
      <c r="E964" t="s">
        <v>33</v>
      </c>
      <c r="F964" t="s">
        <v>912</v>
      </c>
      <c r="G964" s="10" t="s">
        <v>929</v>
      </c>
      <c r="H964" t="s">
        <v>36</v>
      </c>
    </row>
    <row r="965" spans="1:8" hidden="1" x14ac:dyDescent="0.3">
      <c r="A965" t="s">
        <v>222</v>
      </c>
      <c r="B965" s="2">
        <v>46113</v>
      </c>
      <c r="C965" s="10" t="s">
        <v>896</v>
      </c>
      <c r="D965">
        <v>0</v>
      </c>
      <c r="E965" t="s">
        <v>33</v>
      </c>
      <c r="F965" t="s">
        <v>912</v>
      </c>
      <c r="G965" s="10" t="s">
        <v>314</v>
      </c>
      <c r="H965" t="s">
        <v>36</v>
      </c>
    </row>
    <row r="966" spans="1:8" hidden="1" x14ac:dyDescent="0.3">
      <c r="A966" t="s">
        <v>222</v>
      </c>
      <c r="B966" s="2">
        <v>46143</v>
      </c>
      <c r="C966" s="10" t="s">
        <v>911</v>
      </c>
      <c r="D966">
        <v>0</v>
      </c>
      <c r="E966" t="s">
        <v>33</v>
      </c>
      <c r="F966" t="s">
        <v>912</v>
      </c>
      <c r="G966" s="10" t="s">
        <v>302</v>
      </c>
      <c r="H966" t="s">
        <v>36</v>
      </c>
    </row>
    <row r="967" spans="1:8" ht="28.95" hidden="1" customHeight="1" x14ac:dyDescent="0.3">
      <c r="A967" t="s">
        <v>222</v>
      </c>
      <c r="B967" s="2">
        <v>46235</v>
      </c>
      <c r="C967" t="s">
        <v>896</v>
      </c>
      <c r="D967">
        <v>0</v>
      </c>
      <c r="E967" t="s">
        <v>33</v>
      </c>
      <c r="F967" t="s">
        <v>33</v>
      </c>
      <c r="G967" t="s">
        <v>338</v>
      </c>
      <c r="H967" t="s">
        <v>36</v>
      </c>
    </row>
    <row r="968" spans="1:8" ht="28.95" hidden="1" customHeight="1" x14ac:dyDescent="0.3">
      <c r="A968" t="s">
        <v>222</v>
      </c>
      <c r="B968" s="2">
        <v>46174</v>
      </c>
      <c r="C968" s="10" t="s">
        <v>896</v>
      </c>
      <c r="D968">
        <v>0</v>
      </c>
      <c r="E968" t="s">
        <v>33</v>
      </c>
      <c r="F968" t="s">
        <v>912</v>
      </c>
      <c r="G968" s="10" t="s">
        <v>996</v>
      </c>
      <c r="H968" t="s">
        <v>36</v>
      </c>
    </row>
    <row r="969" spans="1:8" ht="28.95" hidden="1" customHeight="1" x14ac:dyDescent="0.3">
      <c r="A969" t="s">
        <v>222</v>
      </c>
      <c r="B969" s="2">
        <v>46204</v>
      </c>
      <c r="C969" s="10">
        <v>31</v>
      </c>
      <c r="D969">
        <v>0</v>
      </c>
      <c r="E969" t="s">
        <v>33</v>
      </c>
      <c r="F969" t="s">
        <v>1061</v>
      </c>
      <c r="G969" t="s">
        <v>1063</v>
      </c>
      <c r="H969" t="s">
        <v>36</v>
      </c>
    </row>
    <row r="970" spans="1:8" ht="72" hidden="1" customHeight="1" x14ac:dyDescent="0.3">
      <c r="A970" t="s">
        <v>142</v>
      </c>
      <c r="B970" s="2">
        <v>45536</v>
      </c>
      <c r="C970" s="10"/>
    </row>
    <row r="971" spans="1:8" ht="72" hidden="1" customHeight="1" x14ac:dyDescent="0.3">
      <c r="A971" t="s">
        <v>142</v>
      </c>
      <c r="B971" s="2">
        <v>45566</v>
      </c>
      <c r="C971" s="10"/>
    </row>
    <row r="972" spans="1:8" ht="72" hidden="1" customHeight="1" x14ac:dyDescent="0.3">
      <c r="A972" t="s">
        <v>142</v>
      </c>
      <c r="B972" s="2">
        <v>45597</v>
      </c>
      <c r="C972" s="10"/>
    </row>
    <row r="973" spans="1:8" ht="72" hidden="1" customHeight="1" x14ac:dyDescent="0.3">
      <c r="A973" t="s">
        <v>142</v>
      </c>
      <c r="B973" s="2">
        <v>45627</v>
      </c>
      <c r="C973" s="10"/>
    </row>
    <row r="974" spans="1:8" ht="57.6" hidden="1" customHeight="1" x14ac:dyDescent="0.3">
      <c r="A974" t="s">
        <v>142</v>
      </c>
      <c r="B974" s="2">
        <v>45658</v>
      </c>
      <c r="C974" s="10"/>
    </row>
    <row r="975" spans="1:8" ht="72" hidden="1" customHeight="1" x14ac:dyDescent="0.3">
      <c r="A975" t="s">
        <v>142</v>
      </c>
      <c r="B975" s="2">
        <v>45689</v>
      </c>
      <c r="C975" s="10" t="s">
        <v>553</v>
      </c>
    </row>
    <row r="976" spans="1:8" ht="72" hidden="1" customHeight="1" x14ac:dyDescent="0.3">
      <c r="A976" t="s">
        <v>142</v>
      </c>
      <c r="B976" s="2">
        <v>45717</v>
      </c>
      <c r="C976" s="10" t="s">
        <v>554</v>
      </c>
    </row>
    <row r="977" spans="1:8" ht="86.4" hidden="1" x14ac:dyDescent="0.3">
      <c r="A977" t="s">
        <v>142</v>
      </c>
      <c r="B977" s="2">
        <v>45748</v>
      </c>
      <c r="C977" s="10" t="s">
        <v>555</v>
      </c>
    </row>
    <row r="978" spans="1:8" ht="100.8" hidden="1" x14ac:dyDescent="0.3">
      <c r="A978" t="s">
        <v>142</v>
      </c>
      <c r="B978" s="2">
        <v>45778</v>
      </c>
      <c r="C978" s="10" t="s">
        <v>556</v>
      </c>
    </row>
    <row r="979" spans="1:8" ht="28.95" hidden="1" customHeight="1" x14ac:dyDescent="0.3">
      <c r="A979" t="s">
        <v>142</v>
      </c>
      <c r="B979" s="2">
        <v>45809</v>
      </c>
      <c r="C979" s="10" t="s">
        <v>557</v>
      </c>
    </row>
    <row r="980" spans="1:8" hidden="1" x14ac:dyDescent="0.3">
      <c r="A980" t="s">
        <v>142</v>
      </c>
      <c r="B980" s="2">
        <v>45839</v>
      </c>
      <c r="C980" t="s">
        <v>911</v>
      </c>
      <c r="D980">
        <v>0</v>
      </c>
      <c r="E980" t="s">
        <v>33</v>
      </c>
      <c r="F980" t="s">
        <v>33</v>
      </c>
      <c r="G980" s="10" t="s">
        <v>338</v>
      </c>
      <c r="H980" t="s">
        <v>36</v>
      </c>
    </row>
    <row r="981" spans="1:8" hidden="1" x14ac:dyDescent="0.3">
      <c r="A981" t="s">
        <v>142</v>
      </c>
      <c r="B981" s="2">
        <v>45870</v>
      </c>
      <c r="C981" t="s">
        <v>911</v>
      </c>
      <c r="D981">
        <v>0</v>
      </c>
      <c r="E981" t="s">
        <v>33</v>
      </c>
      <c r="F981" t="s">
        <v>33</v>
      </c>
      <c r="G981" s="10" t="s">
        <v>338</v>
      </c>
      <c r="H981" t="s">
        <v>36</v>
      </c>
    </row>
    <row r="982" spans="1:8" hidden="1" x14ac:dyDescent="0.3">
      <c r="A982" t="s">
        <v>142</v>
      </c>
      <c r="B982" s="2">
        <v>45901</v>
      </c>
      <c r="C982" t="s">
        <v>919</v>
      </c>
      <c r="D982">
        <v>0</v>
      </c>
      <c r="E982" t="s">
        <v>33</v>
      </c>
      <c r="F982" t="s">
        <v>33</v>
      </c>
      <c r="G982" s="10" t="s">
        <v>338</v>
      </c>
      <c r="H982" t="s">
        <v>36</v>
      </c>
    </row>
    <row r="983" spans="1:8" hidden="1" x14ac:dyDescent="0.3">
      <c r="A983" t="s">
        <v>142</v>
      </c>
      <c r="B983" s="2">
        <v>45931</v>
      </c>
      <c r="C983" t="s">
        <v>911</v>
      </c>
      <c r="D983">
        <v>0</v>
      </c>
      <c r="E983" t="s">
        <v>33</v>
      </c>
      <c r="F983" t="s">
        <v>33</v>
      </c>
      <c r="G983" s="10" t="s">
        <v>338</v>
      </c>
      <c r="H983" t="s">
        <v>36</v>
      </c>
    </row>
    <row r="984" spans="1:8" hidden="1" x14ac:dyDescent="0.3">
      <c r="A984" t="s">
        <v>142</v>
      </c>
      <c r="B984" s="2">
        <v>45962</v>
      </c>
      <c r="C984" t="s">
        <v>919</v>
      </c>
      <c r="D984">
        <v>0</v>
      </c>
      <c r="E984" t="s">
        <v>33</v>
      </c>
      <c r="F984" t="s">
        <v>33</v>
      </c>
      <c r="G984" s="44" t="s">
        <v>932</v>
      </c>
      <c r="H984" t="s">
        <v>36</v>
      </c>
    </row>
    <row r="985" spans="1:8" hidden="1" x14ac:dyDescent="0.3">
      <c r="A985" t="s">
        <v>142</v>
      </c>
      <c r="B985" s="2">
        <v>45992</v>
      </c>
      <c r="C985" t="s">
        <v>911</v>
      </c>
      <c r="D985">
        <v>0</v>
      </c>
      <c r="E985" t="s">
        <v>33</v>
      </c>
      <c r="F985" t="s">
        <v>33</v>
      </c>
      <c r="G985" s="44" t="s">
        <v>932</v>
      </c>
      <c r="H985" t="s">
        <v>36</v>
      </c>
    </row>
    <row r="986" spans="1:8" hidden="1" x14ac:dyDescent="0.3">
      <c r="A986" t="s">
        <v>142</v>
      </c>
      <c r="B986" s="2">
        <v>46023</v>
      </c>
      <c r="C986" t="s">
        <v>911</v>
      </c>
      <c r="D986">
        <v>0</v>
      </c>
      <c r="E986" t="s">
        <v>33</v>
      </c>
      <c r="F986" t="s">
        <v>33</v>
      </c>
      <c r="G986" s="10" t="s">
        <v>558</v>
      </c>
      <c r="H986" t="s">
        <v>36</v>
      </c>
    </row>
    <row r="987" spans="1:8" hidden="1" x14ac:dyDescent="0.3">
      <c r="A987" t="s">
        <v>142</v>
      </c>
      <c r="B987" s="2">
        <v>46054</v>
      </c>
      <c r="C987" t="s">
        <v>895</v>
      </c>
      <c r="D987">
        <v>0</v>
      </c>
      <c r="E987" t="s">
        <v>33</v>
      </c>
      <c r="F987" t="s">
        <v>33</v>
      </c>
      <c r="G987" s="10" t="s">
        <v>338</v>
      </c>
      <c r="H987" t="s">
        <v>36</v>
      </c>
    </row>
    <row r="988" spans="1:8" hidden="1" x14ac:dyDescent="0.3">
      <c r="A988" t="s">
        <v>142</v>
      </c>
      <c r="B988" s="2">
        <v>46082</v>
      </c>
      <c r="C988" t="s">
        <v>911</v>
      </c>
      <c r="D988">
        <v>0</v>
      </c>
      <c r="E988" t="s">
        <v>33</v>
      </c>
      <c r="F988" t="s">
        <v>33</v>
      </c>
      <c r="G988" s="10" t="s">
        <v>338</v>
      </c>
      <c r="H988" t="s">
        <v>36</v>
      </c>
    </row>
    <row r="989" spans="1:8" hidden="1" x14ac:dyDescent="0.3">
      <c r="A989" t="s">
        <v>142</v>
      </c>
      <c r="B989" s="2">
        <v>46113</v>
      </c>
      <c r="C989" t="s">
        <v>919</v>
      </c>
      <c r="D989">
        <v>0</v>
      </c>
      <c r="E989" t="s">
        <v>33</v>
      </c>
      <c r="F989" t="s">
        <v>33</v>
      </c>
      <c r="G989" s="10" t="s">
        <v>338</v>
      </c>
      <c r="H989" t="s">
        <v>36</v>
      </c>
    </row>
    <row r="990" spans="1:8" hidden="1" x14ac:dyDescent="0.3">
      <c r="A990" t="s">
        <v>142</v>
      </c>
      <c r="B990" s="2">
        <v>46143</v>
      </c>
      <c r="C990" t="s">
        <v>911</v>
      </c>
      <c r="D990">
        <v>0</v>
      </c>
      <c r="E990" t="s">
        <v>33</v>
      </c>
      <c r="F990" t="s">
        <v>33</v>
      </c>
      <c r="G990" s="10" t="s">
        <v>338</v>
      </c>
      <c r="H990" t="s">
        <v>36</v>
      </c>
    </row>
    <row r="991" spans="1:8" ht="43.2" hidden="1" customHeight="1" x14ac:dyDescent="0.3">
      <c r="A991" t="s">
        <v>142</v>
      </c>
      <c r="B991" s="2">
        <v>46235</v>
      </c>
      <c r="C991" t="s">
        <v>896</v>
      </c>
      <c r="D991">
        <v>0</v>
      </c>
      <c r="E991" t="s">
        <v>33</v>
      </c>
      <c r="F991" t="s">
        <v>33</v>
      </c>
      <c r="G991" t="s">
        <v>338</v>
      </c>
      <c r="H991" t="s">
        <v>36</v>
      </c>
    </row>
    <row r="992" spans="1:8" ht="72" hidden="1" customHeight="1" x14ac:dyDescent="0.3">
      <c r="A992" t="s">
        <v>142</v>
      </c>
      <c r="B992" s="2">
        <v>46174</v>
      </c>
      <c r="C992" t="s">
        <v>919</v>
      </c>
      <c r="D992">
        <v>0</v>
      </c>
      <c r="E992" t="s">
        <v>33</v>
      </c>
      <c r="F992" t="s">
        <v>33</v>
      </c>
      <c r="G992" s="10" t="s">
        <v>996</v>
      </c>
      <c r="H992" t="s">
        <v>36</v>
      </c>
    </row>
    <row r="993" spans="1:8" ht="43.2" hidden="1" customHeight="1" x14ac:dyDescent="0.3">
      <c r="A993" t="s">
        <v>142</v>
      </c>
      <c r="B993" s="2">
        <v>46204</v>
      </c>
      <c r="C993" s="10">
        <v>31</v>
      </c>
      <c r="D993">
        <v>0</v>
      </c>
      <c r="E993" t="s">
        <v>33</v>
      </c>
      <c r="F993" t="s">
        <v>33</v>
      </c>
      <c r="G993" t="s">
        <v>1014</v>
      </c>
      <c r="H993" t="s">
        <v>36</v>
      </c>
    </row>
    <row r="994" spans="1:8" ht="57.6" hidden="1" customHeight="1" x14ac:dyDescent="0.3">
      <c r="A994" t="s">
        <v>145</v>
      </c>
      <c r="B994" s="2">
        <v>45536</v>
      </c>
      <c r="C994" s="10"/>
    </row>
    <row r="995" spans="1:8" ht="57.6" hidden="1" customHeight="1" x14ac:dyDescent="0.3">
      <c r="A995" t="s">
        <v>145</v>
      </c>
      <c r="B995" s="2">
        <v>45566</v>
      </c>
      <c r="C995" s="10"/>
    </row>
    <row r="996" spans="1:8" hidden="1" x14ac:dyDescent="0.3">
      <c r="A996" t="s">
        <v>145</v>
      </c>
      <c r="B996" s="2">
        <v>45597</v>
      </c>
      <c r="C996" s="10"/>
      <c r="G996" s="45"/>
    </row>
    <row r="997" spans="1:8" hidden="1" x14ac:dyDescent="0.3">
      <c r="A997" t="s">
        <v>145</v>
      </c>
      <c r="B997" s="2">
        <v>45627</v>
      </c>
      <c r="C997" s="10"/>
      <c r="G997" s="45"/>
    </row>
    <row r="998" spans="1:8" hidden="1" x14ac:dyDescent="0.3">
      <c r="A998" t="s">
        <v>145</v>
      </c>
      <c r="B998" s="2">
        <v>45658</v>
      </c>
      <c r="C998" s="10"/>
      <c r="G998" s="45"/>
    </row>
    <row r="999" spans="1:8" ht="43.2" hidden="1" x14ac:dyDescent="0.3">
      <c r="A999" t="s">
        <v>145</v>
      </c>
      <c r="B999" s="2">
        <v>45689</v>
      </c>
      <c r="C999" s="10" t="s">
        <v>559</v>
      </c>
      <c r="G999" s="45"/>
    </row>
    <row r="1000" spans="1:8" ht="57.6" hidden="1" customHeight="1" x14ac:dyDescent="0.3">
      <c r="A1000" t="s">
        <v>145</v>
      </c>
      <c r="B1000" s="2">
        <v>45717</v>
      </c>
      <c r="C1000" s="10" t="s">
        <v>455</v>
      </c>
      <c r="G1000" s="45"/>
    </row>
    <row r="1001" spans="1:8" ht="28.8" hidden="1" x14ac:dyDescent="0.3">
      <c r="A1001" t="s">
        <v>145</v>
      </c>
      <c r="B1001" s="2">
        <v>45748</v>
      </c>
      <c r="C1001" s="10" t="s">
        <v>560</v>
      </c>
    </row>
    <row r="1002" spans="1:8" ht="129.6" hidden="1" x14ac:dyDescent="0.3">
      <c r="A1002" t="s">
        <v>145</v>
      </c>
      <c r="B1002" s="2">
        <v>45778</v>
      </c>
      <c r="C1002" s="10" t="s">
        <v>561</v>
      </c>
    </row>
    <row r="1003" spans="1:8" ht="129.6" hidden="1" x14ac:dyDescent="0.3">
      <c r="A1003" t="s">
        <v>145</v>
      </c>
      <c r="B1003" s="2">
        <v>45809</v>
      </c>
      <c r="C1003" s="10" t="s">
        <v>562</v>
      </c>
    </row>
    <row r="1004" spans="1:8" ht="100.8" hidden="1" x14ac:dyDescent="0.3">
      <c r="A1004" t="s">
        <v>145</v>
      </c>
      <c r="B1004" s="2">
        <v>45839</v>
      </c>
      <c r="C1004" s="10" t="s">
        <v>563</v>
      </c>
    </row>
    <row r="1005" spans="1:8" ht="144" hidden="1" x14ac:dyDescent="0.3">
      <c r="A1005" t="s">
        <v>145</v>
      </c>
      <c r="B1005" s="2">
        <v>45870</v>
      </c>
      <c r="C1005" s="10" t="s">
        <v>564</v>
      </c>
      <c r="G1005" s="45"/>
    </row>
    <row r="1006" spans="1:8" ht="115.2" hidden="1" x14ac:dyDescent="0.3">
      <c r="A1006" t="s">
        <v>145</v>
      </c>
      <c r="B1006" s="2">
        <v>45901</v>
      </c>
      <c r="C1006" s="10" t="s">
        <v>565</v>
      </c>
      <c r="G1006" s="45"/>
    </row>
    <row r="1007" spans="1:8" ht="100.8" hidden="1" x14ac:dyDescent="0.3">
      <c r="A1007" t="s">
        <v>145</v>
      </c>
      <c r="B1007" s="2">
        <v>45931</v>
      </c>
      <c r="C1007" s="10" t="s">
        <v>566</v>
      </c>
    </row>
    <row r="1008" spans="1:8" ht="100.8" hidden="1" x14ac:dyDescent="0.3">
      <c r="A1008" t="s">
        <v>145</v>
      </c>
      <c r="B1008" s="2">
        <v>45962</v>
      </c>
      <c r="C1008" s="10" t="s">
        <v>567</v>
      </c>
    </row>
    <row r="1009" spans="1:8" ht="28.8" hidden="1" x14ac:dyDescent="0.3">
      <c r="A1009" t="s">
        <v>145</v>
      </c>
      <c r="B1009" s="2">
        <v>45992</v>
      </c>
      <c r="C1009" s="10" t="s">
        <v>568</v>
      </c>
    </row>
    <row r="1010" spans="1:8" hidden="1" x14ac:dyDescent="0.3">
      <c r="A1010" t="s">
        <v>145</v>
      </c>
      <c r="B1010" s="2">
        <v>46023</v>
      </c>
      <c r="C1010" s="10" t="s">
        <v>338</v>
      </c>
    </row>
    <row r="1011" spans="1:8" hidden="1" x14ac:dyDescent="0.3">
      <c r="A1011" t="s">
        <v>145</v>
      </c>
      <c r="B1011" s="2">
        <v>46054</v>
      </c>
      <c r="C1011" s="10" t="s">
        <v>326</v>
      </c>
    </row>
    <row r="1012" spans="1:8" hidden="1" x14ac:dyDescent="0.3">
      <c r="A1012" t="s">
        <v>145</v>
      </c>
      <c r="B1012" s="2">
        <v>46082</v>
      </c>
      <c r="C1012" s="10" t="s">
        <v>326</v>
      </c>
    </row>
    <row r="1013" spans="1:8" ht="28.8" hidden="1" x14ac:dyDescent="0.3">
      <c r="A1013" t="s">
        <v>145</v>
      </c>
      <c r="B1013" s="2">
        <v>46113</v>
      </c>
      <c r="C1013" s="10" t="s">
        <v>569</v>
      </c>
    </row>
    <row r="1014" spans="1:8" ht="28.8" hidden="1" x14ac:dyDescent="0.3">
      <c r="A1014" t="s">
        <v>145</v>
      </c>
      <c r="B1014" s="2">
        <v>46143</v>
      </c>
      <c r="C1014" s="10" t="s">
        <v>867</v>
      </c>
    </row>
    <row r="1015" spans="1:8" hidden="1" x14ac:dyDescent="0.3">
      <c r="A1015" t="s">
        <v>145</v>
      </c>
      <c r="B1015" s="2">
        <v>46235</v>
      </c>
      <c r="C1015" s="10" t="s">
        <v>896</v>
      </c>
      <c r="D1015">
        <v>0</v>
      </c>
      <c r="E1015" t="s">
        <v>33</v>
      </c>
      <c r="F1015" t="s">
        <v>33</v>
      </c>
      <c r="G1015" s="10" t="s">
        <v>932</v>
      </c>
      <c r="H1015" t="s">
        <v>36</v>
      </c>
    </row>
    <row r="1016" spans="1:8" hidden="1" x14ac:dyDescent="0.3">
      <c r="A1016" t="s">
        <v>145</v>
      </c>
      <c r="B1016" s="2">
        <v>46174</v>
      </c>
      <c r="C1016" s="10"/>
    </row>
    <row r="1017" spans="1:8" hidden="1" x14ac:dyDescent="0.3">
      <c r="A1017" t="s">
        <v>145</v>
      </c>
      <c r="B1017" s="2">
        <v>46204</v>
      </c>
      <c r="C1017" s="10">
        <v>31</v>
      </c>
      <c r="E1017" t="s">
        <v>33</v>
      </c>
      <c r="F1017" t="s">
        <v>33</v>
      </c>
      <c r="G1017" t="s">
        <v>1037</v>
      </c>
      <c r="H1017" t="s">
        <v>1038</v>
      </c>
    </row>
    <row r="1018" spans="1:8" ht="57.6" hidden="1" customHeight="1" x14ac:dyDescent="0.3">
      <c r="A1018" t="s">
        <v>149</v>
      </c>
      <c r="B1018" s="2">
        <v>45536</v>
      </c>
      <c r="C1018" s="10"/>
    </row>
    <row r="1019" spans="1:8" ht="57.6" hidden="1" customHeight="1" x14ac:dyDescent="0.3">
      <c r="A1019" t="s">
        <v>149</v>
      </c>
      <c r="B1019" s="2">
        <v>45566</v>
      </c>
      <c r="C1019" s="10"/>
    </row>
    <row r="1020" spans="1:8" hidden="1" x14ac:dyDescent="0.3">
      <c r="A1020" t="s">
        <v>149</v>
      </c>
      <c r="B1020" s="2">
        <v>45597</v>
      </c>
      <c r="C1020" s="10"/>
    </row>
    <row r="1021" spans="1:8" ht="57.6" hidden="1" customHeight="1" x14ac:dyDescent="0.3">
      <c r="A1021" t="s">
        <v>149</v>
      </c>
      <c r="B1021" s="2">
        <v>45627</v>
      </c>
      <c r="C1021" s="10"/>
    </row>
    <row r="1022" spans="1:8" ht="57.6" hidden="1" customHeight="1" x14ac:dyDescent="0.3">
      <c r="A1022" t="s">
        <v>149</v>
      </c>
      <c r="B1022" s="2">
        <v>45658</v>
      </c>
      <c r="C1022" s="10"/>
    </row>
    <row r="1023" spans="1:8" ht="57.6" hidden="1" customHeight="1" x14ac:dyDescent="0.3">
      <c r="A1023" t="s">
        <v>149</v>
      </c>
      <c r="B1023" s="2">
        <v>45689</v>
      </c>
      <c r="C1023" s="10" t="s">
        <v>582</v>
      </c>
    </row>
    <row r="1024" spans="1:8" ht="57.6" hidden="1" customHeight="1" x14ac:dyDescent="0.3">
      <c r="A1024" t="s">
        <v>149</v>
      </c>
      <c r="B1024" s="2">
        <v>45717</v>
      </c>
      <c r="C1024" s="10" t="s">
        <v>583</v>
      </c>
    </row>
    <row r="1025" spans="1:8" ht="57.6" hidden="1" x14ac:dyDescent="0.3">
      <c r="A1025" t="s">
        <v>149</v>
      </c>
      <c r="B1025" s="2">
        <v>45748</v>
      </c>
      <c r="C1025" s="10" t="s">
        <v>584</v>
      </c>
    </row>
    <row r="1026" spans="1:8" ht="100.8" hidden="1" x14ac:dyDescent="0.3">
      <c r="A1026" t="s">
        <v>149</v>
      </c>
      <c r="B1026" s="2">
        <v>45778</v>
      </c>
      <c r="C1026" s="10" t="s">
        <v>585</v>
      </c>
    </row>
    <row r="1027" spans="1:8" ht="100.8" hidden="1" x14ac:dyDescent="0.3">
      <c r="A1027" t="s">
        <v>149</v>
      </c>
      <c r="B1027" s="2">
        <v>45809</v>
      </c>
      <c r="C1027" s="10" t="s">
        <v>586</v>
      </c>
    </row>
    <row r="1028" spans="1:8" hidden="1" x14ac:dyDescent="0.3">
      <c r="A1028" t="s">
        <v>149</v>
      </c>
      <c r="B1028" s="2">
        <v>45839</v>
      </c>
      <c r="C1028" t="s">
        <v>911</v>
      </c>
      <c r="D1028">
        <v>0</v>
      </c>
      <c r="E1028" t="s">
        <v>33</v>
      </c>
      <c r="F1028" t="s">
        <v>33</v>
      </c>
      <c r="G1028" s="44" t="s">
        <v>932</v>
      </c>
      <c r="H1028" t="s">
        <v>36</v>
      </c>
    </row>
    <row r="1029" spans="1:8" hidden="1" x14ac:dyDescent="0.3">
      <c r="A1029" t="s">
        <v>149</v>
      </c>
      <c r="B1029" s="2">
        <v>45870</v>
      </c>
      <c r="C1029" t="s">
        <v>911</v>
      </c>
      <c r="D1029">
        <v>0</v>
      </c>
      <c r="E1029" t="s">
        <v>33</v>
      </c>
      <c r="F1029" t="s">
        <v>33</v>
      </c>
      <c r="G1029" s="44" t="s">
        <v>932</v>
      </c>
      <c r="H1029" t="s">
        <v>36</v>
      </c>
    </row>
    <row r="1030" spans="1:8" hidden="1" x14ac:dyDescent="0.3">
      <c r="A1030" t="s">
        <v>149</v>
      </c>
      <c r="B1030" s="2">
        <v>45901</v>
      </c>
      <c r="C1030" t="s">
        <v>919</v>
      </c>
      <c r="D1030">
        <v>0</v>
      </c>
      <c r="E1030" t="s">
        <v>33</v>
      </c>
      <c r="F1030" t="s">
        <v>33</v>
      </c>
      <c r="G1030" s="44" t="s">
        <v>932</v>
      </c>
      <c r="H1030" t="s">
        <v>36</v>
      </c>
    </row>
    <row r="1031" spans="1:8" hidden="1" x14ac:dyDescent="0.3">
      <c r="A1031" t="s">
        <v>149</v>
      </c>
      <c r="B1031" s="2">
        <v>45931</v>
      </c>
      <c r="C1031" t="s">
        <v>911</v>
      </c>
      <c r="D1031">
        <v>0</v>
      </c>
      <c r="E1031" t="s">
        <v>33</v>
      </c>
      <c r="F1031" t="s">
        <v>33</v>
      </c>
      <c r="G1031" s="44" t="s">
        <v>932</v>
      </c>
      <c r="H1031" t="s">
        <v>36</v>
      </c>
    </row>
    <row r="1032" spans="1:8" hidden="1" x14ac:dyDescent="0.3">
      <c r="A1032" t="s">
        <v>149</v>
      </c>
      <c r="B1032" s="2">
        <v>45962</v>
      </c>
      <c r="C1032" t="s">
        <v>919</v>
      </c>
      <c r="D1032">
        <v>0</v>
      </c>
      <c r="E1032" t="s">
        <v>33</v>
      </c>
      <c r="F1032" t="s">
        <v>33</v>
      </c>
      <c r="G1032" s="44" t="s">
        <v>932</v>
      </c>
      <c r="H1032" t="s">
        <v>36</v>
      </c>
    </row>
    <row r="1033" spans="1:8" hidden="1" x14ac:dyDescent="0.3">
      <c r="A1033" t="s">
        <v>149</v>
      </c>
      <c r="B1033" s="2">
        <v>45992</v>
      </c>
      <c r="C1033" t="s">
        <v>911</v>
      </c>
      <c r="D1033">
        <v>0</v>
      </c>
      <c r="E1033" t="s">
        <v>33</v>
      </c>
      <c r="F1033" t="s">
        <v>33</v>
      </c>
      <c r="G1033" s="10" t="s">
        <v>972</v>
      </c>
      <c r="H1033" t="s">
        <v>36</v>
      </c>
    </row>
    <row r="1034" spans="1:8" hidden="1" x14ac:dyDescent="0.3">
      <c r="A1034" t="s">
        <v>149</v>
      </c>
      <c r="B1034" s="2">
        <v>46023</v>
      </c>
      <c r="C1034" t="s">
        <v>911</v>
      </c>
      <c r="D1034">
        <v>0</v>
      </c>
      <c r="E1034" t="s">
        <v>33</v>
      </c>
      <c r="F1034" t="s">
        <v>33</v>
      </c>
      <c r="G1034" s="10" t="s">
        <v>972</v>
      </c>
      <c r="H1034" t="s">
        <v>36</v>
      </c>
    </row>
    <row r="1035" spans="1:8" hidden="1" x14ac:dyDescent="0.3">
      <c r="A1035" t="s">
        <v>149</v>
      </c>
      <c r="B1035" s="2">
        <v>46054</v>
      </c>
      <c r="C1035" t="s">
        <v>895</v>
      </c>
      <c r="D1035">
        <v>0</v>
      </c>
      <c r="E1035" t="s">
        <v>33</v>
      </c>
      <c r="F1035" t="s">
        <v>33</v>
      </c>
      <c r="G1035" s="10" t="s">
        <v>326</v>
      </c>
      <c r="H1035" t="s">
        <v>36</v>
      </c>
    </row>
    <row r="1036" spans="1:8" hidden="1" x14ac:dyDescent="0.3">
      <c r="A1036" t="s">
        <v>149</v>
      </c>
      <c r="B1036" s="2">
        <v>46082</v>
      </c>
      <c r="C1036" t="s">
        <v>911</v>
      </c>
      <c r="D1036">
        <v>0</v>
      </c>
      <c r="E1036" t="s">
        <v>33</v>
      </c>
      <c r="F1036" t="s">
        <v>33</v>
      </c>
      <c r="G1036" s="10" t="s">
        <v>326</v>
      </c>
      <c r="H1036" t="s">
        <v>36</v>
      </c>
    </row>
    <row r="1037" spans="1:8" hidden="1" x14ac:dyDescent="0.3">
      <c r="A1037" t="s">
        <v>149</v>
      </c>
      <c r="B1037" s="2">
        <v>46113</v>
      </c>
      <c r="C1037" t="s">
        <v>919</v>
      </c>
      <c r="D1037">
        <v>0</v>
      </c>
      <c r="E1037" t="s">
        <v>33</v>
      </c>
      <c r="F1037" t="s">
        <v>33</v>
      </c>
      <c r="G1037" s="44" t="s">
        <v>932</v>
      </c>
      <c r="H1037" t="s">
        <v>36</v>
      </c>
    </row>
    <row r="1038" spans="1:8" hidden="1" x14ac:dyDescent="0.3">
      <c r="A1038" t="s">
        <v>149</v>
      </c>
      <c r="B1038" s="2">
        <v>46143</v>
      </c>
      <c r="C1038" t="s">
        <v>911</v>
      </c>
      <c r="D1038">
        <v>0</v>
      </c>
      <c r="E1038" t="s">
        <v>33</v>
      </c>
      <c r="F1038" t="s">
        <v>33</v>
      </c>
      <c r="G1038" s="44" t="s">
        <v>932</v>
      </c>
      <c r="H1038" t="s">
        <v>36</v>
      </c>
    </row>
    <row r="1039" spans="1:8" hidden="1" x14ac:dyDescent="0.3">
      <c r="A1039" t="s">
        <v>149</v>
      </c>
      <c r="B1039" s="2">
        <v>46235</v>
      </c>
      <c r="C1039" s="10" t="s">
        <v>896</v>
      </c>
      <c r="D1039">
        <v>0</v>
      </c>
      <c r="E1039" t="s">
        <v>33</v>
      </c>
      <c r="F1039" t="s">
        <v>33</v>
      </c>
      <c r="G1039" s="10" t="s">
        <v>932</v>
      </c>
      <c r="H1039" t="s">
        <v>36</v>
      </c>
    </row>
    <row r="1040" spans="1:8" hidden="1" x14ac:dyDescent="0.3">
      <c r="A1040" t="s">
        <v>149</v>
      </c>
      <c r="B1040" s="2">
        <v>46204</v>
      </c>
      <c r="C1040" s="10">
        <v>31</v>
      </c>
      <c r="D1040">
        <v>0</v>
      </c>
      <c r="E1040" t="s">
        <v>33</v>
      </c>
      <c r="F1040" t="s">
        <v>33</v>
      </c>
      <c r="G1040" t="s">
        <v>1014</v>
      </c>
      <c r="H1040" t="s">
        <v>36</v>
      </c>
    </row>
    <row r="1041" spans="1:8" hidden="1" x14ac:dyDescent="0.3">
      <c r="A1041" t="s">
        <v>149</v>
      </c>
      <c r="B1041" s="2">
        <v>46174</v>
      </c>
      <c r="C1041" t="s">
        <v>919</v>
      </c>
      <c r="D1041">
        <v>0</v>
      </c>
      <c r="E1041" t="s">
        <v>33</v>
      </c>
      <c r="F1041" t="s">
        <v>33</v>
      </c>
      <c r="G1041" s="10" t="s">
        <v>338</v>
      </c>
      <c r="H1041" t="s">
        <v>36</v>
      </c>
    </row>
    <row r="1042" spans="1:8" hidden="1" x14ac:dyDescent="0.3">
      <c r="A1042" t="s">
        <v>152</v>
      </c>
      <c r="B1042" s="2">
        <v>45536</v>
      </c>
      <c r="C1042" s="10"/>
    </row>
    <row r="1043" spans="1:8" hidden="1" x14ac:dyDescent="0.3">
      <c r="A1043" t="s">
        <v>152</v>
      </c>
      <c r="B1043" s="2">
        <v>45566</v>
      </c>
      <c r="C1043" s="10"/>
    </row>
    <row r="1044" spans="1:8" hidden="1" x14ac:dyDescent="0.3">
      <c r="A1044" t="s">
        <v>152</v>
      </c>
      <c r="B1044" s="2">
        <v>45597</v>
      </c>
      <c r="C1044" s="10"/>
    </row>
    <row r="1045" spans="1:8" hidden="1" x14ac:dyDescent="0.3">
      <c r="A1045" t="s">
        <v>152</v>
      </c>
      <c r="B1045" s="2">
        <v>45627</v>
      </c>
      <c r="C1045" s="10"/>
    </row>
    <row r="1046" spans="1:8" hidden="1" x14ac:dyDescent="0.3">
      <c r="A1046" t="s">
        <v>152</v>
      </c>
      <c r="B1046" s="2">
        <v>45658</v>
      </c>
      <c r="C1046" s="10"/>
    </row>
    <row r="1047" spans="1:8" ht="57.6" hidden="1" customHeight="1" x14ac:dyDescent="0.3">
      <c r="A1047" t="s">
        <v>152</v>
      </c>
      <c r="B1047" s="2">
        <v>45689</v>
      </c>
      <c r="C1047" s="10" t="s">
        <v>570</v>
      </c>
    </row>
    <row r="1048" spans="1:8" ht="57.6" hidden="1" customHeight="1" x14ac:dyDescent="0.3">
      <c r="A1048" t="s">
        <v>152</v>
      </c>
      <c r="B1048" s="2">
        <v>45717</v>
      </c>
      <c r="C1048" s="10" t="s">
        <v>554</v>
      </c>
    </row>
    <row r="1049" spans="1:8" ht="28.8" hidden="1" x14ac:dyDescent="0.3">
      <c r="A1049" t="s">
        <v>152</v>
      </c>
      <c r="B1049" s="2">
        <v>45748</v>
      </c>
      <c r="C1049" s="10" t="s">
        <v>554</v>
      </c>
    </row>
    <row r="1050" spans="1:8" ht="129.6" hidden="1" x14ac:dyDescent="0.3">
      <c r="A1050" t="s">
        <v>152</v>
      </c>
      <c r="B1050" s="2">
        <v>45778</v>
      </c>
      <c r="C1050" s="10" t="s">
        <v>571</v>
      </c>
    </row>
    <row r="1051" spans="1:8" ht="129.6" hidden="1" x14ac:dyDescent="0.3">
      <c r="A1051" t="s">
        <v>152</v>
      </c>
      <c r="B1051" s="2">
        <v>45809</v>
      </c>
      <c r="C1051" s="10" t="s">
        <v>572</v>
      </c>
    </row>
    <row r="1052" spans="1:8" ht="129.6" hidden="1" x14ac:dyDescent="0.3">
      <c r="A1052" t="s">
        <v>152</v>
      </c>
      <c r="B1052" s="2">
        <v>45839</v>
      </c>
      <c r="C1052" s="10" t="s">
        <v>573</v>
      </c>
    </row>
    <row r="1053" spans="1:8" ht="129.6" hidden="1" x14ac:dyDescent="0.3">
      <c r="A1053" t="s">
        <v>152</v>
      </c>
      <c r="B1053" s="2">
        <v>45870</v>
      </c>
      <c r="C1053" s="10" t="s">
        <v>574</v>
      </c>
    </row>
    <row r="1054" spans="1:8" ht="100.8" hidden="1" x14ac:dyDescent="0.3">
      <c r="A1054" t="s">
        <v>152</v>
      </c>
      <c r="B1054" s="2">
        <v>45901</v>
      </c>
      <c r="C1054" s="10" t="s">
        <v>575</v>
      </c>
    </row>
    <row r="1055" spans="1:8" ht="158.4" hidden="1" x14ac:dyDescent="0.3">
      <c r="A1055" t="s">
        <v>152</v>
      </c>
      <c r="B1055" s="2">
        <v>45931</v>
      </c>
      <c r="C1055" s="10" t="s">
        <v>576</v>
      </c>
    </row>
    <row r="1056" spans="1:8" ht="158.4" hidden="1" x14ac:dyDescent="0.3">
      <c r="A1056" t="s">
        <v>152</v>
      </c>
      <c r="B1056" s="2">
        <v>45962</v>
      </c>
      <c r="C1056" s="10" t="s">
        <v>577</v>
      </c>
    </row>
    <row r="1057" spans="1:8" ht="28.8" hidden="1" x14ac:dyDescent="0.3">
      <c r="A1057" t="s">
        <v>152</v>
      </c>
      <c r="B1057" s="2">
        <v>45992</v>
      </c>
      <c r="C1057" s="10" t="s">
        <v>578</v>
      </c>
    </row>
    <row r="1058" spans="1:8" ht="28.8" hidden="1" x14ac:dyDescent="0.3">
      <c r="A1058" t="s">
        <v>152</v>
      </c>
      <c r="B1058" s="2">
        <v>46023</v>
      </c>
      <c r="C1058" s="10" t="s">
        <v>579</v>
      </c>
    </row>
    <row r="1059" spans="1:8" ht="43.2" hidden="1" x14ac:dyDescent="0.3">
      <c r="A1059" t="s">
        <v>152</v>
      </c>
      <c r="B1059" s="2">
        <v>46054</v>
      </c>
      <c r="C1059" s="10" t="s">
        <v>580</v>
      </c>
    </row>
    <row r="1060" spans="1:8" ht="28.8" hidden="1" x14ac:dyDescent="0.3">
      <c r="A1060" t="s">
        <v>152</v>
      </c>
      <c r="B1060" s="2">
        <v>46082</v>
      </c>
      <c r="C1060" s="10" t="s">
        <v>581</v>
      </c>
    </row>
    <row r="1061" spans="1:8" ht="28.8" hidden="1" x14ac:dyDescent="0.3">
      <c r="A1061" t="s">
        <v>152</v>
      </c>
      <c r="B1061" s="2">
        <v>46113</v>
      </c>
      <c r="C1061" s="10" t="s">
        <v>581</v>
      </c>
    </row>
    <row r="1062" spans="1:8" ht="28.8" hidden="1" x14ac:dyDescent="0.3">
      <c r="A1062" t="s">
        <v>152</v>
      </c>
      <c r="B1062" s="2">
        <v>46143</v>
      </c>
      <c r="C1062" s="10" t="s">
        <v>865</v>
      </c>
    </row>
    <row r="1063" spans="1:8" ht="28.8" hidden="1" x14ac:dyDescent="0.3">
      <c r="A1063" t="s">
        <v>152</v>
      </c>
      <c r="B1063" s="2">
        <v>46235</v>
      </c>
      <c r="C1063" s="10" t="s">
        <v>895</v>
      </c>
      <c r="D1063" t="s">
        <v>1081</v>
      </c>
      <c r="E1063" t="s">
        <v>33</v>
      </c>
      <c r="F1063" t="s">
        <v>33</v>
      </c>
      <c r="G1063" s="10" t="s">
        <v>1082</v>
      </c>
      <c r="H1063" t="s">
        <v>36</v>
      </c>
    </row>
    <row r="1064" spans="1:8" ht="43.2" hidden="1" customHeight="1" x14ac:dyDescent="0.3">
      <c r="A1064" t="s">
        <v>152</v>
      </c>
      <c r="B1064" s="2">
        <v>46174</v>
      </c>
      <c r="C1064" s="10"/>
    </row>
    <row r="1065" spans="1:8" ht="57.6" hidden="1" customHeight="1" x14ac:dyDescent="0.3">
      <c r="A1065" t="s">
        <v>152</v>
      </c>
      <c r="B1065" s="2">
        <v>46204</v>
      </c>
      <c r="C1065" s="10">
        <v>31</v>
      </c>
      <c r="D1065">
        <v>0</v>
      </c>
      <c r="E1065" t="s">
        <v>33</v>
      </c>
      <c r="F1065" t="s">
        <v>33</v>
      </c>
      <c r="G1065" t="s">
        <v>1039</v>
      </c>
      <c r="H1065" t="s">
        <v>36</v>
      </c>
    </row>
    <row r="1066" spans="1:8" ht="57.6" hidden="1" customHeight="1" x14ac:dyDescent="0.3">
      <c r="A1066" t="s">
        <v>155</v>
      </c>
      <c r="B1066" s="2">
        <v>45536</v>
      </c>
      <c r="C1066" s="10"/>
    </row>
    <row r="1067" spans="1:8" ht="57.6" hidden="1" customHeight="1" x14ac:dyDescent="0.3">
      <c r="A1067" t="s">
        <v>155</v>
      </c>
      <c r="B1067" s="2">
        <v>45566</v>
      </c>
      <c r="C1067" s="10"/>
    </row>
    <row r="1068" spans="1:8" hidden="1" x14ac:dyDescent="0.3">
      <c r="A1068" t="s">
        <v>155</v>
      </c>
      <c r="B1068" s="2">
        <v>45597</v>
      </c>
      <c r="C1068" s="10"/>
    </row>
    <row r="1069" spans="1:8" hidden="1" x14ac:dyDescent="0.3">
      <c r="A1069" t="s">
        <v>155</v>
      </c>
      <c r="B1069" s="2">
        <v>45627</v>
      </c>
      <c r="C1069" s="10"/>
    </row>
    <row r="1070" spans="1:8" hidden="1" x14ac:dyDescent="0.3">
      <c r="A1070" t="s">
        <v>155</v>
      </c>
      <c r="B1070" s="2">
        <v>45658</v>
      </c>
      <c r="C1070" s="10"/>
    </row>
    <row r="1071" spans="1:8" hidden="1" x14ac:dyDescent="0.3">
      <c r="A1071" t="s">
        <v>155</v>
      </c>
      <c r="B1071" s="2">
        <v>45689</v>
      </c>
      <c r="C1071" s="10" t="s">
        <v>587</v>
      </c>
    </row>
    <row r="1072" spans="1:8" hidden="1" x14ac:dyDescent="0.3">
      <c r="A1072" t="s">
        <v>155</v>
      </c>
      <c r="B1072" s="2">
        <v>45717</v>
      </c>
      <c r="C1072" s="10" t="s">
        <v>588</v>
      </c>
      <c r="G1072" s="45"/>
    </row>
    <row r="1073" spans="1:8" hidden="1" x14ac:dyDescent="0.3">
      <c r="A1073" t="s">
        <v>155</v>
      </c>
      <c r="B1073" s="2">
        <v>45748</v>
      </c>
      <c r="C1073" s="10" t="s">
        <v>588</v>
      </c>
      <c r="G1073" s="45"/>
    </row>
    <row r="1074" spans="1:8" ht="129.6" hidden="1" x14ac:dyDescent="0.3">
      <c r="A1074" t="s">
        <v>155</v>
      </c>
      <c r="B1074" s="2">
        <v>45778</v>
      </c>
      <c r="C1074" s="10" t="s">
        <v>589</v>
      </c>
      <c r="G1074" s="45"/>
    </row>
    <row r="1075" spans="1:8" ht="129.6" hidden="1" x14ac:dyDescent="0.3">
      <c r="A1075" t="s">
        <v>155</v>
      </c>
      <c r="B1075" s="2">
        <v>45809</v>
      </c>
      <c r="C1075" s="10" t="s">
        <v>590</v>
      </c>
    </row>
    <row r="1076" spans="1:8" hidden="1" x14ac:dyDescent="0.3">
      <c r="A1076" t="s">
        <v>155</v>
      </c>
      <c r="B1076" s="2">
        <v>45839</v>
      </c>
      <c r="C1076" s="10"/>
    </row>
    <row r="1077" spans="1:8" ht="129.6" hidden="1" x14ac:dyDescent="0.3">
      <c r="A1077" t="s">
        <v>155</v>
      </c>
      <c r="B1077" s="2">
        <v>45870</v>
      </c>
      <c r="C1077" s="10" t="s">
        <v>591</v>
      </c>
    </row>
    <row r="1078" spans="1:8" ht="129.6" hidden="1" x14ac:dyDescent="0.3">
      <c r="A1078" t="s">
        <v>155</v>
      </c>
      <c r="B1078" s="2">
        <v>45901</v>
      </c>
      <c r="C1078" s="10" t="s">
        <v>592</v>
      </c>
    </row>
    <row r="1079" spans="1:8" ht="100.8" hidden="1" x14ac:dyDescent="0.3">
      <c r="A1079" t="s">
        <v>155</v>
      </c>
      <c r="B1079" s="2">
        <v>45931</v>
      </c>
      <c r="C1079" s="10" t="s">
        <v>593</v>
      </c>
    </row>
    <row r="1080" spans="1:8" ht="100.8" hidden="1" x14ac:dyDescent="0.3">
      <c r="A1080" t="s">
        <v>155</v>
      </c>
      <c r="B1080" s="2">
        <v>45962</v>
      </c>
      <c r="C1080" s="10" t="s">
        <v>594</v>
      </c>
    </row>
    <row r="1081" spans="1:8" hidden="1" x14ac:dyDescent="0.3">
      <c r="A1081" t="s">
        <v>155</v>
      </c>
      <c r="B1081" s="2">
        <v>45992</v>
      </c>
      <c r="C1081" s="10" t="s">
        <v>326</v>
      </c>
    </row>
    <row r="1082" spans="1:8" hidden="1" x14ac:dyDescent="0.3">
      <c r="A1082" t="s">
        <v>155</v>
      </c>
      <c r="B1082" s="2">
        <v>46023</v>
      </c>
      <c r="C1082" s="10" t="s">
        <v>338</v>
      </c>
    </row>
    <row r="1083" spans="1:8" hidden="1" x14ac:dyDescent="0.3">
      <c r="A1083" t="s">
        <v>155</v>
      </c>
      <c r="B1083" s="2">
        <v>46054</v>
      </c>
      <c r="C1083" s="10" t="s">
        <v>326</v>
      </c>
    </row>
    <row r="1084" spans="1:8" ht="28.8" hidden="1" x14ac:dyDescent="0.3">
      <c r="A1084" t="s">
        <v>155</v>
      </c>
      <c r="B1084" s="2">
        <v>46082</v>
      </c>
      <c r="C1084" s="10" t="s">
        <v>595</v>
      </c>
    </row>
    <row r="1085" spans="1:8" ht="28.8" hidden="1" x14ac:dyDescent="0.3">
      <c r="A1085" t="s">
        <v>155</v>
      </c>
      <c r="B1085" s="2">
        <v>46113</v>
      </c>
      <c r="C1085" s="10" t="s">
        <v>596</v>
      </c>
    </row>
    <row r="1086" spans="1:8" ht="28.8" hidden="1" x14ac:dyDescent="0.3">
      <c r="A1086" t="s">
        <v>155</v>
      </c>
      <c r="B1086" s="2">
        <v>46143</v>
      </c>
      <c r="C1086" s="10" t="s">
        <v>864</v>
      </c>
    </row>
    <row r="1087" spans="1:8" hidden="1" x14ac:dyDescent="0.3">
      <c r="A1087" t="s">
        <v>155</v>
      </c>
      <c r="B1087" s="2">
        <v>46235</v>
      </c>
      <c r="C1087" s="10" t="s">
        <v>36</v>
      </c>
      <c r="D1087" s="10" t="s">
        <v>36</v>
      </c>
      <c r="E1087" s="10" t="s">
        <v>36</v>
      </c>
      <c r="F1087" s="10" t="s">
        <v>36</v>
      </c>
      <c r="G1087" s="10" t="s">
        <v>36</v>
      </c>
      <c r="H1087" t="s">
        <v>1083</v>
      </c>
    </row>
    <row r="1088" spans="1:8" hidden="1" x14ac:dyDescent="0.3">
      <c r="A1088" t="s">
        <v>155</v>
      </c>
      <c r="B1088" s="2">
        <v>46174</v>
      </c>
      <c r="C1088" s="10"/>
    </row>
    <row r="1089" spans="1:8" hidden="1" x14ac:dyDescent="0.3">
      <c r="A1089" t="s">
        <v>155</v>
      </c>
      <c r="B1089" s="2">
        <v>46204</v>
      </c>
      <c r="C1089" s="10" t="s">
        <v>36</v>
      </c>
      <c r="D1089" t="s">
        <v>36</v>
      </c>
      <c r="E1089" t="s">
        <v>1041</v>
      </c>
      <c r="F1089" t="s">
        <v>36</v>
      </c>
      <c r="G1089" t="s">
        <v>36</v>
      </c>
      <c r="H1089" t="s">
        <v>36</v>
      </c>
    </row>
    <row r="1090" spans="1:8" hidden="1" x14ac:dyDescent="0.3">
      <c r="A1090" t="s">
        <v>157</v>
      </c>
      <c r="B1090" s="2">
        <v>45536</v>
      </c>
      <c r="C1090" s="10"/>
    </row>
    <row r="1091" spans="1:8" hidden="1" x14ac:dyDescent="0.3">
      <c r="A1091" t="s">
        <v>157</v>
      </c>
      <c r="B1091" s="2">
        <v>45566</v>
      </c>
      <c r="C1091" s="10"/>
    </row>
    <row r="1092" spans="1:8" hidden="1" x14ac:dyDescent="0.3">
      <c r="A1092" t="s">
        <v>157</v>
      </c>
      <c r="B1092" s="2">
        <v>45597</v>
      </c>
      <c r="C1092" s="10"/>
    </row>
    <row r="1093" spans="1:8" hidden="1" x14ac:dyDescent="0.3">
      <c r="A1093" t="s">
        <v>157</v>
      </c>
      <c r="B1093" s="2">
        <v>45627</v>
      </c>
      <c r="C1093" s="10"/>
    </row>
    <row r="1094" spans="1:8" hidden="1" x14ac:dyDescent="0.3">
      <c r="A1094" t="s">
        <v>157</v>
      </c>
      <c r="B1094" s="2">
        <v>45658</v>
      </c>
      <c r="C1094" s="10"/>
    </row>
    <row r="1095" spans="1:8" hidden="1" x14ac:dyDescent="0.3">
      <c r="A1095" t="s">
        <v>157</v>
      </c>
      <c r="B1095" s="2">
        <v>45689</v>
      </c>
      <c r="C1095" s="10"/>
    </row>
    <row r="1096" spans="1:8" hidden="1" x14ac:dyDescent="0.3">
      <c r="A1096" t="s">
        <v>157</v>
      </c>
      <c r="B1096" s="2">
        <v>45717</v>
      </c>
      <c r="C1096" s="10"/>
    </row>
    <row r="1097" spans="1:8" hidden="1" x14ac:dyDescent="0.3">
      <c r="A1097" t="s">
        <v>157</v>
      </c>
      <c r="B1097" s="2">
        <v>45748</v>
      </c>
      <c r="C1097" s="10"/>
    </row>
    <row r="1098" spans="1:8" hidden="1" x14ac:dyDescent="0.3">
      <c r="A1098" t="s">
        <v>157</v>
      </c>
      <c r="B1098" s="2">
        <v>45778</v>
      </c>
      <c r="C1098" s="10"/>
    </row>
    <row r="1099" spans="1:8" hidden="1" x14ac:dyDescent="0.3">
      <c r="A1099" t="s">
        <v>157</v>
      </c>
      <c r="B1099" s="2">
        <v>45809</v>
      </c>
      <c r="C1099" s="10"/>
    </row>
    <row r="1100" spans="1:8" hidden="1" x14ac:dyDescent="0.3">
      <c r="A1100" t="s">
        <v>157</v>
      </c>
      <c r="B1100" s="2">
        <v>45839</v>
      </c>
      <c r="C1100" s="10"/>
    </row>
    <row r="1101" spans="1:8" hidden="1" x14ac:dyDescent="0.3">
      <c r="A1101" t="s">
        <v>157</v>
      </c>
      <c r="B1101" s="2">
        <v>45870</v>
      </c>
      <c r="C1101" s="10"/>
    </row>
    <row r="1102" spans="1:8" hidden="1" x14ac:dyDescent="0.3">
      <c r="A1102" t="s">
        <v>157</v>
      </c>
      <c r="B1102" s="2">
        <v>45901</v>
      </c>
      <c r="C1102" s="10"/>
    </row>
    <row r="1103" spans="1:8" ht="100.8" hidden="1" x14ac:dyDescent="0.3">
      <c r="A1103" t="s">
        <v>157</v>
      </c>
      <c r="B1103" s="2">
        <v>45931</v>
      </c>
      <c r="C1103" s="10" t="s">
        <v>597</v>
      </c>
    </row>
    <row r="1104" spans="1:8" ht="100.8" hidden="1" x14ac:dyDescent="0.3">
      <c r="A1104" t="s">
        <v>157</v>
      </c>
      <c r="B1104" s="2">
        <v>45962</v>
      </c>
      <c r="C1104" s="10" t="s">
        <v>597</v>
      </c>
    </row>
    <row r="1105" spans="1:8" hidden="1" x14ac:dyDescent="0.3">
      <c r="A1105" t="s">
        <v>157</v>
      </c>
      <c r="B1105" s="2">
        <v>45992</v>
      </c>
      <c r="C1105" s="10" t="s">
        <v>598</v>
      </c>
    </row>
    <row r="1106" spans="1:8" hidden="1" x14ac:dyDescent="0.3">
      <c r="A1106" t="s">
        <v>157</v>
      </c>
      <c r="B1106" s="2">
        <v>46023</v>
      </c>
      <c r="C1106" s="10" t="s">
        <v>338</v>
      </c>
    </row>
    <row r="1107" spans="1:8" hidden="1" x14ac:dyDescent="0.3">
      <c r="A1107" t="s">
        <v>157</v>
      </c>
      <c r="B1107" s="2">
        <v>46054</v>
      </c>
      <c r="C1107" s="10" t="s">
        <v>326</v>
      </c>
    </row>
    <row r="1108" spans="1:8" hidden="1" x14ac:dyDescent="0.3">
      <c r="A1108" t="s">
        <v>157</v>
      </c>
      <c r="B1108" s="2">
        <v>46082</v>
      </c>
      <c r="C1108" s="10" t="s">
        <v>326</v>
      </c>
    </row>
    <row r="1109" spans="1:8" ht="28.8" hidden="1" x14ac:dyDescent="0.3">
      <c r="A1109" t="s">
        <v>157</v>
      </c>
      <c r="B1109" s="2">
        <v>46113</v>
      </c>
      <c r="C1109" s="10" t="s">
        <v>595</v>
      </c>
    </row>
    <row r="1110" spans="1:8" ht="28.8" hidden="1" x14ac:dyDescent="0.3">
      <c r="A1110" t="s">
        <v>157</v>
      </c>
      <c r="B1110" s="2">
        <v>46143</v>
      </c>
      <c r="C1110" s="10" t="s">
        <v>867</v>
      </c>
    </row>
    <row r="1111" spans="1:8" hidden="1" x14ac:dyDescent="0.3">
      <c r="A1111" t="s">
        <v>157</v>
      </c>
      <c r="B1111" s="2">
        <v>46235</v>
      </c>
      <c r="C1111" s="10" t="s">
        <v>896</v>
      </c>
      <c r="D1111">
        <v>0</v>
      </c>
      <c r="E1111" t="s">
        <v>33</v>
      </c>
      <c r="F1111" t="s">
        <v>33</v>
      </c>
      <c r="G1111" t="s">
        <v>932</v>
      </c>
      <c r="H1111" t="s">
        <v>36</v>
      </c>
    </row>
    <row r="1112" spans="1:8" hidden="1" x14ac:dyDescent="0.3">
      <c r="A1112" t="s">
        <v>157</v>
      </c>
      <c r="B1112" s="2">
        <v>46174</v>
      </c>
      <c r="C1112" s="10"/>
    </row>
    <row r="1113" spans="1:8" hidden="1" x14ac:dyDescent="0.3">
      <c r="A1113" t="s">
        <v>157</v>
      </c>
      <c r="B1113" s="2">
        <v>46204</v>
      </c>
      <c r="C1113" s="10">
        <v>31</v>
      </c>
      <c r="D1113">
        <v>0</v>
      </c>
      <c r="E1113" t="s">
        <v>33</v>
      </c>
      <c r="F1113" t="s">
        <v>33</v>
      </c>
      <c r="G1113" t="s">
        <v>932</v>
      </c>
      <c r="H1113" t="s">
        <v>36</v>
      </c>
    </row>
    <row r="1114" spans="1:8" hidden="1" x14ac:dyDescent="0.3">
      <c r="A1114" t="s">
        <v>160</v>
      </c>
      <c r="B1114" s="2">
        <v>45536</v>
      </c>
      <c r="C1114" s="10"/>
    </row>
    <row r="1115" spans="1:8" ht="28.8" hidden="1" x14ac:dyDescent="0.3">
      <c r="A1115" t="s">
        <v>160</v>
      </c>
      <c r="B1115" s="2">
        <v>45566</v>
      </c>
      <c r="C1115" s="10" t="s">
        <v>599</v>
      </c>
    </row>
    <row r="1116" spans="1:8" hidden="1" x14ac:dyDescent="0.3">
      <c r="A1116" t="s">
        <v>160</v>
      </c>
      <c r="B1116" s="2">
        <v>45597</v>
      </c>
      <c r="C1116" s="10"/>
    </row>
    <row r="1117" spans="1:8" hidden="1" x14ac:dyDescent="0.3">
      <c r="A1117" t="s">
        <v>160</v>
      </c>
      <c r="B1117" s="2">
        <v>45627</v>
      </c>
      <c r="C1117" s="10"/>
    </row>
    <row r="1118" spans="1:8" hidden="1" x14ac:dyDescent="0.3">
      <c r="A1118" t="s">
        <v>160</v>
      </c>
      <c r="B1118" s="2">
        <v>45658</v>
      </c>
      <c r="C1118" s="10"/>
    </row>
    <row r="1119" spans="1:8" ht="28.8" hidden="1" x14ac:dyDescent="0.3">
      <c r="A1119" t="s">
        <v>160</v>
      </c>
      <c r="B1119" s="2">
        <v>45689</v>
      </c>
      <c r="C1119" s="10" t="s">
        <v>600</v>
      </c>
    </row>
    <row r="1120" spans="1:8" ht="43.2" hidden="1" customHeight="1" x14ac:dyDescent="0.3">
      <c r="A1120" t="s">
        <v>160</v>
      </c>
      <c r="B1120" s="2">
        <v>45717</v>
      </c>
      <c r="C1120" s="10" t="s">
        <v>601</v>
      </c>
    </row>
    <row r="1121" spans="1:8" ht="86.4" hidden="1" x14ac:dyDescent="0.3">
      <c r="A1121" t="s">
        <v>160</v>
      </c>
      <c r="B1121" s="2">
        <v>45748</v>
      </c>
      <c r="C1121" s="10" t="s">
        <v>602</v>
      </c>
    </row>
    <row r="1122" spans="1:8" ht="100.8" hidden="1" x14ac:dyDescent="0.3">
      <c r="A1122" t="s">
        <v>160</v>
      </c>
      <c r="B1122" s="2">
        <v>45778</v>
      </c>
      <c r="C1122" s="10" t="s">
        <v>603</v>
      </c>
    </row>
    <row r="1123" spans="1:8" ht="100.8" hidden="1" x14ac:dyDescent="0.3">
      <c r="A1123" t="s">
        <v>160</v>
      </c>
      <c r="B1123" s="2">
        <v>45809</v>
      </c>
      <c r="C1123" s="10" t="s">
        <v>604</v>
      </c>
    </row>
    <row r="1124" spans="1:8" hidden="1" x14ac:dyDescent="0.3">
      <c r="A1124" t="s">
        <v>160</v>
      </c>
      <c r="B1124" s="2">
        <v>45839</v>
      </c>
      <c r="C1124" t="s">
        <v>911</v>
      </c>
      <c r="D1124">
        <v>0</v>
      </c>
      <c r="E1124" t="s">
        <v>33</v>
      </c>
      <c r="F1124" t="s">
        <v>33</v>
      </c>
      <c r="G1124" s="10" t="s">
        <v>338</v>
      </c>
      <c r="H1124" t="s">
        <v>36</v>
      </c>
    </row>
    <row r="1125" spans="1:8" hidden="1" x14ac:dyDescent="0.3">
      <c r="A1125" t="s">
        <v>160</v>
      </c>
      <c r="B1125" s="2">
        <v>45870</v>
      </c>
      <c r="C1125" t="s">
        <v>911</v>
      </c>
      <c r="D1125">
        <v>0</v>
      </c>
      <c r="E1125" t="s">
        <v>33</v>
      </c>
      <c r="F1125" t="s">
        <v>33</v>
      </c>
      <c r="G1125" s="10" t="s">
        <v>338</v>
      </c>
      <c r="H1125" t="s">
        <v>36</v>
      </c>
    </row>
    <row r="1126" spans="1:8" hidden="1" x14ac:dyDescent="0.3">
      <c r="A1126" t="s">
        <v>160</v>
      </c>
      <c r="B1126" s="2">
        <v>45901</v>
      </c>
      <c r="C1126" t="s">
        <v>919</v>
      </c>
      <c r="D1126">
        <v>0</v>
      </c>
      <c r="E1126" t="s">
        <v>33</v>
      </c>
      <c r="F1126" t="s">
        <v>33</v>
      </c>
      <c r="G1126" s="10" t="s">
        <v>338</v>
      </c>
      <c r="H1126" t="s">
        <v>36</v>
      </c>
    </row>
    <row r="1127" spans="1:8" hidden="1" x14ac:dyDescent="0.3">
      <c r="A1127" t="s">
        <v>160</v>
      </c>
      <c r="B1127" s="2">
        <v>45931</v>
      </c>
      <c r="C1127" t="s">
        <v>911</v>
      </c>
      <c r="D1127">
        <v>0</v>
      </c>
      <c r="E1127" t="s">
        <v>33</v>
      </c>
      <c r="F1127" t="s">
        <v>33</v>
      </c>
      <c r="G1127" s="10" t="s">
        <v>338</v>
      </c>
      <c r="H1127" t="s">
        <v>36</v>
      </c>
    </row>
    <row r="1128" spans="1:8" hidden="1" x14ac:dyDescent="0.3">
      <c r="A1128" t="s">
        <v>160</v>
      </c>
      <c r="B1128" s="2">
        <v>45962</v>
      </c>
      <c r="C1128" t="s">
        <v>919</v>
      </c>
      <c r="D1128">
        <v>0</v>
      </c>
      <c r="E1128" t="s">
        <v>33</v>
      </c>
      <c r="F1128" t="s">
        <v>33</v>
      </c>
      <c r="G1128" s="44" t="s">
        <v>932</v>
      </c>
      <c r="H1128" t="s">
        <v>36</v>
      </c>
    </row>
    <row r="1129" spans="1:8" hidden="1" x14ac:dyDescent="0.3">
      <c r="A1129" t="s">
        <v>160</v>
      </c>
      <c r="B1129" s="2">
        <v>45992</v>
      </c>
      <c r="C1129" t="s">
        <v>911</v>
      </c>
      <c r="D1129">
        <v>0</v>
      </c>
      <c r="E1129" t="s">
        <v>33</v>
      </c>
      <c r="F1129" t="s">
        <v>33</v>
      </c>
      <c r="G1129" s="44" t="s">
        <v>932</v>
      </c>
      <c r="H1129" t="s">
        <v>36</v>
      </c>
    </row>
    <row r="1130" spans="1:8" hidden="1" x14ac:dyDescent="0.3">
      <c r="A1130" t="s">
        <v>160</v>
      </c>
      <c r="B1130" s="2">
        <v>46023</v>
      </c>
      <c r="C1130" t="s">
        <v>911</v>
      </c>
      <c r="D1130">
        <v>0</v>
      </c>
      <c r="E1130" t="s">
        <v>33</v>
      </c>
      <c r="F1130" t="s">
        <v>33</v>
      </c>
      <c r="G1130" s="44" t="s">
        <v>932</v>
      </c>
      <c r="H1130" t="s">
        <v>36</v>
      </c>
    </row>
    <row r="1131" spans="1:8" hidden="1" x14ac:dyDescent="0.3">
      <c r="A1131" t="s">
        <v>160</v>
      </c>
      <c r="B1131" s="2">
        <v>46054</v>
      </c>
      <c r="C1131" t="s">
        <v>895</v>
      </c>
      <c r="D1131">
        <v>0</v>
      </c>
      <c r="E1131" t="s">
        <v>33</v>
      </c>
      <c r="F1131" t="s">
        <v>33</v>
      </c>
      <c r="G1131" s="10" t="s">
        <v>338</v>
      </c>
      <c r="H1131" t="s">
        <v>36</v>
      </c>
    </row>
    <row r="1132" spans="1:8" hidden="1" x14ac:dyDescent="0.3">
      <c r="A1132" t="s">
        <v>160</v>
      </c>
      <c r="B1132" s="2">
        <v>46082</v>
      </c>
      <c r="C1132" t="s">
        <v>911</v>
      </c>
      <c r="D1132">
        <v>0</v>
      </c>
      <c r="E1132" t="s">
        <v>33</v>
      </c>
      <c r="F1132" t="s">
        <v>33</v>
      </c>
      <c r="G1132" s="10" t="s">
        <v>338</v>
      </c>
      <c r="H1132" t="s">
        <v>36</v>
      </c>
    </row>
    <row r="1133" spans="1:8" hidden="1" x14ac:dyDescent="0.3">
      <c r="A1133" t="s">
        <v>160</v>
      </c>
      <c r="B1133" s="2">
        <v>46113</v>
      </c>
      <c r="C1133" t="s">
        <v>919</v>
      </c>
      <c r="D1133">
        <v>0</v>
      </c>
      <c r="E1133" t="s">
        <v>33</v>
      </c>
      <c r="F1133" t="s">
        <v>33</v>
      </c>
      <c r="G1133" s="10" t="s">
        <v>338</v>
      </c>
      <c r="H1133" t="s">
        <v>36</v>
      </c>
    </row>
    <row r="1134" spans="1:8" hidden="1" x14ac:dyDescent="0.3">
      <c r="A1134" t="s">
        <v>160</v>
      </c>
      <c r="B1134" s="2">
        <v>46143</v>
      </c>
      <c r="C1134" t="s">
        <v>911</v>
      </c>
      <c r="D1134">
        <v>0</v>
      </c>
      <c r="E1134" t="s">
        <v>33</v>
      </c>
      <c r="F1134" t="s">
        <v>33</v>
      </c>
      <c r="G1134" s="10" t="s">
        <v>338</v>
      </c>
      <c r="H1134" t="s">
        <v>36</v>
      </c>
    </row>
    <row r="1135" spans="1:8" hidden="1" x14ac:dyDescent="0.3">
      <c r="A1135" t="s">
        <v>160</v>
      </c>
      <c r="B1135" s="2">
        <v>46235</v>
      </c>
      <c r="C1135" t="s">
        <v>896</v>
      </c>
      <c r="D1135">
        <v>0</v>
      </c>
      <c r="E1135" t="s">
        <v>33</v>
      </c>
      <c r="F1135" t="s">
        <v>33</v>
      </c>
      <c r="G1135" t="s">
        <v>338</v>
      </c>
      <c r="H1135" t="s">
        <v>36</v>
      </c>
    </row>
    <row r="1136" spans="1:8" hidden="1" x14ac:dyDescent="0.3">
      <c r="A1136" t="s">
        <v>160</v>
      </c>
      <c r="B1136" s="2">
        <v>46174</v>
      </c>
      <c r="C1136" t="s">
        <v>919</v>
      </c>
      <c r="D1136">
        <v>0</v>
      </c>
      <c r="E1136" t="s">
        <v>33</v>
      </c>
      <c r="F1136" t="s">
        <v>33</v>
      </c>
      <c r="G1136" s="10" t="s">
        <v>338</v>
      </c>
      <c r="H1136" t="s">
        <v>36</v>
      </c>
    </row>
    <row r="1137" spans="1:8" hidden="1" x14ac:dyDescent="0.3">
      <c r="A1137" t="s">
        <v>160</v>
      </c>
      <c r="B1137" s="2">
        <v>46204</v>
      </c>
      <c r="C1137" s="10">
        <v>31</v>
      </c>
      <c r="D1137">
        <v>0</v>
      </c>
      <c r="E1137" t="s">
        <v>33</v>
      </c>
      <c r="F1137" t="s">
        <v>33</v>
      </c>
      <c r="G1137" t="s">
        <v>1014</v>
      </c>
      <c r="H1137" t="s">
        <v>36</v>
      </c>
    </row>
    <row r="1138" spans="1:8" hidden="1" x14ac:dyDescent="0.3">
      <c r="A1138" t="s">
        <v>244</v>
      </c>
      <c r="B1138" s="2">
        <v>45536</v>
      </c>
      <c r="C1138" s="10"/>
    </row>
    <row r="1139" spans="1:8" hidden="1" x14ac:dyDescent="0.3">
      <c r="A1139" t="s">
        <v>244</v>
      </c>
      <c r="B1139" s="2">
        <v>45566</v>
      </c>
      <c r="C1139" s="10"/>
    </row>
    <row r="1140" spans="1:8" hidden="1" x14ac:dyDescent="0.3">
      <c r="A1140" t="s">
        <v>244</v>
      </c>
      <c r="B1140" s="2">
        <v>45597</v>
      </c>
      <c r="C1140" s="10"/>
    </row>
    <row r="1141" spans="1:8" hidden="1" x14ac:dyDescent="0.3">
      <c r="A1141" t="s">
        <v>244</v>
      </c>
      <c r="B1141" s="2">
        <v>45627</v>
      </c>
      <c r="C1141" s="10"/>
    </row>
    <row r="1142" spans="1:8" ht="43.2" hidden="1" customHeight="1" x14ac:dyDescent="0.3">
      <c r="A1142" t="s">
        <v>244</v>
      </c>
      <c r="B1142" s="2">
        <v>45658</v>
      </c>
      <c r="C1142" s="10"/>
    </row>
    <row r="1143" spans="1:8" ht="43.2" hidden="1" customHeight="1" x14ac:dyDescent="0.3">
      <c r="A1143" t="s">
        <v>244</v>
      </c>
      <c r="B1143" s="2">
        <v>45689</v>
      </c>
      <c r="C1143" s="10"/>
    </row>
    <row r="1144" spans="1:8" ht="43.2" hidden="1" customHeight="1" x14ac:dyDescent="0.3">
      <c r="A1144" t="s">
        <v>244</v>
      </c>
      <c r="B1144" s="2">
        <v>45717</v>
      </c>
      <c r="C1144" s="10"/>
    </row>
    <row r="1145" spans="1:8" hidden="1" x14ac:dyDescent="0.3">
      <c r="A1145" t="s">
        <v>244</v>
      </c>
      <c r="B1145" s="2">
        <v>45748</v>
      </c>
      <c r="C1145" s="10"/>
    </row>
    <row r="1146" spans="1:8" hidden="1" x14ac:dyDescent="0.3">
      <c r="A1146" t="s">
        <v>244</v>
      </c>
      <c r="B1146" s="2">
        <v>45778</v>
      </c>
      <c r="C1146" s="10"/>
    </row>
    <row r="1147" spans="1:8" hidden="1" x14ac:dyDescent="0.3">
      <c r="A1147" t="s">
        <v>244</v>
      </c>
      <c r="B1147" s="2">
        <v>45809</v>
      </c>
      <c r="C1147" s="10"/>
    </row>
    <row r="1148" spans="1:8" hidden="1" x14ac:dyDescent="0.3">
      <c r="A1148" t="s">
        <v>244</v>
      </c>
      <c r="B1148" s="2">
        <v>45839</v>
      </c>
      <c r="C1148" s="10"/>
    </row>
    <row r="1149" spans="1:8" hidden="1" x14ac:dyDescent="0.3">
      <c r="A1149" t="s">
        <v>244</v>
      </c>
      <c r="B1149" s="2">
        <v>45870</v>
      </c>
      <c r="C1149" s="10"/>
    </row>
    <row r="1150" spans="1:8" hidden="1" x14ac:dyDescent="0.3">
      <c r="A1150" t="s">
        <v>244</v>
      </c>
      <c r="B1150" s="2">
        <v>45901</v>
      </c>
      <c r="C1150" s="10"/>
    </row>
    <row r="1151" spans="1:8" hidden="1" x14ac:dyDescent="0.3">
      <c r="A1151" t="s">
        <v>244</v>
      </c>
      <c r="B1151" s="2">
        <v>45931</v>
      </c>
      <c r="C1151" s="10"/>
    </row>
    <row r="1152" spans="1:8" hidden="1" x14ac:dyDescent="0.3">
      <c r="A1152" t="s">
        <v>244</v>
      </c>
      <c r="B1152" s="2">
        <v>45962</v>
      </c>
      <c r="C1152" s="10"/>
    </row>
    <row r="1153" spans="1:8" hidden="1" x14ac:dyDescent="0.3">
      <c r="A1153" t="s">
        <v>244</v>
      </c>
      <c r="B1153" s="2">
        <v>45992</v>
      </c>
      <c r="C1153" s="10"/>
    </row>
    <row r="1154" spans="1:8" hidden="1" x14ac:dyDescent="0.3">
      <c r="A1154" t="s">
        <v>244</v>
      </c>
      <c r="B1154" s="2">
        <v>46023</v>
      </c>
      <c r="C1154" s="10"/>
    </row>
    <row r="1155" spans="1:8" hidden="1" x14ac:dyDescent="0.3">
      <c r="A1155" t="s">
        <v>244</v>
      </c>
      <c r="B1155" s="2">
        <v>46054</v>
      </c>
      <c r="C1155" s="10"/>
    </row>
    <row r="1156" spans="1:8" hidden="1" x14ac:dyDescent="0.3">
      <c r="A1156" t="s">
        <v>244</v>
      </c>
      <c r="B1156" s="2">
        <v>46082</v>
      </c>
      <c r="C1156" s="10"/>
    </row>
    <row r="1157" spans="1:8" hidden="1" x14ac:dyDescent="0.3">
      <c r="A1157" t="s">
        <v>244</v>
      </c>
      <c r="B1157" s="2">
        <v>46113</v>
      </c>
      <c r="C1157" s="10" t="s">
        <v>605</v>
      </c>
    </row>
    <row r="1158" spans="1:8" hidden="1" x14ac:dyDescent="0.3">
      <c r="A1158" t="s">
        <v>244</v>
      </c>
      <c r="B1158" s="2">
        <v>46143</v>
      </c>
      <c r="C1158" s="10" t="s">
        <v>852</v>
      </c>
    </row>
    <row r="1159" spans="1:8" hidden="1" x14ac:dyDescent="0.3">
      <c r="A1159" t="s">
        <v>244</v>
      </c>
      <c r="B1159" s="2">
        <v>46235</v>
      </c>
      <c r="C1159" s="10" t="s">
        <v>896</v>
      </c>
      <c r="D1159">
        <v>0</v>
      </c>
      <c r="E1159" t="s">
        <v>33</v>
      </c>
      <c r="F1159" t="s">
        <v>33</v>
      </c>
      <c r="G1159" t="s">
        <v>932</v>
      </c>
      <c r="H1159" t="s">
        <v>36</v>
      </c>
    </row>
    <row r="1160" spans="1:8" hidden="1" x14ac:dyDescent="0.3">
      <c r="A1160" t="s">
        <v>244</v>
      </c>
      <c r="B1160" s="2">
        <v>46174</v>
      </c>
      <c r="C1160" s="10"/>
    </row>
    <row r="1161" spans="1:8" hidden="1" x14ac:dyDescent="0.3">
      <c r="A1161" t="s">
        <v>244</v>
      </c>
      <c r="B1161" s="2">
        <v>46204</v>
      </c>
      <c r="C1161" s="10">
        <v>31</v>
      </c>
      <c r="D1161">
        <v>0</v>
      </c>
      <c r="E1161" t="s">
        <v>33</v>
      </c>
      <c r="F1161" t="s">
        <v>33</v>
      </c>
      <c r="G1161" t="s">
        <v>932</v>
      </c>
      <c r="H1161" t="s">
        <v>36</v>
      </c>
    </row>
    <row r="1162" spans="1:8" hidden="1" x14ac:dyDescent="0.3">
      <c r="A1162" t="s">
        <v>163</v>
      </c>
      <c r="B1162" s="2">
        <v>45536</v>
      </c>
      <c r="C1162" s="10"/>
    </row>
    <row r="1163" spans="1:8" hidden="1" x14ac:dyDescent="0.3">
      <c r="A1163" t="s">
        <v>163</v>
      </c>
      <c r="B1163" s="2">
        <v>45566</v>
      </c>
      <c r="C1163" s="10"/>
    </row>
    <row r="1164" spans="1:8" hidden="1" x14ac:dyDescent="0.3">
      <c r="A1164" t="s">
        <v>163</v>
      </c>
      <c r="B1164" s="2">
        <v>45597</v>
      </c>
      <c r="C1164" s="10"/>
    </row>
    <row r="1165" spans="1:8" hidden="1" x14ac:dyDescent="0.3">
      <c r="A1165" t="s">
        <v>163</v>
      </c>
      <c r="B1165" s="2">
        <v>45627</v>
      </c>
      <c r="C1165" s="10"/>
    </row>
    <row r="1166" spans="1:8" ht="43.2" hidden="1" customHeight="1" x14ac:dyDescent="0.3">
      <c r="A1166" t="s">
        <v>163</v>
      </c>
      <c r="B1166" s="2">
        <v>45658</v>
      </c>
      <c r="C1166" s="10"/>
    </row>
    <row r="1167" spans="1:8" ht="43.2" hidden="1" customHeight="1" x14ac:dyDescent="0.3">
      <c r="A1167" t="s">
        <v>163</v>
      </c>
      <c r="B1167" s="2">
        <v>45689</v>
      </c>
      <c r="C1167" s="10" t="s">
        <v>610</v>
      </c>
    </row>
    <row r="1168" spans="1:8" ht="43.2" hidden="1" customHeight="1" x14ac:dyDescent="0.3">
      <c r="A1168" t="s">
        <v>163</v>
      </c>
      <c r="B1168" s="2">
        <v>45717</v>
      </c>
      <c r="C1168" s="10" t="s">
        <v>611</v>
      </c>
    </row>
    <row r="1169" spans="1:8" ht="57.6" hidden="1" x14ac:dyDescent="0.3">
      <c r="A1169" t="s">
        <v>163</v>
      </c>
      <c r="B1169" s="2">
        <v>45748</v>
      </c>
      <c r="C1169" s="10" t="s">
        <v>612</v>
      </c>
    </row>
    <row r="1170" spans="1:8" ht="129.6" hidden="1" x14ac:dyDescent="0.3">
      <c r="A1170" t="s">
        <v>163</v>
      </c>
      <c r="B1170" s="2">
        <v>45778</v>
      </c>
      <c r="C1170" s="10" t="s">
        <v>613</v>
      </c>
    </row>
    <row r="1171" spans="1:8" ht="129.6" hidden="1" x14ac:dyDescent="0.3">
      <c r="A1171" t="s">
        <v>163</v>
      </c>
      <c r="B1171" s="2">
        <v>45809</v>
      </c>
      <c r="C1171" s="10" t="s">
        <v>614</v>
      </c>
    </row>
    <row r="1172" spans="1:8" ht="129.6" hidden="1" x14ac:dyDescent="0.3">
      <c r="A1172" t="s">
        <v>163</v>
      </c>
      <c r="B1172" s="2">
        <v>45839</v>
      </c>
      <c r="C1172" s="10" t="s">
        <v>615</v>
      </c>
    </row>
    <row r="1173" spans="1:8" ht="129.6" hidden="1" x14ac:dyDescent="0.3">
      <c r="A1173" t="s">
        <v>163</v>
      </c>
      <c r="B1173" s="2">
        <v>45870</v>
      </c>
      <c r="C1173" s="10" t="s">
        <v>616</v>
      </c>
    </row>
    <row r="1174" spans="1:8" ht="129.6" hidden="1" x14ac:dyDescent="0.3">
      <c r="A1174" t="s">
        <v>163</v>
      </c>
      <c r="B1174" s="2">
        <v>45901</v>
      </c>
      <c r="C1174" s="10" t="s">
        <v>617</v>
      </c>
    </row>
    <row r="1175" spans="1:8" ht="100.8" hidden="1" x14ac:dyDescent="0.3">
      <c r="A1175" t="s">
        <v>163</v>
      </c>
      <c r="B1175" s="2">
        <v>45931</v>
      </c>
      <c r="C1175" s="10" t="s">
        <v>618</v>
      </c>
    </row>
    <row r="1176" spans="1:8" hidden="1" x14ac:dyDescent="0.3">
      <c r="A1176" t="s">
        <v>163</v>
      </c>
      <c r="B1176" s="2">
        <v>45962</v>
      </c>
      <c r="C1176" s="10" t="s">
        <v>619</v>
      </c>
    </row>
    <row r="1177" spans="1:8" hidden="1" x14ac:dyDescent="0.3">
      <c r="A1177" t="s">
        <v>163</v>
      </c>
      <c r="B1177" s="2">
        <v>45992</v>
      </c>
      <c r="C1177" s="10" t="s">
        <v>619</v>
      </c>
    </row>
    <row r="1178" spans="1:8" hidden="1" x14ac:dyDescent="0.3">
      <c r="A1178" t="s">
        <v>163</v>
      </c>
      <c r="B1178" s="2">
        <v>46023</v>
      </c>
      <c r="C1178" s="10" t="s">
        <v>619</v>
      </c>
    </row>
    <row r="1179" spans="1:8" hidden="1" x14ac:dyDescent="0.3">
      <c r="A1179" t="s">
        <v>163</v>
      </c>
      <c r="B1179" s="2">
        <v>46054</v>
      </c>
      <c r="C1179" s="10" t="s">
        <v>619</v>
      </c>
    </row>
    <row r="1180" spans="1:8" hidden="1" x14ac:dyDescent="0.3">
      <c r="A1180" t="s">
        <v>163</v>
      </c>
      <c r="B1180" s="2">
        <v>46082</v>
      </c>
      <c r="C1180" s="10" t="s">
        <v>619</v>
      </c>
    </row>
    <row r="1181" spans="1:8" hidden="1" x14ac:dyDescent="0.3">
      <c r="A1181" t="s">
        <v>163</v>
      </c>
      <c r="B1181" s="2">
        <v>46113</v>
      </c>
      <c r="C1181" s="10" t="s">
        <v>619</v>
      </c>
    </row>
    <row r="1182" spans="1:8" hidden="1" x14ac:dyDescent="0.3">
      <c r="A1182" t="s">
        <v>163</v>
      </c>
      <c r="B1182" s="2">
        <v>46143</v>
      </c>
      <c r="C1182" s="10" t="s">
        <v>859</v>
      </c>
    </row>
    <row r="1183" spans="1:8" hidden="1" x14ac:dyDescent="0.3">
      <c r="A1183" t="s">
        <v>163</v>
      </c>
      <c r="B1183" s="2">
        <v>46174</v>
      </c>
      <c r="C1183" s="10"/>
    </row>
    <row r="1184" spans="1:8" ht="28.95" hidden="1" customHeight="1" x14ac:dyDescent="0.3">
      <c r="A1184" t="s">
        <v>163</v>
      </c>
      <c r="B1184" s="2">
        <v>46204</v>
      </c>
      <c r="C1184" s="10" t="s">
        <v>36</v>
      </c>
      <c r="D1184" t="s">
        <v>36</v>
      </c>
      <c r="E1184" t="s">
        <v>1040</v>
      </c>
      <c r="F1184" t="s">
        <v>36</v>
      </c>
      <c r="G1184" t="s">
        <v>36</v>
      </c>
      <c r="H1184" t="s">
        <v>36</v>
      </c>
    </row>
    <row r="1185" spans="1:8" ht="28.95" hidden="1" customHeight="1" x14ac:dyDescent="0.3">
      <c r="A1185" t="s">
        <v>163</v>
      </c>
      <c r="B1185" s="2">
        <v>46235</v>
      </c>
      <c r="C1185" s="10" t="s">
        <v>36</v>
      </c>
      <c r="D1185" s="10" t="s">
        <v>36</v>
      </c>
      <c r="E1185" s="10" t="s">
        <v>36</v>
      </c>
      <c r="F1185" s="10" t="s">
        <v>36</v>
      </c>
      <c r="G1185" s="10" t="s">
        <v>36</v>
      </c>
      <c r="H1185" t="s">
        <v>1083</v>
      </c>
    </row>
    <row r="1186" spans="1:8" ht="72" hidden="1" customHeight="1" x14ac:dyDescent="0.3">
      <c r="A1186" t="s">
        <v>166</v>
      </c>
      <c r="B1186" s="2">
        <v>45536</v>
      </c>
      <c r="C1186" s="10" t="s">
        <v>620</v>
      </c>
    </row>
    <row r="1187" spans="1:8" ht="72" hidden="1" customHeight="1" x14ac:dyDescent="0.3">
      <c r="A1187" t="s">
        <v>166</v>
      </c>
      <c r="B1187" s="2">
        <v>45566</v>
      </c>
      <c r="C1187" s="10"/>
    </row>
    <row r="1188" spans="1:8" ht="72" hidden="1" customHeight="1" x14ac:dyDescent="0.3">
      <c r="A1188" t="s">
        <v>166</v>
      </c>
      <c r="B1188" s="2">
        <v>45597</v>
      </c>
      <c r="C1188" s="10"/>
    </row>
    <row r="1189" spans="1:8" ht="72" hidden="1" customHeight="1" x14ac:dyDescent="0.3">
      <c r="A1189" t="s">
        <v>166</v>
      </c>
      <c r="B1189" s="2">
        <v>45627</v>
      </c>
      <c r="C1189" s="10"/>
    </row>
    <row r="1190" spans="1:8" ht="72" hidden="1" customHeight="1" x14ac:dyDescent="0.3">
      <c r="A1190" t="s">
        <v>166</v>
      </c>
      <c r="B1190" s="2">
        <v>45658</v>
      </c>
      <c r="C1190" s="10"/>
    </row>
    <row r="1191" spans="1:8" ht="57.6" hidden="1" customHeight="1" x14ac:dyDescent="0.3">
      <c r="A1191" t="s">
        <v>166</v>
      </c>
      <c r="B1191" s="2">
        <v>45689</v>
      </c>
      <c r="C1191" s="10" t="s">
        <v>621</v>
      </c>
    </row>
    <row r="1192" spans="1:8" ht="43.2" hidden="1" x14ac:dyDescent="0.3">
      <c r="A1192" t="s">
        <v>166</v>
      </c>
      <c r="B1192" s="2">
        <v>45717</v>
      </c>
      <c r="C1192" s="10" t="s">
        <v>622</v>
      </c>
    </row>
    <row r="1193" spans="1:8" ht="115.2" hidden="1" x14ac:dyDescent="0.3">
      <c r="A1193" t="s">
        <v>166</v>
      </c>
      <c r="B1193" s="2">
        <v>45748</v>
      </c>
      <c r="C1193" s="10" t="s">
        <v>623</v>
      </c>
    </row>
    <row r="1194" spans="1:8" ht="144" hidden="1" x14ac:dyDescent="0.3">
      <c r="A1194" t="s">
        <v>166</v>
      </c>
      <c r="B1194" s="2">
        <v>45778</v>
      </c>
      <c r="C1194" s="10" t="s">
        <v>624</v>
      </c>
    </row>
    <row r="1195" spans="1:8" ht="144" hidden="1" x14ac:dyDescent="0.3">
      <c r="A1195" t="s">
        <v>166</v>
      </c>
      <c r="B1195" s="2">
        <v>45809</v>
      </c>
      <c r="C1195" s="10" t="s">
        <v>625</v>
      </c>
    </row>
    <row r="1196" spans="1:8" ht="144" hidden="1" x14ac:dyDescent="0.3">
      <c r="A1196" t="s">
        <v>166</v>
      </c>
      <c r="B1196" s="2">
        <v>45839</v>
      </c>
      <c r="C1196" s="10" t="s">
        <v>626</v>
      </c>
    </row>
    <row r="1197" spans="1:8" ht="115.2" hidden="1" x14ac:dyDescent="0.3">
      <c r="A1197" t="s">
        <v>166</v>
      </c>
      <c r="B1197" s="2">
        <v>45870</v>
      </c>
      <c r="C1197" s="10" t="s">
        <v>627</v>
      </c>
    </row>
    <row r="1198" spans="1:8" ht="115.2" hidden="1" x14ac:dyDescent="0.3">
      <c r="A1198" t="s">
        <v>166</v>
      </c>
      <c r="B1198" s="2">
        <v>45901</v>
      </c>
      <c r="C1198" s="10" t="s">
        <v>628</v>
      </c>
    </row>
    <row r="1199" spans="1:8" ht="115.2" hidden="1" x14ac:dyDescent="0.3">
      <c r="A1199" t="s">
        <v>166</v>
      </c>
      <c r="B1199" s="2">
        <v>45931</v>
      </c>
      <c r="C1199" s="10" t="s">
        <v>629</v>
      </c>
    </row>
    <row r="1200" spans="1:8" ht="115.2" hidden="1" x14ac:dyDescent="0.3">
      <c r="A1200" t="s">
        <v>166</v>
      </c>
      <c r="B1200" s="2">
        <v>45962</v>
      </c>
      <c r="C1200" s="10" t="s">
        <v>630</v>
      </c>
    </row>
    <row r="1201" spans="1:8" ht="28.8" hidden="1" x14ac:dyDescent="0.3">
      <c r="A1201" t="s">
        <v>166</v>
      </c>
      <c r="B1201" s="2">
        <v>45992</v>
      </c>
      <c r="C1201" s="10" t="s">
        <v>631</v>
      </c>
    </row>
    <row r="1202" spans="1:8" hidden="1" x14ac:dyDescent="0.3">
      <c r="A1202" t="s">
        <v>166</v>
      </c>
      <c r="B1202" s="2">
        <v>46023</v>
      </c>
      <c r="C1202" s="10" t="s">
        <v>632</v>
      </c>
    </row>
    <row r="1203" spans="1:8" ht="43.2" hidden="1" x14ac:dyDescent="0.3">
      <c r="A1203" t="s">
        <v>166</v>
      </c>
      <c r="B1203" s="2">
        <v>46054</v>
      </c>
      <c r="C1203" s="10" t="s">
        <v>314</v>
      </c>
    </row>
    <row r="1204" spans="1:8" hidden="1" x14ac:dyDescent="0.3">
      <c r="A1204" t="s">
        <v>166</v>
      </c>
      <c r="B1204" s="2">
        <v>46082</v>
      </c>
      <c r="C1204" s="10" t="s">
        <v>632</v>
      </c>
    </row>
    <row r="1205" spans="1:8" hidden="1" x14ac:dyDescent="0.3">
      <c r="A1205" t="s">
        <v>166</v>
      </c>
      <c r="B1205" s="2">
        <v>46113</v>
      </c>
      <c r="C1205" s="10" t="s">
        <v>632</v>
      </c>
    </row>
    <row r="1206" spans="1:8" hidden="1" x14ac:dyDescent="0.3">
      <c r="A1206" t="s">
        <v>166</v>
      </c>
      <c r="B1206" s="2">
        <v>46143</v>
      </c>
      <c r="C1206" s="10" t="s">
        <v>852</v>
      </c>
    </row>
    <row r="1207" spans="1:8" hidden="1" x14ac:dyDescent="0.3">
      <c r="A1207" t="s">
        <v>166</v>
      </c>
      <c r="B1207" s="2">
        <v>46174</v>
      </c>
      <c r="C1207" s="10"/>
    </row>
    <row r="1208" spans="1:8" ht="28.95" hidden="1" customHeight="1" x14ac:dyDescent="0.3">
      <c r="A1208" t="s">
        <v>166</v>
      </c>
      <c r="B1208" s="2">
        <v>46204</v>
      </c>
      <c r="C1208" s="10">
        <v>31</v>
      </c>
      <c r="D1208">
        <v>0</v>
      </c>
      <c r="E1208" t="s">
        <v>33</v>
      </c>
      <c r="F1208" t="s">
        <v>1042</v>
      </c>
      <c r="G1208" t="s">
        <v>932</v>
      </c>
      <c r="H1208" t="s">
        <v>36</v>
      </c>
    </row>
    <row r="1209" spans="1:8" hidden="1" x14ac:dyDescent="0.3">
      <c r="A1209" t="s">
        <v>166</v>
      </c>
      <c r="B1209" s="2">
        <v>46235</v>
      </c>
      <c r="C1209" s="10" t="s">
        <v>896</v>
      </c>
      <c r="D1209">
        <v>0</v>
      </c>
      <c r="E1209" t="s">
        <v>33</v>
      </c>
      <c r="F1209" t="s">
        <v>33</v>
      </c>
      <c r="G1209" s="10" t="s">
        <v>932</v>
      </c>
      <c r="H1209" t="s">
        <v>36</v>
      </c>
    </row>
    <row r="1210" spans="1:8" ht="72" hidden="1" customHeight="1" x14ac:dyDescent="0.3">
      <c r="A1210" t="s">
        <v>169</v>
      </c>
      <c r="B1210" s="2">
        <v>45536</v>
      </c>
      <c r="C1210" s="10" t="s">
        <v>633</v>
      </c>
    </row>
    <row r="1211" spans="1:8" ht="72" hidden="1" customHeight="1" x14ac:dyDescent="0.3">
      <c r="A1211" t="s">
        <v>169</v>
      </c>
      <c r="B1211" s="2">
        <v>45566</v>
      </c>
      <c r="C1211" s="10"/>
    </row>
    <row r="1212" spans="1:8" ht="72" hidden="1" customHeight="1" x14ac:dyDescent="0.3">
      <c r="A1212" t="s">
        <v>169</v>
      </c>
      <c r="B1212" s="2">
        <v>45597</v>
      </c>
      <c r="C1212" s="10"/>
    </row>
    <row r="1213" spans="1:8" ht="57.6" hidden="1" customHeight="1" x14ac:dyDescent="0.3">
      <c r="A1213" t="s">
        <v>169</v>
      </c>
      <c r="B1213" s="2">
        <v>45627</v>
      </c>
      <c r="C1213" s="10"/>
    </row>
    <row r="1214" spans="1:8" ht="57.6" hidden="1" customHeight="1" x14ac:dyDescent="0.3">
      <c r="A1214" t="s">
        <v>169</v>
      </c>
      <c r="B1214" s="2">
        <v>45658</v>
      </c>
      <c r="C1214" s="10"/>
    </row>
    <row r="1215" spans="1:8" ht="57.6" hidden="1" customHeight="1" x14ac:dyDescent="0.3">
      <c r="A1215" t="s">
        <v>169</v>
      </c>
      <c r="B1215" s="2">
        <v>45689</v>
      </c>
      <c r="C1215" s="10" t="s">
        <v>634</v>
      </c>
    </row>
    <row r="1216" spans="1:8" ht="57.6" hidden="1" customHeight="1" x14ac:dyDescent="0.3">
      <c r="A1216" t="s">
        <v>169</v>
      </c>
      <c r="B1216" s="2">
        <v>45717</v>
      </c>
      <c r="C1216" s="10" t="s">
        <v>634</v>
      </c>
    </row>
    <row r="1217" spans="1:8" hidden="1" x14ac:dyDescent="0.3">
      <c r="A1217" t="s">
        <v>169</v>
      </c>
      <c r="B1217" s="2">
        <v>45748</v>
      </c>
      <c r="C1217" s="10" t="s">
        <v>634</v>
      </c>
    </row>
    <row r="1218" spans="1:8" ht="115.2" hidden="1" x14ac:dyDescent="0.3">
      <c r="A1218" t="s">
        <v>169</v>
      </c>
      <c r="B1218" s="2">
        <v>45778</v>
      </c>
      <c r="C1218" s="10" t="s">
        <v>635</v>
      </c>
    </row>
    <row r="1219" spans="1:8" ht="115.2" hidden="1" x14ac:dyDescent="0.3">
      <c r="A1219" t="s">
        <v>169</v>
      </c>
      <c r="B1219" s="2">
        <v>45809</v>
      </c>
      <c r="C1219" s="10" t="s">
        <v>636</v>
      </c>
    </row>
    <row r="1220" spans="1:8" ht="115.2" hidden="1" x14ac:dyDescent="0.3">
      <c r="A1220" t="s">
        <v>169</v>
      </c>
      <c r="B1220" s="2">
        <v>45839</v>
      </c>
      <c r="C1220" s="10" t="s">
        <v>637</v>
      </c>
    </row>
    <row r="1221" spans="1:8" ht="115.2" hidden="1" x14ac:dyDescent="0.3">
      <c r="A1221" t="s">
        <v>169</v>
      </c>
      <c r="B1221" s="2">
        <v>45870</v>
      </c>
      <c r="C1221" s="10" t="s">
        <v>638</v>
      </c>
    </row>
    <row r="1222" spans="1:8" ht="115.2" hidden="1" x14ac:dyDescent="0.3">
      <c r="A1222" t="s">
        <v>169</v>
      </c>
      <c r="B1222" s="2">
        <v>45901</v>
      </c>
      <c r="C1222" s="10" t="s">
        <v>639</v>
      </c>
    </row>
    <row r="1223" spans="1:8" ht="115.2" hidden="1" x14ac:dyDescent="0.3">
      <c r="A1223" t="s">
        <v>169</v>
      </c>
      <c r="B1223" s="2">
        <v>45931</v>
      </c>
      <c r="C1223" s="10" t="s">
        <v>640</v>
      </c>
    </row>
    <row r="1224" spans="1:8" ht="115.2" hidden="1" x14ac:dyDescent="0.3">
      <c r="A1224" t="s">
        <v>169</v>
      </c>
      <c r="B1224" s="2">
        <v>45962</v>
      </c>
      <c r="C1224" s="10" t="s">
        <v>641</v>
      </c>
    </row>
    <row r="1225" spans="1:8" ht="28.8" hidden="1" x14ac:dyDescent="0.3">
      <c r="A1225" t="s">
        <v>169</v>
      </c>
      <c r="B1225" s="2">
        <v>45992</v>
      </c>
      <c r="C1225" s="10" t="s">
        <v>642</v>
      </c>
    </row>
    <row r="1226" spans="1:8" ht="28.8" hidden="1" x14ac:dyDescent="0.3">
      <c r="A1226" t="s">
        <v>169</v>
      </c>
      <c r="B1226" s="2">
        <v>46023</v>
      </c>
      <c r="C1226" s="10" t="s">
        <v>642</v>
      </c>
    </row>
    <row r="1227" spans="1:8" ht="28.8" hidden="1" x14ac:dyDescent="0.3">
      <c r="A1227" t="s">
        <v>169</v>
      </c>
      <c r="B1227" s="2">
        <v>46054</v>
      </c>
      <c r="C1227" s="10" t="s">
        <v>642</v>
      </c>
    </row>
    <row r="1228" spans="1:8" hidden="1" x14ac:dyDescent="0.3">
      <c r="A1228" t="s">
        <v>169</v>
      </c>
      <c r="B1228" s="2">
        <v>46082</v>
      </c>
      <c r="C1228" s="10" t="s">
        <v>632</v>
      </c>
    </row>
    <row r="1229" spans="1:8" hidden="1" x14ac:dyDescent="0.3">
      <c r="A1229" t="s">
        <v>169</v>
      </c>
      <c r="B1229" s="2">
        <v>46113</v>
      </c>
      <c r="C1229" s="10" t="s">
        <v>632</v>
      </c>
    </row>
    <row r="1230" spans="1:8" hidden="1" x14ac:dyDescent="0.3">
      <c r="A1230" t="s">
        <v>169</v>
      </c>
      <c r="B1230" s="2">
        <v>46143</v>
      </c>
      <c r="C1230" s="10" t="s">
        <v>852</v>
      </c>
    </row>
    <row r="1231" spans="1:8" hidden="1" x14ac:dyDescent="0.3">
      <c r="A1231" t="s">
        <v>169</v>
      </c>
      <c r="B1231" s="2">
        <v>46174</v>
      </c>
      <c r="C1231" s="10"/>
    </row>
    <row r="1232" spans="1:8" hidden="1" x14ac:dyDescent="0.3">
      <c r="A1232" t="s">
        <v>169</v>
      </c>
      <c r="B1232" s="2">
        <v>46204</v>
      </c>
      <c r="C1232" s="10">
        <v>31</v>
      </c>
      <c r="D1232">
        <v>0</v>
      </c>
      <c r="E1232" t="s">
        <v>33</v>
      </c>
      <c r="F1232" t="s">
        <v>1042</v>
      </c>
      <c r="G1232" t="s">
        <v>932</v>
      </c>
      <c r="H1232" t="s">
        <v>36</v>
      </c>
    </row>
    <row r="1233" spans="1:8" hidden="1" x14ac:dyDescent="0.3">
      <c r="A1233" t="s">
        <v>169</v>
      </c>
      <c r="B1233" s="2">
        <v>46235</v>
      </c>
      <c r="C1233" s="10" t="s">
        <v>896</v>
      </c>
      <c r="D1233">
        <v>0</v>
      </c>
      <c r="E1233" t="s">
        <v>33</v>
      </c>
      <c r="F1233" t="s">
        <v>33</v>
      </c>
      <c r="G1233" s="10" t="s">
        <v>932</v>
      </c>
      <c r="H1233" t="s">
        <v>36</v>
      </c>
    </row>
    <row r="1234" spans="1:8" ht="57.6" hidden="1" customHeight="1" x14ac:dyDescent="0.3">
      <c r="A1234" t="s">
        <v>171</v>
      </c>
      <c r="B1234" s="2">
        <v>45536</v>
      </c>
      <c r="C1234" s="10"/>
    </row>
    <row r="1235" spans="1:8" ht="57.6" hidden="1" customHeight="1" x14ac:dyDescent="0.3">
      <c r="A1235" t="s">
        <v>171</v>
      </c>
      <c r="B1235" s="2">
        <v>45566</v>
      </c>
      <c r="C1235" s="10" t="s">
        <v>643</v>
      </c>
    </row>
    <row r="1236" spans="1:8" ht="57.6" hidden="1" customHeight="1" x14ac:dyDescent="0.3">
      <c r="A1236" t="s">
        <v>171</v>
      </c>
      <c r="B1236" s="2">
        <v>45597</v>
      </c>
      <c r="C1236" s="10"/>
    </row>
    <row r="1237" spans="1:8" ht="57.6" hidden="1" customHeight="1" x14ac:dyDescent="0.3">
      <c r="A1237" t="s">
        <v>171</v>
      </c>
      <c r="B1237" s="2">
        <v>45627</v>
      </c>
      <c r="C1237" s="10"/>
    </row>
    <row r="1238" spans="1:8" ht="57.6" hidden="1" customHeight="1" x14ac:dyDescent="0.3">
      <c r="A1238" t="s">
        <v>171</v>
      </c>
      <c r="B1238" s="2">
        <v>45658</v>
      </c>
      <c r="C1238" s="10"/>
    </row>
    <row r="1239" spans="1:8" ht="57.6" hidden="1" customHeight="1" x14ac:dyDescent="0.3">
      <c r="A1239" t="s">
        <v>171</v>
      </c>
      <c r="B1239" s="2">
        <v>45689</v>
      </c>
      <c r="C1239" s="10" t="s">
        <v>644</v>
      </c>
    </row>
    <row r="1240" spans="1:8" ht="57.6" hidden="1" customHeight="1" x14ac:dyDescent="0.3">
      <c r="A1240" t="s">
        <v>171</v>
      </c>
      <c r="B1240" s="2">
        <v>45717</v>
      </c>
      <c r="C1240" s="10" t="s">
        <v>644</v>
      </c>
    </row>
    <row r="1241" spans="1:8" ht="86.4" hidden="1" x14ac:dyDescent="0.3">
      <c r="A1241" t="s">
        <v>171</v>
      </c>
      <c r="B1241" s="2">
        <v>45748</v>
      </c>
      <c r="C1241" s="10" t="s">
        <v>645</v>
      </c>
    </row>
    <row r="1242" spans="1:8" ht="115.2" hidden="1" x14ac:dyDescent="0.3">
      <c r="A1242" t="s">
        <v>171</v>
      </c>
      <c r="B1242" s="2">
        <v>45778</v>
      </c>
      <c r="C1242" s="10" t="s">
        <v>646</v>
      </c>
    </row>
    <row r="1243" spans="1:8" ht="115.2" hidden="1" x14ac:dyDescent="0.3">
      <c r="A1243" t="s">
        <v>171</v>
      </c>
      <c r="B1243" s="2">
        <v>45809</v>
      </c>
      <c r="C1243" s="10" t="s">
        <v>647</v>
      </c>
    </row>
    <row r="1244" spans="1:8" ht="115.2" hidden="1" x14ac:dyDescent="0.3">
      <c r="A1244" t="s">
        <v>171</v>
      </c>
      <c r="B1244" s="2">
        <v>45839</v>
      </c>
      <c r="C1244" s="10" t="s">
        <v>648</v>
      </c>
    </row>
    <row r="1245" spans="1:8" ht="129.6" hidden="1" x14ac:dyDescent="0.3">
      <c r="A1245" t="s">
        <v>171</v>
      </c>
      <c r="B1245" s="2">
        <v>45870</v>
      </c>
      <c r="C1245" s="10" t="s">
        <v>649</v>
      </c>
    </row>
    <row r="1246" spans="1:8" ht="100.8" hidden="1" x14ac:dyDescent="0.3">
      <c r="A1246" t="s">
        <v>171</v>
      </c>
      <c r="B1246" s="2">
        <v>45901</v>
      </c>
      <c r="C1246" s="10" t="s">
        <v>650</v>
      </c>
    </row>
    <row r="1247" spans="1:8" ht="100.8" hidden="1" x14ac:dyDescent="0.3">
      <c r="A1247" t="s">
        <v>171</v>
      </c>
      <c r="B1247" s="2">
        <v>45931</v>
      </c>
      <c r="C1247" s="10" t="s">
        <v>651</v>
      </c>
    </row>
    <row r="1248" spans="1:8" ht="100.8" hidden="1" x14ac:dyDescent="0.3">
      <c r="A1248" t="s">
        <v>171</v>
      </c>
      <c r="B1248" s="2">
        <v>45962</v>
      </c>
      <c r="C1248" s="10" t="s">
        <v>652</v>
      </c>
    </row>
    <row r="1249" spans="1:8" hidden="1" x14ac:dyDescent="0.3">
      <c r="A1249" t="s">
        <v>171</v>
      </c>
      <c r="B1249" s="2">
        <v>45992</v>
      </c>
      <c r="C1249" s="10" t="s">
        <v>598</v>
      </c>
    </row>
    <row r="1250" spans="1:8" hidden="1" x14ac:dyDescent="0.3">
      <c r="A1250" t="s">
        <v>171</v>
      </c>
      <c r="B1250" s="2">
        <v>46023</v>
      </c>
      <c r="C1250" s="10" t="s">
        <v>338</v>
      </c>
    </row>
    <row r="1251" spans="1:8" hidden="1" x14ac:dyDescent="0.3">
      <c r="A1251" t="s">
        <v>171</v>
      </c>
      <c r="B1251" s="2">
        <v>46054</v>
      </c>
      <c r="C1251" s="10" t="s">
        <v>326</v>
      </c>
    </row>
    <row r="1252" spans="1:8" hidden="1" x14ac:dyDescent="0.3">
      <c r="A1252" t="s">
        <v>171</v>
      </c>
      <c r="B1252" s="2">
        <v>46082</v>
      </c>
      <c r="C1252" s="10" t="s">
        <v>326</v>
      </c>
    </row>
    <row r="1253" spans="1:8" hidden="1" x14ac:dyDescent="0.3">
      <c r="A1253" t="s">
        <v>171</v>
      </c>
      <c r="B1253" s="2">
        <v>46113</v>
      </c>
      <c r="C1253" s="10" t="s">
        <v>302</v>
      </c>
    </row>
    <row r="1254" spans="1:8" hidden="1" x14ac:dyDescent="0.3">
      <c r="A1254" t="s">
        <v>171</v>
      </c>
      <c r="B1254" s="2">
        <v>46143</v>
      </c>
      <c r="C1254" s="10" t="s">
        <v>302</v>
      </c>
    </row>
    <row r="1255" spans="1:8" hidden="1" x14ac:dyDescent="0.3">
      <c r="A1255" t="s">
        <v>171</v>
      </c>
      <c r="B1255" s="2">
        <v>46174</v>
      </c>
      <c r="C1255" s="10"/>
    </row>
    <row r="1256" spans="1:8" hidden="1" x14ac:dyDescent="0.3">
      <c r="A1256" t="s">
        <v>171</v>
      </c>
      <c r="B1256" s="2">
        <v>46204</v>
      </c>
      <c r="C1256" s="10">
        <v>31</v>
      </c>
      <c r="D1256">
        <v>0</v>
      </c>
      <c r="E1256" t="s">
        <v>33</v>
      </c>
      <c r="F1256" t="s">
        <v>33</v>
      </c>
      <c r="G1256" t="s">
        <v>1014</v>
      </c>
      <c r="H1256" t="s">
        <v>36</v>
      </c>
    </row>
    <row r="1257" spans="1:8" hidden="1" x14ac:dyDescent="0.3">
      <c r="A1257" t="s">
        <v>171</v>
      </c>
      <c r="B1257" s="2">
        <v>46235</v>
      </c>
      <c r="C1257" t="s">
        <v>896</v>
      </c>
      <c r="D1257">
        <v>0</v>
      </c>
      <c r="E1257" t="s">
        <v>33</v>
      </c>
      <c r="F1257" t="s">
        <v>33</v>
      </c>
      <c r="G1257" t="s">
        <v>338</v>
      </c>
      <c r="H1257" t="s">
        <v>36</v>
      </c>
    </row>
    <row r="1258" spans="1:8" ht="57.6" hidden="1" customHeight="1" x14ac:dyDescent="0.3">
      <c r="A1258" t="s">
        <v>172</v>
      </c>
      <c r="B1258" s="2">
        <v>45536</v>
      </c>
      <c r="C1258" s="10"/>
    </row>
    <row r="1259" spans="1:8" ht="57.6" hidden="1" customHeight="1" x14ac:dyDescent="0.3">
      <c r="A1259" t="s">
        <v>172</v>
      </c>
      <c r="B1259" s="2">
        <v>45566</v>
      </c>
      <c r="C1259" s="10"/>
    </row>
    <row r="1260" spans="1:8" ht="57.6" hidden="1" customHeight="1" x14ac:dyDescent="0.3">
      <c r="A1260" t="s">
        <v>172</v>
      </c>
      <c r="B1260" s="2">
        <v>45597</v>
      </c>
      <c r="C1260" s="10"/>
    </row>
    <row r="1261" spans="1:8" ht="57.6" hidden="1" customHeight="1" x14ac:dyDescent="0.3">
      <c r="A1261" t="s">
        <v>172</v>
      </c>
      <c r="B1261" s="2">
        <v>45627</v>
      </c>
      <c r="C1261" s="10"/>
    </row>
    <row r="1262" spans="1:8" ht="57.6" hidden="1" customHeight="1" x14ac:dyDescent="0.3">
      <c r="A1262" t="s">
        <v>172</v>
      </c>
      <c r="B1262" s="2">
        <v>45658</v>
      </c>
      <c r="C1262" s="10"/>
    </row>
    <row r="1263" spans="1:8" ht="57.6" hidden="1" customHeight="1" x14ac:dyDescent="0.3">
      <c r="A1263" t="s">
        <v>172</v>
      </c>
      <c r="B1263" s="2">
        <v>45689</v>
      </c>
      <c r="C1263" s="10" t="s">
        <v>653</v>
      </c>
    </row>
    <row r="1264" spans="1:8" ht="57.6" hidden="1" customHeight="1" x14ac:dyDescent="0.3">
      <c r="A1264" t="s">
        <v>172</v>
      </c>
      <c r="B1264" s="2">
        <v>45717</v>
      </c>
      <c r="C1264" s="10" t="s">
        <v>654</v>
      </c>
    </row>
    <row r="1265" spans="1:8" ht="28.8" hidden="1" x14ac:dyDescent="0.3">
      <c r="A1265" t="s">
        <v>172</v>
      </c>
      <c r="B1265" s="2">
        <v>45748</v>
      </c>
      <c r="C1265" s="10" t="s">
        <v>654</v>
      </c>
    </row>
    <row r="1266" spans="1:8" ht="129.6" hidden="1" x14ac:dyDescent="0.3">
      <c r="A1266" t="s">
        <v>172</v>
      </c>
      <c r="B1266" s="2">
        <v>45778</v>
      </c>
      <c r="C1266" s="10" t="s">
        <v>655</v>
      </c>
    </row>
    <row r="1267" spans="1:8" ht="129.6" hidden="1" x14ac:dyDescent="0.3">
      <c r="A1267" t="s">
        <v>172</v>
      </c>
      <c r="B1267" s="2">
        <v>45809</v>
      </c>
      <c r="C1267" s="10" t="s">
        <v>656</v>
      </c>
    </row>
    <row r="1268" spans="1:8" ht="129.6" hidden="1" x14ac:dyDescent="0.3">
      <c r="A1268" t="s">
        <v>172</v>
      </c>
      <c r="B1268" s="2">
        <v>45839</v>
      </c>
      <c r="C1268" s="10" t="s">
        <v>657</v>
      </c>
    </row>
    <row r="1269" spans="1:8" ht="100.8" hidden="1" x14ac:dyDescent="0.3">
      <c r="A1269" t="s">
        <v>172</v>
      </c>
      <c r="B1269" s="2">
        <v>45870</v>
      </c>
      <c r="C1269" s="10" t="s">
        <v>658</v>
      </c>
    </row>
    <row r="1270" spans="1:8" ht="100.8" hidden="1" x14ac:dyDescent="0.3">
      <c r="A1270" t="s">
        <v>172</v>
      </c>
      <c r="B1270" s="2">
        <v>45901</v>
      </c>
      <c r="C1270" s="10" t="s">
        <v>659</v>
      </c>
    </row>
    <row r="1271" spans="1:8" ht="100.8" hidden="1" x14ac:dyDescent="0.3">
      <c r="A1271" t="s">
        <v>172</v>
      </c>
      <c r="B1271" s="2">
        <v>45931</v>
      </c>
      <c r="C1271" s="10" t="s">
        <v>660</v>
      </c>
    </row>
    <row r="1272" spans="1:8" ht="100.8" hidden="1" x14ac:dyDescent="0.3">
      <c r="A1272" t="s">
        <v>172</v>
      </c>
      <c r="B1272" s="2">
        <v>45962</v>
      </c>
      <c r="C1272" s="10" t="s">
        <v>661</v>
      </c>
    </row>
    <row r="1273" spans="1:8" hidden="1" x14ac:dyDescent="0.3">
      <c r="A1273" t="s">
        <v>172</v>
      </c>
      <c r="B1273" s="2">
        <v>45992</v>
      </c>
      <c r="C1273" s="10" t="s">
        <v>598</v>
      </c>
    </row>
    <row r="1274" spans="1:8" ht="28.8" hidden="1" x14ac:dyDescent="0.3">
      <c r="A1274" t="s">
        <v>172</v>
      </c>
      <c r="B1274" s="2">
        <v>46023</v>
      </c>
      <c r="C1274" s="10" t="s">
        <v>662</v>
      </c>
    </row>
    <row r="1275" spans="1:8" ht="28.8" hidden="1" x14ac:dyDescent="0.3">
      <c r="A1275" t="s">
        <v>172</v>
      </c>
      <c r="B1275" s="2">
        <v>46054</v>
      </c>
      <c r="C1275" s="10" t="s">
        <v>662</v>
      </c>
    </row>
    <row r="1276" spans="1:8" ht="43.2" hidden="1" x14ac:dyDescent="0.3">
      <c r="A1276" t="s">
        <v>172</v>
      </c>
      <c r="B1276" s="2">
        <v>46082</v>
      </c>
      <c r="C1276" s="10" t="s">
        <v>663</v>
      </c>
    </row>
    <row r="1277" spans="1:8" ht="28.8" hidden="1" x14ac:dyDescent="0.3">
      <c r="A1277" t="s">
        <v>172</v>
      </c>
      <c r="B1277" s="2">
        <v>46113</v>
      </c>
      <c r="C1277" s="10" t="s">
        <v>664</v>
      </c>
    </row>
    <row r="1278" spans="1:8" ht="28.8" hidden="1" x14ac:dyDescent="0.3">
      <c r="A1278" t="s">
        <v>172</v>
      </c>
      <c r="B1278" s="2">
        <v>46143</v>
      </c>
      <c r="C1278" s="10" t="s">
        <v>867</v>
      </c>
    </row>
    <row r="1279" spans="1:8" hidden="1" x14ac:dyDescent="0.3">
      <c r="A1279" t="s">
        <v>172</v>
      </c>
      <c r="B1279" s="2">
        <v>46174</v>
      </c>
      <c r="C1279" s="10"/>
    </row>
    <row r="1280" spans="1:8" ht="28.95" hidden="1" customHeight="1" x14ac:dyDescent="0.3">
      <c r="A1280" t="s">
        <v>172</v>
      </c>
      <c r="B1280" s="2">
        <v>46204</v>
      </c>
      <c r="C1280" s="10">
        <v>31</v>
      </c>
      <c r="D1280">
        <v>0</v>
      </c>
      <c r="E1280" t="s">
        <v>33</v>
      </c>
      <c r="F1280" t="s">
        <v>1042</v>
      </c>
      <c r="G1280" t="s">
        <v>932</v>
      </c>
      <c r="H1280" t="s">
        <v>36</v>
      </c>
    </row>
    <row r="1281" spans="1:8" hidden="1" x14ac:dyDescent="0.3">
      <c r="A1281" t="s">
        <v>172</v>
      </c>
      <c r="B1281" s="2">
        <v>46235</v>
      </c>
      <c r="C1281" t="s">
        <v>896</v>
      </c>
      <c r="D1281">
        <v>0</v>
      </c>
      <c r="E1281" t="s">
        <v>33</v>
      </c>
      <c r="F1281" t="s">
        <v>33</v>
      </c>
      <c r="G1281" t="s">
        <v>338</v>
      </c>
      <c r="H1281" t="s">
        <v>36</v>
      </c>
    </row>
    <row r="1282" spans="1:8" ht="57.6" hidden="1" customHeight="1" x14ac:dyDescent="0.3">
      <c r="A1282" t="s">
        <v>265</v>
      </c>
      <c r="B1282" s="2">
        <v>46204</v>
      </c>
      <c r="C1282" s="10">
        <v>0</v>
      </c>
      <c r="D1282">
        <v>31</v>
      </c>
      <c r="E1282" t="s">
        <v>1043</v>
      </c>
      <c r="F1282" t="s">
        <v>33</v>
      </c>
      <c r="G1282" t="s">
        <v>1044</v>
      </c>
      <c r="H1282" t="s">
        <v>1045</v>
      </c>
    </row>
    <row r="1283" spans="1:8" ht="57.6" hidden="1" customHeight="1" x14ac:dyDescent="0.3">
      <c r="A1283" t="s">
        <v>265</v>
      </c>
      <c r="B1283" s="2">
        <v>46174</v>
      </c>
      <c r="C1283" s="10"/>
    </row>
    <row r="1284" spans="1:8" ht="57.6" hidden="1" customHeight="1" x14ac:dyDescent="0.3">
      <c r="A1284" t="s">
        <v>265</v>
      </c>
      <c r="B1284" s="2">
        <v>45536</v>
      </c>
      <c r="C1284" s="10"/>
    </row>
    <row r="1285" spans="1:8" ht="57.6" hidden="1" customHeight="1" x14ac:dyDescent="0.3">
      <c r="A1285" t="s">
        <v>265</v>
      </c>
      <c r="B1285" s="2">
        <v>45566</v>
      </c>
      <c r="C1285" s="10" t="s">
        <v>675</v>
      </c>
    </row>
    <row r="1286" spans="1:8" ht="57.6" hidden="1" customHeight="1" x14ac:dyDescent="0.3">
      <c r="A1286" t="s">
        <v>265</v>
      </c>
      <c r="B1286" s="2">
        <v>45597</v>
      </c>
      <c r="C1286" s="10"/>
    </row>
    <row r="1287" spans="1:8" ht="57.6" hidden="1" customHeight="1" x14ac:dyDescent="0.3">
      <c r="A1287" t="s">
        <v>265</v>
      </c>
      <c r="B1287" s="2">
        <v>45627</v>
      </c>
      <c r="C1287" s="10"/>
    </row>
    <row r="1288" spans="1:8" ht="57.6" hidden="1" customHeight="1" x14ac:dyDescent="0.3">
      <c r="A1288" t="s">
        <v>265</v>
      </c>
      <c r="B1288" s="2">
        <v>45658</v>
      </c>
      <c r="C1288" s="10"/>
    </row>
    <row r="1289" spans="1:8" hidden="1" x14ac:dyDescent="0.3">
      <c r="A1289" t="s">
        <v>265</v>
      </c>
      <c r="B1289" s="2">
        <v>45689</v>
      </c>
      <c r="C1289" s="10" t="s">
        <v>676</v>
      </c>
    </row>
    <row r="1290" spans="1:8" ht="43.2" hidden="1" x14ac:dyDescent="0.3">
      <c r="A1290" t="s">
        <v>265</v>
      </c>
      <c r="B1290" s="2">
        <v>45717</v>
      </c>
      <c r="C1290" s="10" t="s">
        <v>677</v>
      </c>
    </row>
    <row r="1291" spans="1:8" ht="43.2" hidden="1" x14ac:dyDescent="0.3">
      <c r="A1291" t="s">
        <v>265</v>
      </c>
      <c r="B1291" s="2">
        <v>45748</v>
      </c>
      <c r="C1291" s="10" t="s">
        <v>677</v>
      </c>
    </row>
    <row r="1292" spans="1:8" ht="144" hidden="1" x14ac:dyDescent="0.3">
      <c r="A1292" t="s">
        <v>265</v>
      </c>
      <c r="B1292" s="2">
        <v>45778</v>
      </c>
      <c r="C1292" s="10" t="s">
        <v>678</v>
      </c>
    </row>
    <row r="1293" spans="1:8" ht="115.2" hidden="1" x14ac:dyDescent="0.3">
      <c r="A1293" t="s">
        <v>265</v>
      </c>
      <c r="B1293" s="2">
        <v>45809</v>
      </c>
      <c r="C1293" s="10" t="s">
        <v>679</v>
      </c>
    </row>
    <row r="1294" spans="1:8" ht="115.2" hidden="1" x14ac:dyDescent="0.3">
      <c r="A1294" t="s">
        <v>265</v>
      </c>
      <c r="B1294" s="2">
        <v>45839</v>
      </c>
      <c r="C1294" s="10" t="s">
        <v>680</v>
      </c>
    </row>
    <row r="1295" spans="1:8" ht="115.2" hidden="1" x14ac:dyDescent="0.3">
      <c r="A1295" t="s">
        <v>265</v>
      </c>
      <c r="B1295" s="2">
        <v>45870</v>
      </c>
      <c r="C1295" s="10" t="s">
        <v>681</v>
      </c>
    </row>
    <row r="1296" spans="1:8" ht="115.2" hidden="1" x14ac:dyDescent="0.3">
      <c r="A1296" t="s">
        <v>265</v>
      </c>
      <c r="B1296" s="2">
        <v>45901</v>
      </c>
      <c r="C1296" s="10" t="s">
        <v>682</v>
      </c>
    </row>
    <row r="1297" spans="1:8" ht="115.2" hidden="1" x14ac:dyDescent="0.3">
      <c r="A1297" t="s">
        <v>265</v>
      </c>
      <c r="B1297" s="2">
        <v>45931</v>
      </c>
      <c r="C1297" s="10" t="s">
        <v>683</v>
      </c>
    </row>
    <row r="1298" spans="1:8" ht="115.2" hidden="1" x14ac:dyDescent="0.3">
      <c r="A1298" t="s">
        <v>265</v>
      </c>
      <c r="B1298" s="2">
        <v>45962</v>
      </c>
      <c r="C1298" s="10" t="s">
        <v>684</v>
      </c>
    </row>
    <row r="1299" spans="1:8" ht="28.8" hidden="1" x14ac:dyDescent="0.3">
      <c r="A1299" t="s">
        <v>265</v>
      </c>
      <c r="B1299" s="2">
        <v>45992</v>
      </c>
      <c r="C1299" s="10" t="s">
        <v>685</v>
      </c>
    </row>
    <row r="1300" spans="1:8" ht="28.8" hidden="1" x14ac:dyDescent="0.3">
      <c r="A1300" t="s">
        <v>265</v>
      </c>
      <c r="B1300" s="2">
        <v>46023</v>
      </c>
      <c r="C1300" s="10" t="s">
        <v>686</v>
      </c>
    </row>
    <row r="1301" spans="1:8" ht="28.8" hidden="1" x14ac:dyDescent="0.3">
      <c r="A1301" t="s">
        <v>265</v>
      </c>
      <c r="B1301" s="2">
        <v>46054</v>
      </c>
      <c r="C1301" s="10" t="s">
        <v>686</v>
      </c>
    </row>
    <row r="1302" spans="1:8" ht="28.8" hidden="1" x14ac:dyDescent="0.3">
      <c r="A1302" t="s">
        <v>265</v>
      </c>
      <c r="B1302" s="2">
        <v>46082</v>
      </c>
      <c r="C1302" s="10" t="s">
        <v>687</v>
      </c>
    </row>
    <row r="1303" spans="1:8" ht="28.8" hidden="1" x14ac:dyDescent="0.3">
      <c r="A1303" t="s">
        <v>265</v>
      </c>
      <c r="B1303" s="2">
        <v>46113</v>
      </c>
      <c r="C1303" s="10" t="s">
        <v>687</v>
      </c>
    </row>
    <row r="1304" spans="1:8" ht="28.8" hidden="1" x14ac:dyDescent="0.3">
      <c r="A1304" t="s">
        <v>265</v>
      </c>
      <c r="B1304" s="2">
        <v>46143</v>
      </c>
      <c r="C1304" s="10" t="s">
        <v>860</v>
      </c>
    </row>
    <row r="1305" spans="1:8" hidden="1" x14ac:dyDescent="0.3">
      <c r="A1305" t="s">
        <v>265</v>
      </c>
      <c r="B1305" s="2">
        <v>46235</v>
      </c>
      <c r="C1305" s="10" t="s">
        <v>36</v>
      </c>
      <c r="D1305" s="10" t="s">
        <v>36</v>
      </c>
      <c r="E1305" s="10" t="s">
        <v>36</v>
      </c>
      <c r="F1305" s="10" t="s">
        <v>36</v>
      </c>
      <c r="G1305" s="10" t="s">
        <v>36</v>
      </c>
      <c r="H1305" t="s">
        <v>1090</v>
      </c>
    </row>
    <row r="1306" spans="1:8" ht="57.6" hidden="1" customHeight="1" x14ac:dyDescent="0.3">
      <c r="A1306" t="s">
        <v>177</v>
      </c>
      <c r="B1306" s="2">
        <v>45536</v>
      </c>
      <c r="C1306" s="10"/>
    </row>
    <row r="1307" spans="1:8" ht="57.6" hidden="1" customHeight="1" x14ac:dyDescent="0.3">
      <c r="A1307" t="s">
        <v>177</v>
      </c>
      <c r="B1307" s="2">
        <v>45566</v>
      </c>
      <c r="C1307" s="10"/>
    </row>
    <row r="1308" spans="1:8" ht="57.6" hidden="1" customHeight="1" x14ac:dyDescent="0.3">
      <c r="A1308" t="s">
        <v>177</v>
      </c>
      <c r="B1308" s="2">
        <v>45597</v>
      </c>
      <c r="C1308" s="10"/>
    </row>
    <row r="1309" spans="1:8" ht="57.6" hidden="1" customHeight="1" x14ac:dyDescent="0.3">
      <c r="A1309" t="s">
        <v>177</v>
      </c>
      <c r="B1309" s="2">
        <v>45627</v>
      </c>
      <c r="C1309" s="10"/>
    </row>
    <row r="1310" spans="1:8" ht="57.6" hidden="1" customHeight="1" x14ac:dyDescent="0.3">
      <c r="A1310" t="s">
        <v>177</v>
      </c>
      <c r="B1310" s="2">
        <v>45658</v>
      </c>
      <c r="C1310" s="10"/>
    </row>
    <row r="1311" spans="1:8" ht="57.6" hidden="1" customHeight="1" x14ac:dyDescent="0.3">
      <c r="A1311" t="s">
        <v>177</v>
      </c>
      <c r="B1311" s="2">
        <v>45689</v>
      </c>
      <c r="C1311" s="10" t="s">
        <v>665</v>
      </c>
    </row>
    <row r="1312" spans="1:8" ht="57.6" hidden="1" customHeight="1" x14ac:dyDescent="0.3">
      <c r="A1312" t="s">
        <v>177</v>
      </c>
      <c r="B1312" s="2">
        <v>45717</v>
      </c>
      <c r="C1312" s="10" t="s">
        <v>665</v>
      </c>
    </row>
    <row r="1313" spans="1:8" hidden="1" x14ac:dyDescent="0.3">
      <c r="A1313" t="s">
        <v>177</v>
      </c>
      <c r="B1313" s="2">
        <v>45748</v>
      </c>
      <c r="C1313" s="10" t="s">
        <v>665</v>
      </c>
    </row>
    <row r="1314" spans="1:8" ht="115.2" hidden="1" x14ac:dyDescent="0.3">
      <c r="A1314" t="s">
        <v>177</v>
      </c>
      <c r="B1314" s="2">
        <v>45778</v>
      </c>
      <c r="C1314" s="10" t="s">
        <v>666</v>
      </c>
    </row>
    <row r="1315" spans="1:8" ht="100.8" hidden="1" x14ac:dyDescent="0.3">
      <c r="A1315" t="s">
        <v>177</v>
      </c>
      <c r="B1315" s="2">
        <v>45809</v>
      </c>
      <c r="C1315" s="10" t="s">
        <v>667</v>
      </c>
    </row>
    <row r="1316" spans="1:8" ht="100.8" hidden="1" x14ac:dyDescent="0.3">
      <c r="A1316" t="s">
        <v>177</v>
      </c>
      <c r="B1316" s="2">
        <v>45839</v>
      </c>
      <c r="C1316" s="10" t="s">
        <v>668</v>
      </c>
    </row>
    <row r="1317" spans="1:8" ht="100.8" hidden="1" x14ac:dyDescent="0.3">
      <c r="A1317" t="s">
        <v>177</v>
      </c>
      <c r="B1317" s="2">
        <v>45870</v>
      </c>
      <c r="C1317" s="10" t="s">
        <v>669</v>
      </c>
    </row>
    <row r="1318" spans="1:8" ht="100.8" hidden="1" x14ac:dyDescent="0.3">
      <c r="A1318" t="s">
        <v>177</v>
      </c>
      <c r="B1318" s="2">
        <v>45901</v>
      </c>
      <c r="C1318" s="10" t="s">
        <v>670</v>
      </c>
    </row>
    <row r="1319" spans="1:8" ht="115.2" hidden="1" x14ac:dyDescent="0.3">
      <c r="A1319" t="s">
        <v>177</v>
      </c>
      <c r="B1319" s="2">
        <v>45931</v>
      </c>
      <c r="C1319" s="10" t="s">
        <v>671</v>
      </c>
    </row>
    <row r="1320" spans="1:8" ht="100.8" hidden="1" x14ac:dyDescent="0.3">
      <c r="A1320" t="s">
        <v>177</v>
      </c>
      <c r="B1320" s="2">
        <v>45962</v>
      </c>
      <c r="C1320" s="10" t="s">
        <v>672</v>
      </c>
    </row>
    <row r="1321" spans="1:8" ht="28.8" hidden="1" x14ac:dyDescent="0.3">
      <c r="A1321" t="s">
        <v>177</v>
      </c>
      <c r="B1321" s="2">
        <v>45992</v>
      </c>
      <c r="C1321" s="10" t="s">
        <v>673</v>
      </c>
    </row>
    <row r="1322" spans="1:8" hidden="1" x14ac:dyDescent="0.3">
      <c r="A1322" t="s">
        <v>177</v>
      </c>
      <c r="B1322" s="2">
        <v>46023</v>
      </c>
      <c r="C1322" s="10" t="s">
        <v>674</v>
      </c>
    </row>
    <row r="1323" spans="1:8" hidden="1" x14ac:dyDescent="0.3">
      <c r="A1323" t="s">
        <v>177</v>
      </c>
      <c r="B1323" s="2">
        <v>46054</v>
      </c>
      <c r="C1323" s="10" t="s">
        <v>326</v>
      </c>
    </row>
    <row r="1324" spans="1:8" hidden="1" x14ac:dyDescent="0.3">
      <c r="A1324" t="s">
        <v>177</v>
      </c>
      <c r="B1324" s="2">
        <v>46082</v>
      </c>
      <c r="C1324" s="10" t="s">
        <v>326</v>
      </c>
    </row>
    <row r="1325" spans="1:8" hidden="1" x14ac:dyDescent="0.3">
      <c r="A1325" t="s">
        <v>177</v>
      </c>
      <c r="B1325" s="2">
        <v>46113</v>
      </c>
      <c r="C1325" s="10" t="s">
        <v>302</v>
      </c>
    </row>
    <row r="1326" spans="1:8" hidden="1" x14ac:dyDescent="0.3">
      <c r="A1326" t="s">
        <v>177</v>
      </c>
      <c r="B1326" s="2">
        <v>46143</v>
      </c>
      <c r="C1326" s="10" t="s">
        <v>302</v>
      </c>
    </row>
    <row r="1327" spans="1:8" hidden="1" x14ac:dyDescent="0.3">
      <c r="A1327" t="s">
        <v>177</v>
      </c>
      <c r="B1327" s="2">
        <v>46235</v>
      </c>
      <c r="C1327" t="s">
        <v>896</v>
      </c>
      <c r="D1327">
        <v>0</v>
      </c>
      <c r="E1327" t="s">
        <v>33</v>
      </c>
      <c r="F1327" t="s">
        <v>33</v>
      </c>
      <c r="G1327" t="s">
        <v>338</v>
      </c>
      <c r="H1327" t="s">
        <v>36</v>
      </c>
    </row>
    <row r="1328" spans="1:8" ht="28.95" hidden="1" customHeight="1" x14ac:dyDescent="0.3">
      <c r="A1328" t="s">
        <v>177</v>
      </c>
      <c r="B1328" s="2">
        <v>46174</v>
      </c>
      <c r="C1328" s="10"/>
    </row>
    <row r="1329" spans="1:8" ht="28.95" hidden="1" customHeight="1" x14ac:dyDescent="0.3">
      <c r="A1329" t="s">
        <v>177</v>
      </c>
      <c r="B1329" s="2">
        <v>46204</v>
      </c>
      <c r="C1329" s="10">
        <v>31</v>
      </c>
      <c r="D1329">
        <v>0</v>
      </c>
      <c r="E1329" t="s">
        <v>33</v>
      </c>
      <c r="F1329" t="s">
        <v>33</v>
      </c>
      <c r="G1329" t="s">
        <v>932</v>
      </c>
      <c r="H1329" t="s">
        <v>36</v>
      </c>
    </row>
    <row r="1330" spans="1:8" ht="72" hidden="1" customHeight="1" x14ac:dyDescent="0.3">
      <c r="A1330" t="s">
        <v>180</v>
      </c>
      <c r="B1330" s="2">
        <v>45536</v>
      </c>
      <c r="C1330" s="10"/>
    </row>
    <row r="1331" spans="1:8" ht="57.6" hidden="1" customHeight="1" x14ac:dyDescent="0.3">
      <c r="A1331" t="s">
        <v>180</v>
      </c>
      <c r="B1331" s="2">
        <v>45566</v>
      </c>
      <c r="C1331" s="10"/>
    </row>
    <row r="1332" spans="1:8" ht="57.6" hidden="1" customHeight="1" x14ac:dyDescent="0.3">
      <c r="A1332" t="s">
        <v>180</v>
      </c>
      <c r="B1332" s="2">
        <v>45597</v>
      </c>
      <c r="C1332" s="10"/>
    </row>
    <row r="1333" spans="1:8" ht="57.6" hidden="1" customHeight="1" x14ac:dyDescent="0.3">
      <c r="A1333" t="s">
        <v>180</v>
      </c>
      <c r="B1333" s="2">
        <v>45627</v>
      </c>
      <c r="C1333" s="10"/>
    </row>
    <row r="1334" spans="1:8" ht="57.6" hidden="1" customHeight="1" x14ac:dyDescent="0.3">
      <c r="A1334" t="s">
        <v>180</v>
      </c>
      <c r="B1334" s="2">
        <v>45658</v>
      </c>
      <c r="C1334" s="10"/>
    </row>
    <row r="1335" spans="1:8" ht="57.6" hidden="1" customHeight="1" x14ac:dyDescent="0.3">
      <c r="A1335" t="s">
        <v>180</v>
      </c>
      <c r="B1335" s="2">
        <v>45689</v>
      </c>
      <c r="C1335" s="10" t="s">
        <v>688</v>
      </c>
    </row>
    <row r="1336" spans="1:8" ht="57.6" hidden="1" customHeight="1" x14ac:dyDescent="0.3">
      <c r="A1336" t="s">
        <v>180</v>
      </c>
      <c r="B1336" s="2">
        <v>45717</v>
      </c>
      <c r="C1336" s="10" t="s">
        <v>689</v>
      </c>
    </row>
    <row r="1337" spans="1:8" ht="28.8" hidden="1" x14ac:dyDescent="0.3">
      <c r="A1337" t="s">
        <v>180</v>
      </c>
      <c r="B1337" s="2">
        <v>45748</v>
      </c>
      <c r="C1337" s="10" t="s">
        <v>689</v>
      </c>
    </row>
    <row r="1338" spans="1:8" ht="115.2" hidden="1" x14ac:dyDescent="0.3">
      <c r="A1338" t="s">
        <v>180</v>
      </c>
      <c r="B1338" s="2">
        <v>45778</v>
      </c>
      <c r="C1338" s="10" t="s">
        <v>690</v>
      </c>
    </row>
    <row r="1339" spans="1:8" ht="86.4" hidden="1" x14ac:dyDescent="0.3">
      <c r="A1339" t="s">
        <v>180</v>
      </c>
      <c r="B1339" s="2">
        <v>45809</v>
      </c>
      <c r="C1339" s="10" t="s">
        <v>691</v>
      </c>
    </row>
    <row r="1340" spans="1:8" ht="129.6" hidden="1" x14ac:dyDescent="0.3">
      <c r="A1340" t="s">
        <v>180</v>
      </c>
      <c r="B1340" s="2">
        <v>45839</v>
      </c>
      <c r="C1340" s="10" t="s">
        <v>692</v>
      </c>
    </row>
    <row r="1341" spans="1:8" ht="100.8" hidden="1" x14ac:dyDescent="0.3">
      <c r="A1341" t="s">
        <v>180</v>
      </c>
      <c r="B1341" s="2">
        <v>45870</v>
      </c>
      <c r="C1341" s="10" t="s">
        <v>693</v>
      </c>
    </row>
    <row r="1342" spans="1:8" ht="72" hidden="1" x14ac:dyDescent="0.3">
      <c r="A1342" t="s">
        <v>180</v>
      </c>
      <c r="B1342" s="2">
        <v>45901</v>
      </c>
      <c r="C1342" s="10" t="s">
        <v>694</v>
      </c>
    </row>
    <row r="1343" spans="1:8" ht="72" hidden="1" x14ac:dyDescent="0.3">
      <c r="A1343" t="s">
        <v>180</v>
      </c>
      <c r="B1343" s="2">
        <v>45931</v>
      </c>
      <c r="C1343" s="10" t="s">
        <v>695</v>
      </c>
    </row>
    <row r="1344" spans="1:8" ht="72" hidden="1" x14ac:dyDescent="0.3">
      <c r="A1344" t="s">
        <v>180</v>
      </c>
      <c r="B1344" s="2">
        <v>45962</v>
      </c>
      <c r="C1344" s="10" t="s">
        <v>696</v>
      </c>
    </row>
    <row r="1345" spans="1:8" hidden="1" x14ac:dyDescent="0.3">
      <c r="A1345" t="s">
        <v>180</v>
      </c>
      <c r="B1345" s="2">
        <v>45992</v>
      </c>
      <c r="C1345" s="10" t="s">
        <v>598</v>
      </c>
    </row>
    <row r="1346" spans="1:8" hidden="1" x14ac:dyDescent="0.3">
      <c r="A1346" t="s">
        <v>180</v>
      </c>
      <c r="B1346" s="2">
        <v>46023</v>
      </c>
      <c r="C1346" s="10" t="s">
        <v>338</v>
      </c>
    </row>
    <row r="1347" spans="1:8" hidden="1" x14ac:dyDescent="0.3">
      <c r="A1347" t="s">
        <v>180</v>
      </c>
      <c r="B1347" s="2">
        <v>46054</v>
      </c>
      <c r="C1347" s="10" t="s">
        <v>326</v>
      </c>
    </row>
    <row r="1348" spans="1:8" hidden="1" x14ac:dyDescent="0.3">
      <c r="A1348" t="s">
        <v>180</v>
      </c>
      <c r="B1348" s="2">
        <v>46082</v>
      </c>
      <c r="C1348" s="10" t="s">
        <v>326</v>
      </c>
    </row>
    <row r="1349" spans="1:8" hidden="1" x14ac:dyDescent="0.3">
      <c r="A1349" t="s">
        <v>180</v>
      </c>
      <c r="B1349" s="2">
        <v>46113</v>
      </c>
      <c r="C1349" s="10" t="s">
        <v>326</v>
      </c>
    </row>
    <row r="1350" spans="1:8" hidden="1" x14ac:dyDescent="0.3">
      <c r="A1350" t="s">
        <v>180</v>
      </c>
      <c r="B1350" s="2">
        <v>46143</v>
      </c>
      <c r="C1350" s="10" t="s">
        <v>302</v>
      </c>
    </row>
    <row r="1351" spans="1:8" hidden="1" x14ac:dyDescent="0.3">
      <c r="A1351" t="s">
        <v>180</v>
      </c>
      <c r="B1351" s="2">
        <v>46174</v>
      </c>
      <c r="C1351" s="10"/>
    </row>
    <row r="1352" spans="1:8" hidden="1" x14ac:dyDescent="0.3">
      <c r="A1352" t="s">
        <v>180</v>
      </c>
      <c r="B1352" s="2">
        <v>46204</v>
      </c>
      <c r="C1352" s="10">
        <v>31</v>
      </c>
      <c r="D1352">
        <v>0</v>
      </c>
      <c r="E1352" t="s">
        <v>33</v>
      </c>
      <c r="F1352" t="s">
        <v>33</v>
      </c>
      <c r="G1352" t="s">
        <v>1014</v>
      </c>
      <c r="H1352" t="s">
        <v>36</v>
      </c>
    </row>
    <row r="1353" spans="1:8" hidden="1" x14ac:dyDescent="0.3">
      <c r="A1353" t="s">
        <v>180</v>
      </c>
      <c r="B1353" s="2">
        <v>46235</v>
      </c>
      <c r="C1353" s="10" t="s">
        <v>896</v>
      </c>
      <c r="D1353">
        <v>0</v>
      </c>
      <c r="E1353" t="s">
        <v>33</v>
      </c>
      <c r="F1353" t="s">
        <v>33</v>
      </c>
      <c r="G1353" s="10" t="s">
        <v>932</v>
      </c>
      <c r="H1353" t="s">
        <v>36</v>
      </c>
    </row>
    <row r="1354" spans="1:8" ht="57.6" hidden="1" customHeight="1" x14ac:dyDescent="0.3">
      <c r="A1354" t="s">
        <v>241</v>
      </c>
      <c r="B1354" s="2">
        <v>45536</v>
      </c>
      <c r="C1354" s="10"/>
    </row>
    <row r="1355" spans="1:8" ht="43.2" hidden="1" customHeight="1" x14ac:dyDescent="0.3">
      <c r="A1355" t="s">
        <v>241</v>
      </c>
      <c r="B1355" s="2">
        <v>45566</v>
      </c>
      <c r="C1355" s="10"/>
    </row>
    <row r="1356" spans="1:8" ht="57.6" hidden="1" customHeight="1" x14ac:dyDescent="0.3">
      <c r="A1356" t="s">
        <v>241</v>
      </c>
      <c r="B1356" s="2">
        <v>45597</v>
      </c>
      <c r="C1356" s="10"/>
    </row>
    <row r="1357" spans="1:8" ht="43.2" hidden="1" customHeight="1" x14ac:dyDescent="0.3">
      <c r="A1357" t="s">
        <v>241</v>
      </c>
      <c r="B1357" s="2">
        <v>45627</v>
      </c>
      <c r="C1357" s="10"/>
    </row>
    <row r="1358" spans="1:8" ht="43.2" hidden="1" customHeight="1" x14ac:dyDescent="0.3">
      <c r="A1358" t="s">
        <v>241</v>
      </c>
      <c r="B1358" s="2">
        <v>45658</v>
      </c>
      <c r="C1358" s="10"/>
    </row>
    <row r="1359" spans="1:8" ht="43.2" hidden="1" customHeight="1" x14ac:dyDescent="0.3">
      <c r="A1359" t="s">
        <v>241</v>
      </c>
      <c r="B1359" s="2">
        <v>45689</v>
      </c>
      <c r="C1359" s="10"/>
    </row>
    <row r="1360" spans="1:8" ht="43.2" hidden="1" customHeight="1" x14ac:dyDescent="0.3">
      <c r="A1360" t="s">
        <v>241</v>
      </c>
      <c r="B1360" s="2">
        <v>45717</v>
      </c>
      <c r="C1360" s="10"/>
    </row>
    <row r="1361" spans="1:8" hidden="1" x14ac:dyDescent="0.3">
      <c r="A1361" t="s">
        <v>241</v>
      </c>
      <c r="B1361" s="2">
        <v>45748</v>
      </c>
      <c r="C1361" s="10"/>
    </row>
    <row r="1362" spans="1:8" hidden="1" x14ac:dyDescent="0.3">
      <c r="A1362" t="s">
        <v>241</v>
      </c>
      <c r="B1362" s="2">
        <v>45778</v>
      </c>
      <c r="C1362" s="10"/>
    </row>
    <row r="1363" spans="1:8" hidden="1" x14ac:dyDescent="0.3">
      <c r="A1363" t="s">
        <v>241</v>
      </c>
      <c r="B1363" s="2">
        <v>45809</v>
      </c>
      <c r="C1363" s="10"/>
    </row>
    <row r="1364" spans="1:8" hidden="1" x14ac:dyDescent="0.3">
      <c r="A1364" t="s">
        <v>241</v>
      </c>
      <c r="B1364" s="2">
        <v>45839</v>
      </c>
      <c r="C1364" s="10"/>
    </row>
    <row r="1365" spans="1:8" hidden="1" x14ac:dyDescent="0.3">
      <c r="A1365" t="s">
        <v>241</v>
      </c>
      <c r="B1365" s="2">
        <v>45870</v>
      </c>
      <c r="C1365" s="10"/>
    </row>
    <row r="1366" spans="1:8" hidden="1" x14ac:dyDescent="0.3">
      <c r="A1366" t="s">
        <v>241</v>
      </c>
      <c r="B1366" s="2">
        <v>45901</v>
      </c>
      <c r="C1366" s="10"/>
    </row>
    <row r="1367" spans="1:8" hidden="1" x14ac:dyDescent="0.3">
      <c r="A1367" t="s">
        <v>241</v>
      </c>
      <c r="B1367" s="2">
        <v>45931</v>
      </c>
      <c r="C1367" s="10"/>
    </row>
    <row r="1368" spans="1:8" hidden="1" x14ac:dyDescent="0.3">
      <c r="A1368" t="s">
        <v>241</v>
      </c>
      <c r="B1368" s="2">
        <v>45962</v>
      </c>
      <c r="C1368" s="10"/>
    </row>
    <row r="1369" spans="1:8" hidden="1" x14ac:dyDescent="0.3">
      <c r="A1369" t="s">
        <v>241</v>
      </c>
      <c r="B1369" s="2">
        <v>45992</v>
      </c>
      <c r="C1369" s="10"/>
    </row>
    <row r="1370" spans="1:8" hidden="1" x14ac:dyDescent="0.3">
      <c r="A1370" t="s">
        <v>241</v>
      </c>
      <c r="B1370" s="2">
        <v>46023</v>
      </c>
      <c r="C1370" s="10"/>
    </row>
    <row r="1371" spans="1:8" hidden="1" x14ac:dyDescent="0.3">
      <c r="A1371" t="s">
        <v>241</v>
      </c>
      <c r="B1371" s="2">
        <v>46054</v>
      </c>
      <c r="C1371" s="10"/>
    </row>
    <row r="1372" spans="1:8" hidden="1" x14ac:dyDescent="0.3">
      <c r="A1372" t="s">
        <v>241</v>
      </c>
      <c r="B1372" s="2">
        <v>46082</v>
      </c>
      <c r="C1372" s="10"/>
    </row>
    <row r="1373" spans="1:8" hidden="1" x14ac:dyDescent="0.3">
      <c r="A1373" t="s">
        <v>241</v>
      </c>
      <c r="B1373" s="2">
        <v>46113</v>
      </c>
      <c r="C1373" s="10" t="s">
        <v>459</v>
      </c>
    </row>
    <row r="1374" spans="1:8" ht="28.8" hidden="1" x14ac:dyDescent="0.3">
      <c r="A1374" t="s">
        <v>241</v>
      </c>
      <c r="B1374" s="2">
        <v>46143</v>
      </c>
      <c r="C1374" s="10" t="s">
        <v>866</v>
      </c>
    </row>
    <row r="1375" spans="1:8" hidden="1" x14ac:dyDescent="0.3">
      <c r="A1375" t="s">
        <v>241</v>
      </c>
      <c r="B1375" s="2">
        <v>46174</v>
      </c>
      <c r="C1375" s="10"/>
    </row>
    <row r="1376" spans="1:8" hidden="1" x14ac:dyDescent="0.3">
      <c r="A1376" t="s">
        <v>241</v>
      </c>
      <c r="B1376" s="2">
        <v>46204</v>
      </c>
      <c r="C1376" s="10">
        <v>31</v>
      </c>
      <c r="D1376">
        <v>0</v>
      </c>
      <c r="E1376" t="s">
        <v>33</v>
      </c>
      <c r="F1376" t="s">
        <v>33</v>
      </c>
      <c r="G1376" t="s">
        <v>1046</v>
      </c>
      <c r="H1376" t="s">
        <v>36</v>
      </c>
    </row>
    <row r="1377" spans="1:3" hidden="1" x14ac:dyDescent="0.3">
      <c r="A1377" t="s">
        <v>241</v>
      </c>
      <c r="B1377" s="2">
        <v>46235</v>
      </c>
      <c r="C1377" s="10"/>
    </row>
    <row r="1378" spans="1:3" hidden="1" x14ac:dyDescent="0.3">
      <c r="A1378" t="s">
        <v>182</v>
      </c>
      <c r="B1378" s="2">
        <v>45536</v>
      </c>
      <c r="C1378" s="10"/>
    </row>
    <row r="1379" spans="1:3" hidden="1" x14ac:dyDescent="0.3">
      <c r="A1379" t="s">
        <v>182</v>
      </c>
      <c r="B1379" s="2">
        <v>45566</v>
      </c>
      <c r="C1379" s="10"/>
    </row>
    <row r="1380" spans="1:3" hidden="1" x14ac:dyDescent="0.3">
      <c r="A1380" t="s">
        <v>182</v>
      </c>
      <c r="B1380" s="2">
        <v>45597</v>
      </c>
      <c r="C1380" s="10"/>
    </row>
    <row r="1381" spans="1:3" hidden="1" x14ac:dyDescent="0.3">
      <c r="A1381" t="s">
        <v>182</v>
      </c>
      <c r="B1381" s="2">
        <v>45627</v>
      </c>
      <c r="C1381" s="10"/>
    </row>
    <row r="1382" spans="1:3" hidden="1" x14ac:dyDescent="0.3">
      <c r="A1382" t="s">
        <v>182</v>
      </c>
      <c r="B1382" s="2">
        <v>45658</v>
      </c>
      <c r="C1382" s="10"/>
    </row>
    <row r="1383" spans="1:3" hidden="1" x14ac:dyDescent="0.3">
      <c r="A1383" t="s">
        <v>182</v>
      </c>
      <c r="B1383" s="2">
        <v>45689</v>
      </c>
      <c r="C1383" s="10"/>
    </row>
    <row r="1384" spans="1:3" hidden="1" x14ac:dyDescent="0.3">
      <c r="A1384" t="s">
        <v>182</v>
      </c>
      <c r="B1384" s="2">
        <v>45717</v>
      </c>
      <c r="C1384" s="10"/>
    </row>
    <row r="1385" spans="1:3" hidden="1" x14ac:dyDescent="0.3">
      <c r="A1385" t="s">
        <v>182</v>
      </c>
      <c r="B1385" s="2">
        <v>45748</v>
      </c>
      <c r="C1385" s="10"/>
    </row>
    <row r="1386" spans="1:3" hidden="1" x14ac:dyDescent="0.3">
      <c r="A1386" t="s">
        <v>182</v>
      </c>
      <c r="B1386" s="2">
        <v>45778</v>
      </c>
      <c r="C1386" s="10"/>
    </row>
    <row r="1387" spans="1:3" hidden="1" x14ac:dyDescent="0.3">
      <c r="A1387" t="s">
        <v>182</v>
      </c>
      <c r="B1387" s="2">
        <v>45809</v>
      </c>
      <c r="C1387" s="10"/>
    </row>
    <row r="1388" spans="1:3" ht="72" hidden="1" x14ac:dyDescent="0.3">
      <c r="A1388" t="s">
        <v>182</v>
      </c>
      <c r="B1388" s="2">
        <v>45839</v>
      </c>
      <c r="C1388" s="10" t="s">
        <v>697</v>
      </c>
    </row>
    <row r="1389" spans="1:3" ht="86.4" hidden="1" x14ac:dyDescent="0.3">
      <c r="A1389" t="s">
        <v>182</v>
      </c>
      <c r="B1389" s="2">
        <v>45870</v>
      </c>
      <c r="C1389" s="10" t="s">
        <v>698</v>
      </c>
    </row>
    <row r="1390" spans="1:3" ht="72" hidden="1" x14ac:dyDescent="0.3">
      <c r="A1390" t="s">
        <v>182</v>
      </c>
      <c r="B1390" s="2">
        <v>45901</v>
      </c>
      <c r="C1390" s="10" t="s">
        <v>699</v>
      </c>
    </row>
    <row r="1391" spans="1:3" ht="57.6" hidden="1" x14ac:dyDescent="0.3">
      <c r="A1391" t="s">
        <v>182</v>
      </c>
      <c r="B1391" s="2">
        <v>45931</v>
      </c>
      <c r="C1391" s="10" t="s">
        <v>700</v>
      </c>
    </row>
    <row r="1392" spans="1:3" ht="115.2" hidden="1" x14ac:dyDescent="0.3">
      <c r="A1392" t="s">
        <v>182</v>
      </c>
      <c r="B1392" s="2">
        <v>45962</v>
      </c>
      <c r="C1392" s="10" t="s">
        <v>701</v>
      </c>
    </row>
    <row r="1393" spans="1:8" hidden="1" x14ac:dyDescent="0.3">
      <c r="A1393" t="s">
        <v>182</v>
      </c>
      <c r="B1393" s="2">
        <v>45992</v>
      </c>
      <c r="C1393" s="10" t="s">
        <v>702</v>
      </c>
    </row>
    <row r="1394" spans="1:8" hidden="1" x14ac:dyDescent="0.3">
      <c r="A1394" t="s">
        <v>182</v>
      </c>
      <c r="B1394" s="2">
        <v>46023</v>
      </c>
      <c r="C1394" s="10" t="s">
        <v>338</v>
      </c>
    </row>
    <row r="1395" spans="1:8" ht="43.2" hidden="1" x14ac:dyDescent="0.3">
      <c r="A1395" t="s">
        <v>182</v>
      </c>
      <c r="B1395" s="2">
        <v>46054</v>
      </c>
      <c r="C1395" s="10" t="s">
        <v>314</v>
      </c>
    </row>
    <row r="1396" spans="1:8" ht="28.8" hidden="1" x14ac:dyDescent="0.3">
      <c r="A1396" t="s">
        <v>182</v>
      </c>
      <c r="B1396" s="2">
        <v>46082</v>
      </c>
      <c r="C1396" s="10" t="s">
        <v>703</v>
      </c>
    </row>
    <row r="1397" spans="1:8" ht="28.8" hidden="1" x14ac:dyDescent="0.3">
      <c r="A1397" t="s">
        <v>182</v>
      </c>
      <c r="B1397" s="2">
        <v>46113</v>
      </c>
      <c r="C1397" s="10" t="s">
        <v>703</v>
      </c>
    </row>
    <row r="1398" spans="1:8" ht="28.8" hidden="1" x14ac:dyDescent="0.3">
      <c r="A1398" t="s">
        <v>182</v>
      </c>
      <c r="B1398" s="2">
        <v>46143</v>
      </c>
      <c r="C1398" s="10" t="s">
        <v>861</v>
      </c>
    </row>
    <row r="1399" spans="1:8" hidden="1" x14ac:dyDescent="0.3">
      <c r="A1399" t="s">
        <v>182</v>
      </c>
      <c r="B1399" s="2">
        <v>46174</v>
      </c>
      <c r="C1399" s="10"/>
    </row>
    <row r="1400" spans="1:8" hidden="1" x14ac:dyDescent="0.3">
      <c r="A1400" t="s">
        <v>182</v>
      </c>
      <c r="B1400" s="2">
        <v>46204</v>
      </c>
      <c r="C1400" s="10">
        <v>31</v>
      </c>
      <c r="D1400">
        <v>0</v>
      </c>
      <c r="E1400" t="s">
        <v>33</v>
      </c>
      <c r="F1400" t="s">
        <v>33</v>
      </c>
      <c r="G1400" t="s">
        <v>1048</v>
      </c>
      <c r="H1400" t="s">
        <v>36</v>
      </c>
    </row>
    <row r="1401" spans="1:8" hidden="1" x14ac:dyDescent="0.3">
      <c r="A1401" t="s">
        <v>182</v>
      </c>
      <c r="B1401" s="2">
        <v>46235</v>
      </c>
      <c r="C1401" s="10" t="s">
        <v>896</v>
      </c>
      <c r="D1401">
        <v>0</v>
      </c>
      <c r="E1401" t="s">
        <v>33</v>
      </c>
      <c r="F1401" t="s">
        <v>33</v>
      </c>
      <c r="G1401" t="s">
        <v>1048</v>
      </c>
      <c r="H1401" t="s">
        <v>36</v>
      </c>
    </row>
    <row r="1402" spans="1:8" hidden="1" x14ac:dyDescent="0.3">
      <c r="A1402" t="s">
        <v>184</v>
      </c>
      <c r="B1402" s="2">
        <v>45536</v>
      </c>
      <c r="C1402" s="10"/>
    </row>
    <row r="1403" spans="1:8" ht="57.6" hidden="1" x14ac:dyDescent="0.3">
      <c r="A1403" t="s">
        <v>184</v>
      </c>
      <c r="B1403" s="2">
        <v>45566</v>
      </c>
      <c r="C1403" s="10" t="s">
        <v>704</v>
      </c>
    </row>
    <row r="1404" spans="1:8" ht="43.2" hidden="1" customHeight="1" x14ac:dyDescent="0.3">
      <c r="A1404" t="s">
        <v>184</v>
      </c>
      <c r="B1404" s="2">
        <v>45597</v>
      </c>
      <c r="C1404" s="10"/>
    </row>
    <row r="1405" spans="1:8" ht="57.6" hidden="1" customHeight="1" x14ac:dyDescent="0.3">
      <c r="A1405" t="s">
        <v>184</v>
      </c>
      <c r="B1405" s="2">
        <v>45627</v>
      </c>
      <c r="C1405" s="10"/>
    </row>
    <row r="1406" spans="1:8" ht="43.2" hidden="1" customHeight="1" x14ac:dyDescent="0.3">
      <c r="A1406" t="s">
        <v>184</v>
      </c>
      <c r="B1406" s="2">
        <v>45658</v>
      </c>
      <c r="C1406" s="10"/>
    </row>
    <row r="1407" spans="1:8" ht="43.2" hidden="1" customHeight="1" x14ac:dyDescent="0.3">
      <c r="A1407" t="s">
        <v>184</v>
      </c>
      <c r="B1407" s="2">
        <v>45689</v>
      </c>
      <c r="C1407" s="10" t="s">
        <v>705</v>
      </c>
    </row>
    <row r="1408" spans="1:8" ht="57.6" hidden="1" customHeight="1" x14ac:dyDescent="0.3">
      <c r="A1408" t="s">
        <v>184</v>
      </c>
      <c r="B1408" s="2">
        <v>45717</v>
      </c>
      <c r="C1408" s="10" t="s">
        <v>706</v>
      </c>
    </row>
    <row r="1409" spans="1:8" hidden="1" x14ac:dyDescent="0.3">
      <c r="A1409" t="s">
        <v>184</v>
      </c>
      <c r="B1409" s="2">
        <v>45748</v>
      </c>
      <c r="C1409" s="10" t="s">
        <v>707</v>
      </c>
    </row>
    <row r="1410" spans="1:8" ht="100.8" hidden="1" x14ac:dyDescent="0.3">
      <c r="A1410" t="s">
        <v>184</v>
      </c>
      <c r="B1410" s="2">
        <v>45778</v>
      </c>
      <c r="C1410" s="10" t="s">
        <v>708</v>
      </c>
    </row>
    <row r="1411" spans="1:8" ht="100.8" hidden="1" x14ac:dyDescent="0.3">
      <c r="A1411" t="s">
        <v>184</v>
      </c>
      <c r="B1411" s="2">
        <v>45809</v>
      </c>
      <c r="C1411" s="10" t="s">
        <v>709</v>
      </c>
    </row>
    <row r="1412" spans="1:8" ht="100.8" hidden="1" x14ac:dyDescent="0.3">
      <c r="A1412" t="s">
        <v>184</v>
      </c>
      <c r="B1412" s="2">
        <v>45839</v>
      </c>
      <c r="C1412" s="10" t="s">
        <v>710</v>
      </c>
    </row>
    <row r="1413" spans="1:8" ht="72" hidden="1" x14ac:dyDescent="0.3">
      <c r="A1413" t="s">
        <v>184</v>
      </c>
      <c r="B1413" s="2">
        <v>45870</v>
      </c>
      <c r="C1413" s="10" t="s">
        <v>711</v>
      </c>
    </row>
    <row r="1414" spans="1:8" ht="86.4" hidden="1" x14ac:dyDescent="0.3">
      <c r="A1414" t="s">
        <v>184</v>
      </c>
      <c r="B1414" s="2">
        <v>45901</v>
      </c>
      <c r="C1414" s="10" t="s">
        <v>712</v>
      </c>
    </row>
    <row r="1415" spans="1:8" ht="100.8" hidden="1" x14ac:dyDescent="0.3">
      <c r="A1415" t="s">
        <v>184</v>
      </c>
      <c r="B1415" s="2">
        <v>45931</v>
      </c>
      <c r="C1415" s="10" t="s">
        <v>713</v>
      </c>
    </row>
    <row r="1416" spans="1:8" ht="129.6" hidden="1" x14ac:dyDescent="0.3">
      <c r="A1416" t="s">
        <v>184</v>
      </c>
      <c r="B1416" s="2">
        <v>45962</v>
      </c>
      <c r="C1416" s="10" t="s">
        <v>714</v>
      </c>
    </row>
    <row r="1417" spans="1:8" ht="43.2" hidden="1" x14ac:dyDescent="0.3">
      <c r="A1417" t="s">
        <v>184</v>
      </c>
      <c r="B1417" s="2">
        <v>45992</v>
      </c>
      <c r="C1417" s="10" t="s">
        <v>314</v>
      </c>
    </row>
    <row r="1418" spans="1:8" hidden="1" x14ac:dyDescent="0.3">
      <c r="A1418" t="s">
        <v>184</v>
      </c>
      <c r="B1418" s="2">
        <v>46023</v>
      </c>
      <c r="C1418" s="10" t="s">
        <v>338</v>
      </c>
    </row>
    <row r="1419" spans="1:8" ht="28.95" hidden="1" customHeight="1" x14ac:dyDescent="0.3">
      <c r="A1419" t="s">
        <v>184</v>
      </c>
      <c r="B1419" s="2">
        <v>46054</v>
      </c>
      <c r="C1419" s="10" t="s">
        <v>715</v>
      </c>
    </row>
    <row r="1420" spans="1:8" ht="28.8" hidden="1" x14ac:dyDescent="0.3">
      <c r="A1420" t="s">
        <v>184</v>
      </c>
      <c r="B1420" s="2">
        <v>46082</v>
      </c>
      <c r="C1420" s="10" t="s">
        <v>716</v>
      </c>
    </row>
    <row r="1421" spans="1:8" hidden="1" x14ac:dyDescent="0.3">
      <c r="A1421" t="s">
        <v>184</v>
      </c>
      <c r="B1421" s="2">
        <v>46113</v>
      </c>
      <c r="C1421" s="10" t="s">
        <v>717</v>
      </c>
    </row>
    <row r="1422" spans="1:8" ht="28.8" hidden="1" x14ac:dyDescent="0.3">
      <c r="A1422" t="s">
        <v>184</v>
      </c>
      <c r="B1422" s="2">
        <v>46143</v>
      </c>
      <c r="C1422" s="10" t="s">
        <v>867</v>
      </c>
    </row>
    <row r="1423" spans="1:8" hidden="1" x14ac:dyDescent="0.3">
      <c r="A1423" t="s">
        <v>184</v>
      </c>
      <c r="B1423" s="2">
        <v>46174</v>
      </c>
      <c r="C1423" s="10"/>
    </row>
    <row r="1424" spans="1:8" hidden="1" x14ac:dyDescent="0.3">
      <c r="A1424" t="s">
        <v>184</v>
      </c>
      <c r="B1424" s="2">
        <v>46204</v>
      </c>
      <c r="C1424" s="10">
        <v>31</v>
      </c>
      <c r="D1424">
        <v>0</v>
      </c>
      <c r="E1424" t="s">
        <v>33</v>
      </c>
      <c r="F1424" t="s">
        <v>33</v>
      </c>
      <c r="G1424" t="s">
        <v>1047</v>
      </c>
      <c r="H1424" t="s">
        <v>36</v>
      </c>
    </row>
    <row r="1425" spans="1:8" hidden="1" x14ac:dyDescent="0.3">
      <c r="A1425" t="s">
        <v>184</v>
      </c>
      <c r="B1425" s="2">
        <v>46235</v>
      </c>
      <c r="C1425" s="10" t="s">
        <v>896</v>
      </c>
      <c r="D1425">
        <v>0</v>
      </c>
      <c r="E1425" t="s">
        <v>33</v>
      </c>
      <c r="F1425" t="s">
        <v>33</v>
      </c>
      <c r="G1425" s="10" t="s">
        <v>932</v>
      </c>
      <c r="H1425" t="s">
        <v>36</v>
      </c>
    </row>
    <row r="1426" spans="1:8" ht="43.2" hidden="1" customHeight="1" x14ac:dyDescent="0.3">
      <c r="A1426" t="s">
        <v>186</v>
      </c>
      <c r="B1426" s="2">
        <v>45536</v>
      </c>
      <c r="C1426" s="10"/>
    </row>
    <row r="1427" spans="1:8" ht="43.2" hidden="1" customHeight="1" x14ac:dyDescent="0.3">
      <c r="A1427" t="s">
        <v>186</v>
      </c>
      <c r="B1427" s="2">
        <v>45566</v>
      </c>
      <c r="C1427" s="10" t="s">
        <v>718</v>
      </c>
    </row>
    <row r="1428" spans="1:8" ht="57.6" hidden="1" customHeight="1" x14ac:dyDescent="0.3">
      <c r="A1428" t="s">
        <v>186</v>
      </c>
      <c r="B1428" s="2">
        <v>45597</v>
      </c>
      <c r="C1428" s="10"/>
    </row>
    <row r="1429" spans="1:8" ht="43.2" hidden="1" customHeight="1" x14ac:dyDescent="0.3">
      <c r="A1429" t="s">
        <v>186</v>
      </c>
      <c r="B1429" s="2">
        <v>45627</v>
      </c>
      <c r="C1429" s="10"/>
    </row>
    <row r="1430" spans="1:8" ht="43.2" hidden="1" customHeight="1" x14ac:dyDescent="0.3">
      <c r="A1430" t="s">
        <v>186</v>
      </c>
      <c r="B1430" s="2">
        <v>45658</v>
      </c>
      <c r="C1430" s="10"/>
    </row>
    <row r="1431" spans="1:8" ht="57.6" hidden="1" customHeight="1" x14ac:dyDescent="0.3">
      <c r="A1431" t="s">
        <v>186</v>
      </c>
      <c r="B1431" s="2">
        <v>45689</v>
      </c>
      <c r="C1431" s="10" t="s">
        <v>587</v>
      </c>
    </row>
    <row r="1432" spans="1:8" ht="57.6" hidden="1" customHeight="1" x14ac:dyDescent="0.3">
      <c r="A1432" t="s">
        <v>186</v>
      </c>
      <c r="B1432" s="2">
        <v>45717</v>
      </c>
      <c r="C1432" s="10" t="s">
        <v>706</v>
      </c>
    </row>
    <row r="1433" spans="1:8" hidden="1" x14ac:dyDescent="0.3">
      <c r="A1433" t="s">
        <v>186</v>
      </c>
      <c r="B1433" s="2">
        <v>45748</v>
      </c>
      <c r="C1433" s="10"/>
    </row>
    <row r="1434" spans="1:8" ht="86.4" hidden="1" x14ac:dyDescent="0.3">
      <c r="A1434" t="s">
        <v>186</v>
      </c>
      <c r="B1434" s="2">
        <v>45778</v>
      </c>
      <c r="C1434" s="10" t="s">
        <v>719</v>
      </c>
    </row>
    <row r="1435" spans="1:8" ht="72" hidden="1" x14ac:dyDescent="0.3">
      <c r="A1435" t="s">
        <v>186</v>
      </c>
      <c r="B1435" s="2">
        <v>45809</v>
      </c>
      <c r="C1435" s="10" t="s">
        <v>720</v>
      </c>
    </row>
    <row r="1436" spans="1:8" ht="72" hidden="1" x14ac:dyDescent="0.3">
      <c r="A1436" t="s">
        <v>186</v>
      </c>
      <c r="B1436" s="2">
        <v>45839</v>
      </c>
      <c r="C1436" s="10" t="s">
        <v>721</v>
      </c>
    </row>
    <row r="1437" spans="1:8" ht="72" hidden="1" x14ac:dyDescent="0.3">
      <c r="A1437" t="s">
        <v>186</v>
      </c>
      <c r="B1437" s="2">
        <v>45870</v>
      </c>
      <c r="C1437" s="10" t="s">
        <v>722</v>
      </c>
    </row>
    <row r="1438" spans="1:8" ht="100.8" hidden="1" x14ac:dyDescent="0.3">
      <c r="A1438" t="s">
        <v>186</v>
      </c>
      <c r="B1438" s="2">
        <v>45901</v>
      </c>
      <c r="C1438" s="10" t="s">
        <v>723</v>
      </c>
    </row>
    <row r="1439" spans="1:8" ht="115.2" hidden="1" x14ac:dyDescent="0.3">
      <c r="A1439" t="s">
        <v>186</v>
      </c>
      <c r="B1439" s="2">
        <v>45931</v>
      </c>
      <c r="C1439" s="10" t="s">
        <v>724</v>
      </c>
    </row>
    <row r="1440" spans="1:8" ht="129.6" hidden="1" x14ac:dyDescent="0.3">
      <c r="A1440" t="s">
        <v>186</v>
      </c>
      <c r="B1440" s="2">
        <v>45962</v>
      </c>
      <c r="C1440" s="10" t="s">
        <v>725</v>
      </c>
    </row>
    <row r="1441" spans="1:8" ht="43.2" hidden="1" x14ac:dyDescent="0.3">
      <c r="A1441" t="s">
        <v>186</v>
      </c>
      <c r="B1441" s="2">
        <v>45992</v>
      </c>
      <c r="C1441" s="10" t="s">
        <v>314</v>
      </c>
    </row>
    <row r="1442" spans="1:8" ht="43.2" hidden="1" x14ac:dyDescent="0.3">
      <c r="A1442" t="s">
        <v>186</v>
      </c>
      <c r="B1442" s="2">
        <v>46023</v>
      </c>
      <c r="C1442" s="10" t="s">
        <v>314</v>
      </c>
    </row>
    <row r="1443" spans="1:8" ht="43.2" hidden="1" x14ac:dyDescent="0.3">
      <c r="A1443" t="s">
        <v>186</v>
      </c>
      <c r="B1443" s="2">
        <v>46054</v>
      </c>
      <c r="C1443" s="10" t="s">
        <v>314</v>
      </c>
    </row>
    <row r="1444" spans="1:8" ht="43.2" hidden="1" x14ac:dyDescent="0.3">
      <c r="A1444" t="s">
        <v>186</v>
      </c>
      <c r="B1444" s="2">
        <v>46082</v>
      </c>
      <c r="C1444" s="10" t="s">
        <v>314</v>
      </c>
    </row>
    <row r="1445" spans="1:8" ht="43.2" hidden="1" x14ac:dyDescent="0.3">
      <c r="A1445" t="s">
        <v>186</v>
      </c>
      <c r="B1445" s="2">
        <v>46113</v>
      </c>
      <c r="C1445" s="10" t="s">
        <v>314</v>
      </c>
    </row>
    <row r="1446" spans="1:8" ht="28.8" hidden="1" x14ac:dyDescent="0.3">
      <c r="A1446" t="s">
        <v>186</v>
      </c>
      <c r="B1446" s="2">
        <v>46143</v>
      </c>
      <c r="C1446" s="10" t="s">
        <v>867</v>
      </c>
    </row>
    <row r="1447" spans="1:8" hidden="1" x14ac:dyDescent="0.3">
      <c r="A1447" t="s">
        <v>186</v>
      </c>
      <c r="B1447" s="2">
        <v>46174</v>
      </c>
      <c r="C1447" s="10"/>
    </row>
    <row r="1448" spans="1:8" hidden="1" x14ac:dyDescent="0.3">
      <c r="A1448" t="s">
        <v>186</v>
      </c>
      <c r="B1448" s="2">
        <v>46204</v>
      </c>
      <c r="C1448" s="10">
        <v>31</v>
      </c>
      <c r="D1448">
        <v>0</v>
      </c>
      <c r="E1448" t="s">
        <v>33</v>
      </c>
      <c r="F1448" t="s">
        <v>33</v>
      </c>
      <c r="G1448" t="s">
        <v>1047</v>
      </c>
      <c r="H1448" t="s">
        <v>36</v>
      </c>
    </row>
    <row r="1449" spans="1:8" hidden="1" x14ac:dyDescent="0.3">
      <c r="A1449" t="s">
        <v>186</v>
      </c>
      <c r="B1449" s="2">
        <v>46235</v>
      </c>
      <c r="C1449" s="10" t="s">
        <v>896</v>
      </c>
      <c r="D1449">
        <v>0</v>
      </c>
      <c r="E1449" t="s">
        <v>33</v>
      </c>
      <c r="F1449" t="s">
        <v>33</v>
      </c>
      <c r="G1449" s="10" t="s">
        <v>932</v>
      </c>
      <c r="H1449" t="s">
        <v>36</v>
      </c>
    </row>
    <row r="1450" spans="1:8" ht="43.2" hidden="1" customHeight="1" x14ac:dyDescent="0.3">
      <c r="A1450" t="s">
        <v>188</v>
      </c>
      <c r="B1450" s="2">
        <v>45536</v>
      </c>
      <c r="C1450" s="10"/>
    </row>
    <row r="1451" spans="1:8" ht="43.2" hidden="1" customHeight="1" x14ac:dyDescent="0.3">
      <c r="A1451" t="s">
        <v>188</v>
      </c>
      <c r="B1451" s="2">
        <v>45566</v>
      </c>
      <c r="C1451" s="10" t="s">
        <v>726</v>
      </c>
    </row>
    <row r="1452" spans="1:8" ht="43.2" hidden="1" customHeight="1" x14ac:dyDescent="0.3">
      <c r="A1452" t="s">
        <v>188</v>
      </c>
      <c r="B1452" s="2">
        <v>45597</v>
      </c>
      <c r="C1452" s="10"/>
    </row>
    <row r="1453" spans="1:8" ht="43.2" hidden="1" customHeight="1" x14ac:dyDescent="0.3">
      <c r="A1453" t="s">
        <v>188</v>
      </c>
      <c r="B1453" s="2">
        <v>45627</v>
      </c>
      <c r="C1453" s="10"/>
    </row>
    <row r="1454" spans="1:8" ht="57.6" hidden="1" customHeight="1" x14ac:dyDescent="0.3">
      <c r="A1454" t="s">
        <v>188</v>
      </c>
      <c r="B1454" s="2">
        <v>45658</v>
      </c>
      <c r="C1454" s="10"/>
    </row>
    <row r="1455" spans="1:8" ht="57.6" hidden="1" customHeight="1" x14ac:dyDescent="0.3">
      <c r="A1455" t="s">
        <v>188</v>
      </c>
      <c r="B1455" s="2">
        <v>45689</v>
      </c>
      <c r="C1455" s="10" t="s">
        <v>726</v>
      </c>
    </row>
    <row r="1456" spans="1:8" ht="57.6" hidden="1" customHeight="1" x14ac:dyDescent="0.3">
      <c r="A1456" t="s">
        <v>188</v>
      </c>
      <c r="B1456" s="2">
        <v>45717</v>
      </c>
      <c r="C1456" s="10" t="s">
        <v>727</v>
      </c>
    </row>
    <row r="1457" spans="1:8" ht="28.8" hidden="1" x14ac:dyDescent="0.3">
      <c r="A1457" t="s">
        <v>188</v>
      </c>
      <c r="B1457" s="2">
        <v>45748</v>
      </c>
      <c r="C1457" s="10" t="s">
        <v>727</v>
      </c>
    </row>
    <row r="1458" spans="1:8" ht="100.8" hidden="1" x14ac:dyDescent="0.3">
      <c r="A1458" t="s">
        <v>188</v>
      </c>
      <c r="B1458" s="2">
        <v>45778</v>
      </c>
      <c r="C1458" s="10" t="s">
        <v>728</v>
      </c>
    </row>
    <row r="1459" spans="1:8" ht="100.8" hidden="1" x14ac:dyDescent="0.3">
      <c r="A1459" t="s">
        <v>188</v>
      </c>
      <c r="B1459" s="2">
        <v>45809</v>
      </c>
      <c r="C1459" s="10" t="s">
        <v>729</v>
      </c>
    </row>
    <row r="1460" spans="1:8" ht="86.4" hidden="1" x14ac:dyDescent="0.3">
      <c r="A1460" t="s">
        <v>188</v>
      </c>
      <c r="B1460" s="2">
        <v>45839</v>
      </c>
      <c r="C1460" s="10" t="s">
        <v>730</v>
      </c>
    </row>
    <row r="1461" spans="1:8" ht="72" hidden="1" x14ac:dyDescent="0.3">
      <c r="A1461" t="s">
        <v>188</v>
      </c>
      <c r="B1461" s="2">
        <v>45870</v>
      </c>
      <c r="C1461" s="10" t="s">
        <v>731</v>
      </c>
    </row>
    <row r="1462" spans="1:8" ht="100.8" hidden="1" x14ac:dyDescent="0.3">
      <c r="A1462" t="s">
        <v>188</v>
      </c>
      <c r="B1462" s="2">
        <v>45901</v>
      </c>
      <c r="C1462" s="10" t="s">
        <v>732</v>
      </c>
    </row>
    <row r="1463" spans="1:8" ht="115.2" hidden="1" x14ac:dyDescent="0.3">
      <c r="A1463" t="s">
        <v>188</v>
      </c>
      <c r="B1463" s="2">
        <v>45931</v>
      </c>
      <c r="C1463" s="10" t="s">
        <v>733</v>
      </c>
    </row>
    <row r="1464" spans="1:8" ht="100.8" hidden="1" x14ac:dyDescent="0.3">
      <c r="A1464" t="s">
        <v>188</v>
      </c>
      <c r="B1464" s="2">
        <v>45962</v>
      </c>
      <c r="C1464" s="10" t="s">
        <v>734</v>
      </c>
    </row>
    <row r="1465" spans="1:8" hidden="1" x14ac:dyDescent="0.3">
      <c r="A1465" t="s">
        <v>188</v>
      </c>
      <c r="B1465" s="2">
        <v>45992</v>
      </c>
      <c r="C1465" s="10" t="s">
        <v>598</v>
      </c>
    </row>
    <row r="1466" spans="1:8" hidden="1" x14ac:dyDescent="0.3">
      <c r="A1466" t="s">
        <v>188</v>
      </c>
      <c r="B1466" s="2">
        <v>46023</v>
      </c>
      <c r="C1466" s="10" t="s">
        <v>338</v>
      </c>
    </row>
    <row r="1467" spans="1:8" hidden="1" x14ac:dyDescent="0.3">
      <c r="A1467" t="s">
        <v>188</v>
      </c>
      <c r="B1467" s="2">
        <v>46054</v>
      </c>
      <c r="C1467" s="10" t="s">
        <v>326</v>
      </c>
    </row>
    <row r="1468" spans="1:8" hidden="1" x14ac:dyDescent="0.3">
      <c r="A1468" t="s">
        <v>188</v>
      </c>
      <c r="B1468" s="2">
        <v>46082</v>
      </c>
      <c r="C1468" s="10" t="s">
        <v>326</v>
      </c>
    </row>
    <row r="1469" spans="1:8" hidden="1" x14ac:dyDescent="0.3">
      <c r="A1469" t="s">
        <v>188</v>
      </c>
      <c r="B1469" s="2">
        <v>46113</v>
      </c>
      <c r="C1469" s="10" t="s">
        <v>302</v>
      </c>
    </row>
    <row r="1470" spans="1:8" hidden="1" x14ac:dyDescent="0.3">
      <c r="A1470" t="s">
        <v>188</v>
      </c>
      <c r="B1470" s="2">
        <v>46143</v>
      </c>
      <c r="C1470" s="10" t="s">
        <v>302</v>
      </c>
    </row>
    <row r="1471" spans="1:8" hidden="1" x14ac:dyDescent="0.3">
      <c r="A1471" t="s">
        <v>188</v>
      </c>
      <c r="B1471" s="2">
        <v>46174</v>
      </c>
      <c r="C1471" s="10"/>
    </row>
    <row r="1472" spans="1:8" hidden="1" x14ac:dyDescent="0.3">
      <c r="A1472" t="s">
        <v>188</v>
      </c>
      <c r="B1472" s="2">
        <v>46204</v>
      </c>
      <c r="C1472" s="10">
        <v>31</v>
      </c>
      <c r="D1472">
        <v>0</v>
      </c>
      <c r="E1472" t="s">
        <v>33</v>
      </c>
      <c r="F1472" t="s">
        <v>1049</v>
      </c>
      <c r="G1472" t="s">
        <v>1050</v>
      </c>
      <c r="H1472" t="s">
        <v>36</v>
      </c>
    </row>
    <row r="1473" spans="1:8" hidden="1" x14ac:dyDescent="0.3">
      <c r="A1473" t="s">
        <v>188</v>
      </c>
      <c r="B1473" s="2">
        <v>46235</v>
      </c>
      <c r="C1473" t="s">
        <v>896</v>
      </c>
      <c r="D1473">
        <v>0</v>
      </c>
      <c r="E1473" t="s">
        <v>33</v>
      </c>
      <c r="F1473" t="s">
        <v>33</v>
      </c>
      <c r="G1473" t="s">
        <v>338</v>
      </c>
      <c r="H1473" t="s">
        <v>36</v>
      </c>
    </row>
    <row r="1474" spans="1:8" ht="57.6" hidden="1" customHeight="1" x14ac:dyDescent="0.3">
      <c r="A1474" t="s">
        <v>226</v>
      </c>
      <c r="B1474" s="2">
        <v>45536</v>
      </c>
      <c r="C1474" s="10"/>
    </row>
    <row r="1475" spans="1:8" ht="57.6" hidden="1" customHeight="1" x14ac:dyDescent="0.3">
      <c r="A1475" t="s">
        <v>226</v>
      </c>
      <c r="B1475" s="2">
        <v>45566</v>
      </c>
      <c r="C1475" s="10"/>
    </row>
    <row r="1476" spans="1:8" ht="43.2" hidden="1" customHeight="1" x14ac:dyDescent="0.3">
      <c r="A1476" t="s">
        <v>226</v>
      </c>
      <c r="B1476" s="2">
        <v>45597</v>
      </c>
      <c r="C1476" s="10"/>
    </row>
    <row r="1477" spans="1:8" ht="43.2" hidden="1" customHeight="1" x14ac:dyDescent="0.3">
      <c r="A1477" t="s">
        <v>226</v>
      </c>
      <c r="B1477" s="2">
        <v>45627</v>
      </c>
      <c r="C1477" s="10"/>
    </row>
    <row r="1478" spans="1:8" ht="57.6" hidden="1" customHeight="1" x14ac:dyDescent="0.3">
      <c r="A1478" t="s">
        <v>226</v>
      </c>
      <c r="B1478" s="2">
        <v>45658</v>
      </c>
      <c r="C1478" s="10"/>
    </row>
    <row r="1479" spans="1:8" ht="57.6" hidden="1" customHeight="1" x14ac:dyDescent="0.3">
      <c r="A1479" t="s">
        <v>226</v>
      </c>
      <c r="B1479" s="2">
        <v>45689</v>
      </c>
      <c r="C1479" s="10"/>
    </row>
    <row r="1480" spans="1:8" ht="57.6" hidden="1" customHeight="1" x14ac:dyDescent="0.3">
      <c r="A1480" t="s">
        <v>226</v>
      </c>
      <c r="B1480" s="2">
        <v>45717</v>
      </c>
      <c r="C1480" s="10"/>
    </row>
    <row r="1481" spans="1:8" hidden="1" x14ac:dyDescent="0.3">
      <c r="A1481" t="s">
        <v>226</v>
      </c>
      <c r="B1481" s="2">
        <v>45748</v>
      </c>
      <c r="C1481" s="10"/>
    </row>
    <row r="1482" spans="1:8" hidden="1" x14ac:dyDescent="0.3">
      <c r="A1482" t="s">
        <v>226</v>
      </c>
      <c r="B1482" s="2">
        <v>45778</v>
      </c>
      <c r="C1482" s="10"/>
    </row>
    <row r="1483" spans="1:8" hidden="1" x14ac:dyDescent="0.3">
      <c r="A1483" t="s">
        <v>226</v>
      </c>
      <c r="B1483" s="2">
        <v>45809</v>
      </c>
      <c r="C1483" s="10"/>
    </row>
    <row r="1484" spans="1:8" hidden="1" x14ac:dyDescent="0.3">
      <c r="A1484" t="s">
        <v>226</v>
      </c>
      <c r="B1484" s="2">
        <v>45839</v>
      </c>
      <c r="C1484" s="10"/>
    </row>
    <row r="1485" spans="1:8" hidden="1" x14ac:dyDescent="0.3">
      <c r="A1485" t="s">
        <v>226</v>
      </c>
      <c r="B1485" s="2">
        <v>45870</v>
      </c>
      <c r="C1485" s="10"/>
    </row>
    <row r="1486" spans="1:8" hidden="1" x14ac:dyDescent="0.3">
      <c r="A1486" t="s">
        <v>226</v>
      </c>
      <c r="B1486" s="2">
        <v>45901</v>
      </c>
      <c r="C1486" s="10"/>
    </row>
    <row r="1487" spans="1:8" hidden="1" x14ac:dyDescent="0.3">
      <c r="A1487" t="s">
        <v>226</v>
      </c>
      <c r="B1487" s="2">
        <v>45931</v>
      </c>
      <c r="C1487" s="10"/>
    </row>
    <row r="1488" spans="1:8" hidden="1" x14ac:dyDescent="0.3">
      <c r="A1488" t="s">
        <v>226</v>
      </c>
      <c r="B1488" s="2">
        <v>45962</v>
      </c>
      <c r="C1488" s="10"/>
    </row>
    <row r="1489" spans="1:8" hidden="1" x14ac:dyDescent="0.3">
      <c r="A1489" t="s">
        <v>226</v>
      </c>
      <c r="B1489" s="2">
        <v>45992</v>
      </c>
      <c r="C1489" s="10" t="s">
        <v>493</v>
      </c>
    </row>
    <row r="1490" spans="1:8" hidden="1" x14ac:dyDescent="0.3">
      <c r="A1490" t="s">
        <v>226</v>
      </c>
      <c r="B1490" s="2">
        <v>46023</v>
      </c>
      <c r="C1490" s="10" t="s">
        <v>338</v>
      </c>
    </row>
    <row r="1491" spans="1:8" hidden="1" x14ac:dyDescent="0.3">
      <c r="A1491" t="s">
        <v>226</v>
      </c>
      <c r="B1491" s="2">
        <v>46054</v>
      </c>
      <c r="C1491" s="10" t="s">
        <v>326</v>
      </c>
    </row>
    <row r="1492" spans="1:8" hidden="1" x14ac:dyDescent="0.3">
      <c r="A1492" t="s">
        <v>226</v>
      </c>
      <c r="B1492" s="2">
        <v>46082</v>
      </c>
      <c r="C1492" s="10" t="s">
        <v>326</v>
      </c>
    </row>
    <row r="1493" spans="1:8" hidden="1" x14ac:dyDescent="0.3">
      <c r="A1493" t="s">
        <v>226</v>
      </c>
      <c r="B1493" s="2">
        <v>46113</v>
      </c>
      <c r="C1493" s="10" t="s">
        <v>302</v>
      </c>
    </row>
    <row r="1494" spans="1:8" hidden="1" x14ac:dyDescent="0.3">
      <c r="A1494" t="s">
        <v>226</v>
      </c>
      <c r="B1494" s="2">
        <v>46143</v>
      </c>
      <c r="C1494" s="10" t="s">
        <v>302</v>
      </c>
    </row>
    <row r="1495" spans="1:8" hidden="1" x14ac:dyDescent="0.3">
      <c r="A1495" t="s">
        <v>226</v>
      </c>
      <c r="B1495" s="2">
        <v>46174</v>
      </c>
      <c r="C1495" s="10"/>
    </row>
    <row r="1496" spans="1:8" hidden="1" x14ac:dyDescent="0.3">
      <c r="A1496" t="s">
        <v>226</v>
      </c>
      <c r="B1496" s="2">
        <v>46204</v>
      </c>
      <c r="C1496" s="10">
        <v>31</v>
      </c>
      <c r="D1496">
        <v>0</v>
      </c>
      <c r="E1496" t="s">
        <v>33</v>
      </c>
      <c r="F1496" t="s">
        <v>33</v>
      </c>
      <c r="G1496" t="s">
        <v>1014</v>
      </c>
      <c r="H1496" t="s">
        <v>36</v>
      </c>
    </row>
    <row r="1497" spans="1:8" hidden="1" x14ac:dyDescent="0.3">
      <c r="A1497" t="s">
        <v>226</v>
      </c>
      <c r="B1497" s="2">
        <v>46235</v>
      </c>
      <c r="C1497" t="s">
        <v>896</v>
      </c>
      <c r="D1497">
        <v>0</v>
      </c>
      <c r="E1497" t="s">
        <v>33</v>
      </c>
      <c r="F1497" t="s">
        <v>33</v>
      </c>
      <c r="G1497" t="s">
        <v>338</v>
      </c>
      <c r="H1497" t="s">
        <v>36</v>
      </c>
    </row>
    <row r="1498" spans="1:8" hidden="1" x14ac:dyDescent="0.3">
      <c r="A1498" t="s">
        <v>208</v>
      </c>
      <c r="B1498" s="2">
        <v>45536</v>
      </c>
      <c r="C1498" s="10"/>
    </row>
    <row r="1499" spans="1:8" hidden="1" x14ac:dyDescent="0.3">
      <c r="A1499" t="s">
        <v>208</v>
      </c>
      <c r="B1499" s="2">
        <v>45566</v>
      </c>
      <c r="C1499" s="10"/>
    </row>
    <row r="1500" spans="1:8" hidden="1" x14ac:dyDescent="0.3">
      <c r="A1500" t="s">
        <v>208</v>
      </c>
      <c r="B1500" s="2">
        <v>45597</v>
      </c>
      <c r="C1500" s="10"/>
    </row>
    <row r="1501" spans="1:8" hidden="1" x14ac:dyDescent="0.3">
      <c r="A1501" t="s">
        <v>208</v>
      </c>
      <c r="B1501" s="2">
        <v>45627</v>
      </c>
      <c r="C1501" s="10"/>
    </row>
    <row r="1502" spans="1:8" hidden="1" x14ac:dyDescent="0.3">
      <c r="A1502" t="s">
        <v>208</v>
      </c>
      <c r="B1502" s="2">
        <v>45658</v>
      </c>
      <c r="C1502" s="10"/>
    </row>
    <row r="1503" spans="1:8" hidden="1" x14ac:dyDescent="0.3">
      <c r="A1503" t="s">
        <v>208</v>
      </c>
      <c r="B1503" s="2">
        <v>45689</v>
      </c>
      <c r="C1503" s="10"/>
    </row>
    <row r="1504" spans="1:8" hidden="1" x14ac:dyDescent="0.3">
      <c r="A1504" t="s">
        <v>208</v>
      </c>
      <c r="B1504" s="2">
        <v>45717</v>
      </c>
      <c r="C1504" s="10"/>
    </row>
    <row r="1505" spans="1:8" hidden="1" x14ac:dyDescent="0.3">
      <c r="A1505" t="s">
        <v>208</v>
      </c>
      <c r="B1505" s="2">
        <v>45748</v>
      </c>
      <c r="C1505" s="10"/>
    </row>
    <row r="1506" spans="1:8" hidden="1" x14ac:dyDescent="0.3">
      <c r="A1506" t="s">
        <v>208</v>
      </c>
      <c r="B1506" s="2">
        <v>45778</v>
      </c>
      <c r="C1506" s="10"/>
    </row>
    <row r="1507" spans="1:8" hidden="1" x14ac:dyDescent="0.3">
      <c r="A1507" t="s">
        <v>208</v>
      </c>
      <c r="B1507" s="2">
        <v>45809</v>
      </c>
      <c r="C1507" s="10"/>
    </row>
    <row r="1508" spans="1:8" ht="115.2" hidden="1" x14ac:dyDescent="0.3">
      <c r="A1508" t="s">
        <v>208</v>
      </c>
      <c r="B1508" s="2">
        <v>45839</v>
      </c>
      <c r="C1508" s="10" t="s">
        <v>735</v>
      </c>
    </row>
    <row r="1509" spans="1:8" ht="86.4" hidden="1" x14ac:dyDescent="0.3">
      <c r="A1509" t="s">
        <v>208</v>
      </c>
      <c r="B1509" s="2">
        <v>45870</v>
      </c>
      <c r="C1509" s="10" t="s">
        <v>736</v>
      </c>
    </row>
    <row r="1510" spans="1:8" ht="72" hidden="1" x14ac:dyDescent="0.3">
      <c r="A1510" t="s">
        <v>208</v>
      </c>
      <c r="B1510" s="2">
        <v>45901</v>
      </c>
      <c r="C1510" s="10" t="s">
        <v>737</v>
      </c>
    </row>
    <row r="1511" spans="1:8" ht="72" hidden="1" x14ac:dyDescent="0.3">
      <c r="A1511" t="s">
        <v>208</v>
      </c>
      <c r="B1511" s="2">
        <v>45931</v>
      </c>
      <c r="C1511" s="10" t="s">
        <v>738</v>
      </c>
    </row>
    <row r="1512" spans="1:8" ht="72" hidden="1" x14ac:dyDescent="0.3">
      <c r="A1512" t="s">
        <v>208</v>
      </c>
      <c r="B1512" s="2">
        <v>45962</v>
      </c>
      <c r="C1512" s="10" t="s">
        <v>739</v>
      </c>
    </row>
    <row r="1513" spans="1:8" ht="28.8" hidden="1" x14ac:dyDescent="0.3">
      <c r="A1513" t="s">
        <v>208</v>
      </c>
      <c r="B1513" s="2">
        <v>45992</v>
      </c>
      <c r="C1513" s="10" t="s">
        <v>740</v>
      </c>
    </row>
    <row r="1514" spans="1:8" hidden="1" x14ac:dyDescent="0.3">
      <c r="A1514" t="s">
        <v>208</v>
      </c>
      <c r="B1514" s="2">
        <v>46023</v>
      </c>
      <c r="C1514" s="10" t="s">
        <v>338</v>
      </c>
    </row>
    <row r="1515" spans="1:8" hidden="1" x14ac:dyDescent="0.3">
      <c r="A1515" t="s">
        <v>208</v>
      </c>
      <c r="B1515" s="2">
        <v>46054</v>
      </c>
      <c r="C1515" s="10" t="s">
        <v>326</v>
      </c>
    </row>
    <row r="1516" spans="1:8" hidden="1" x14ac:dyDescent="0.3">
      <c r="A1516" t="s">
        <v>208</v>
      </c>
      <c r="B1516" s="2">
        <v>46082</v>
      </c>
      <c r="C1516" s="10" t="s">
        <v>326</v>
      </c>
    </row>
    <row r="1517" spans="1:8" hidden="1" x14ac:dyDescent="0.3">
      <c r="A1517" t="s">
        <v>208</v>
      </c>
      <c r="B1517" s="2">
        <v>46113</v>
      </c>
      <c r="C1517" s="10" t="s">
        <v>302</v>
      </c>
    </row>
    <row r="1518" spans="1:8" hidden="1" x14ac:dyDescent="0.3">
      <c r="A1518" t="s">
        <v>208</v>
      </c>
      <c r="B1518" s="2">
        <v>46143</v>
      </c>
      <c r="C1518" s="10" t="s">
        <v>302</v>
      </c>
    </row>
    <row r="1519" spans="1:8" hidden="1" x14ac:dyDescent="0.3">
      <c r="A1519" t="s">
        <v>208</v>
      </c>
      <c r="B1519" s="2">
        <v>46174</v>
      </c>
      <c r="C1519" s="10"/>
    </row>
    <row r="1520" spans="1:8" hidden="1" x14ac:dyDescent="0.3">
      <c r="A1520" t="s">
        <v>208</v>
      </c>
      <c r="B1520" s="2">
        <v>46204</v>
      </c>
      <c r="C1520" s="10">
        <v>31</v>
      </c>
      <c r="D1520">
        <v>0</v>
      </c>
      <c r="E1520" t="s">
        <v>33</v>
      </c>
      <c r="F1520" t="s">
        <v>1049</v>
      </c>
      <c r="G1520" t="s">
        <v>1050</v>
      </c>
      <c r="H1520" t="s">
        <v>36</v>
      </c>
    </row>
    <row r="1521" spans="1:8" hidden="1" x14ac:dyDescent="0.3">
      <c r="A1521" t="s">
        <v>208</v>
      </c>
      <c r="B1521" s="2">
        <v>46235</v>
      </c>
      <c r="C1521" s="10" t="s">
        <v>919</v>
      </c>
      <c r="D1521">
        <v>0</v>
      </c>
      <c r="E1521" t="s">
        <v>33</v>
      </c>
      <c r="F1521" t="s">
        <v>33</v>
      </c>
      <c r="G1521" t="s">
        <v>1050</v>
      </c>
      <c r="H1521" t="s">
        <v>36</v>
      </c>
    </row>
    <row r="1522" spans="1:8" hidden="1" x14ac:dyDescent="0.3">
      <c r="A1522" t="s">
        <v>190</v>
      </c>
      <c r="B1522" s="2">
        <v>45536</v>
      </c>
      <c r="C1522" s="10" t="s">
        <v>741</v>
      </c>
    </row>
    <row r="1523" spans="1:8" hidden="1" x14ac:dyDescent="0.3">
      <c r="A1523" t="s">
        <v>190</v>
      </c>
      <c r="B1523" s="2">
        <v>45566</v>
      </c>
      <c r="C1523" s="10"/>
    </row>
    <row r="1524" spans="1:8" ht="57.6" hidden="1" customHeight="1" x14ac:dyDescent="0.3">
      <c r="A1524" t="s">
        <v>190</v>
      </c>
      <c r="B1524" s="2">
        <v>45597</v>
      </c>
      <c r="C1524" s="10"/>
    </row>
    <row r="1525" spans="1:8" ht="43.2" hidden="1" customHeight="1" x14ac:dyDescent="0.3">
      <c r="A1525" t="s">
        <v>190</v>
      </c>
      <c r="B1525" s="2">
        <v>45627</v>
      </c>
      <c r="C1525" s="10"/>
    </row>
    <row r="1526" spans="1:8" ht="43.2" hidden="1" customHeight="1" x14ac:dyDescent="0.3">
      <c r="A1526" t="s">
        <v>190</v>
      </c>
      <c r="B1526" s="2">
        <v>45658</v>
      </c>
      <c r="C1526" s="10"/>
    </row>
    <row r="1527" spans="1:8" ht="43.2" hidden="1" customHeight="1" x14ac:dyDescent="0.3">
      <c r="A1527" t="s">
        <v>190</v>
      </c>
      <c r="B1527" s="2">
        <v>45689</v>
      </c>
      <c r="C1527" s="10" t="s">
        <v>742</v>
      </c>
    </row>
    <row r="1528" spans="1:8" ht="43.2" hidden="1" customHeight="1" x14ac:dyDescent="0.3">
      <c r="A1528" t="s">
        <v>190</v>
      </c>
      <c r="B1528" s="2">
        <v>45717</v>
      </c>
      <c r="C1528" s="10" t="s">
        <v>743</v>
      </c>
    </row>
    <row r="1529" spans="1:8" ht="28.8" hidden="1" x14ac:dyDescent="0.3">
      <c r="A1529" t="s">
        <v>190</v>
      </c>
      <c r="B1529" s="2">
        <v>45748</v>
      </c>
      <c r="C1529" s="10" t="s">
        <v>743</v>
      </c>
    </row>
    <row r="1530" spans="1:8" ht="129.6" hidden="1" x14ac:dyDescent="0.3">
      <c r="A1530" t="s">
        <v>190</v>
      </c>
      <c r="B1530" s="2">
        <v>45778</v>
      </c>
      <c r="C1530" s="10" t="s">
        <v>744</v>
      </c>
    </row>
    <row r="1531" spans="1:8" ht="129.6" hidden="1" x14ac:dyDescent="0.3">
      <c r="A1531" t="s">
        <v>190</v>
      </c>
      <c r="B1531" s="2">
        <v>45809</v>
      </c>
      <c r="C1531" s="10" t="s">
        <v>745</v>
      </c>
    </row>
    <row r="1532" spans="1:8" ht="129.6" hidden="1" x14ac:dyDescent="0.3">
      <c r="A1532" t="s">
        <v>190</v>
      </c>
      <c r="B1532" s="2">
        <v>45839</v>
      </c>
      <c r="C1532" s="10" t="s">
        <v>746</v>
      </c>
    </row>
    <row r="1533" spans="1:8" ht="129.6" hidden="1" x14ac:dyDescent="0.3">
      <c r="A1533" t="s">
        <v>190</v>
      </c>
      <c r="B1533" s="2">
        <v>45870</v>
      </c>
      <c r="C1533" s="10" t="s">
        <v>747</v>
      </c>
    </row>
    <row r="1534" spans="1:8" ht="129.6" hidden="1" x14ac:dyDescent="0.3">
      <c r="A1534" t="s">
        <v>190</v>
      </c>
      <c r="B1534" s="2">
        <v>45901</v>
      </c>
      <c r="C1534" s="10" t="s">
        <v>748</v>
      </c>
    </row>
    <row r="1535" spans="1:8" ht="115.2" hidden="1" x14ac:dyDescent="0.3">
      <c r="A1535" t="s">
        <v>190</v>
      </c>
      <c r="B1535" s="2">
        <v>45931</v>
      </c>
      <c r="C1535" s="10" t="s">
        <v>749</v>
      </c>
    </row>
    <row r="1536" spans="1:8" ht="129.6" hidden="1" x14ac:dyDescent="0.3">
      <c r="A1536" t="s">
        <v>190</v>
      </c>
      <c r="B1536" s="2">
        <v>45962</v>
      </c>
      <c r="C1536" s="10" t="s">
        <v>750</v>
      </c>
    </row>
    <row r="1537" spans="1:8" ht="43.2" hidden="1" x14ac:dyDescent="0.3">
      <c r="A1537" t="s">
        <v>190</v>
      </c>
      <c r="B1537" s="2">
        <v>45992</v>
      </c>
      <c r="C1537" s="10" t="s">
        <v>751</v>
      </c>
    </row>
    <row r="1538" spans="1:8" ht="43.2" hidden="1" x14ac:dyDescent="0.3">
      <c r="A1538" t="s">
        <v>190</v>
      </c>
      <c r="B1538" s="2">
        <v>46023</v>
      </c>
      <c r="C1538" s="10" t="s">
        <v>751</v>
      </c>
    </row>
    <row r="1539" spans="1:8" ht="43.2" hidden="1" x14ac:dyDescent="0.3">
      <c r="A1539" t="s">
        <v>190</v>
      </c>
      <c r="B1539" s="2">
        <v>46054</v>
      </c>
      <c r="C1539" s="10" t="s">
        <v>751</v>
      </c>
    </row>
    <row r="1540" spans="1:8" ht="28.8" hidden="1" x14ac:dyDescent="0.3">
      <c r="A1540" t="s">
        <v>190</v>
      </c>
      <c r="B1540" s="2">
        <v>46082</v>
      </c>
      <c r="C1540" s="10" t="s">
        <v>752</v>
      </c>
    </row>
    <row r="1541" spans="1:8" ht="28.8" hidden="1" x14ac:dyDescent="0.3">
      <c r="A1541" t="s">
        <v>190</v>
      </c>
      <c r="B1541" s="2">
        <v>46113</v>
      </c>
      <c r="C1541" s="10" t="s">
        <v>752</v>
      </c>
    </row>
    <row r="1542" spans="1:8" ht="28.8" hidden="1" x14ac:dyDescent="0.3">
      <c r="A1542" t="s">
        <v>190</v>
      </c>
      <c r="B1542" s="2">
        <v>46143</v>
      </c>
      <c r="C1542" s="10" t="s">
        <v>867</v>
      </c>
    </row>
    <row r="1543" spans="1:8" hidden="1" x14ac:dyDescent="0.3">
      <c r="A1543" t="s">
        <v>190</v>
      </c>
      <c r="B1543" s="2">
        <v>46174</v>
      </c>
      <c r="C1543" s="10"/>
    </row>
    <row r="1544" spans="1:8" hidden="1" x14ac:dyDescent="0.3">
      <c r="A1544" t="s">
        <v>190</v>
      </c>
      <c r="B1544" s="2">
        <v>46204</v>
      </c>
      <c r="C1544" s="10">
        <v>31</v>
      </c>
      <c r="D1544">
        <v>0</v>
      </c>
      <c r="E1544" t="s">
        <v>33</v>
      </c>
      <c r="F1544" t="s">
        <v>33</v>
      </c>
      <c r="G1544" t="s">
        <v>932</v>
      </c>
      <c r="H1544" t="s">
        <v>36</v>
      </c>
    </row>
    <row r="1545" spans="1:8" hidden="1" x14ac:dyDescent="0.3">
      <c r="A1545" t="s">
        <v>190</v>
      </c>
      <c r="B1545" s="2">
        <v>46235</v>
      </c>
      <c r="C1545" s="10" t="s">
        <v>896</v>
      </c>
      <c r="D1545">
        <v>0</v>
      </c>
      <c r="E1545" t="s">
        <v>33</v>
      </c>
      <c r="F1545" t="s">
        <v>33</v>
      </c>
      <c r="G1545" s="10" t="s">
        <v>932</v>
      </c>
      <c r="H1545" t="s">
        <v>36</v>
      </c>
    </row>
    <row r="1546" spans="1:8" ht="72" hidden="1" customHeight="1" x14ac:dyDescent="0.3">
      <c r="A1546" t="s">
        <v>213</v>
      </c>
      <c r="B1546" s="2">
        <v>45536</v>
      </c>
      <c r="C1546" s="10"/>
    </row>
    <row r="1547" spans="1:8" ht="72" hidden="1" customHeight="1" x14ac:dyDescent="0.3">
      <c r="A1547" t="s">
        <v>213</v>
      </c>
      <c r="B1547" s="2">
        <v>45566</v>
      </c>
      <c r="C1547" s="10"/>
    </row>
    <row r="1548" spans="1:8" ht="72" hidden="1" customHeight="1" x14ac:dyDescent="0.3">
      <c r="A1548" t="s">
        <v>213</v>
      </c>
      <c r="B1548" s="2">
        <v>45597</v>
      </c>
      <c r="C1548" s="10"/>
    </row>
    <row r="1549" spans="1:8" ht="72" hidden="1" customHeight="1" x14ac:dyDescent="0.3">
      <c r="A1549" t="s">
        <v>213</v>
      </c>
      <c r="B1549" s="2">
        <v>45627</v>
      </c>
      <c r="C1549" s="10"/>
    </row>
    <row r="1550" spans="1:8" ht="72" hidden="1" customHeight="1" x14ac:dyDescent="0.3">
      <c r="A1550" t="s">
        <v>213</v>
      </c>
      <c r="B1550" s="2">
        <v>45658</v>
      </c>
      <c r="C1550" s="10"/>
    </row>
    <row r="1551" spans="1:8" ht="57.6" hidden="1" customHeight="1" x14ac:dyDescent="0.3">
      <c r="A1551" t="s">
        <v>213</v>
      </c>
      <c r="B1551" s="2">
        <v>45689</v>
      </c>
      <c r="C1551" s="10"/>
    </row>
    <row r="1552" spans="1:8" ht="72" hidden="1" customHeight="1" x14ac:dyDescent="0.3">
      <c r="A1552" t="s">
        <v>213</v>
      </c>
      <c r="B1552" s="2">
        <v>45717</v>
      </c>
      <c r="C1552" s="10"/>
    </row>
    <row r="1553" spans="1:8" hidden="1" x14ac:dyDescent="0.3">
      <c r="A1553" t="s">
        <v>213</v>
      </c>
      <c r="B1553" s="2">
        <v>45748</v>
      </c>
      <c r="C1553" s="10"/>
    </row>
    <row r="1554" spans="1:8" hidden="1" x14ac:dyDescent="0.3">
      <c r="A1554" t="s">
        <v>213</v>
      </c>
      <c r="B1554" s="2">
        <v>45778</v>
      </c>
      <c r="C1554" s="10"/>
    </row>
    <row r="1555" spans="1:8" hidden="1" x14ac:dyDescent="0.3">
      <c r="A1555" t="s">
        <v>213</v>
      </c>
      <c r="B1555" s="2">
        <v>45809</v>
      </c>
      <c r="C1555" s="10"/>
    </row>
    <row r="1556" spans="1:8" hidden="1" x14ac:dyDescent="0.3">
      <c r="A1556" t="s">
        <v>213</v>
      </c>
      <c r="B1556" s="2">
        <v>45839</v>
      </c>
      <c r="C1556" s="10"/>
    </row>
    <row r="1557" spans="1:8" hidden="1" x14ac:dyDescent="0.3">
      <c r="A1557" t="s">
        <v>213</v>
      </c>
      <c r="B1557" s="2">
        <v>45870</v>
      </c>
      <c r="C1557" t="s">
        <v>968</v>
      </c>
      <c r="D1557" t="s">
        <v>969</v>
      </c>
      <c r="E1557" t="s">
        <v>970</v>
      </c>
      <c r="F1557" t="s">
        <v>33</v>
      </c>
      <c r="G1557" t="s">
        <v>33</v>
      </c>
      <c r="H1557" t="s">
        <v>36</v>
      </c>
    </row>
    <row r="1558" spans="1:8" hidden="1" x14ac:dyDescent="0.3">
      <c r="A1558" t="s">
        <v>213</v>
      </c>
      <c r="B1558" s="2">
        <v>45901</v>
      </c>
      <c r="C1558" t="s">
        <v>919</v>
      </c>
      <c r="D1558">
        <v>0</v>
      </c>
      <c r="E1558" t="s">
        <v>33</v>
      </c>
      <c r="F1558" t="s">
        <v>33</v>
      </c>
      <c r="G1558" s="10" t="s">
        <v>338</v>
      </c>
      <c r="H1558" t="s">
        <v>36</v>
      </c>
    </row>
    <row r="1559" spans="1:8" hidden="1" x14ac:dyDescent="0.3">
      <c r="A1559" t="s">
        <v>213</v>
      </c>
      <c r="B1559" s="2">
        <v>45931</v>
      </c>
      <c r="C1559" t="s">
        <v>911</v>
      </c>
      <c r="D1559">
        <v>0</v>
      </c>
      <c r="E1559" t="s">
        <v>33</v>
      </c>
      <c r="F1559" t="s">
        <v>33</v>
      </c>
      <c r="G1559" s="10" t="s">
        <v>338</v>
      </c>
      <c r="H1559" t="s">
        <v>36</v>
      </c>
    </row>
    <row r="1560" spans="1:8" hidden="1" x14ac:dyDescent="0.3">
      <c r="A1560" t="s">
        <v>213</v>
      </c>
      <c r="B1560" s="2">
        <v>45962</v>
      </c>
      <c r="C1560" t="s">
        <v>919</v>
      </c>
      <c r="D1560">
        <v>0</v>
      </c>
      <c r="E1560" t="s">
        <v>33</v>
      </c>
      <c r="F1560" t="s">
        <v>33</v>
      </c>
      <c r="G1560" s="10" t="s">
        <v>338</v>
      </c>
      <c r="H1560" t="s">
        <v>36</v>
      </c>
    </row>
    <row r="1561" spans="1:8" hidden="1" x14ac:dyDescent="0.3">
      <c r="A1561" t="s">
        <v>213</v>
      </c>
      <c r="B1561" s="2">
        <v>45992</v>
      </c>
      <c r="C1561" t="s">
        <v>911</v>
      </c>
      <c r="D1561">
        <v>0</v>
      </c>
      <c r="E1561" t="s">
        <v>33</v>
      </c>
      <c r="F1561" t="s">
        <v>33</v>
      </c>
      <c r="G1561" s="10" t="s">
        <v>338</v>
      </c>
      <c r="H1561" t="s">
        <v>36</v>
      </c>
    </row>
    <row r="1562" spans="1:8" hidden="1" x14ac:dyDescent="0.3">
      <c r="A1562" t="s">
        <v>213</v>
      </c>
      <c r="B1562" s="2">
        <v>46023</v>
      </c>
      <c r="C1562" t="s">
        <v>911</v>
      </c>
      <c r="D1562">
        <v>0</v>
      </c>
      <c r="E1562" t="s">
        <v>33</v>
      </c>
      <c r="F1562" t="s">
        <v>33</v>
      </c>
      <c r="G1562" s="10" t="s">
        <v>338</v>
      </c>
      <c r="H1562" t="s">
        <v>36</v>
      </c>
    </row>
    <row r="1563" spans="1:8" hidden="1" x14ac:dyDescent="0.3">
      <c r="A1563" t="s">
        <v>213</v>
      </c>
      <c r="B1563" s="2">
        <v>46054</v>
      </c>
      <c r="C1563" t="s">
        <v>895</v>
      </c>
      <c r="D1563">
        <v>0</v>
      </c>
      <c r="E1563" t="s">
        <v>33</v>
      </c>
      <c r="F1563" t="s">
        <v>33</v>
      </c>
      <c r="G1563" s="10" t="s">
        <v>338</v>
      </c>
      <c r="H1563" t="s">
        <v>36</v>
      </c>
    </row>
    <row r="1564" spans="1:8" hidden="1" x14ac:dyDescent="0.3">
      <c r="A1564" t="s">
        <v>213</v>
      </c>
      <c r="B1564" s="2">
        <v>46082</v>
      </c>
      <c r="C1564" t="s">
        <v>911</v>
      </c>
      <c r="D1564">
        <v>0</v>
      </c>
      <c r="E1564" t="s">
        <v>33</v>
      </c>
      <c r="F1564" t="s">
        <v>33</v>
      </c>
      <c r="G1564" s="10" t="s">
        <v>606</v>
      </c>
      <c r="H1564" t="s">
        <v>36</v>
      </c>
    </row>
    <row r="1565" spans="1:8" hidden="1" x14ac:dyDescent="0.3">
      <c r="A1565" t="s">
        <v>213</v>
      </c>
      <c r="B1565" s="2">
        <v>46113</v>
      </c>
      <c r="C1565" t="s">
        <v>919</v>
      </c>
      <c r="D1565">
        <v>0</v>
      </c>
      <c r="E1565" t="s">
        <v>33</v>
      </c>
      <c r="F1565" t="s">
        <v>33</v>
      </c>
      <c r="G1565" s="10" t="s">
        <v>606</v>
      </c>
      <c r="H1565" t="s">
        <v>36</v>
      </c>
    </row>
    <row r="1566" spans="1:8" hidden="1" x14ac:dyDescent="0.3">
      <c r="A1566" t="s">
        <v>213</v>
      </c>
      <c r="B1566" s="2">
        <v>46143</v>
      </c>
      <c r="C1566" t="s">
        <v>911</v>
      </c>
      <c r="D1566">
        <v>0</v>
      </c>
      <c r="E1566" t="s">
        <v>33</v>
      </c>
      <c r="F1566" t="s">
        <v>33</v>
      </c>
      <c r="G1566" s="10" t="s">
        <v>338</v>
      </c>
      <c r="H1566" t="s">
        <v>36</v>
      </c>
    </row>
    <row r="1567" spans="1:8" ht="28.95" hidden="1" customHeight="1" x14ac:dyDescent="0.3">
      <c r="A1567" t="s">
        <v>213</v>
      </c>
      <c r="B1567" s="2">
        <v>46235</v>
      </c>
      <c r="C1567" t="s">
        <v>896</v>
      </c>
      <c r="D1567">
        <v>0</v>
      </c>
      <c r="E1567" t="s">
        <v>33</v>
      </c>
      <c r="F1567" t="s">
        <v>33</v>
      </c>
      <c r="G1567" t="s">
        <v>338</v>
      </c>
      <c r="H1567" t="s">
        <v>36</v>
      </c>
    </row>
    <row r="1568" spans="1:8" hidden="1" x14ac:dyDescent="0.3">
      <c r="A1568" t="s">
        <v>213</v>
      </c>
      <c r="B1568" s="2">
        <v>46174</v>
      </c>
      <c r="C1568" t="s">
        <v>919</v>
      </c>
      <c r="D1568">
        <v>0</v>
      </c>
      <c r="E1568" t="s">
        <v>33</v>
      </c>
      <c r="F1568" t="s">
        <v>33</v>
      </c>
      <c r="G1568" s="10" t="s">
        <v>338</v>
      </c>
      <c r="H1568" t="s">
        <v>36</v>
      </c>
    </row>
    <row r="1569" spans="1:8" hidden="1" x14ac:dyDescent="0.3">
      <c r="A1569" t="s">
        <v>213</v>
      </c>
      <c r="B1569" s="2">
        <v>46204</v>
      </c>
      <c r="C1569" s="10">
        <v>20</v>
      </c>
      <c r="D1569" t="s">
        <v>1051</v>
      </c>
      <c r="E1569" t="s">
        <v>1052</v>
      </c>
      <c r="F1569" t="s">
        <v>33</v>
      </c>
      <c r="G1569" t="s">
        <v>1053</v>
      </c>
      <c r="H1569" t="s">
        <v>1054</v>
      </c>
    </row>
    <row r="1570" spans="1:8" ht="57.6" hidden="1" customHeight="1" x14ac:dyDescent="0.3">
      <c r="A1570" t="s">
        <v>216</v>
      </c>
      <c r="B1570" s="2">
        <v>45536</v>
      </c>
      <c r="C1570" s="10"/>
    </row>
    <row r="1571" spans="1:8" ht="57.6" hidden="1" customHeight="1" x14ac:dyDescent="0.3">
      <c r="A1571" t="s">
        <v>216</v>
      </c>
      <c r="B1571" s="2">
        <v>45566</v>
      </c>
      <c r="C1571" s="10"/>
    </row>
    <row r="1572" spans="1:8" ht="57.6" hidden="1" customHeight="1" x14ac:dyDescent="0.3">
      <c r="A1572" t="s">
        <v>216</v>
      </c>
      <c r="B1572" s="2">
        <v>45597</v>
      </c>
      <c r="C1572" s="10"/>
    </row>
    <row r="1573" spans="1:8" ht="57.6" hidden="1" customHeight="1" x14ac:dyDescent="0.3">
      <c r="A1573" t="s">
        <v>216</v>
      </c>
      <c r="B1573" s="2">
        <v>45627</v>
      </c>
      <c r="C1573" s="10"/>
    </row>
    <row r="1574" spans="1:8" ht="57.6" hidden="1" customHeight="1" x14ac:dyDescent="0.3">
      <c r="A1574" t="s">
        <v>216</v>
      </c>
      <c r="B1574" s="2">
        <v>45658</v>
      </c>
      <c r="C1574" s="10"/>
    </row>
    <row r="1575" spans="1:8" ht="57.6" hidden="1" customHeight="1" x14ac:dyDescent="0.3">
      <c r="A1575" t="s">
        <v>216</v>
      </c>
      <c r="B1575" s="2">
        <v>45689</v>
      </c>
      <c r="C1575" s="10"/>
    </row>
    <row r="1576" spans="1:8" ht="57.6" hidden="1" customHeight="1" x14ac:dyDescent="0.3">
      <c r="A1576" t="s">
        <v>216</v>
      </c>
      <c r="B1576" s="2">
        <v>45717</v>
      </c>
      <c r="C1576" s="10"/>
    </row>
    <row r="1577" spans="1:8" hidden="1" x14ac:dyDescent="0.3">
      <c r="A1577" t="s">
        <v>216</v>
      </c>
      <c r="B1577" s="2">
        <v>45748</v>
      </c>
      <c r="C1577" s="10"/>
    </row>
    <row r="1578" spans="1:8" hidden="1" x14ac:dyDescent="0.3">
      <c r="A1578" t="s">
        <v>216</v>
      </c>
      <c r="B1578" s="2">
        <v>45778</v>
      </c>
      <c r="C1578" s="10"/>
    </row>
    <row r="1579" spans="1:8" hidden="1" x14ac:dyDescent="0.3">
      <c r="A1579" t="s">
        <v>216</v>
      </c>
      <c r="B1579" s="2">
        <v>45809</v>
      </c>
      <c r="C1579" s="10"/>
    </row>
    <row r="1580" spans="1:8" hidden="1" x14ac:dyDescent="0.3">
      <c r="A1580" t="s">
        <v>216</v>
      </c>
      <c r="B1580" s="2">
        <v>45839</v>
      </c>
      <c r="C1580" s="10"/>
    </row>
    <row r="1581" spans="1:8" hidden="1" x14ac:dyDescent="0.3">
      <c r="A1581" t="s">
        <v>216</v>
      </c>
      <c r="B1581" s="2">
        <v>45870</v>
      </c>
      <c r="C1581" s="10"/>
    </row>
    <row r="1582" spans="1:8" ht="57.6" hidden="1" x14ac:dyDescent="0.3">
      <c r="A1582" t="s">
        <v>216</v>
      </c>
      <c r="B1582" s="2">
        <v>45901</v>
      </c>
      <c r="C1582" s="10" t="s">
        <v>607</v>
      </c>
    </row>
    <row r="1583" spans="1:8" ht="57.6" hidden="1" x14ac:dyDescent="0.3">
      <c r="A1583" t="s">
        <v>216</v>
      </c>
      <c r="B1583" s="2">
        <v>45931</v>
      </c>
      <c r="C1583" s="10" t="s">
        <v>608</v>
      </c>
    </row>
    <row r="1584" spans="1:8" ht="72" hidden="1" x14ac:dyDescent="0.3">
      <c r="A1584" t="s">
        <v>216</v>
      </c>
      <c r="B1584" s="2">
        <v>45962</v>
      </c>
      <c r="C1584" s="10" t="s">
        <v>609</v>
      </c>
    </row>
    <row r="1585" spans="1:8" hidden="1" x14ac:dyDescent="0.3">
      <c r="A1585" t="s">
        <v>216</v>
      </c>
      <c r="B1585" s="2">
        <v>45992</v>
      </c>
      <c r="C1585" s="10" t="s">
        <v>326</v>
      </c>
    </row>
    <row r="1586" spans="1:8" hidden="1" x14ac:dyDescent="0.3">
      <c r="A1586" t="s">
        <v>216</v>
      </c>
      <c r="B1586" s="2">
        <v>46023</v>
      </c>
      <c r="C1586" s="10" t="s">
        <v>338</v>
      </c>
    </row>
    <row r="1587" spans="1:8" hidden="1" x14ac:dyDescent="0.3">
      <c r="A1587" t="s">
        <v>216</v>
      </c>
      <c r="B1587" s="2">
        <v>46054</v>
      </c>
      <c r="C1587" s="10" t="s">
        <v>326</v>
      </c>
    </row>
    <row r="1588" spans="1:8" ht="28.8" hidden="1" x14ac:dyDescent="0.3">
      <c r="A1588" t="s">
        <v>216</v>
      </c>
      <c r="B1588" s="2">
        <v>46082</v>
      </c>
      <c r="C1588" s="10" t="s">
        <v>606</v>
      </c>
    </row>
    <row r="1589" spans="1:8" ht="28.8" hidden="1" x14ac:dyDescent="0.3">
      <c r="A1589" t="s">
        <v>216</v>
      </c>
      <c r="B1589" s="2">
        <v>46113</v>
      </c>
      <c r="C1589" s="10" t="s">
        <v>606</v>
      </c>
    </row>
    <row r="1590" spans="1:8" hidden="1" x14ac:dyDescent="0.3">
      <c r="A1590" t="s">
        <v>216</v>
      </c>
      <c r="B1590" s="2">
        <v>46143</v>
      </c>
      <c r="C1590" s="10" t="s">
        <v>302</v>
      </c>
    </row>
    <row r="1591" spans="1:8" hidden="1" x14ac:dyDescent="0.3">
      <c r="A1591" t="s">
        <v>216</v>
      </c>
      <c r="B1591" s="2">
        <v>46235</v>
      </c>
      <c r="C1591" s="10" t="s">
        <v>895</v>
      </c>
      <c r="D1591" t="s">
        <v>1087</v>
      </c>
      <c r="E1591" t="s">
        <v>927</v>
      </c>
      <c r="F1591" t="s">
        <v>33</v>
      </c>
      <c r="G1591" s="10" t="s">
        <v>1089</v>
      </c>
      <c r="H1591" t="s">
        <v>36</v>
      </c>
    </row>
    <row r="1592" spans="1:8" hidden="1" x14ac:dyDescent="0.3">
      <c r="A1592" t="s">
        <v>216</v>
      </c>
      <c r="B1592" s="2">
        <v>46174</v>
      </c>
      <c r="C1592" s="10"/>
    </row>
    <row r="1593" spans="1:8" hidden="1" x14ac:dyDescent="0.3">
      <c r="A1593" t="s">
        <v>216</v>
      </c>
      <c r="B1593" s="2">
        <v>46204</v>
      </c>
      <c r="C1593" s="10">
        <v>20</v>
      </c>
      <c r="D1593" t="s">
        <v>1051</v>
      </c>
      <c r="E1593" t="s">
        <v>1052</v>
      </c>
      <c r="F1593" t="s">
        <v>33</v>
      </c>
      <c r="G1593" t="s">
        <v>1053</v>
      </c>
      <c r="H1593" t="s">
        <v>36</v>
      </c>
    </row>
    <row r="1594" spans="1:8" hidden="1" x14ac:dyDescent="0.3">
      <c r="A1594" t="s">
        <v>218</v>
      </c>
      <c r="B1594" s="2">
        <v>45536</v>
      </c>
      <c r="C1594" s="10"/>
    </row>
    <row r="1595" spans="1:8" hidden="1" x14ac:dyDescent="0.3">
      <c r="A1595" t="s">
        <v>218</v>
      </c>
      <c r="B1595" s="2">
        <v>45566</v>
      </c>
      <c r="C1595" s="10"/>
    </row>
    <row r="1596" spans="1:8" hidden="1" x14ac:dyDescent="0.3">
      <c r="A1596" t="s">
        <v>218</v>
      </c>
      <c r="B1596" s="2">
        <v>45597</v>
      </c>
      <c r="C1596" s="10"/>
    </row>
    <row r="1597" spans="1:8" hidden="1" x14ac:dyDescent="0.3">
      <c r="A1597" t="s">
        <v>218</v>
      </c>
      <c r="B1597" s="2">
        <v>45627</v>
      </c>
      <c r="C1597" s="10"/>
    </row>
    <row r="1598" spans="1:8" hidden="1" x14ac:dyDescent="0.3">
      <c r="A1598" t="s">
        <v>218</v>
      </c>
      <c r="B1598" s="2">
        <v>45658</v>
      </c>
      <c r="C1598" s="10"/>
    </row>
    <row r="1599" spans="1:8" hidden="1" x14ac:dyDescent="0.3">
      <c r="A1599" t="s">
        <v>218</v>
      </c>
      <c r="B1599" s="2">
        <v>45689</v>
      </c>
      <c r="C1599" s="10"/>
    </row>
    <row r="1600" spans="1:8" hidden="1" x14ac:dyDescent="0.3">
      <c r="A1600" t="s">
        <v>218</v>
      </c>
      <c r="B1600" s="2">
        <v>45717</v>
      </c>
      <c r="C1600" s="10"/>
    </row>
    <row r="1601" spans="1:8" hidden="1" x14ac:dyDescent="0.3">
      <c r="A1601" t="s">
        <v>218</v>
      </c>
      <c r="B1601" s="2">
        <v>45748</v>
      </c>
      <c r="C1601" s="10"/>
    </row>
    <row r="1602" spans="1:8" hidden="1" x14ac:dyDescent="0.3">
      <c r="A1602" t="s">
        <v>218</v>
      </c>
      <c r="B1602" s="2">
        <v>45778</v>
      </c>
      <c r="C1602" s="10"/>
    </row>
    <row r="1603" spans="1:8" hidden="1" x14ac:dyDescent="0.3">
      <c r="A1603" t="s">
        <v>218</v>
      </c>
      <c r="B1603" s="2">
        <v>45809</v>
      </c>
      <c r="C1603" s="10"/>
    </row>
    <row r="1604" spans="1:8" hidden="1" x14ac:dyDescent="0.3">
      <c r="A1604" t="s">
        <v>218</v>
      </c>
      <c r="B1604" s="2">
        <v>45839</v>
      </c>
      <c r="C1604" s="10"/>
    </row>
    <row r="1605" spans="1:8" hidden="1" x14ac:dyDescent="0.3">
      <c r="A1605" t="s">
        <v>218</v>
      </c>
      <c r="B1605" s="2">
        <v>45870</v>
      </c>
      <c r="C1605" t="s">
        <v>968</v>
      </c>
      <c r="D1605" t="s">
        <v>969</v>
      </c>
      <c r="E1605" t="s">
        <v>970</v>
      </c>
      <c r="F1605" t="s">
        <v>33</v>
      </c>
      <c r="G1605" t="s">
        <v>33</v>
      </c>
      <c r="H1605" t="s">
        <v>36</v>
      </c>
    </row>
    <row r="1606" spans="1:8" hidden="1" x14ac:dyDescent="0.3">
      <c r="A1606" t="s">
        <v>218</v>
      </c>
      <c r="B1606" s="2">
        <v>45901</v>
      </c>
      <c r="C1606" t="s">
        <v>919</v>
      </c>
      <c r="D1606">
        <v>0</v>
      </c>
      <c r="E1606" t="s">
        <v>33</v>
      </c>
      <c r="F1606" t="s">
        <v>33</v>
      </c>
      <c r="G1606" s="10" t="s">
        <v>338</v>
      </c>
      <c r="H1606" t="s">
        <v>36</v>
      </c>
    </row>
    <row r="1607" spans="1:8" hidden="1" x14ac:dyDescent="0.3">
      <c r="A1607" t="s">
        <v>218</v>
      </c>
      <c r="B1607" s="2">
        <v>45931</v>
      </c>
      <c r="C1607" t="s">
        <v>911</v>
      </c>
      <c r="D1607">
        <v>0</v>
      </c>
      <c r="E1607" t="s">
        <v>33</v>
      </c>
      <c r="F1607" t="s">
        <v>33</v>
      </c>
      <c r="G1607" s="10" t="s">
        <v>338</v>
      </c>
      <c r="H1607" t="s">
        <v>36</v>
      </c>
    </row>
    <row r="1608" spans="1:8" hidden="1" x14ac:dyDescent="0.3">
      <c r="A1608" t="s">
        <v>218</v>
      </c>
      <c r="B1608" s="2">
        <v>45962</v>
      </c>
      <c r="C1608" t="s">
        <v>919</v>
      </c>
      <c r="D1608">
        <v>0</v>
      </c>
      <c r="E1608" t="s">
        <v>33</v>
      </c>
      <c r="F1608" t="s">
        <v>33</v>
      </c>
      <c r="G1608" s="10" t="s">
        <v>338</v>
      </c>
      <c r="H1608" t="s">
        <v>36</v>
      </c>
    </row>
    <row r="1609" spans="1:8" hidden="1" x14ac:dyDescent="0.3">
      <c r="A1609" t="s">
        <v>218</v>
      </c>
      <c r="B1609" s="2">
        <v>45992</v>
      </c>
      <c r="C1609" t="s">
        <v>911</v>
      </c>
      <c r="D1609">
        <v>0</v>
      </c>
      <c r="E1609" t="s">
        <v>33</v>
      </c>
      <c r="F1609" t="s">
        <v>33</v>
      </c>
      <c r="G1609" s="10" t="s">
        <v>338</v>
      </c>
      <c r="H1609" t="s">
        <v>36</v>
      </c>
    </row>
    <row r="1610" spans="1:8" hidden="1" x14ac:dyDescent="0.3">
      <c r="A1610" t="s">
        <v>218</v>
      </c>
      <c r="B1610" s="2">
        <v>46023</v>
      </c>
      <c r="C1610" t="s">
        <v>911</v>
      </c>
      <c r="D1610">
        <v>0</v>
      </c>
      <c r="E1610" t="s">
        <v>33</v>
      </c>
      <c r="F1610" t="s">
        <v>33</v>
      </c>
      <c r="G1610" s="10" t="s">
        <v>338</v>
      </c>
      <c r="H1610" t="s">
        <v>36</v>
      </c>
    </row>
    <row r="1611" spans="1:8" hidden="1" x14ac:dyDescent="0.3">
      <c r="A1611" t="s">
        <v>218</v>
      </c>
      <c r="B1611" s="2">
        <v>46054</v>
      </c>
      <c r="C1611" t="s">
        <v>895</v>
      </c>
      <c r="D1611">
        <v>0</v>
      </c>
      <c r="E1611" t="s">
        <v>33</v>
      </c>
      <c r="F1611" t="s">
        <v>33</v>
      </c>
      <c r="G1611" s="10" t="s">
        <v>338</v>
      </c>
      <c r="H1611" t="s">
        <v>36</v>
      </c>
    </row>
    <row r="1612" spans="1:8" hidden="1" x14ac:dyDescent="0.3">
      <c r="A1612" t="s">
        <v>218</v>
      </c>
      <c r="B1612" s="2">
        <v>46082</v>
      </c>
      <c r="C1612" t="s">
        <v>911</v>
      </c>
      <c r="D1612">
        <v>0</v>
      </c>
      <c r="E1612" t="s">
        <v>33</v>
      </c>
      <c r="F1612" t="s">
        <v>33</v>
      </c>
      <c r="G1612" s="10" t="s">
        <v>606</v>
      </c>
      <c r="H1612" t="s">
        <v>36</v>
      </c>
    </row>
    <row r="1613" spans="1:8" hidden="1" x14ac:dyDescent="0.3">
      <c r="A1613" t="s">
        <v>218</v>
      </c>
      <c r="B1613" s="2">
        <v>46113</v>
      </c>
      <c r="C1613" t="s">
        <v>919</v>
      </c>
      <c r="D1613">
        <v>0</v>
      </c>
      <c r="E1613" t="s">
        <v>33</v>
      </c>
      <c r="F1613" t="s">
        <v>33</v>
      </c>
      <c r="G1613" s="10" t="s">
        <v>606</v>
      </c>
      <c r="H1613" t="s">
        <v>36</v>
      </c>
    </row>
    <row r="1614" spans="1:8" hidden="1" x14ac:dyDescent="0.3">
      <c r="A1614" t="s">
        <v>218</v>
      </c>
      <c r="B1614" s="2">
        <v>46143</v>
      </c>
      <c r="C1614" t="s">
        <v>911</v>
      </c>
      <c r="D1614">
        <v>0</v>
      </c>
      <c r="E1614" t="s">
        <v>33</v>
      </c>
      <c r="F1614" t="s">
        <v>33</v>
      </c>
      <c r="G1614" s="10" t="s">
        <v>338</v>
      </c>
      <c r="H1614" t="s">
        <v>36</v>
      </c>
    </row>
    <row r="1615" spans="1:8" hidden="1" x14ac:dyDescent="0.3">
      <c r="A1615" t="s">
        <v>218</v>
      </c>
      <c r="B1615" s="2">
        <v>46235</v>
      </c>
      <c r="C1615" s="10" t="s">
        <v>1085</v>
      </c>
      <c r="D1615" t="s">
        <v>1084</v>
      </c>
      <c r="E1615" t="s">
        <v>927</v>
      </c>
      <c r="F1615" t="s">
        <v>1088</v>
      </c>
      <c r="G1615" t="s">
        <v>1086</v>
      </c>
      <c r="H1615" t="s">
        <v>36</v>
      </c>
    </row>
    <row r="1616" spans="1:8" ht="57.6" hidden="1" customHeight="1" x14ac:dyDescent="0.3">
      <c r="A1616" t="s">
        <v>218</v>
      </c>
      <c r="B1616" s="2">
        <v>46174</v>
      </c>
      <c r="C1616" t="s">
        <v>919</v>
      </c>
      <c r="D1616">
        <v>0</v>
      </c>
      <c r="E1616" t="s">
        <v>33</v>
      </c>
      <c r="F1616" t="s">
        <v>33</v>
      </c>
      <c r="G1616" s="10" t="s">
        <v>338</v>
      </c>
      <c r="H1616" t="s">
        <v>36</v>
      </c>
    </row>
    <row r="1617" spans="1:8" ht="57.6" hidden="1" customHeight="1" x14ac:dyDescent="0.3">
      <c r="A1617" t="s">
        <v>218</v>
      </c>
      <c r="B1617" s="2">
        <v>46204</v>
      </c>
      <c r="C1617" s="10">
        <v>31</v>
      </c>
      <c r="D1617">
        <v>0</v>
      </c>
      <c r="E1617" t="s">
        <v>33</v>
      </c>
      <c r="F1617" t="s">
        <v>33</v>
      </c>
      <c r="G1617" t="s">
        <v>1050</v>
      </c>
      <c r="H1617" t="s">
        <v>36</v>
      </c>
    </row>
    <row r="1618" spans="1:8" ht="72" hidden="1" customHeight="1" x14ac:dyDescent="0.3">
      <c r="A1618" t="s">
        <v>192</v>
      </c>
      <c r="B1618" s="2">
        <v>45536</v>
      </c>
      <c r="C1618" s="10"/>
    </row>
    <row r="1619" spans="1:8" ht="72" hidden="1" customHeight="1" x14ac:dyDescent="0.3">
      <c r="A1619" t="s">
        <v>192</v>
      </c>
      <c r="B1619" s="2">
        <v>45566</v>
      </c>
      <c r="C1619" s="10"/>
    </row>
    <row r="1620" spans="1:8" hidden="1" x14ac:dyDescent="0.3">
      <c r="A1620" t="s">
        <v>192</v>
      </c>
      <c r="B1620" s="2">
        <v>45597</v>
      </c>
      <c r="C1620" s="10"/>
      <c r="G1620" s="45"/>
    </row>
    <row r="1621" spans="1:8" hidden="1" x14ac:dyDescent="0.3">
      <c r="A1621" t="s">
        <v>192</v>
      </c>
      <c r="B1621" s="2">
        <v>45627</v>
      </c>
      <c r="C1621" s="10"/>
      <c r="G1621" s="45"/>
    </row>
    <row r="1622" spans="1:8" hidden="1" x14ac:dyDescent="0.3">
      <c r="A1622" t="s">
        <v>192</v>
      </c>
      <c r="B1622" s="2">
        <v>45658</v>
      </c>
      <c r="C1622" s="10"/>
      <c r="G1622" s="45"/>
    </row>
    <row r="1623" spans="1:8" hidden="1" x14ac:dyDescent="0.3">
      <c r="A1623" t="s">
        <v>192</v>
      </c>
      <c r="B1623" s="2">
        <v>45689</v>
      </c>
      <c r="C1623" s="10"/>
      <c r="G1623" s="45"/>
    </row>
    <row r="1624" spans="1:8" hidden="1" x14ac:dyDescent="0.3">
      <c r="A1624" t="s">
        <v>192</v>
      </c>
      <c r="B1624" s="2">
        <v>45717</v>
      </c>
      <c r="C1624" s="10"/>
      <c r="G1624" s="45"/>
    </row>
    <row r="1625" spans="1:8" hidden="1" x14ac:dyDescent="0.3">
      <c r="A1625" t="s">
        <v>192</v>
      </c>
      <c r="B1625" s="2">
        <v>45748</v>
      </c>
      <c r="C1625" s="10"/>
    </row>
    <row r="1626" spans="1:8" hidden="1" x14ac:dyDescent="0.3">
      <c r="A1626" t="s">
        <v>192</v>
      </c>
      <c r="B1626" s="2">
        <v>45778</v>
      </c>
      <c r="C1626" s="10"/>
    </row>
    <row r="1627" spans="1:8" hidden="1" x14ac:dyDescent="0.3">
      <c r="A1627" t="s">
        <v>192</v>
      </c>
      <c r="B1627" s="2">
        <v>45809</v>
      </c>
      <c r="C1627" s="10"/>
    </row>
    <row r="1628" spans="1:8" hidden="1" x14ac:dyDescent="0.3">
      <c r="A1628" t="s">
        <v>192</v>
      </c>
      <c r="B1628" s="2">
        <v>45839</v>
      </c>
      <c r="C1628" s="10"/>
      <c r="G1628" s="45"/>
    </row>
    <row r="1629" spans="1:8" hidden="1" x14ac:dyDescent="0.3">
      <c r="A1629" t="s">
        <v>192</v>
      </c>
      <c r="B1629" s="2">
        <v>45870</v>
      </c>
      <c r="C1629" s="10"/>
      <c r="G1629" s="45"/>
    </row>
    <row r="1630" spans="1:8" hidden="1" x14ac:dyDescent="0.3">
      <c r="A1630" t="s">
        <v>192</v>
      </c>
      <c r="B1630" s="2">
        <v>45901</v>
      </c>
      <c r="C1630" s="10"/>
      <c r="G1630" s="45"/>
    </row>
    <row r="1631" spans="1:8" hidden="1" x14ac:dyDescent="0.3">
      <c r="A1631" t="s">
        <v>192</v>
      </c>
      <c r="B1631" s="2">
        <v>45931</v>
      </c>
      <c r="C1631" s="10"/>
    </row>
    <row r="1632" spans="1:8" hidden="1" x14ac:dyDescent="0.3">
      <c r="A1632" t="s">
        <v>192</v>
      </c>
      <c r="B1632" s="2">
        <v>45962</v>
      </c>
      <c r="C1632" s="10"/>
    </row>
    <row r="1633" spans="1:8" hidden="1" x14ac:dyDescent="0.3">
      <c r="A1633" t="s">
        <v>192</v>
      </c>
      <c r="B1633" s="2">
        <v>45992</v>
      </c>
      <c r="C1633" s="10"/>
    </row>
    <row r="1634" spans="1:8" hidden="1" x14ac:dyDescent="0.3">
      <c r="A1634" t="s">
        <v>192</v>
      </c>
      <c r="B1634" s="2">
        <v>46023</v>
      </c>
      <c r="C1634" s="10"/>
    </row>
    <row r="1635" spans="1:8" hidden="1" x14ac:dyDescent="0.3">
      <c r="A1635" t="s">
        <v>192</v>
      </c>
      <c r="B1635" s="2">
        <v>46054</v>
      </c>
      <c r="C1635" s="10"/>
    </row>
    <row r="1636" spans="1:8" hidden="1" x14ac:dyDescent="0.3">
      <c r="A1636" t="s">
        <v>192</v>
      </c>
      <c r="B1636" s="2">
        <v>46082</v>
      </c>
      <c r="C1636" s="10"/>
    </row>
    <row r="1637" spans="1:8" hidden="1" x14ac:dyDescent="0.3">
      <c r="A1637" t="s">
        <v>192</v>
      </c>
      <c r="B1637" s="2">
        <v>46113</v>
      </c>
      <c r="C1637" s="10"/>
    </row>
    <row r="1638" spans="1:8" hidden="1" x14ac:dyDescent="0.3">
      <c r="A1638" t="s">
        <v>192</v>
      </c>
      <c r="B1638" s="2">
        <v>46143</v>
      </c>
      <c r="C1638" s="10" t="s">
        <v>862</v>
      </c>
    </row>
    <row r="1639" spans="1:8" hidden="1" x14ac:dyDescent="0.3">
      <c r="A1639" t="s">
        <v>192</v>
      </c>
      <c r="B1639" s="2">
        <v>46235</v>
      </c>
      <c r="C1639" s="10"/>
    </row>
    <row r="1640" spans="1:8" ht="57.6" hidden="1" customHeight="1" x14ac:dyDescent="0.3">
      <c r="A1640" t="s">
        <v>192</v>
      </c>
      <c r="B1640" s="2">
        <v>46174</v>
      </c>
      <c r="C1640" s="10"/>
    </row>
    <row r="1641" spans="1:8" ht="43.2" hidden="1" customHeight="1" x14ac:dyDescent="0.3">
      <c r="A1641" t="s">
        <v>192</v>
      </c>
      <c r="B1641" s="2">
        <v>46204</v>
      </c>
      <c r="C1641" s="10" t="s">
        <v>36</v>
      </c>
      <c r="D1641" s="10" t="s">
        <v>36</v>
      </c>
      <c r="E1641" s="10" t="s">
        <v>36</v>
      </c>
      <c r="F1641" t="s">
        <v>1055</v>
      </c>
      <c r="G1641" t="s">
        <v>36</v>
      </c>
      <c r="H1641" t="s">
        <v>36</v>
      </c>
    </row>
    <row r="1642" spans="1:8" ht="57.6" hidden="1" customHeight="1" x14ac:dyDescent="0.3">
      <c r="A1642" t="s">
        <v>194</v>
      </c>
      <c r="B1642" s="2">
        <v>45536</v>
      </c>
      <c r="C1642" s="10"/>
    </row>
    <row r="1643" spans="1:8" ht="57.6" hidden="1" customHeight="1" x14ac:dyDescent="0.3">
      <c r="A1643" t="s">
        <v>194</v>
      </c>
      <c r="B1643" s="2">
        <v>45566</v>
      </c>
      <c r="C1643" s="10"/>
    </row>
    <row r="1644" spans="1:8" ht="57.6" hidden="1" customHeight="1" x14ac:dyDescent="0.3">
      <c r="A1644" t="s">
        <v>194</v>
      </c>
      <c r="B1644" s="2">
        <v>45597</v>
      </c>
      <c r="C1644" s="10"/>
    </row>
    <row r="1645" spans="1:8" ht="57.6" hidden="1" customHeight="1" x14ac:dyDescent="0.3">
      <c r="A1645" t="s">
        <v>194</v>
      </c>
      <c r="B1645" s="2">
        <v>45627</v>
      </c>
      <c r="C1645" s="10"/>
    </row>
    <row r="1646" spans="1:8" ht="57.6" hidden="1" customHeight="1" x14ac:dyDescent="0.3">
      <c r="A1646" t="s">
        <v>194</v>
      </c>
      <c r="B1646" s="2">
        <v>45658</v>
      </c>
      <c r="C1646" s="10"/>
    </row>
    <row r="1647" spans="1:8" ht="57.6" hidden="1" customHeight="1" x14ac:dyDescent="0.3">
      <c r="A1647" t="s">
        <v>194</v>
      </c>
      <c r="B1647" s="2">
        <v>45689</v>
      </c>
      <c r="C1647" s="10" t="s">
        <v>763</v>
      </c>
    </row>
    <row r="1648" spans="1:8" ht="57.6" hidden="1" customHeight="1" x14ac:dyDescent="0.3">
      <c r="A1648" t="s">
        <v>194</v>
      </c>
      <c r="B1648" s="2">
        <v>45717</v>
      </c>
      <c r="C1648" s="10" t="s">
        <v>764</v>
      </c>
    </row>
    <row r="1649" spans="1:8" ht="100.8" hidden="1" x14ac:dyDescent="0.3">
      <c r="A1649" t="s">
        <v>194</v>
      </c>
      <c r="B1649" s="2">
        <v>45748</v>
      </c>
      <c r="C1649" s="10" t="s">
        <v>765</v>
      </c>
    </row>
    <row r="1650" spans="1:8" ht="129.6" hidden="1" x14ac:dyDescent="0.3">
      <c r="A1650" t="s">
        <v>194</v>
      </c>
      <c r="B1650" s="2">
        <v>45778</v>
      </c>
      <c r="C1650" s="10" t="s">
        <v>766</v>
      </c>
    </row>
    <row r="1651" spans="1:8" ht="129.6" hidden="1" x14ac:dyDescent="0.3">
      <c r="A1651" t="s">
        <v>194</v>
      </c>
      <c r="B1651" s="2">
        <v>45809</v>
      </c>
      <c r="C1651" s="10" t="s">
        <v>767</v>
      </c>
    </row>
    <row r="1652" spans="1:8" hidden="1" x14ac:dyDescent="0.3">
      <c r="A1652" t="s">
        <v>194</v>
      </c>
      <c r="B1652" s="2">
        <v>45839</v>
      </c>
      <c r="C1652" t="s">
        <v>911</v>
      </c>
      <c r="D1652">
        <v>0</v>
      </c>
      <c r="E1652" t="s">
        <v>33</v>
      </c>
      <c r="F1652" t="s">
        <v>33</v>
      </c>
      <c r="G1652" s="44" t="s">
        <v>932</v>
      </c>
      <c r="H1652" t="s">
        <v>36</v>
      </c>
    </row>
    <row r="1653" spans="1:8" hidden="1" x14ac:dyDescent="0.3">
      <c r="A1653" t="s">
        <v>194</v>
      </c>
      <c r="B1653" s="2">
        <v>45870</v>
      </c>
      <c r="C1653" t="s">
        <v>911</v>
      </c>
      <c r="D1653">
        <v>0</v>
      </c>
      <c r="E1653" t="s">
        <v>33</v>
      </c>
      <c r="F1653" t="s">
        <v>33</v>
      </c>
      <c r="G1653" s="44" t="s">
        <v>932</v>
      </c>
      <c r="H1653" t="s">
        <v>36</v>
      </c>
    </row>
    <row r="1654" spans="1:8" hidden="1" x14ac:dyDescent="0.3">
      <c r="A1654" t="s">
        <v>194</v>
      </c>
      <c r="B1654" s="2">
        <v>45901</v>
      </c>
      <c r="C1654" t="s">
        <v>919</v>
      </c>
      <c r="D1654">
        <v>0</v>
      </c>
      <c r="E1654" t="s">
        <v>33</v>
      </c>
      <c r="F1654" t="s">
        <v>33</v>
      </c>
      <c r="G1654" s="44" t="s">
        <v>932</v>
      </c>
      <c r="H1654" t="s">
        <v>36</v>
      </c>
    </row>
    <row r="1655" spans="1:8" hidden="1" x14ac:dyDescent="0.3">
      <c r="A1655" t="s">
        <v>194</v>
      </c>
      <c r="B1655" s="2">
        <v>45931</v>
      </c>
      <c r="C1655" t="s">
        <v>911</v>
      </c>
      <c r="D1655">
        <v>0</v>
      </c>
      <c r="E1655" t="s">
        <v>33</v>
      </c>
      <c r="F1655" t="s">
        <v>33</v>
      </c>
      <c r="G1655" s="44" t="s">
        <v>932</v>
      </c>
      <c r="H1655" t="s">
        <v>36</v>
      </c>
    </row>
    <row r="1656" spans="1:8" hidden="1" x14ac:dyDescent="0.3">
      <c r="A1656" t="s">
        <v>194</v>
      </c>
      <c r="B1656" s="2">
        <v>45962</v>
      </c>
      <c r="C1656" t="s">
        <v>919</v>
      </c>
      <c r="D1656">
        <v>0</v>
      </c>
      <c r="E1656" t="s">
        <v>33</v>
      </c>
      <c r="F1656" t="s">
        <v>33</v>
      </c>
      <c r="G1656" s="44" t="s">
        <v>932</v>
      </c>
      <c r="H1656" t="s">
        <v>36</v>
      </c>
    </row>
    <row r="1657" spans="1:8" hidden="1" x14ac:dyDescent="0.3">
      <c r="A1657" t="s">
        <v>194</v>
      </c>
      <c r="B1657" s="2">
        <v>45992</v>
      </c>
      <c r="C1657" t="s">
        <v>911</v>
      </c>
      <c r="D1657">
        <v>0</v>
      </c>
      <c r="E1657" t="s">
        <v>33</v>
      </c>
      <c r="F1657" t="s">
        <v>33</v>
      </c>
      <c r="G1657" s="10" t="s">
        <v>338</v>
      </c>
      <c r="H1657" t="s">
        <v>36</v>
      </c>
    </row>
    <row r="1658" spans="1:8" hidden="1" x14ac:dyDescent="0.3">
      <c r="A1658" t="s">
        <v>194</v>
      </c>
      <c r="B1658" s="2">
        <v>46023</v>
      </c>
      <c r="C1658" t="s">
        <v>911</v>
      </c>
      <c r="D1658">
        <v>0</v>
      </c>
      <c r="E1658" t="s">
        <v>33</v>
      </c>
      <c r="F1658" t="s">
        <v>33</v>
      </c>
      <c r="G1658" s="10" t="s">
        <v>338</v>
      </c>
      <c r="H1658" t="s">
        <v>36</v>
      </c>
    </row>
    <row r="1659" spans="1:8" hidden="1" x14ac:dyDescent="0.3">
      <c r="A1659" t="s">
        <v>194</v>
      </c>
      <c r="B1659" s="2">
        <v>46054</v>
      </c>
      <c r="C1659" t="s">
        <v>895</v>
      </c>
      <c r="D1659">
        <v>0</v>
      </c>
      <c r="E1659" t="s">
        <v>33</v>
      </c>
      <c r="F1659" t="s">
        <v>33</v>
      </c>
      <c r="G1659" s="10" t="s">
        <v>338</v>
      </c>
      <c r="H1659" t="s">
        <v>36</v>
      </c>
    </row>
    <row r="1660" spans="1:8" hidden="1" x14ac:dyDescent="0.3">
      <c r="A1660" t="s">
        <v>194</v>
      </c>
      <c r="B1660" s="2">
        <v>46082</v>
      </c>
      <c r="C1660" t="s">
        <v>911</v>
      </c>
      <c r="D1660">
        <v>0</v>
      </c>
      <c r="E1660" t="s">
        <v>33</v>
      </c>
      <c r="F1660" t="s">
        <v>33</v>
      </c>
      <c r="G1660" s="44" t="s">
        <v>932</v>
      </c>
      <c r="H1660" t="s">
        <v>36</v>
      </c>
    </row>
    <row r="1661" spans="1:8" hidden="1" x14ac:dyDescent="0.3">
      <c r="A1661" t="s">
        <v>194</v>
      </c>
      <c r="B1661" s="2">
        <v>46113</v>
      </c>
      <c r="C1661" t="s">
        <v>919</v>
      </c>
      <c r="D1661">
        <v>0</v>
      </c>
      <c r="E1661" t="s">
        <v>33</v>
      </c>
      <c r="F1661" t="s">
        <v>33</v>
      </c>
      <c r="G1661" s="44" t="s">
        <v>932</v>
      </c>
      <c r="H1661" t="s">
        <v>36</v>
      </c>
    </row>
    <row r="1662" spans="1:8" hidden="1" x14ac:dyDescent="0.3">
      <c r="A1662" t="s">
        <v>194</v>
      </c>
      <c r="B1662" s="2">
        <v>46143</v>
      </c>
      <c r="C1662" t="s">
        <v>911</v>
      </c>
      <c r="D1662">
        <v>0</v>
      </c>
      <c r="E1662" t="s">
        <v>33</v>
      </c>
      <c r="F1662" t="s">
        <v>33</v>
      </c>
      <c r="G1662" s="44" t="s">
        <v>932</v>
      </c>
      <c r="H1662" t="s">
        <v>36</v>
      </c>
    </row>
    <row r="1663" spans="1:8" hidden="1" x14ac:dyDescent="0.3">
      <c r="A1663" t="s">
        <v>194</v>
      </c>
      <c r="B1663" s="2">
        <v>46235</v>
      </c>
      <c r="C1663" s="10" t="s">
        <v>896</v>
      </c>
      <c r="D1663">
        <v>0</v>
      </c>
      <c r="E1663" t="s">
        <v>33</v>
      </c>
      <c r="F1663" t="s">
        <v>33</v>
      </c>
      <c r="G1663" s="10" t="s">
        <v>932</v>
      </c>
      <c r="H1663" t="s">
        <v>36</v>
      </c>
    </row>
    <row r="1664" spans="1:8" hidden="1" x14ac:dyDescent="0.3">
      <c r="A1664" t="s">
        <v>194</v>
      </c>
      <c r="B1664" s="2">
        <v>46204</v>
      </c>
      <c r="C1664" s="10">
        <v>28</v>
      </c>
      <c r="D1664" t="s">
        <v>1056</v>
      </c>
      <c r="E1664" t="s">
        <v>1057</v>
      </c>
      <c r="F1664" t="s">
        <v>33</v>
      </c>
      <c r="G1664" t="s">
        <v>1058</v>
      </c>
      <c r="H1664" t="s">
        <v>36</v>
      </c>
    </row>
    <row r="1665" spans="1:8" hidden="1" x14ac:dyDescent="0.3">
      <c r="A1665" t="s">
        <v>194</v>
      </c>
      <c r="B1665" s="2">
        <v>46174</v>
      </c>
      <c r="C1665" t="s">
        <v>919</v>
      </c>
      <c r="D1665">
        <v>0</v>
      </c>
      <c r="E1665" t="s">
        <v>33</v>
      </c>
      <c r="F1665" t="s">
        <v>33</v>
      </c>
      <c r="G1665" s="10" t="s">
        <v>996</v>
      </c>
      <c r="H1665" t="s">
        <v>36</v>
      </c>
    </row>
    <row r="1666" spans="1:8" ht="57.6" hidden="1" customHeight="1" x14ac:dyDescent="0.3">
      <c r="A1666" t="s">
        <v>196</v>
      </c>
      <c r="B1666" s="2">
        <v>45536</v>
      </c>
      <c r="C1666" s="10"/>
    </row>
    <row r="1667" spans="1:8" ht="57.6" hidden="1" customHeight="1" x14ac:dyDescent="0.3">
      <c r="A1667" t="s">
        <v>196</v>
      </c>
      <c r="B1667" s="2">
        <v>45566</v>
      </c>
      <c r="C1667" s="10"/>
    </row>
    <row r="1668" spans="1:8" ht="57.6" hidden="1" customHeight="1" x14ac:dyDescent="0.3">
      <c r="A1668" t="s">
        <v>196</v>
      </c>
      <c r="B1668" s="2">
        <v>45597</v>
      </c>
      <c r="C1668" s="10"/>
    </row>
    <row r="1669" spans="1:8" ht="72" hidden="1" customHeight="1" x14ac:dyDescent="0.3">
      <c r="A1669" t="s">
        <v>196</v>
      </c>
      <c r="B1669" s="2">
        <v>45627</v>
      </c>
      <c r="C1669" s="10"/>
    </row>
    <row r="1670" spans="1:8" ht="57.6" hidden="1" customHeight="1" x14ac:dyDescent="0.3">
      <c r="A1670" t="s">
        <v>196</v>
      </c>
      <c r="B1670" s="2">
        <v>45658</v>
      </c>
      <c r="C1670" s="10"/>
    </row>
    <row r="1671" spans="1:8" ht="57.6" hidden="1" customHeight="1" x14ac:dyDescent="0.3">
      <c r="A1671" t="s">
        <v>196</v>
      </c>
      <c r="B1671" s="2">
        <v>45689</v>
      </c>
      <c r="C1671" s="10" t="s">
        <v>768</v>
      </c>
    </row>
    <row r="1672" spans="1:8" ht="57.6" hidden="1" customHeight="1" x14ac:dyDescent="0.3">
      <c r="A1672" t="s">
        <v>196</v>
      </c>
      <c r="B1672" s="2">
        <v>45717</v>
      </c>
      <c r="C1672" s="10" t="s">
        <v>769</v>
      </c>
    </row>
    <row r="1673" spans="1:8" ht="72" hidden="1" x14ac:dyDescent="0.3">
      <c r="A1673" t="s">
        <v>196</v>
      </c>
      <c r="B1673" s="2">
        <v>45748</v>
      </c>
      <c r="C1673" s="10" t="s">
        <v>770</v>
      </c>
    </row>
    <row r="1674" spans="1:8" ht="115.2" hidden="1" x14ac:dyDescent="0.3">
      <c r="A1674" t="s">
        <v>196</v>
      </c>
      <c r="B1674" s="2">
        <v>45778</v>
      </c>
      <c r="C1674" s="10" t="s">
        <v>771</v>
      </c>
    </row>
    <row r="1675" spans="1:8" ht="100.8" hidden="1" x14ac:dyDescent="0.3">
      <c r="A1675" t="s">
        <v>196</v>
      </c>
      <c r="B1675" s="2">
        <v>45809</v>
      </c>
      <c r="C1675" s="10" t="s">
        <v>772</v>
      </c>
    </row>
    <row r="1676" spans="1:8" ht="100.8" hidden="1" x14ac:dyDescent="0.3">
      <c r="A1676" t="s">
        <v>196</v>
      </c>
      <c r="B1676" s="2">
        <v>45839</v>
      </c>
      <c r="C1676" s="10" t="s">
        <v>773</v>
      </c>
    </row>
    <row r="1677" spans="1:8" ht="100.8" hidden="1" x14ac:dyDescent="0.3">
      <c r="A1677" t="s">
        <v>196</v>
      </c>
      <c r="B1677" s="2">
        <v>45870</v>
      </c>
      <c r="C1677" s="10" t="s">
        <v>774</v>
      </c>
    </row>
    <row r="1678" spans="1:8" ht="100.8" hidden="1" x14ac:dyDescent="0.3">
      <c r="A1678" t="s">
        <v>196</v>
      </c>
      <c r="B1678" s="2">
        <v>45901</v>
      </c>
      <c r="C1678" s="10" t="s">
        <v>775</v>
      </c>
    </row>
    <row r="1679" spans="1:8" ht="115.2" hidden="1" x14ac:dyDescent="0.3">
      <c r="A1679" t="s">
        <v>196</v>
      </c>
      <c r="B1679" s="2">
        <v>45931</v>
      </c>
      <c r="C1679" s="10" t="s">
        <v>776</v>
      </c>
    </row>
    <row r="1680" spans="1:8" ht="100.8" hidden="1" x14ac:dyDescent="0.3">
      <c r="A1680" t="s">
        <v>196</v>
      </c>
      <c r="B1680" s="2">
        <v>45962</v>
      </c>
      <c r="C1680" s="10" t="s">
        <v>777</v>
      </c>
    </row>
    <row r="1681" spans="1:8" hidden="1" x14ac:dyDescent="0.3">
      <c r="A1681" t="s">
        <v>196</v>
      </c>
      <c r="B1681" s="2">
        <v>45992</v>
      </c>
      <c r="C1681" s="10" t="s">
        <v>598</v>
      </c>
    </row>
    <row r="1682" spans="1:8" hidden="1" x14ac:dyDescent="0.3">
      <c r="A1682" t="s">
        <v>196</v>
      </c>
      <c r="B1682" s="2">
        <v>46023</v>
      </c>
      <c r="C1682" s="10" t="s">
        <v>338</v>
      </c>
    </row>
    <row r="1683" spans="1:8" hidden="1" x14ac:dyDescent="0.3">
      <c r="A1683" t="s">
        <v>196</v>
      </c>
      <c r="B1683" s="2">
        <v>46054</v>
      </c>
      <c r="C1683" s="10" t="s">
        <v>326</v>
      </c>
    </row>
    <row r="1684" spans="1:8" hidden="1" x14ac:dyDescent="0.3">
      <c r="A1684" t="s">
        <v>196</v>
      </c>
      <c r="B1684" s="2">
        <v>46082</v>
      </c>
      <c r="C1684" s="10" t="s">
        <v>326</v>
      </c>
    </row>
    <row r="1685" spans="1:8" hidden="1" x14ac:dyDescent="0.3">
      <c r="A1685" t="s">
        <v>196</v>
      </c>
      <c r="B1685" s="2">
        <v>46113</v>
      </c>
      <c r="C1685" s="10" t="s">
        <v>302</v>
      </c>
    </row>
    <row r="1686" spans="1:8" hidden="1" x14ac:dyDescent="0.3">
      <c r="A1686" t="s">
        <v>196</v>
      </c>
      <c r="B1686" s="2">
        <v>46143</v>
      </c>
      <c r="C1686" s="10" t="s">
        <v>302</v>
      </c>
    </row>
    <row r="1687" spans="1:8" hidden="1" x14ac:dyDescent="0.3">
      <c r="A1687" t="s">
        <v>196</v>
      </c>
      <c r="B1687" s="2">
        <v>46235</v>
      </c>
      <c r="C1687" t="s">
        <v>896</v>
      </c>
      <c r="D1687">
        <v>0</v>
      </c>
      <c r="E1687" t="s">
        <v>33</v>
      </c>
      <c r="F1687" t="s">
        <v>33</v>
      </c>
      <c r="G1687" t="s">
        <v>338</v>
      </c>
      <c r="H1687" t="s">
        <v>36</v>
      </c>
    </row>
    <row r="1688" spans="1:8" hidden="1" x14ac:dyDescent="0.3">
      <c r="A1688" t="s">
        <v>196</v>
      </c>
      <c r="B1688" s="2">
        <v>46174</v>
      </c>
      <c r="C1688" s="10"/>
    </row>
    <row r="1689" spans="1:8" hidden="1" x14ac:dyDescent="0.3">
      <c r="A1689" t="s">
        <v>196</v>
      </c>
      <c r="B1689" s="2">
        <v>46204</v>
      </c>
      <c r="C1689" s="10">
        <v>31</v>
      </c>
      <c r="D1689">
        <v>0</v>
      </c>
      <c r="E1689" t="s">
        <v>33</v>
      </c>
      <c r="F1689" t="s">
        <v>33</v>
      </c>
      <c r="G1689" t="s">
        <v>1014</v>
      </c>
      <c r="H1689" t="s">
        <v>36</v>
      </c>
    </row>
    <row r="1690" spans="1:8" hidden="1" x14ac:dyDescent="0.3">
      <c r="A1690" t="s">
        <v>199</v>
      </c>
      <c r="B1690" s="2">
        <v>45536</v>
      </c>
      <c r="C1690" s="10"/>
    </row>
    <row r="1691" spans="1:8" hidden="1" x14ac:dyDescent="0.3">
      <c r="A1691" t="s">
        <v>199</v>
      </c>
      <c r="B1691" s="2">
        <v>45566</v>
      </c>
      <c r="C1691" s="10"/>
    </row>
    <row r="1692" spans="1:8" hidden="1" x14ac:dyDescent="0.3">
      <c r="A1692" t="s">
        <v>199</v>
      </c>
      <c r="B1692" s="2">
        <v>45597</v>
      </c>
      <c r="C1692" s="10"/>
    </row>
    <row r="1693" spans="1:8" hidden="1" x14ac:dyDescent="0.3">
      <c r="A1693" t="s">
        <v>199</v>
      </c>
      <c r="B1693" s="2">
        <v>45627</v>
      </c>
      <c r="C1693" s="10"/>
    </row>
    <row r="1694" spans="1:8" ht="43.2" hidden="1" customHeight="1" x14ac:dyDescent="0.3">
      <c r="A1694" t="s">
        <v>199</v>
      </c>
      <c r="B1694" s="2">
        <v>45658</v>
      </c>
      <c r="C1694" s="10"/>
    </row>
    <row r="1695" spans="1:8" ht="43.2" hidden="1" customHeight="1" x14ac:dyDescent="0.3">
      <c r="A1695" t="s">
        <v>199</v>
      </c>
      <c r="B1695" s="2">
        <v>45689</v>
      </c>
      <c r="C1695" s="10" t="s">
        <v>753</v>
      </c>
    </row>
    <row r="1696" spans="1:8" ht="43.2" hidden="1" customHeight="1" x14ac:dyDescent="0.3">
      <c r="A1696" t="s">
        <v>199</v>
      </c>
      <c r="B1696" s="2">
        <v>45717</v>
      </c>
      <c r="C1696" s="10" t="s">
        <v>706</v>
      </c>
    </row>
    <row r="1697" spans="1:8" ht="28.8" hidden="1" x14ac:dyDescent="0.3">
      <c r="A1697" t="s">
        <v>199</v>
      </c>
      <c r="B1697" s="2">
        <v>45748</v>
      </c>
      <c r="C1697" s="10" t="s">
        <v>754</v>
      </c>
    </row>
    <row r="1698" spans="1:8" ht="115.2" hidden="1" x14ac:dyDescent="0.3">
      <c r="A1698" t="s">
        <v>199</v>
      </c>
      <c r="B1698" s="2">
        <v>45778</v>
      </c>
      <c r="C1698" s="10" t="s">
        <v>755</v>
      </c>
    </row>
    <row r="1699" spans="1:8" ht="115.2" hidden="1" x14ac:dyDescent="0.3">
      <c r="A1699" t="s">
        <v>199</v>
      </c>
      <c r="B1699" s="2">
        <v>45809</v>
      </c>
      <c r="C1699" s="10" t="s">
        <v>756</v>
      </c>
    </row>
    <row r="1700" spans="1:8" ht="115.2" hidden="1" x14ac:dyDescent="0.3">
      <c r="A1700" t="s">
        <v>199</v>
      </c>
      <c r="B1700" s="2">
        <v>45839</v>
      </c>
      <c r="C1700" s="10" t="s">
        <v>757</v>
      </c>
    </row>
    <row r="1701" spans="1:8" ht="100.8" hidden="1" x14ac:dyDescent="0.3">
      <c r="A1701" t="s">
        <v>199</v>
      </c>
      <c r="B1701" s="2">
        <v>45870</v>
      </c>
      <c r="C1701" s="10" t="s">
        <v>758</v>
      </c>
    </row>
    <row r="1702" spans="1:8" ht="100.8" hidden="1" x14ac:dyDescent="0.3">
      <c r="A1702" t="s">
        <v>199</v>
      </c>
      <c r="B1702" s="2">
        <v>45901</v>
      </c>
      <c r="C1702" s="10" t="s">
        <v>759</v>
      </c>
    </row>
    <row r="1703" spans="1:8" ht="100.8" hidden="1" x14ac:dyDescent="0.3">
      <c r="A1703" t="s">
        <v>199</v>
      </c>
      <c r="B1703" s="2">
        <v>45931</v>
      </c>
      <c r="C1703" s="10" t="s">
        <v>760</v>
      </c>
    </row>
    <row r="1704" spans="1:8" ht="115.2" hidden="1" x14ac:dyDescent="0.3">
      <c r="A1704" t="s">
        <v>199</v>
      </c>
      <c r="B1704" s="2">
        <v>45962</v>
      </c>
      <c r="C1704" s="10" t="s">
        <v>761</v>
      </c>
    </row>
    <row r="1705" spans="1:8" hidden="1" x14ac:dyDescent="0.3">
      <c r="A1705" t="s">
        <v>199</v>
      </c>
      <c r="B1705" s="2">
        <v>45992</v>
      </c>
      <c r="C1705" s="10" t="s">
        <v>598</v>
      </c>
    </row>
    <row r="1706" spans="1:8" hidden="1" x14ac:dyDescent="0.3">
      <c r="A1706" t="s">
        <v>199</v>
      </c>
      <c r="B1706" s="2">
        <v>46023</v>
      </c>
      <c r="C1706" s="10" t="s">
        <v>338</v>
      </c>
    </row>
    <row r="1707" spans="1:8" hidden="1" x14ac:dyDescent="0.3">
      <c r="A1707" t="s">
        <v>199</v>
      </c>
      <c r="B1707" s="2">
        <v>46054</v>
      </c>
      <c r="C1707" s="10" t="s">
        <v>326</v>
      </c>
    </row>
    <row r="1708" spans="1:8" ht="28.8" hidden="1" x14ac:dyDescent="0.3">
      <c r="A1708" t="s">
        <v>199</v>
      </c>
      <c r="B1708" s="2">
        <v>46082</v>
      </c>
      <c r="C1708" s="10" t="s">
        <v>762</v>
      </c>
    </row>
    <row r="1709" spans="1:8" ht="28.8" hidden="1" x14ac:dyDescent="0.3">
      <c r="A1709" t="s">
        <v>199</v>
      </c>
      <c r="B1709" s="2">
        <v>46113</v>
      </c>
      <c r="C1709" s="10" t="s">
        <v>752</v>
      </c>
    </row>
    <row r="1710" spans="1:8" ht="28.8" hidden="1" x14ac:dyDescent="0.3">
      <c r="A1710" t="s">
        <v>199</v>
      </c>
      <c r="B1710" s="2">
        <v>46143</v>
      </c>
      <c r="C1710" s="10" t="s">
        <v>867</v>
      </c>
    </row>
    <row r="1711" spans="1:8" hidden="1" x14ac:dyDescent="0.3">
      <c r="A1711" t="s">
        <v>199</v>
      </c>
      <c r="B1711" s="2">
        <v>46235</v>
      </c>
      <c r="C1711" s="10" t="s">
        <v>896</v>
      </c>
      <c r="D1711">
        <v>0</v>
      </c>
      <c r="E1711" t="s">
        <v>33</v>
      </c>
      <c r="F1711" t="s">
        <v>33</v>
      </c>
      <c r="G1711" s="10" t="s">
        <v>932</v>
      </c>
      <c r="H1711" t="s">
        <v>36</v>
      </c>
    </row>
    <row r="1712" spans="1:8" ht="86.4" hidden="1" customHeight="1" x14ac:dyDescent="0.3">
      <c r="A1712" t="s">
        <v>199</v>
      </c>
      <c r="B1712" s="2">
        <v>46174</v>
      </c>
      <c r="C1712" s="10"/>
    </row>
    <row r="1713" spans="1:8" ht="57.6" hidden="1" customHeight="1" x14ac:dyDescent="0.3">
      <c r="A1713" t="s">
        <v>199</v>
      </c>
      <c r="B1713" s="2">
        <v>46204</v>
      </c>
      <c r="C1713" s="10">
        <v>31</v>
      </c>
      <c r="D1713">
        <v>0</v>
      </c>
      <c r="E1713" t="s">
        <v>33</v>
      </c>
      <c r="F1713" t="s">
        <v>33</v>
      </c>
      <c r="G1713" t="s">
        <v>932</v>
      </c>
      <c r="H1713" t="s">
        <v>36</v>
      </c>
    </row>
    <row r="1714" spans="1:8" ht="57.6" hidden="1" customHeight="1" x14ac:dyDescent="0.3">
      <c r="A1714" t="s">
        <v>201</v>
      </c>
      <c r="B1714" s="2">
        <v>45536</v>
      </c>
      <c r="C1714" s="10"/>
    </row>
    <row r="1715" spans="1:8" ht="57.6" hidden="1" customHeight="1" x14ac:dyDescent="0.3">
      <c r="A1715" t="s">
        <v>201</v>
      </c>
      <c r="B1715" s="2">
        <v>45566</v>
      </c>
      <c r="C1715" s="10"/>
    </row>
    <row r="1716" spans="1:8" hidden="1" x14ac:dyDescent="0.3">
      <c r="A1716" t="s">
        <v>201</v>
      </c>
      <c r="B1716" s="2">
        <v>45597</v>
      </c>
      <c r="C1716" s="10"/>
    </row>
    <row r="1717" spans="1:8" hidden="1" x14ac:dyDescent="0.3">
      <c r="A1717" t="s">
        <v>201</v>
      </c>
      <c r="B1717" s="2">
        <v>45627</v>
      </c>
      <c r="C1717" s="10"/>
    </row>
    <row r="1718" spans="1:8" hidden="1" x14ac:dyDescent="0.3">
      <c r="A1718" t="s">
        <v>201</v>
      </c>
      <c r="B1718" s="2">
        <v>45658</v>
      </c>
      <c r="C1718" s="10"/>
    </row>
    <row r="1719" spans="1:8" ht="57.6" hidden="1" x14ac:dyDescent="0.3">
      <c r="A1719" t="s">
        <v>201</v>
      </c>
      <c r="B1719" s="2">
        <v>45689</v>
      </c>
      <c r="C1719" s="10" t="s">
        <v>778</v>
      </c>
    </row>
    <row r="1720" spans="1:8" hidden="1" x14ac:dyDescent="0.3">
      <c r="A1720" t="s">
        <v>201</v>
      </c>
      <c r="B1720" s="2">
        <v>45717</v>
      </c>
      <c r="C1720" s="10" t="s">
        <v>455</v>
      </c>
    </row>
    <row r="1721" spans="1:8" ht="28.8" hidden="1" x14ac:dyDescent="0.3">
      <c r="A1721" t="s">
        <v>201</v>
      </c>
      <c r="B1721" s="2">
        <v>45748</v>
      </c>
      <c r="C1721" s="10" t="s">
        <v>779</v>
      </c>
    </row>
    <row r="1722" spans="1:8" ht="115.2" hidden="1" x14ac:dyDescent="0.3">
      <c r="A1722" t="s">
        <v>201</v>
      </c>
      <c r="B1722" s="2">
        <v>45778</v>
      </c>
      <c r="C1722" s="10" t="s">
        <v>780</v>
      </c>
    </row>
    <row r="1723" spans="1:8" ht="100.8" hidden="1" x14ac:dyDescent="0.3">
      <c r="A1723" t="s">
        <v>201</v>
      </c>
      <c r="B1723" s="2">
        <v>45809</v>
      </c>
      <c r="C1723" s="10" t="s">
        <v>781</v>
      </c>
    </row>
    <row r="1724" spans="1:8" ht="129.6" hidden="1" x14ac:dyDescent="0.3">
      <c r="A1724" t="s">
        <v>201</v>
      </c>
      <c r="B1724" s="2">
        <v>45839</v>
      </c>
      <c r="C1724" s="10" t="s">
        <v>782</v>
      </c>
    </row>
    <row r="1725" spans="1:8" ht="129.6" hidden="1" x14ac:dyDescent="0.3">
      <c r="A1725" t="s">
        <v>201</v>
      </c>
      <c r="B1725" s="2">
        <v>45870</v>
      </c>
      <c r="C1725" s="10" t="s">
        <v>783</v>
      </c>
    </row>
    <row r="1726" spans="1:8" ht="100.8" hidden="1" x14ac:dyDescent="0.3">
      <c r="A1726" t="s">
        <v>201</v>
      </c>
      <c r="B1726" s="2">
        <v>45901</v>
      </c>
      <c r="C1726" s="10" t="s">
        <v>784</v>
      </c>
    </row>
    <row r="1727" spans="1:8" ht="100.8" hidden="1" x14ac:dyDescent="0.3">
      <c r="A1727" t="s">
        <v>201</v>
      </c>
      <c r="B1727" s="2">
        <v>45931</v>
      </c>
      <c r="C1727" s="10" t="s">
        <v>785</v>
      </c>
    </row>
    <row r="1728" spans="1:8" ht="115.2" hidden="1" x14ac:dyDescent="0.3">
      <c r="A1728" t="s">
        <v>201</v>
      </c>
      <c r="B1728" s="2">
        <v>45962</v>
      </c>
      <c r="C1728" s="10" t="s">
        <v>786</v>
      </c>
    </row>
    <row r="1729" spans="1:8" ht="28.8" hidden="1" x14ac:dyDescent="0.3">
      <c r="A1729" t="s">
        <v>201</v>
      </c>
      <c r="B1729" s="2">
        <v>45992</v>
      </c>
      <c r="C1729" s="10" t="s">
        <v>787</v>
      </c>
    </row>
    <row r="1730" spans="1:8" hidden="1" x14ac:dyDescent="0.3">
      <c r="A1730" t="s">
        <v>201</v>
      </c>
      <c r="B1730" s="2">
        <v>46023</v>
      </c>
      <c r="C1730" s="10" t="s">
        <v>338</v>
      </c>
    </row>
    <row r="1731" spans="1:8" hidden="1" x14ac:dyDescent="0.3">
      <c r="A1731" t="s">
        <v>201</v>
      </c>
      <c r="B1731" s="2">
        <v>46054</v>
      </c>
      <c r="C1731" s="10" t="s">
        <v>326</v>
      </c>
    </row>
    <row r="1732" spans="1:8" ht="28.8" hidden="1" x14ac:dyDescent="0.3">
      <c r="A1732" t="s">
        <v>201</v>
      </c>
      <c r="B1732" s="2">
        <v>46082</v>
      </c>
      <c r="C1732" s="10" t="s">
        <v>788</v>
      </c>
    </row>
    <row r="1733" spans="1:8" ht="28.8" hidden="1" x14ac:dyDescent="0.3">
      <c r="A1733" t="s">
        <v>201</v>
      </c>
      <c r="B1733" s="2">
        <v>46113</v>
      </c>
      <c r="C1733" s="10" t="s">
        <v>664</v>
      </c>
    </row>
    <row r="1734" spans="1:8" ht="28.8" hidden="1" x14ac:dyDescent="0.3">
      <c r="A1734" t="s">
        <v>201</v>
      </c>
      <c r="B1734" s="2">
        <v>46143</v>
      </c>
      <c r="C1734" s="10" t="s">
        <v>867</v>
      </c>
    </row>
    <row r="1735" spans="1:8" hidden="1" x14ac:dyDescent="0.3">
      <c r="A1735" t="s">
        <v>201</v>
      </c>
      <c r="B1735" s="2">
        <v>46235</v>
      </c>
      <c r="C1735" s="10" t="s">
        <v>896</v>
      </c>
      <c r="D1735">
        <v>0</v>
      </c>
      <c r="E1735" t="s">
        <v>33</v>
      </c>
      <c r="F1735" t="s">
        <v>33</v>
      </c>
      <c r="G1735" s="10" t="s">
        <v>932</v>
      </c>
      <c r="H1735" t="s">
        <v>36</v>
      </c>
    </row>
    <row r="1736" spans="1:8" hidden="1" x14ac:dyDescent="0.3">
      <c r="A1736" t="s">
        <v>201</v>
      </c>
      <c r="B1736" s="2">
        <v>46174</v>
      </c>
      <c r="C1736" s="10"/>
    </row>
    <row r="1737" spans="1:8" hidden="1" x14ac:dyDescent="0.3">
      <c r="A1737" t="s">
        <v>201</v>
      </c>
      <c r="B1737" s="2">
        <v>46204</v>
      </c>
      <c r="C1737" s="10">
        <v>31</v>
      </c>
      <c r="D1737">
        <v>0</v>
      </c>
      <c r="E1737" t="s">
        <v>33</v>
      </c>
      <c r="F1737" t="s">
        <v>33</v>
      </c>
      <c r="G1737" t="s">
        <v>932</v>
      </c>
      <c r="H1737" t="s">
        <v>36</v>
      </c>
    </row>
    <row r="1738" spans="1:8" hidden="1" x14ac:dyDescent="0.3">
      <c r="A1738" t="s">
        <v>211</v>
      </c>
      <c r="B1738" s="2">
        <v>45536</v>
      </c>
      <c r="C1738" s="10"/>
    </row>
    <row r="1739" spans="1:8" hidden="1" x14ac:dyDescent="0.3">
      <c r="A1739" t="s">
        <v>211</v>
      </c>
      <c r="B1739" s="2">
        <v>45566</v>
      </c>
      <c r="C1739" s="10"/>
    </row>
    <row r="1740" spans="1:8" hidden="1" x14ac:dyDescent="0.3">
      <c r="A1740" t="s">
        <v>211</v>
      </c>
      <c r="B1740" s="2">
        <v>45597</v>
      </c>
      <c r="C1740" s="10"/>
    </row>
    <row r="1741" spans="1:8" hidden="1" x14ac:dyDescent="0.3">
      <c r="A1741" t="s">
        <v>211</v>
      </c>
      <c r="B1741" s="2">
        <v>45627</v>
      </c>
      <c r="C1741" s="10"/>
    </row>
    <row r="1742" spans="1:8" hidden="1" x14ac:dyDescent="0.3">
      <c r="A1742" t="s">
        <v>211</v>
      </c>
      <c r="B1742" s="2">
        <v>45658</v>
      </c>
      <c r="C1742" s="10"/>
    </row>
    <row r="1743" spans="1:8" hidden="1" x14ac:dyDescent="0.3">
      <c r="A1743" t="s">
        <v>211</v>
      </c>
      <c r="B1743" s="2">
        <v>45689</v>
      </c>
      <c r="C1743" s="10"/>
    </row>
    <row r="1744" spans="1:8" hidden="1" x14ac:dyDescent="0.3">
      <c r="A1744" t="s">
        <v>211</v>
      </c>
      <c r="B1744" s="2">
        <v>45717</v>
      </c>
      <c r="C1744" s="10"/>
    </row>
    <row r="1745" spans="1:8" hidden="1" x14ac:dyDescent="0.3">
      <c r="A1745" t="s">
        <v>211</v>
      </c>
      <c r="B1745" s="2">
        <v>45748</v>
      </c>
      <c r="C1745" s="10"/>
    </row>
    <row r="1746" spans="1:8" hidden="1" x14ac:dyDescent="0.3">
      <c r="A1746" t="s">
        <v>211</v>
      </c>
      <c r="B1746" s="2">
        <v>45778</v>
      </c>
      <c r="C1746" s="10"/>
    </row>
    <row r="1747" spans="1:8" hidden="1" x14ac:dyDescent="0.3">
      <c r="A1747" t="s">
        <v>211</v>
      </c>
      <c r="B1747" s="2">
        <v>45809</v>
      </c>
      <c r="C1747" s="10"/>
    </row>
    <row r="1748" spans="1:8" hidden="1" x14ac:dyDescent="0.3">
      <c r="A1748" t="s">
        <v>211</v>
      </c>
      <c r="B1748" s="2">
        <v>45839</v>
      </c>
      <c r="C1748" s="10"/>
    </row>
    <row r="1749" spans="1:8" hidden="1" x14ac:dyDescent="0.3">
      <c r="A1749" t="s">
        <v>211</v>
      </c>
      <c r="B1749" s="2">
        <v>45870</v>
      </c>
      <c r="C1749" s="10"/>
    </row>
    <row r="1750" spans="1:8" ht="72" hidden="1" x14ac:dyDescent="0.3">
      <c r="A1750" t="s">
        <v>211</v>
      </c>
      <c r="B1750" s="2">
        <v>45901</v>
      </c>
      <c r="C1750" s="10" t="s">
        <v>789</v>
      </c>
    </row>
    <row r="1751" spans="1:8" ht="72" hidden="1" x14ac:dyDescent="0.3">
      <c r="A1751" t="s">
        <v>211</v>
      </c>
      <c r="B1751" s="2">
        <v>45931</v>
      </c>
      <c r="C1751" s="10" t="s">
        <v>790</v>
      </c>
    </row>
    <row r="1752" spans="1:8" ht="72" hidden="1" x14ac:dyDescent="0.3">
      <c r="A1752" t="s">
        <v>211</v>
      </c>
      <c r="B1752" s="2">
        <v>45962</v>
      </c>
      <c r="C1752" s="10" t="s">
        <v>791</v>
      </c>
    </row>
    <row r="1753" spans="1:8" ht="28.8" hidden="1" x14ac:dyDescent="0.3">
      <c r="A1753" t="s">
        <v>211</v>
      </c>
      <c r="B1753" s="2">
        <v>45992</v>
      </c>
      <c r="C1753" s="10" t="s">
        <v>792</v>
      </c>
    </row>
    <row r="1754" spans="1:8" hidden="1" x14ac:dyDescent="0.3">
      <c r="A1754" t="s">
        <v>211</v>
      </c>
      <c r="B1754" s="2">
        <v>46023</v>
      </c>
      <c r="C1754" s="10" t="s">
        <v>338</v>
      </c>
    </row>
    <row r="1755" spans="1:8" ht="28.8" hidden="1" x14ac:dyDescent="0.3">
      <c r="A1755" t="s">
        <v>211</v>
      </c>
      <c r="B1755" s="2">
        <v>46054</v>
      </c>
      <c r="C1755" s="10" t="s">
        <v>301</v>
      </c>
    </row>
    <row r="1756" spans="1:8" hidden="1" x14ac:dyDescent="0.3">
      <c r="A1756" t="s">
        <v>211</v>
      </c>
      <c r="B1756" s="2">
        <v>46082</v>
      </c>
      <c r="C1756" s="10" t="s">
        <v>598</v>
      </c>
    </row>
    <row r="1757" spans="1:8" ht="28.8" hidden="1" x14ac:dyDescent="0.3">
      <c r="A1757" t="s">
        <v>211</v>
      </c>
      <c r="B1757" s="2">
        <v>46113</v>
      </c>
      <c r="C1757" s="10" t="s">
        <v>793</v>
      </c>
    </row>
    <row r="1758" spans="1:8" hidden="1" x14ac:dyDescent="0.3">
      <c r="A1758" t="s">
        <v>211</v>
      </c>
      <c r="B1758" s="2">
        <v>46143</v>
      </c>
      <c r="C1758" s="10" t="s">
        <v>852</v>
      </c>
    </row>
    <row r="1759" spans="1:8" hidden="1" x14ac:dyDescent="0.3">
      <c r="A1759" t="s">
        <v>211</v>
      </c>
      <c r="B1759" s="2">
        <v>46235</v>
      </c>
      <c r="C1759" s="10" t="s">
        <v>896</v>
      </c>
      <c r="D1759">
        <v>0</v>
      </c>
      <c r="E1759" t="s">
        <v>33</v>
      </c>
      <c r="F1759" t="s">
        <v>33</v>
      </c>
      <c r="G1759" s="10" t="s">
        <v>932</v>
      </c>
      <c r="H1759" t="s">
        <v>36</v>
      </c>
    </row>
    <row r="1760" spans="1:8" hidden="1" x14ac:dyDescent="0.3">
      <c r="A1760" t="s">
        <v>211</v>
      </c>
      <c r="B1760" s="2">
        <v>46174</v>
      </c>
      <c r="C1760" s="10"/>
    </row>
    <row r="1761" spans="1:8" hidden="1" x14ac:dyDescent="0.3">
      <c r="A1761" t="s">
        <v>211</v>
      </c>
      <c r="B1761" s="2">
        <v>46204</v>
      </c>
      <c r="C1761" s="10">
        <v>23</v>
      </c>
      <c r="D1761" t="s">
        <v>1059</v>
      </c>
      <c r="E1761" t="s">
        <v>1008</v>
      </c>
      <c r="F1761" t="s">
        <v>33</v>
      </c>
      <c r="G1761" t="s">
        <v>1060</v>
      </c>
      <c r="H1761" t="s">
        <v>36</v>
      </c>
    </row>
    <row r="1762" spans="1:8" hidden="1" x14ac:dyDescent="0.3">
      <c r="A1762" t="s">
        <v>1004</v>
      </c>
      <c r="B1762" s="2">
        <v>46204</v>
      </c>
      <c r="C1762">
        <v>31</v>
      </c>
      <c r="D1762">
        <v>0</v>
      </c>
      <c r="E1762" t="s">
        <v>33</v>
      </c>
      <c r="F1762" t="s">
        <v>33</v>
      </c>
      <c r="G1762" t="s">
        <v>993</v>
      </c>
      <c r="H1762" t="s">
        <v>36</v>
      </c>
    </row>
    <row r="1763" spans="1:8" hidden="1" x14ac:dyDescent="0.3">
      <c r="A1763" t="s">
        <v>202</v>
      </c>
      <c r="B1763" s="2">
        <v>45536</v>
      </c>
      <c r="C1763" s="10"/>
    </row>
    <row r="1764" spans="1:8" hidden="1" x14ac:dyDescent="0.3">
      <c r="A1764" t="s">
        <v>202</v>
      </c>
      <c r="B1764" s="2">
        <v>45566</v>
      </c>
      <c r="C1764" s="10"/>
    </row>
    <row r="1765" spans="1:8" hidden="1" x14ac:dyDescent="0.3">
      <c r="A1765" t="s">
        <v>202</v>
      </c>
      <c r="B1765" s="2">
        <v>45597</v>
      </c>
      <c r="C1765" s="10"/>
    </row>
    <row r="1766" spans="1:8" hidden="1" x14ac:dyDescent="0.3">
      <c r="A1766" t="s">
        <v>202</v>
      </c>
      <c r="B1766" s="2">
        <v>45627</v>
      </c>
      <c r="C1766" s="10"/>
    </row>
    <row r="1767" spans="1:8" hidden="1" x14ac:dyDescent="0.3">
      <c r="A1767" t="s">
        <v>202</v>
      </c>
      <c r="B1767" s="2">
        <v>45658</v>
      </c>
      <c r="C1767" s="10"/>
    </row>
    <row r="1768" spans="1:8" ht="86.4" hidden="1" x14ac:dyDescent="0.3">
      <c r="A1768" t="s">
        <v>202</v>
      </c>
      <c r="B1768" s="2">
        <v>45689</v>
      </c>
      <c r="C1768" s="10" t="s">
        <v>794</v>
      </c>
    </row>
    <row r="1769" spans="1:8" ht="144" hidden="1" x14ac:dyDescent="0.3">
      <c r="A1769" t="s">
        <v>202</v>
      </c>
      <c r="B1769" s="2">
        <v>45717</v>
      </c>
      <c r="C1769" s="10" t="s">
        <v>795</v>
      </c>
    </row>
    <row r="1770" spans="1:8" ht="100.8" hidden="1" x14ac:dyDescent="0.3">
      <c r="A1770" t="s">
        <v>202</v>
      </c>
      <c r="B1770" s="2">
        <v>45748</v>
      </c>
      <c r="C1770" s="10" t="s">
        <v>796</v>
      </c>
    </row>
    <row r="1771" spans="1:8" ht="100.8" hidden="1" x14ac:dyDescent="0.3">
      <c r="A1771" t="s">
        <v>202</v>
      </c>
      <c r="B1771" s="2">
        <v>45778</v>
      </c>
      <c r="C1771" s="10" t="s">
        <v>797</v>
      </c>
    </row>
    <row r="1772" spans="1:8" ht="100.8" hidden="1" x14ac:dyDescent="0.3">
      <c r="A1772" t="s">
        <v>202</v>
      </c>
      <c r="B1772" s="2">
        <v>45809</v>
      </c>
      <c r="C1772" s="10" t="s">
        <v>798</v>
      </c>
    </row>
    <row r="1773" spans="1:8" hidden="1" x14ac:dyDescent="0.3">
      <c r="A1773" t="s">
        <v>202</v>
      </c>
      <c r="B1773" s="2">
        <v>45839</v>
      </c>
      <c r="C1773" t="s">
        <v>911</v>
      </c>
      <c r="D1773">
        <v>0</v>
      </c>
      <c r="E1773" t="s">
        <v>33</v>
      </c>
      <c r="F1773" t="s">
        <v>33</v>
      </c>
      <c r="G1773" s="10" t="s">
        <v>943</v>
      </c>
      <c r="H1773" t="s">
        <v>36</v>
      </c>
    </row>
    <row r="1774" spans="1:8" hidden="1" x14ac:dyDescent="0.3">
      <c r="A1774" t="s">
        <v>202</v>
      </c>
      <c r="B1774" s="2">
        <v>45870</v>
      </c>
      <c r="C1774" t="s">
        <v>911</v>
      </c>
      <c r="D1774">
        <v>0</v>
      </c>
      <c r="E1774" t="s">
        <v>33</v>
      </c>
      <c r="F1774" t="s">
        <v>33</v>
      </c>
      <c r="G1774" s="10" t="s">
        <v>943</v>
      </c>
      <c r="H1774" t="s">
        <v>36</v>
      </c>
    </row>
    <row r="1775" spans="1:8" hidden="1" x14ac:dyDescent="0.3">
      <c r="A1775" t="s">
        <v>202</v>
      </c>
      <c r="B1775" s="2">
        <v>45901</v>
      </c>
      <c r="C1775" t="s">
        <v>919</v>
      </c>
      <c r="D1775">
        <v>0</v>
      </c>
      <c r="E1775" t="s">
        <v>33</v>
      </c>
      <c r="F1775" t="s">
        <v>944</v>
      </c>
      <c r="G1775" s="10" t="s">
        <v>943</v>
      </c>
      <c r="H1775" t="s">
        <v>36</v>
      </c>
    </row>
    <row r="1776" spans="1:8" hidden="1" x14ac:dyDescent="0.3">
      <c r="A1776" t="s">
        <v>202</v>
      </c>
      <c r="B1776" s="2">
        <v>45931</v>
      </c>
      <c r="C1776" t="s">
        <v>911</v>
      </c>
      <c r="D1776">
        <v>0</v>
      </c>
      <c r="E1776" t="s">
        <v>33</v>
      </c>
      <c r="F1776" t="s">
        <v>33</v>
      </c>
      <c r="G1776" s="10" t="s">
        <v>932</v>
      </c>
      <c r="H1776" t="s">
        <v>36</v>
      </c>
    </row>
    <row r="1777" spans="1:8" hidden="1" x14ac:dyDescent="0.3">
      <c r="A1777" t="s">
        <v>202</v>
      </c>
      <c r="B1777" s="2">
        <v>45962</v>
      </c>
      <c r="C1777" t="s">
        <v>919</v>
      </c>
      <c r="D1777">
        <v>0</v>
      </c>
      <c r="E1777" t="s">
        <v>33</v>
      </c>
      <c r="F1777" t="s">
        <v>33</v>
      </c>
      <c r="G1777" s="10" t="s">
        <v>943</v>
      </c>
      <c r="H1777" t="s">
        <v>36</v>
      </c>
    </row>
    <row r="1778" spans="1:8" hidden="1" x14ac:dyDescent="0.3">
      <c r="A1778" t="s">
        <v>202</v>
      </c>
      <c r="B1778" s="2">
        <v>45992</v>
      </c>
      <c r="C1778" t="s">
        <v>946</v>
      </c>
      <c r="D1778" t="s">
        <v>945</v>
      </c>
      <c r="E1778" t="s">
        <v>936</v>
      </c>
      <c r="F1778" t="s">
        <v>33</v>
      </c>
      <c r="G1778" s="10" t="s">
        <v>932</v>
      </c>
      <c r="H1778" t="s">
        <v>36</v>
      </c>
    </row>
    <row r="1779" spans="1:8" hidden="1" x14ac:dyDescent="0.3">
      <c r="A1779" t="s">
        <v>202</v>
      </c>
      <c r="B1779" s="2">
        <v>46023</v>
      </c>
      <c r="C1779" t="s">
        <v>895</v>
      </c>
      <c r="D1779" t="s">
        <v>947</v>
      </c>
      <c r="E1779" t="s">
        <v>936</v>
      </c>
      <c r="F1779" t="s">
        <v>33</v>
      </c>
      <c r="G1779" s="10" t="s">
        <v>932</v>
      </c>
      <c r="H1779" t="s">
        <v>36</v>
      </c>
    </row>
    <row r="1780" spans="1:8" hidden="1" x14ac:dyDescent="0.3">
      <c r="A1780" t="s">
        <v>202</v>
      </c>
      <c r="B1780" s="2">
        <v>46054</v>
      </c>
      <c r="C1780" t="s">
        <v>895</v>
      </c>
      <c r="D1780">
        <v>0</v>
      </c>
      <c r="E1780" t="s">
        <v>33</v>
      </c>
      <c r="F1780" t="s">
        <v>33</v>
      </c>
      <c r="G1780" s="10" t="s">
        <v>943</v>
      </c>
      <c r="H1780" t="s">
        <v>36</v>
      </c>
    </row>
    <row r="1781" spans="1:8" hidden="1" x14ac:dyDescent="0.3">
      <c r="A1781" t="s">
        <v>202</v>
      </c>
      <c r="B1781" s="2">
        <v>46082</v>
      </c>
      <c r="C1781" t="s">
        <v>911</v>
      </c>
      <c r="D1781">
        <v>0</v>
      </c>
      <c r="E1781" t="s">
        <v>33</v>
      </c>
      <c r="F1781" t="s">
        <v>33</v>
      </c>
      <c r="G1781" s="10" t="s">
        <v>932</v>
      </c>
      <c r="H1781" t="s">
        <v>36</v>
      </c>
    </row>
    <row r="1782" spans="1:8" hidden="1" x14ac:dyDescent="0.3">
      <c r="A1782" t="s">
        <v>202</v>
      </c>
      <c r="B1782" s="2">
        <v>46113</v>
      </c>
      <c r="C1782" t="s">
        <v>919</v>
      </c>
      <c r="D1782">
        <v>0</v>
      </c>
      <c r="E1782" t="s">
        <v>33</v>
      </c>
      <c r="F1782" t="s">
        <v>33</v>
      </c>
      <c r="G1782" s="10" t="s">
        <v>932</v>
      </c>
      <c r="H1782" t="s">
        <v>36</v>
      </c>
    </row>
    <row r="1783" spans="1:8" hidden="1" x14ac:dyDescent="0.3">
      <c r="A1783" t="s">
        <v>202</v>
      </c>
      <c r="B1783" s="2">
        <v>46143</v>
      </c>
      <c r="C1783" t="s">
        <v>911</v>
      </c>
      <c r="D1783">
        <v>0</v>
      </c>
      <c r="E1783" t="s">
        <v>33</v>
      </c>
      <c r="F1783" t="s">
        <v>33</v>
      </c>
      <c r="G1783" s="10" t="s">
        <v>943</v>
      </c>
      <c r="H1783" t="s">
        <v>36</v>
      </c>
    </row>
    <row r="1784" spans="1:8" hidden="1" x14ac:dyDescent="0.3">
      <c r="A1784" t="s">
        <v>202</v>
      </c>
      <c r="B1784" s="2">
        <v>46235</v>
      </c>
      <c r="C1784" s="10" t="s">
        <v>919</v>
      </c>
      <c r="D1784">
        <v>0</v>
      </c>
      <c r="E1784" t="s">
        <v>33</v>
      </c>
      <c r="F1784" t="s">
        <v>33</v>
      </c>
      <c r="G1784" t="s">
        <v>932</v>
      </c>
      <c r="H1784" t="s">
        <v>36</v>
      </c>
    </row>
    <row r="1785" spans="1:8" hidden="1" x14ac:dyDescent="0.3">
      <c r="A1785" t="s">
        <v>202</v>
      </c>
      <c r="B1785" s="2">
        <v>46174</v>
      </c>
      <c r="C1785" t="s">
        <v>919</v>
      </c>
      <c r="D1785">
        <v>0</v>
      </c>
      <c r="E1785" t="s">
        <v>33</v>
      </c>
      <c r="F1785" t="s">
        <v>33</v>
      </c>
      <c r="G1785" s="10" t="s">
        <v>943</v>
      </c>
      <c r="H1785" t="s">
        <v>36</v>
      </c>
    </row>
    <row r="1786" spans="1:8" hidden="1" x14ac:dyDescent="0.3">
      <c r="A1786" t="s">
        <v>202</v>
      </c>
      <c r="B1786" s="2">
        <v>46204</v>
      </c>
      <c r="C1786" s="10">
        <v>31</v>
      </c>
      <c r="D1786">
        <v>0</v>
      </c>
      <c r="E1786" t="s">
        <v>33</v>
      </c>
      <c r="F1786" t="s">
        <v>33</v>
      </c>
      <c r="G1786" t="s">
        <v>932</v>
      </c>
      <c r="H1786" t="s">
        <v>36</v>
      </c>
    </row>
    <row r="1787" spans="1:8" hidden="1" x14ac:dyDescent="0.3">
      <c r="A1787" t="s">
        <v>206</v>
      </c>
      <c r="B1787" s="2">
        <v>45536</v>
      </c>
      <c r="C1787" s="10"/>
    </row>
    <row r="1788" spans="1:8" hidden="1" x14ac:dyDescent="0.3">
      <c r="A1788" t="s">
        <v>206</v>
      </c>
      <c r="B1788" s="2">
        <v>45566</v>
      </c>
      <c r="C1788" s="10"/>
    </row>
    <row r="1789" spans="1:8" hidden="1" x14ac:dyDescent="0.3">
      <c r="A1789" t="s">
        <v>206</v>
      </c>
      <c r="B1789" s="2">
        <v>45597</v>
      </c>
      <c r="C1789" s="10"/>
    </row>
    <row r="1790" spans="1:8" hidden="1" x14ac:dyDescent="0.3">
      <c r="A1790" t="s">
        <v>206</v>
      </c>
      <c r="B1790" s="2">
        <v>45627</v>
      </c>
      <c r="C1790" s="10"/>
    </row>
    <row r="1791" spans="1:8" hidden="1" x14ac:dyDescent="0.3">
      <c r="A1791" t="s">
        <v>206</v>
      </c>
      <c r="B1791" s="2">
        <v>45658</v>
      </c>
      <c r="C1791" s="10"/>
    </row>
    <row r="1792" spans="1:8" hidden="1" x14ac:dyDescent="0.3">
      <c r="A1792" t="s">
        <v>206</v>
      </c>
      <c r="B1792" s="2">
        <v>45689</v>
      </c>
      <c r="C1792" s="10" t="s">
        <v>799</v>
      </c>
    </row>
    <row r="1793" spans="1:8" hidden="1" x14ac:dyDescent="0.3">
      <c r="A1793" t="s">
        <v>206</v>
      </c>
      <c r="B1793" s="2">
        <v>45717</v>
      </c>
      <c r="C1793" s="10" t="s">
        <v>799</v>
      </c>
    </row>
    <row r="1794" spans="1:8" hidden="1" x14ac:dyDescent="0.3">
      <c r="A1794" t="s">
        <v>206</v>
      </c>
      <c r="B1794" s="2">
        <v>45748</v>
      </c>
      <c r="C1794" s="10" t="s">
        <v>799</v>
      </c>
    </row>
    <row r="1795" spans="1:8" hidden="1" x14ac:dyDescent="0.3">
      <c r="A1795" t="s">
        <v>206</v>
      </c>
      <c r="B1795" s="2">
        <v>45778</v>
      </c>
      <c r="C1795" s="10" t="s">
        <v>799</v>
      </c>
    </row>
    <row r="1796" spans="1:8" hidden="1" x14ac:dyDescent="0.3">
      <c r="A1796" t="s">
        <v>206</v>
      </c>
      <c r="B1796" s="2">
        <v>45809</v>
      </c>
      <c r="C1796" s="10" t="s">
        <v>799</v>
      </c>
    </row>
    <row r="1797" spans="1:8" hidden="1" x14ac:dyDescent="0.3">
      <c r="A1797" t="s">
        <v>206</v>
      </c>
      <c r="B1797" s="2">
        <v>45839</v>
      </c>
      <c r="C1797" s="10" t="s">
        <v>799</v>
      </c>
    </row>
    <row r="1798" spans="1:8" hidden="1" x14ac:dyDescent="0.3">
      <c r="A1798" t="s">
        <v>206</v>
      </c>
      <c r="B1798" s="2">
        <v>45870</v>
      </c>
      <c r="C1798" s="10"/>
    </row>
    <row r="1799" spans="1:8" hidden="1" x14ac:dyDescent="0.3">
      <c r="A1799" t="s">
        <v>206</v>
      </c>
      <c r="B1799" s="2">
        <v>45901</v>
      </c>
      <c r="C1799" s="10"/>
    </row>
    <row r="1800" spans="1:8" hidden="1" x14ac:dyDescent="0.3">
      <c r="A1800" t="s">
        <v>206</v>
      </c>
      <c r="B1800" s="2">
        <v>45931</v>
      </c>
      <c r="C1800" s="10"/>
    </row>
    <row r="1801" spans="1:8" hidden="1" x14ac:dyDescent="0.3">
      <c r="A1801" t="s">
        <v>206</v>
      </c>
      <c r="B1801" s="2">
        <v>45962</v>
      </c>
      <c r="C1801" s="10"/>
    </row>
    <row r="1802" spans="1:8" hidden="1" x14ac:dyDescent="0.3">
      <c r="A1802" t="s">
        <v>206</v>
      </c>
      <c r="B1802" s="2">
        <v>45992</v>
      </c>
      <c r="C1802" s="10"/>
    </row>
    <row r="1803" spans="1:8" hidden="1" x14ac:dyDescent="0.3">
      <c r="A1803" t="s">
        <v>206</v>
      </c>
      <c r="B1803" s="2">
        <v>46023</v>
      </c>
      <c r="C1803" s="10"/>
    </row>
    <row r="1804" spans="1:8" hidden="1" x14ac:dyDescent="0.3">
      <c r="A1804" t="s">
        <v>206</v>
      </c>
      <c r="B1804" s="2">
        <v>46054</v>
      </c>
      <c r="C1804" s="10"/>
    </row>
    <row r="1805" spans="1:8" hidden="1" x14ac:dyDescent="0.3">
      <c r="A1805" t="s">
        <v>206</v>
      </c>
      <c r="B1805" s="2">
        <v>46082</v>
      </c>
      <c r="C1805" s="10" t="s">
        <v>36</v>
      </c>
    </row>
    <row r="1806" spans="1:8" hidden="1" x14ac:dyDescent="0.3">
      <c r="A1806" t="s">
        <v>206</v>
      </c>
      <c r="B1806" s="2">
        <v>46113</v>
      </c>
      <c r="C1806" s="10" t="s">
        <v>36</v>
      </c>
    </row>
    <row r="1807" spans="1:8" hidden="1" x14ac:dyDescent="0.3">
      <c r="A1807" t="s">
        <v>206</v>
      </c>
      <c r="B1807" s="2">
        <v>46143</v>
      </c>
      <c r="C1807" s="10" t="s">
        <v>863</v>
      </c>
    </row>
    <row r="1808" spans="1:8" hidden="1" x14ac:dyDescent="0.3">
      <c r="A1808" t="s">
        <v>206</v>
      </c>
      <c r="B1808" s="2">
        <v>46235</v>
      </c>
      <c r="C1808" s="10" t="s">
        <v>36</v>
      </c>
      <c r="D1808" s="10" t="s">
        <v>36</v>
      </c>
      <c r="E1808" s="10" t="s">
        <v>36</v>
      </c>
      <c r="F1808" s="10" t="s">
        <v>36</v>
      </c>
      <c r="G1808" s="10" t="s">
        <v>36</v>
      </c>
      <c r="H1808" s="10" t="s">
        <v>36</v>
      </c>
    </row>
    <row r="1809" spans="1:8" hidden="1" x14ac:dyDescent="0.3">
      <c r="A1809" t="s">
        <v>206</v>
      </c>
      <c r="B1809" s="2">
        <v>46174</v>
      </c>
      <c r="C1809" s="10" t="s">
        <v>36</v>
      </c>
      <c r="D1809" s="10" t="s">
        <v>36</v>
      </c>
      <c r="E1809" s="10" t="s">
        <v>36</v>
      </c>
      <c r="F1809" s="10" t="s">
        <v>36</v>
      </c>
      <c r="G1809" s="10" t="s">
        <v>36</v>
      </c>
      <c r="H1809" s="10" t="s">
        <v>36</v>
      </c>
    </row>
    <row r="1810" spans="1:8" hidden="1" x14ac:dyDescent="0.3">
      <c r="A1810" t="s">
        <v>206</v>
      </c>
      <c r="B1810" s="2">
        <v>46204</v>
      </c>
      <c r="C1810" s="10" t="s">
        <v>36</v>
      </c>
      <c r="D1810" s="10" t="s">
        <v>36</v>
      </c>
      <c r="E1810" s="10" t="s">
        <v>36</v>
      </c>
      <c r="F1810" s="10" t="s">
        <v>36</v>
      </c>
      <c r="G1810" s="10" t="s">
        <v>36</v>
      </c>
      <c r="H1810" s="10" t="s">
        <v>36</v>
      </c>
    </row>
    <row r="1811" spans="1:8" x14ac:dyDescent="0.3">
      <c r="A1811" t="s">
        <v>43</v>
      </c>
      <c r="B1811" s="2">
        <v>46266</v>
      </c>
      <c r="C1811">
        <v>30</v>
      </c>
      <c r="D1811">
        <v>0</v>
      </c>
      <c r="E1811" t="s">
        <v>33</v>
      </c>
      <c r="F1811" t="s">
        <v>33</v>
      </c>
      <c r="G1811" t="s">
        <v>1073</v>
      </c>
      <c r="H1811" t="s">
        <v>36</v>
      </c>
    </row>
    <row r="1812" spans="1:8" x14ac:dyDescent="0.3">
      <c r="A1812" t="s">
        <v>49</v>
      </c>
      <c r="B1812" s="2">
        <v>46266</v>
      </c>
      <c r="C1812">
        <v>30</v>
      </c>
      <c r="D1812">
        <v>0</v>
      </c>
      <c r="E1812" t="s">
        <v>33</v>
      </c>
      <c r="F1812" t="s">
        <v>33</v>
      </c>
      <c r="G1812" t="s">
        <v>1073</v>
      </c>
      <c r="H1812" t="s">
        <v>36</v>
      </c>
    </row>
    <row r="1813" spans="1:8" ht="28.8" x14ac:dyDescent="0.3">
      <c r="A1813" t="s">
        <v>250</v>
      </c>
      <c r="B1813" s="2">
        <v>46266</v>
      </c>
      <c r="C1813" s="10">
        <v>30</v>
      </c>
      <c r="D1813" s="10">
        <v>0</v>
      </c>
      <c r="E1813" s="10" t="s">
        <v>33</v>
      </c>
      <c r="F1813" s="10" t="s">
        <v>33</v>
      </c>
      <c r="G1813" s="10" t="s">
        <v>1111</v>
      </c>
      <c r="H1813" s="10" t="s">
        <v>36</v>
      </c>
    </row>
    <row r="1814" spans="1:8" x14ac:dyDescent="0.3">
      <c r="A1814" t="s">
        <v>55</v>
      </c>
      <c r="B1814" s="2">
        <v>46266</v>
      </c>
      <c r="C1814">
        <v>30</v>
      </c>
      <c r="D1814">
        <v>0</v>
      </c>
      <c r="E1814" t="s">
        <v>33</v>
      </c>
      <c r="F1814" t="s">
        <v>33</v>
      </c>
      <c r="G1814" t="s">
        <v>1073</v>
      </c>
      <c r="H1814" t="s">
        <v>36</v>
      </c>
    </row>
    <row r="1815" spans="1:8" x14ac:dyDescent="0.3">
      <c r="A1815" t="s">
        <v>60</v>
      </c>
      <c r="B1815" s="2">
        <v>46266</v>
      </c>
      <c r="C1815" s="10">
        <v>30</v>
      </c>
      <c r="D1815" s="10">
        <v>0</v>
      </c>
      <c r="E1815" s="10" t="s">
        <v>33</v>
      </c>
      <c r="F1815" s="10" t="s">
        <v>33</v>
      </c>
      <c r="G1815" s="10" t="s">
        <v>1112</v>
      </c>
      <c r="H1815" s="10" t="s">
        <v>36</v>
      </c>
    </row>
    <row r="1816" spans="1:8" x14ac:dyDescent="0.3">
      <c r="A1816" t="s">
        <v>61</v>
      </c>
      <c r="B1816" s="2">
        <v>46266</v>
      </c>
      <c r="C1816" s="10">
        <v>30</v>
      </c>
      <c r="D1816" s="10">
        <v>0</v>
      </c>
      <c r="E1816" s="10" t="s">
        <v>33</v>
      </c>
      <c r="F1816" s="10" t="s">
        <v>33</v>
      </c>
      <c r="G1816" s="10" t="s">
        <v>959</v>
      </c>
      <c r="H1816" s="10" t="s">
        <v>36</v>
      </c>
    </row>
    <row r="1817" spans="1:8" ht="28.8" x14ac:dyDescent="0.3">
      <c r="A1817" t="s">
        <v>64</v>
      </c>
      <c r="B1817" s="2">
        <v>46266</v>
      </c>
      <c r="C1817" s="10">
        <v>30</v>
      </c>
      <c r="D1817" s="10">
        <v>0</v>
      </c>
      <c r="E1817" s="10" t="s">
        <v>33</v>
      </c>
      <c r="F1817" s="10" t="s">
        <v>33</v>
      </c>
      <c r="G1817" s="10" t="s">
        <v>1111</v>
      </c>
      <c r="H1817" s="10" t="s">
        <v>36</v>
      </c>
    </row>
    <row r="1818" spans="1:8" x14ac:dyDescent="0.3">
      <c r="A1818" t="s">
        <v>66</v>
      </c>
      <c r="B1818" s="2">
        <v>46266</v>
      </c>
      <c r="C1818" s="10">
        <v>30</v>
      </c>
      <c r="D1818" s="10">
        <v>0</v>
      </c>
      <c r="E1818" s="10" t="s">
        <v>33</v>
      </c>
      <c r="F1818" s="10" t="s">
        <v>33</v>
      </c>
      <c r="G1818" s="10" t="s">
        <v>1114</v>
      </c>
      <c r="H1818" s="10" t="s">
        <v>36</v>
      </c>
    </row>
    <row r="1819" spans="1:8" ht="28.8" x14ac:dyDescent="0.3">
      <c r="A1819" t="s">
        <v>71</v>
      </c>
      <c r="B1819" s="2">
        <v>46266</v>
      </c>
      <c r="C1819" s="10">
        <v>30</v>
      </c>
      <c r="D1819" s="10">
        <v>0</v>
      </c>
      <c r="E1819" s="10" t="s">
        <v>33</v>
      </c>
      <c r="F1819" s="10" t="s">
        <v>33</v>
      </c>
      <c r="G1819" s="10" t="s">
        <v>1111</v>
      </c>
      <c r="H1819" s="10" t="s">
        <v>36</v>
      </c>
    </row>
    <row r="1820" spans="1:8" ht="28.8" x14ac:dyDescent="0.3">
      <c r="A1820" t="s">
        <v>251</v>
      </c>
      <c r="B1820" s="2">
        <v>46266</v>
      </c>
      <c r="C1820" s="10">
        <v>30</v>
      </c>
      <c r="D1820" s="10">
        <v>0</v>
      </c>
      <c r="E1820" s="10" t="s">
        <v>33</v>
      </c>
      <c r="F1820" s="10" t="s">
        <v>33</v>
      </c>
      <c r="G1820" s="10" t="s">
        <v>1111</v>
      </c>
      <c r="H1820" s="10" t="s">
        <v>36</v>
      </c>
    </row>
    <row r="1821" spans="1:8" x14ac:dyDescent="0.3">
      <c r="A1821" t="s">
        <v>77</v>
      </c>
      <c r="B1821" s="2">
        <v>46266</v>
      </c>
      <c r="C1821" s="10">
        <v>30</v>
      </c>
      <c r="D1821" s="10">
        <v>0</v>
      </c>
      <c r="E1821" s="10" t="s">
        <v>33</v>
      </c>
      <c r="F1821" s="10" t="s">
        <v>33</v>
      </c>
      <c r="G1821" s="10" t="s">
        <v>959</v>
      </c>
      <c r="H1821" s="10" t="s">
        <v>36</v>
      </c>
    </row>
    <row r="1822" spans="1:8" x14ac:dyDescent="0.3">
      <c r="A1822" t="s">
        <v>80</v>
      </c>
      <c r="B1822" s="2">
        <v>46266</v>
      </c>
      <c r="C1822" s="10">
        <v>30</v>
      </c>
      <c r="D1822" s="10">
        <v>0</v>
      </c>
      <c r="E1822" s="10" t="s">
        <v>33</v>
      </c>
      <c r="F1822" s="10" t="s">
        <v>33</v>
      </c>
      <c r="G1822" s="10" t="s">
        <v>1112</v>
      </c>
      <c r="H1822" s="10" t="s">
        <v>36</v>
      </c>
    </row>
    <row r="1823" spans="1:8" ht="28.8" x14ac:dyDescent="0.3">
      <c r="A1823" t="s">
        <v>81</v>
      </c>
      <c r="B1823" s="2">
        <v>46266</v>
      </c>
      <c r="C1823" s="10">
        <v>30</v>
      </c>
      <c r="D1823" s="10">
        <v>0</v>
      </c>
      <c r="E1823" s="10" t="s">
        <v>33</v>
      </c>
      <c r="F1823" s="10" t="s">
        <v>33</v>
      </c>
      <c r="G1823" s="10" t="s">
        <v>1111</v>
      </c>
      <c r="H1823" s="10" t="s">
        <v>36</v>
      </c>
    </row>
    <row r="1824" spans="1:8" x14ac:dyDescent="0.3">
      <c r="A1824" t="s">
        <v>85</v>
      </c>
      <c r="B1824" s="2">
        <v>46266</v>
      </c>
      <c r="C1824" s="10">
        <v>30</v>
      </c>
      <c r="D1824" s="10">
        <v>0</v>
      </c>
      <c r="E1824" s="10" t="s">
        <v>33</v>
      </c>
      <c r="F1824" s="10" t="s">
        <v>33</v>
      </c>
      <c r="G1824" t="s">
        <v>1073</v>
      </c>
      <c r="H1824" s="10" t="s">
        <v>36</v>
      </c>
    </row>
    <row r="1825" spans="1:8" x14ac:dyDescent="0.3">
      <c r="A1825" t="s">
        <v>90</v>
      </c>
      <c r="B1825" s="2">
        <v>46266</v>
      </c>
      <c r="C1825" s="10">
        <v>30</v>
      </c>
      <c r="D1825" s="10">
        <v>0</v>
      </c>
      <c r="E1825" s="10" t="s">
        <v>33</v>
      </c>
      <c r="F1825" s="10" t="s">
        <v>33</v>
      </c>
      <c r="G1825" s="10" t="s">
        <v>959</v>
      </c>
      <c r="H1825" s="10" t="s">
        <v>36</v>
      </c>
    </row>
    <row r="1826" spans="1:8" ht="28.8" x14ac:dyDescent="0.3">
      <c r="A1826" t="s">
        <v>93</v>
      </c>
      <c r="B1826" s="2">
        <v>46266</v>
      </c>
      <c r="C1826" s="10">
        <v>30</v>
      </c>
      <c r="D1826" s="10">
        <v>0</v>
      </c>
      <c r="E1826" s="10" t="s">
        <v>33</v>
      </c>
      <c r="F1826" s="10" t="s">
        <v>33</v>
      </c>
      <c r="G1826" s="10" t="s">
        <v>1111</v>
      </c>
      <c r="H1826" s="10" t="s">
        <v>36</v>
      </c>
    </row>
    <row r="1827" spans="1:8" x14ac:dyDescent="0.3">
      <c r="A1827" t="s">
        <v>95</v>
      </c>
      <c r="B1827" s="2">
        <v>46266</v>
      </c>
      <c r="C1827" s="10">
        <v>30</v>
      </c>
      <c r="D1827" s="10">
        <v>0</v>
      </c>
      <c r="E1827" s="10" t="s">
        <v>33</v>
      </c>
      <c r="F1827" s="10" t="s">
        <v>33</v>
      </c>
      <c r="G1827" t="s">
        <v>1073</v>
      </c>
      <c r="H1827" s="10" t="s">
        <v>36</v>
      </c>
    </row>
    <row r="1828" spans="1:8" ht="28.8" x14ac:dyDescent="0.3">
      <c r="A1828" t="s">
        <v>271</v>
      </c>
      <c r="B1828" s="2">
        <v>46266</v>
      </c>
      <c r="C1828" s="10">
        <v>30</v>
      </c>
      <c r="D1828" s="10">
        <v>0</v>
      </c>
      <c r="E1828" s="10" t="s">
        <v>33</v>
      </c>
      <c r="F1828" s="10" t="s">
        <v>33</v>
      </c>
      <c r="G1828" s="10" t="s">
        <v>1111</v>
      </c>
      <c r="H1828" s="10" t="s">
        <v>36</v>
      </c>
    </row>
    <row r="1829" spans="1:8" x14ac:dyDescent="0.3">
      <c r="A1829" t="s">
        <v>239</v>
      </c>
      <c r="B1829" s="2">
        <v>46266</v>
      </c>
      <c r="C1829" s="10">
        <v>30</v>
      </c>
      <c r="D1829" s="10">
        <v>0</v>
      </c>
      <c r="E1829" s="10" t="s">
        <v>33</v>
      </c>
      <c r="F1829" s="10" t="s">
        <v>33</v>
      </c>
      <c r="G1829" s="10" t="s">
        <v>959</v>
      </c>
      <c r="H1829" s="10" t="s">
        <v>36</v>
      </c>
    </row>
    <row r="1830" spans="1:8" x14ac:dyDescent="0.3">
      <c r="A1830" t="s">
        <v>98</v>
      </c>
      <c r="B1830" s="2">
        <v>46266</v>
      </c>
      <c r="C1830" s="10">
        <v>30</v>
      </c>
      <c r="D1830" s="10">
        <v>0</v>
      </c>
      <c r="E1830" s="10" t="s">
        <v>33</v>
      </c>
      <c r="F1830" s="10" t="s">
        <v>33</v>
      </c>
      <c r="G1830" t="s">
        <v>1073</v>
      </c>
      <c r="H1830" s="10" t="s">
        <v>36</v>
      </c>
    </row>
    <row r="1831" spans="1:8" x14ac:dyDescent="0.3">
      <c r="A1831" t="s">
        <v>102</v>
      </c>
      <c r="B1831" s="2">
        <v>46266</v>
      </c>
      <c r="C1831" s="10">
        <v>30</v>
      </c>
      <c r="D1831" s="10">
        <v>0</v>
      </c>
      <c r="E1831" s="10" t="s">
        <v>33</v>
      </c>
      <c r="F1831" s="10" t="s">
        <v>33</v>
      </c>
      <c r="G1831" t="s">
        <v>1073</v>
      </c>
      <c r="H1831" s="10" t="s">
        <v>36</v>
      </c>
    </row>
    <row r="1832" spans="1:8" x14ac:dyDescent="0.3">
      <c r="A1832" t="s">
        <v>104</v>
      </c>
      <c r="B1832" s="2">
        <v>46266</v>
      </c>
      <c r="C1832" s="10">
        <v>22</v>
      </c>
      <c r="D1832" s="10" t="s">
        <v>1110</v>
      </c>
      <c r="E1832" s="10" t="s">
        <v>33</v>
      </c>
      <c r="F1832" s="10" t="s">
        <v>944</v>
      </c>
      <c r="G1832" s="10" t="s">
        <v>1097</v>
      </c>
      <c r="H1832" s="10" t="s">
        <v>36</v>
      </c>
    </row>
    <row r="1833" spans="1:8" ht="28.8" x14ac:dyDescent="0.3">
      <c r="A1833" t="s">
        <v>107</v>
      </c>
      <c r="B1833" s="2">
        <v>46266</v>
      </c>
      <c r="C1833" s="10">
        <v>0</v>
      </c>
      <c r="D1833" s="10">
        <v>30</v>
      </c>
      <c r="E1833" s="10" t="s">
        <v>1029</v>
      </c>
      <c r="F1833" s="10" t="s">
        <v>33</v>
      </c>
      <c r="G1833" s="10" t="s">
        <v>1098</v>
      </c>
      <c r="H1833" s="10" t="s">
        <v>36</v>
      </c>
    </row>
    <row r="1834" spans="1:8" x14ac:dyDescent="0.3">
      <c r="A1834" t="s">
        <v>228</v>
      </c>
      <c r="B1834" s="2">
        <v>46266</v>
      </c>
      <c r="C1834" s="10">
        <v>30</v>
      </c>
      <c r="D1834" s="10">
        <v>0</v>
      </c>
      <c r="E1834" s="10" t="s">
        <v>33</v>
      </c>
      <c r="F1834" s="10" t="s">
        <v>33</v>
      </c>
      <c r="G1834" t="s">
        <v>1073</v>
      </c>
      <c r="H1834" s="10" t="s">
        <v>36</v>
      </c>
    </row>
    <row r="1835" spans="1:8" x14ac:dyDescent="0.3">
      <c r="A1835" t="s">
        <v>109</v>
      </c>
      <c r="B1835" s="2">
        <v>46266</v>
      </c>
      <c r="C1835" s="10">
        <v>30</v>
      </c>
      <c r="D1835" s="10">
        <v>0</v>
      </c>
      <c r="E1835" s="10" t="s">
        <v>33</v>
      </c>
      <c r="F1835" s="10" t="s">
        <v>33</v>
      </c>
      <c r="G1835" t="s">
        <v>1073</v>
      </c>
      <c r="H1835" s="10" t="s">
        <v>36</v>
      </c>
    </row>
    <row r="1836" spans="1:8" x14ac:dyDescent="0.3">
      <c r="A1836" t="s">
        <v>113</v>
      </c>
      <c r="B1836" s="2">
        <v>46266</v>
      </c>
      <c r="C1836" s="10">
        <v>30</v>
      </c>
      <c r="D1836" s="10">
        <v>0</v>
      </c>
      <c r="E1836" s="10" t="s">
        <v>33</v>
      </c>
      <c r="F1836" s="10" t="s">
        <v>33</v>
      </c>
      <c r="G1836" s="10" t="s">
        <v>959</v>
      </c>
      <c r="H1836" s="10" t="s">
        <v>36</v>
      </c>
    </row>
    <row r="1837" spans="1:8" x14ac:dyDescent="0.3">
      <c r="A1837" t="s">
        <v>114</v>
      </c>
      <c r="B1837" s="2">
        <v>46266</v>
      </c>
      <c r="C1837" s="10">
        <v>30</v>
      </c>
      <c r="D1837" s="10">
        <v>0</v>
      </c>
      <c r="E1837" s="10" t="s">
        <v>33</v>
      </c>
      <c r="F1837" s="10" t="s">
        <v>33</v>
      </c>
      <c r="G1837" s="10" t="s">
        <v>959</v>
      </c>
      <c r="H1837" s="10" t="s">
        <v>36</v>
      </c>
    </row>
    <row r="1838" spans="1:8" ht="28.8" x14ac:dyDescent="0.3">
      <c r="A1838" t="s">
        <v>117</v>
      </c>
      <c r="B1838" s="2">
        <v>46266</v>
      </c>
      <c r="C1838" s="10">
        <v>30</v>
      </c>
      <c r="D1838" s="10" t="s">
        <v>1115</v>
      </c>
      <c r="E1838" s="10" t="s">
        <v>1116</v>
      </c>
      <c r="F1838" s="10" t="s">
        <v>33</v>
      </c>
      <c r="G1838" s="10" t="s">
        <v>1117</v>
      </c>
      <c r="H1838" s="10" t="s">
        <v>36</v>
      </c>
    </row>
    <row r="1839" spans="1:8" x14ac:dyDescent="0.3">
      <c r="A1839" t="s">
        <v>225</v>
      </c>
      <c r="B1839" s="2">
        <v>46266</v>
      </c>
      <c r="C1839" s="10">
        <v>30</v>
      </c>
      <c r="D1839" s="10">
        <v>0</v>
      </c>
      <c r="E1839" s="10" t="s">
        <v>33</v>
      </c>
      <c r="F1839" s="10" t="s">
        <v>33</v>
      </c>
      <c r="G1839" s="10" t="s">
        <v>959</v>
      </c>
      <c r="H1839" s="10" t="s">
        <v>36</v>
      </c>
    </row>
    <row r="1840" spans="1:8" x14ac:dyDescent="0.3">
      <c r="A1840" t="s">
        <v>223</v>
      </c>
      <c r="B1840" s="2">
        <v>46266</v>
      </c>
      <c r="C1840" s="10">
        <v>30</v>
      </c>
      <c r="D1840" s="10">
        <v>0</v>
      </c>
      <c r="E1840" s="10" t="s">
        <v>33</v>
      </c>
      <c r="F1840" s="10" t="s">
        <v>33</v>
      </c>
      <c r="G1840" t="s">
        <v>1073</v>
      </c>
      <c r="H1840" s="10" t="s">
        <v>36</v>
      </c>
    </row>
    <row r="1841" spans="1:8" x14ac:dyDescent="0.3">
      <c r="A1841" t="s">
        <v>120</v>
      </c>
      <c r="B1841" s="2">
        <v>46266</v>
      </c>
      <c r="C1841" s="10">
        <v>30</v>
      </c>
      <c r="D1841" s="10">
        <v>0</v>
      </c>
      <c r="E1841" s="10" t="s">
        <v>33</v>
      </c>
      <c r="F1841" s="10" t="s">
        <v>33</v>
      </c>
      <c r="G1841" t="s">
        <v>1073</v>
      </c>
      <c r="H1841" s="10" t="s">
        <v>36</v>
      </c>
    </row>
    <row r="1842" spans="1:8" x14ac:dyDescent="0.3">
      <c r="A1842" t="s">
        <v>236</v>
      </c>
      <c r="B1842" s="2">
        <v>46266</v>
      </c>
      <c r="C1842" s="10">
        <v>30</v>
      </c>
      <c r="D1842" s="10">
        <v>0</v>
      </c>
      <c r="E1842" s="10" t="s">
        <v>33</v>
      </c>
      <c r="F1842" s="10" t="s">
        <v>33</v>
      </c>
      <c r="G1842" t="s">
        <v>36</v>
      </c>
      <c r="H1842" s="10" t="s">
        <v>36</v>
      </c>
    </row>
    <row r="1843" spans="1:8" ht="28.8" x14ac:dyDescent="0.3">
      <c r="A1843" t="s">
        <v>122</v>
      </c>
      <c r="B1843" s="2">
        <v>46266</v>
      </c>
      <c r="C1843" s="10">
        <v>30</v>
      </c>
      <c r="D1843" s="10">
        <v>0</v>
      </c>
      <c r="E1843" s="10" t="s">
        <v>33</v>
      </c>
      <c r="F1843" s="10" t="s">
        <v>33</v>
      </c>
      <c r="G1843" s="10" t="s">
        <v>1111</v>
      </c>
      <c r="H1843" s="10" t="s">
        <v>36</v>
      </c>
    </row>
    <row r="1844" spans="1:8" x14ac:dyDescent="0.3">
      <c r="A1844" t="s">
        <v>124</v>
      </c>
      <c r="B1844" s="2">
        <v>46266</v>
      </c>
      <c r="C1844" s="10">
        <v>30</v>
      </c>
      <c r="D1844" s="10">
        <v>0</v>
      </c>
      <c r="E1844" s="10" t="s">
        <v>33</v>
      </c>
      <c r="F1844" s="10" t="s">
        <v>33</v>
      </c>
      <c r="G1844" s="10" t="s">
        <v>1112</v>
      </c>
      <c r="H1844" s="10" t="s">
        <v>36</v>
      </c>
    </row>
    <row r="1845" spans="1:8" x14ac:dyDescent="0.3">
      <c r="A1845" t="s">
        <v>127</v>
      </c>
      <c r="B1845" s="2">
        <v>46266</v>
      </c>
      <c r="C1845" s="10">
        <v>30</v>
      </c>
      <c r="D1845" s="10">
        <v>0</v>
      </c>
      <c r="E1845" s="10" t="s">
        <v>33</v>
      </c>
      <c r="F1845" s="10" t="s">
        <v>1113</v>
      </c>
      <c r="G1845" t="s">
        <v>1073</v>
      </c>
      <c r="H1845" s="10" t="s">
        <v>36</v>
      </c>
    </row>
    <row r="1846" spans="1:8" x14ac:dyDescent="0.3">
      <c r="A1846" t="s">
        <v>234</v>
      </c>
      <c r="B1846" s="2">
        <v>46266</v>
      </c>
      <c r="C1846" s="10">
        <v>30</v>
      </c>
      <c r="D1846" s="10">
        <v>0</v>
      </c>
      <c r="E1846" s="10" t="s">
        <v>33</v>
      </c>
      <c r="F1846" s="10" t="s">
        <v>33</v>
      </c>
      <c r="G1846" s="10" t="s">
        <v>959</v>
      </c>
      <c r="H1846" s="10" t="s">
        <v>36</v>
      </c>
    </row>
    <row r="1847" spans="1:8" x14ac:dyDescent="0.3">
      <c r="A1847" t="s">
        <v>131</v>
      </c>
      <c r="B1847" s="2">
        <v>46266</v>
      </c>
      <c r="C1847" s="10">
        <v>30</v>
      </c>
      <c r="D1847" s="10">
        <v>0</v>
      </c>
      <c r="E1847" s="10" t="s">
        <v>33</v>
      </c>
      <c r="F1847" s="10" t="s">
        <v>33</v>
      </c>
      <c r="G1847" s="10" t="s">
        <v>959</v>
      </c>
      <c r="H1847" s="10" t="s">
        <v>36</v>
      </c>
    </row>
    <row r="1848" spans="1:8" x14ac:dyDescent="0.3">
      <c r="A1848" t="s">
        <v>134</v>
      </c>
      <c r="B1848" s="2">
        <v>46266</v>
      </c>
      <c r="C1848" s="10">
        <v>30</v>
      </c>
      <c r="D1848" s="10">
        <v>0</v>
      </c>
      <c r="E1848" s="10" t="s">
        <v>33</v>
      </c>
      <c r="F1848" s="10" t="s">
        <v>33</v>
      </c>
      <c r="G1848" s="10" t="s">
        <v>959</v>
      </c>
      <c r="H1848" s="10" t="s">
        <v>36</v>
      </c>
    </row>
    <row r="1849" spans="1:8" x14ac:dyDescent="0.3">
      <c r="A1849" t="s">
        <v>138</v>
      </c>
      <c r="B1849" s="2">
        <v>46266</v>
      </c>
      <c r="C1849" s="10" t="s">
        <v>36</v>
      </c>
      <c r="D1849" s="10" t="s">
        <v>36</v>
      </c>
      <c r="E1849" s="10" t="s">
        <v>36</v>
      </c>
      <c r="F1849" s="10" t="s">
        <v>36</v>
      </c>
      <c r="G1849" s="10" t="s">
        <v>36</v>
      </c>
      <c r="H1849" s="10" t="s">
        <v>36</v>
      </c>
    </row>
    <row r="1850" spans="1:8" x14ac:dyDescent="0.3">
      <c r="A1850" t="s">
        <v>220</v>
      </c>
      <c r="B1850" s="2">
        <v>46266</v>
      </c>
      <c r="C1850" s="10">
        <v>30</v>
      </c>
      <c r="D1850" s="10">
        <v>0</v>
      </c>
      <c r="E1850" s="10" t="s">
        <v>33</v>
      </c>
      <c r="F1850" s="10" t="s">
        <v>33</v>
      </c>
      <c r="G1850" s="10" t="s">
        <v>1112</v>
      </c>
      <c r="H1850" s="10" t="s">
        <v>36</v>
      </c>
    </row>
    <row r="1851" spans="1:8" x14ac:dyDescent="0.3">
      <c r="A1851" t="s">
        <v>222</v>
      </c>
      <c r="B1851" s="2">
        <v>46266</v>
      </c>
      <c r="C1851" s="10">
        <v>30</v>
      </c>
      <c r="D1851" s="10">
        <v>0</v>
      </c>
      <c r="E1851" s="10" t="s">
        <v>33</v>
      </c>
      <c r="F1851" s="10" t="s">
        <v>33</v>
      </c>
      <c r="G1851" s="10" t="s">
        <v>1112</v>
      </c>
      <c r="H1851" s="10" t="s">
        <v>36</v>
      </c>
    </row>
    <row r="1852" spans="1:8" ht="28.8" x14ac:dyDescent="0.3">
      <c r="A1852" t="s">
        <v>142</v>
      </c>
      <c r="B1852" s="2">
        <v>46266</v>
      </c>
      <c r="C1852" s="10">
        <v>30</v>
      </c>
      <c r="D1852" s="10">
        <v>0</v>
      </c>
      <c r="E1852" s="10" t="s">
        <v>33</v>
      </c>
      <c r="F1852" s="10" t="s">
        <v>33</v>
      </c>
      <c r="G1852" s="10" t="s">
        <v>959</v>
      </c>
      <c r="H1852" s="10" t="s">
        <v>1099</v>
      </c>
    </row>
    <row r="1853" spans="1:8" x14ac:dyDescent="0.3">
      <c r="A1853" t="s">
        <v>145</v>
      </c>
      <c r="B1853" s="2">
        <v>46266</v>
      </c>
      <c r="C1853" s="10">
        <v>30</v>
      </c>
      <c r="D1853" s="10">
        <v>0</v>
      </c>
      <c r="E1853" s="10" t="s">
        <v>33</v>
      </c>
      <c r="F1853" s="10" t="s">
        <v>33</v>
      </c>
      <c r="G1853" t="s">
        <v>1073</v>
      </c>
      <c r="H1853" s="10" t="s">
        <v>36</v>
      </c>
    </row>
    <row r="1854" spans="1:8" x14ac:dyDescent="0.3">
      <c r="A1854" t="s">
        <v>149</v>
      </c>
      <c r="B1854" s="2">
        <v>46266</v>
      </c>
      <c r="C1854" s="10">
        <v>30</v>
      </c>
      <c r="D1854" s="10">
        <v>0</v>
      </c>
      <c r="E1854" s="10" t="s">
        <v>33</v>
      </c>
      <c r="F1854" s="10" t="s">
        <v>33</v>
      </c>
      <c r="G1854" t="s">
        <v>1073</v>
      </c>
      <c r="H1854" s="10" t="s">
        <v>36</v>
      </c>
    </row>
    <row r="1855" spans="1:8" x14ac:dyDescent="0.3">
      <c r="A1855" t="s">
        <v>152</v>
      </c>
      <c r="B1855" s="2">
        <v>46266</v>
      </c>
      <c r="C1855" s="10">
        <v>30</v>
      </c>
      <c r="D1855" s="10">
        <v>0</v>
      </c>
      <c r="E1855" s="10" t="s">
        <v>33</v>
      </c>
      <c r="F1855" s="10" t="s">
        <v>33</v>
      </c>
      <c r="G1855" t="s">
        <v>1073</v>
      </c>
      <c r="H1855" s="10" t="s">
        <v>36</v>
      </c>
    </row>
    <row r="1856" spans="1:8" x14ac:dyDescent="0.3">
      <c r="A1856" t="s">
        <v>155</v>
      </c>
      <c r="B1856" s="2">
        <v>46266</v>
      </c>
      <c r="C1856" s="10">
        <v>0</v>
      </c>
      <c r="D1856" s="10">
        <v>30</v>
      </c>
      <c r="E1856" s="10" t="s">
        <v>1029</v>
      </c>
      <c r="F1856" s="10" t="s">
        <v>33</v>
      </c>
      <c r="G1856" s="10" t="s">
        <v>1100</v>
      </c>
      <c r="H1856" s="10" t="s">
        <v>36</v>
      </c>
    </row>
    <row r="1857" spans="1:8" x14ac:dyDescent="0.3">
      <c r="A1857" t="s">
        <v>157</v>
      </c>
      <c r="B1857" s="2">
        <v>46266</v>
      </c>
      <c r="C1857" s="10">
        <v>30</v>
      </c>
      <c r="D1857" s="10">
        <v>0</v>
      </c>
      <c r="E1857" s="10" t="s">
        <v>33</v>
      </c>
      <c r="F1857" s="10" t="s">
        <v>33</v>
      </c>
      <c r="G1857" t="s">
        <v>1073</v>
      </c>
      <c r="H1857" s="10" t="s">
        <v>36</v>
      </c>
    </row>
    <row r="1858" spans="1:8" x14ac:dyDescent="0.3">
      <c r="A1858" t="s">
        <v>160</v>
      </c>
      <c r="B1858" s="2">
        <v>46266</v>
      </c>
      <c r="C1858" s="10">
        <v>30</v>
      </c>
      <c r="D1858" s="10">
        <v>0</v>
      </c>
      <c r="E1858" s="10" t="s">
        <v>33</v>
      </c>
      <c r="F1858" s="10" t="s">
        <v>33</v>
      </c>
      <c r="G1858" s="10" t="s">
        <v>959</v>
      </c>
      <c r="H1858" s="10" t="s">
        <v>36</v>
      </c>
    </row>
    <row r="1859" spans="1:8" x14ac:dyDescent="0.3">
      <c r="A1859" t="s">
        <v>244</v>
      </c>
      <c r="B1859" s="2">
        <v>46266</v>
      </c>
      <c r="C1859" s="10">
        <v>30</v>
      </c>
      <c r="D1859" s="10">
        <v>0</v>
      </c>
      <c r="E1859" s="10" t="s">
        <v>33</v>
      </c>
      <c r="F1859" s="10" t="s">
        <v>33</v>
      </c>
      <c r="G1859" s="10" t="s">
        <v>1073</v>
      </c>
      <c r="H1859" s="10" t="s">
        <v>36</v>
      </c>
    </row>
    <row r="1860" spans="1:8" x14ac:dyDescent="0.3">
      <c r="A1860" t="s">
        <v>163</v>
      </c>
      <c r="B1860" s="2">
        <v>46266</v>
      </c>
      <c r="C1860" s="10" t="s">
        <v>36</v>
      </c>
      <c r="D1860" s="10" t="s">
        <v>36</v>
      </c>
      <c r="E1860" s="10" t="s">
        <v>36</v>
      </c>
      <c r="F1860" s="10" t="s">
        <v>36</v>
      </c>
      <c r="G1860" s="10" t="s">
        <v>36</v>
      </c>
      <c r="H1860" s="10" t="s">
        <v>36</v>
      </c>
    </row>
    <row r="1861" spans="1:8" x14ac:dyDescent="0.3">
      <c r="A1861" t="s">
        <v>166</v>
      </c>
      <c r="B1861" s="2">
        <v>46266</v>
      </c>
      <c r="C1861" s="10">
        <v>30</v>
      </c>
      <c r="D1861" s="10">
        <v>0</v>
      </c>
      <c r="E1861" s="10" t="s">
        <v>33</v>
      </c>
      <c r="F1861" s="10" t="s">
        <v>33</v>
      </c>
      <c r="G1861" s="10" t="s">
        <v>1073</v>
      </c>
      <c r="H1861" s="10" t="s">
        <v>36</v>
      </c>
    </row>
    <row r="1862" spans="1:8" x14ac:dyDescent="0.3">
      <c r="A1862" t="s">
        <v>169</v>
      </c>
      <c r="B1862" s="2">
        <v>46266</v>
      </c>
      <c r="C1862" s="10">
        <v>30</v>
      </c>
      <c r="D1862" s="10">
        <v>0</v>
      </c>
      <c r="E1862" s="10" t="s">
        <v>33</v>
      </c>
      <c r="F1862" s="10" t="s">
        <v>33</v>
      </c>
      <c r="G1862" s="10" t="s">
        <v>1073</v>
      </c>
      <c r="H1862" s="10" t="s">
        <v>36</v>
      </c>
    </row>
    <row r="1863" spans="1:8" ht="28.8" x14ac:dyDescent="0.3">
      <c r="A1863" t="s">
        <v>171</v>
      </c>
      <c r="B1863" s="2">
        <v>46266</v>
      </c>
      <c r="C1863" s="10">
        <v>30</v>
      </c>
      <c r="D1863" s="10">
        <v>0</v>
      </c>
      <c r="E1863" s="10" t="s">
        <v>33</v>
      </c>
      <c r="F1863" s="10" t="s">
        <v>33</v>
      </c>
      <c r="G1863" s="10" t="s">
        <v>1111</v>
      </c>
      <c r="H1863" s="10" t="s">
        <v>36</v>
      </c>
    </row>
    <row r="1864" spans="1:8" ht="28.8" x14ac:dyDescent="0.3">
      <c r="A1864" t="s">
        <v>172</v>
      </c>
      <c r="B1864" s="2">
        <v>46266</v>
      </c>
      <c r="C1864" s="10">
        <v>30</v>
      </c>
      <c r="D1864" s="10">
        <v>0</v>
      </c>
      <c r="E1864" s="10" t="s">
        <v>33</v>
      </c>
      <c r="F1864" s="10" t="s">
        <v>33</v>
      </c>
      <c r="G1864" s="10" t="s">
        <v>1111</v>
      </c>
      <c r="H1864" s="10" t="s">
        <v>36</v>
      </c>
    </row>
    <row r="1865" spans="1:8" x14ac:dyDescent="0.3">
      <c r="A1865" t="s">
        <v>265</v>
      </c>
      <c r="B1865" s="2">
        <v>46266</v>
      </c>
      <c r="C1865" s="10">
        <v>0</v>
      </c>
      <c r="D1865" s="10">
        <v>30</v>
      </c>
      <c r="E1865" s="10" t="s">
        <v>1090</v>
      </c>
      <c r="F1865" s="10" t="s">
        <v>36</v>
      </c>
      <c r="G1865" s="10" t="s">
        <v>1101</v>
      </c>
      <c r="H1865" s="10" t="s">
        <v>36</v>
      </c>
    </row>
    <row r="1866" spans="1:8" x14ac:dyDescent="0.3">
      <c r="A1866" t="s">
        <v>177</v>
      </c>
      <c r="B1866" s="2">
        <v>46266</v>
      </c>
      <c r="C1866" s="10">
        <v>30</v>
      </c>
      <c r="D1866" s="10">
        <v>0</v>
      </c>
      <c r="E1866" s="10" t="s">
        <v>33</v>
      </c>
      <c r="F1866" s="10" t="s">
        <v>33</v>
      </c>
      <c r="G1866" s="10" t="s">
        <v>959</v>
      </c>
      <c r="H1866" s="10" t="s">
        <v>36</v>
      </c>
    </row>
    <row r="1867" spans="1:8" x14ac:dyDescent="0.3">
      <c r="A1867" t="s">
        <v>180</v>
      </c>
      <c r="B1867" s="2">
        <v>46266</v>
      </c>
      <c r="C1867" s="10">
        <v>30</v>
      </c>
      <c r="D1867" s="10">
        <v>0</v>
      </c>
      <c r="E1867" s="10" t="s">
        <v>33</v>
      </c>
      <c r="F1867" s="10" t="s">
        <v>33</v>
      </c>
      <c r="G1867" s="10" t="s">
        <v>959</v>
      </c>
      <c r="H1867" s="10" t="s">
        <v>36</v>
      </c>
    </row>
    <row r="1868" spans="1:8" x14ac:dyDescent="0.3">
      <c r="A1868" t="s">
        <v>241</v>
      </c>
      <c r="B1868" s="2">
        <v>46266</v>
      </c>
      <c r="C1868" s="10">
        <v>30</v>
      </c>
      <c r="D1868" s="10">
        <v>0</v>
      </c>
      <c r="E1868" s="10" t="s">
        <v>33</v>
      </c>
      <c r="F1868" s="10" t="s">
        <v>33</v>
      </c>
      <c r="G1868" s="10" t="s">
        <v>1112</v>
      </c>
      <c r="H1868" s="10" t="s">
        <v>36</v>
      </c>
    </row>
    <row r="1869" spans="1:8" x14ac:dyDescent="0.3">
      <c r="A1869" t="s">
        <v>182</v>
      </c>
      <c r="B1869" s="2">
        <v>46266</v>
      </c>
      <c r="C1869" s="10">
        <v>30</v>
      </c>
      <c r="D1869" s="10">
        <v>0</v>
      </c>
      <c r="E1869" s="10" t="s">
        <v>33</v>
      </c>
      <c r="F1869" s="10" t="s">
        <v>33</v>
      </c>
      <c r="G1869" s="10" t="s">
        <v>1108</v>
      </c>
      <c r="H1869" s="10" t="s">
        <v>36</v>
      </c>
    </row>
    <row r="1870" spans="1:8" ht="28.8" x14ac:dyDescent="0.3">
      <c r="A1870" t="s">
        <v>184</v>
      </c>
      <c r="B1870" s="2">
        <v>46266</v>
      </c>
      <c r="C1870" s="10">
        <v>30</v>
      </c>
      <c r="D1870" s="10">
        <v>0</v>
      </c>
      <c r="E1870" s="10" t="s">
        <v>33</v>
      </c>
      <c r="F1870" s="10" t="s">
        <v>33</v>
      </c>
      <c r="G1870" s="10" t="s">
        <v>1111</v>
      </c>
      <c r="H1870" s="10" t="s">
        <v>36</v>
      </c>
    </row>
    <row r="1871" spans="1:8" ht="28.8" x14ac:dyDescent="0.3">
      <c r="A1871" t="s">
        <v>1003</v>
      </c>
      <c r="B1871" s="2">
        <v>46266</v>
      </c>
      <c r="C1871" s="10">
        <v>30</v>
      </c>
      <c r="D1871" s="10">
        <v>0</v>
      </c>
      <c r="E1871" s="10" t="s">
        <v>33</v>
      </c>
      <c r="F1871" s="10" t="s">
        <v>33</v>
      </c>
      <c r="G1871" s="10" t="s">
        <v>1111</v>
      </c>
      <c r="H1871" s="10" t="s">
        <v>36</v>
      </c>
    </row>
    <row r="1872" spans="1:8" x14ac:dyDescent="0.3">
      <c r="A1872" t="s">
        <v>186</v>
      </c>
      <c r="B1872" s="2">
        <v>46266</v>
      </c>
      <c r="C1872" s="10">
        <v>30</v>
      </c>
      <c r="D1872" s="10">
        <v>0</v>
      </c>
      <c r="E1872" s="10" t="s">
        <v>33</v>
      </c>
      <c r="F1872" s="10" t="s">
        <v>33</v>
      </c>
      <c r="G1872" s="10" t="s">
        <v>1109</v>
      </c>
      <c r="H1872" s="10" t="s">
        <v>36</v>
      </c>
    </row>
    <row r="1873" spans="1:8" x14ac:dyDescent="0.3">
      <c r="A1873" t="s">
        <v>188</v>
      </c>
      <c r="B1873" s="2">
        <v>46266</v>
      </c>
      <c r="C1873" s="10">
        <v>30</v>
      </c>
      <c r="D1873" s="10">
        <v>0</v>
      </c>
      <c r="E1873" s="10" t="s">
        <v>33</v>
      </c>
      <c r="F1873" s="10" t="s">
        <v>33</v>
      </c>
      <c r="G1873" s="10" t="s">
        <v>1112</v>
      </c>
      <c r="H1873" s="10" t="s">
        <v>36</v>
      </c>
    </row>
    <row r="1874" spans="1:8" x14ac:dyDescent="0.3">
      <c r="A1874" t="s">
        <v>226</v>
      </c>
      <c r="B1874" s="2">
        <v>46266</v>
      </c>
      <c r="C1874" s="10">
        <v>30</v>
      </c>
      <c r="D1874" s="10">
        <v>0</v>
      </c>
      <c r="E1874" s="10" t="s">
        <v>33</v>
      </c>
      <c r="F1874" s="10" t="s">
        <v>33</v>
      </c>
      <c r="G1874" s="10" t="s">
        <v>959</v>
      </c>
      <c r="H1874" s="10" t="s">
        <v>36</v>
      </c>
    </row>
    <row r="1875" spans="1:8" ht="28.8" x14ac:dyDescent="0.3">
      <c r="A1875" t="s">
        <v>1002</v>
      </c>
      <c r="B1875" s="2">
        <v>46266</v>
      </c>
      <c r="C1875" s="10">
        <v>30</v>
      </c>
      <c r="D1875" s="10">
        <v>0</v>
      </c>
      <c r="E1875" s="10" t="s">
        <v>33</v>
      </c>
      <c r="F1875" s="10" t="s">
        <v>33</v>
      </c>
      <c r="G1875" s="10" t="s">
        <v>1111</v>
      </c>
      <c r="H1875" s="10" t="s">
        <v>36</v>
      </c>
    </row>
    <row r="1876" spans="1:8" ht="28.8" x14ac:dyDescent="0.3">
      <c r="A1876" t="s">
        <v>208</v>
      </c>
      <c r="B1876" s="2">
        <v>46266</v>
      </c>
      <c r="C1876" s="10">
        <v>30</v>
      </c>
      <c r="D1876" s="10">
        <v>0</v>
      </c>
      <c r="E1876" s="10" t="s">
        <v>33</v>
      </c>
      <c r="F1876" s="10" t="s">
        <v>33</v>
      </c>
      <c r="G1876" s="10" t="s">
        <v>1111</v>
      </c>
      <c r="H1876" s="10" t="s">
        <v>36</v>
      </c>
    </row>
    <row r="1877" spans="1:8" x14ac:dyDescent="0.3">
      <c r="A1877" t="s">
        <v>190</v>
      </c>
      <c r="B1877" s="2">
        <v>46266</v>
      </c>
      <c r="C1877" s="10">
        <v>30</v>
      </c>
      <c r="D1877" s="10">
        <v>0</v>
      </c>
      <c r="E1877" s="10" t="s">
        <v>33</v>
      </c>
      <c r="F1877" s="10" t="s">
        <v>33</v>
      </c>
      <c r="G1877" s="10" t="s">
        <v>1073</v>
      </c>
      <c r="H1877" s="10" t="s">
        <v>36</v>
      </c>
    </row>
    <row r="1878" spans="1:8" ht="28.8" x14ac:dyDescent="0.3">
      <c r="A1878" t="s">
        <v>213</v>
      </c>
      <c r="B1878" s="2">
        <v>46266</v>
      </c>
      <c r="C1878" s="10">
        <v>30</v>
      </c>
      <c r="D1878" s="10">
        <v>0</v>
      </c>
      <c r="E1878" s="10" t="s">
        <v>33</v>
      </c>
      <c r="F1878" s="10" t="s">
        <v>33</v>
      </c>
      <c r="G1878" s="10" t="s">
        <v>1111</v>
      </c>
      <c r="H1878" s="10" t="s">
        <v>36</v>
      </c>
    </row>
    <row r="1879" spans="1:8" x14ac:dyDescent="0.3">
      <c r="A1879" t="s">
        <v>216</v>
      </c>
      <c r="B1879" s="2">
        <v>46266</v>
      </c>
      <c r="C1879" s="10">
        <v>30</v>
      </c>
      <c r="D1879" s="10">
        <v>0</v>
      </c>
      <c r="E1879" s="10" t="s">
        <v>33</v>
      </c>
      <c r="F1879" s="10" t="s">
        <v>33</v>
      </c>
      <c r="G1879" s="10" t="s">
        <v>1112</v>
      </c>
      <c r="H1879" s="10" t="s">
        <v>36</v>
      </c>
    </row>
    <row r="1880" spans="1:8" ht="28.8" x14ac:dyDescent="0.3">
      <c r="A1880" t="s">
        <v>218</v>
      </c>
      <c r="B1880" s="2">
        <v>46266</v>
      </c>
      <c r="C1880" s="10">
        <v>30</v>
      </c>
      <c r="D1880" s="10">
        <v>0</v>
      </c>
      <c r="E1880" s="10" t="s">
        <v>33</v>
      </c>
      <c r="F1880" s="10" t="s">
        <v>33</v>
      </c>
      <c r="G1880" s="10" t="s">
        <v>1111</v>
      </c>
      <c r="H1880" s="10" t="s">
        <v>36</v>
      </c>
    </row>
    <row r="1881" spans="1:8" x14ac:dyDescent="0.3">
      <c r="A1881" t="s">
        <v>192</v>
      </c>
      <c r="B1881" s="2">
        <v>46266</v>
      </c>
      <c r="C1881" s="10" t="s">
        <v>36</v>
      </c>
      <c r="D1881" s="10" t="s">
        <v>36</v>
      </c>
      <c r="E1881" s="10" t="s">
        <v>36</v>
      </c>
      <c r="F1881" s="10" t="s">
        <v>36</v>
      </c>
      <c r="G1881" s="10" t="s">
        <v>36</v>
      </c>
      <c r="H1881" s="10" t="s">
        <v>36</v>
      </c>
    </row>
    <row r="1882" spans="1:8" ht="28.8" x14ac:dyDescent="0.3">
      <c r="A1882" t="s">
        <v>194</v>
      </c>
      <c r="B1882" s="2">
        <v>46266</v>
      </c>
      <c r="C1882" s="10">
        <v>30</v>
      </c>
      <c r="D1882" s="10">
        <v>0</v>
      </c>
      <c r="E1882" s="10" t="s">
        <v>33</v>
      </c>
      <c r="F1882" s="10" t="s">
        <v>33</v>
      </c>
      <c r="G1882" s="10" t="s">
        <v>1111</v>
      </c>
      <c r="H1882" s="10" t="s">
        <v>36</v>
      </c>
    </row>
    <row r="1883" spans="1:8" x14ac:dyDescent="0.3">
      <c r="A1883" t="s">
        <v>196</v>
      </c>
      <c r="B1883" s="2">
        <v>46266</v>
      </c>
      <c r="C1883" s="10">
        <v>30</v>
      </c>
      <c r="D1883" s="10">
        <v>0</v>
      </c>
      <c r="E1883" s="10" t="s">
        <v>33</v>
      </c>
      <c r="F1883" s="10" t="s">
        <v>33</v>
      </c>
      <c r="G1883" s="10" t="s">
        <v>959</v>
      </c>
      <c r="H1883" s="10" t="s">
        <v>36</v>
      </c>
    </row>
    <row r="1884" spans="1:8" ht="28.8" x14ac:dyDescent="0.3">
      <c r="A1884" t="s">
        <v>1013</v>
      </c>
      <c r="B1884" s="2"/>
      <c r="C1884" s="10">
        <v>30</v>
      </c>
      <c r="D1884" s="10">
        <v>0</v>
      </c>
      <c r="E1884" s="10" t="s">
        <v>33</v>
      </c>
      <c r="F1884" s="10" t="s">
        <v>33</v>
      </c>
      <c r="G1884" s="10" t="s">
        <v>1111</v>
      </c>
      <c r="H1884" s="10" t="s">
        <v>36</v>
      </c>
    </row>
    <row r="1885" spans="1:8" ht="28.8" x14ac:dyDescent="0.3">
      <c r="A1885" t="s">
        <v>199</v>
      </c>
      <c r="B1885" s="2">
        <v>46266</v>
      </c>
      <c r="C1885" s="10">
        <v>30</v>
      </c>
      <c r="D1885" s="10">
        <v>0</v>
      </c>
      <c r="E1885" s="10" t="s">
        <v>33</v>
      </c>
      <c r="F1885" s="10" t="s">
        <v>33</v>
      </c>
      <c r="G1885" s="10" t="s">
        <v>1111</v>
      </c>
      <c r="H1885" s="10" t="s">
        <v>36</v>
      </c>
    </row>
    <row r="1886" spans="1:8" ht="28.8" x14ac:dyDescent="0.3">
      <c r="A1886" t="s">
        <v>201</v>
      </c>
      <c r="B1886" s="2">
        <v>46266</v>
      </c>
      <c r="C1886" s="10">
        <v>2</v>
      </c>
      <c r="D1886" s="10" t="s">
        <v>895</v>
      </c>
      <c r="E1886" s="10" t="s">
        <v>1118</v>
      </c>
      <c r="F1886" s="10" t="s">
        <v>33</v>
      </c>
      <c r="G1886" s="10" t="s">
        <v>1102</v>
      </c>
      <c r="H1886" s="10" t="s">
        <v>36</v>
      </c>
    </row>
    <row r="1887" spans="1:8" x14ac:dyDescent="0.3">
      <c r="A1887" t="s">
        <v>211</v>
      </c>
      <c r="B1887" s="2">
        <v>46266</v>
      </c>
      <c r="C1887" s="10">
        <v>30</v>
      </c>
      <c r="D1887" s="10">
        <v>0</v>
      </c>
      <c r="E1887" s="10" t="s">
        <v>33</v>
      </c>
      <c r="F1887" s="10" t="s">
        <v>33</v>
      </c>
      <c r="G1887" s="10" t="s">
        <v>1073</v>
      </c>
      <c r="H1887" s="10" t="s">
        <v>36</v>
      </c>
    </row>
    <row r="1888" spans="1:8" x14ac:dyDescent="0.3">
      <c r="A1888" t="s">
        <v>1004</v>
      </c>
      <c r="B1888" s="2">
        <v>46266</v>
      </c>
      <c r="C1888" s="10">
        <v>30</v>
      </c>
      <c r="D1888" s="10">
        <v>0</v>
      </c>
      <c r="E1888" s="10" t="s">
        <v>33</v>
      </c>
      <c r="F1888" s="10" t="s">
        <v>33</v>
      </c>
      <c r="G1888" s="10" t="s">
        <v>1073</v>
      </c>
      <c r="H1888" s="10" t="s">
        <v>36</v>
      </c>
    </row>
    <row r="1889" spans="1:8" ht="28.8" x14ac:dyDescent="0.3">
      <c r="A1889" t="s">
        <v>202</v>
      </c>
      <c r="B1889" s="2">
        <v>46266</v>
      </c>
      <c r="C1889" s="10">
        <v>30</v>
      </c>
      <c r="D1889" s="10">
        <v>0</v>
      </c>
      <c r="E1889" s="10" t="s">
        <v>33</v>
      </c>
      <c r="F1889" s="10" t="s">
        <v>33</v>
      </c>
      <c r="G1889" s="10" t="s">
        <v>1111</v>
      </c>
      <c r="H1889" s="10" t="s">
        <v>36</v>
      </c>
    </row>
    <row r="1890" spans="1:8" x14ac:dyDescent="0.3">
      <c r="A1890" t="s">
        <v>206</v>
      </c>
      <c r="B1890" s="2">
        <v>46266</v>
      </c>
      <c r="C1890" s="10" t="s">
        <v>36</v>
      </c>
      <c r="D1890" s="10" t="s">
        <v>36</v>
      </c>
      <c r="E1890" s="10" t="s">
        <v>36</v>
      </c>
      <c r="F1890" s="10" t="s">
        <v>36</v>
      </c>
      <c r="G1890" s="10" t="s">
        <v>36</v>
      </c>
      <c r="H1890" s="10" t="s">
        <v>36</v>
      </c>
    </row>
  </sheetData>
  <pageMargins left="0.75" right="0.75" top="1" bottom="1" header="0.5" footer="0.5"/>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Props1.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2</vt:i4>
      </vt:variant>
    </vt:vector>
  </HeadingPairs>
  <TitlesOfParts>
    <vt:vector size="11" baseType="lpstr">
      <vt:lpstr>site_tech_info</vt:lpstr>
      <vt:lpstr>Simulated Production</vt:lpstr>
      <vt:lpstr>OG</vt:lpstr>
      <vt:lpstr>measured</vt:lpstr>
      <vt:lpstr>Expected Production</vt:lpstr>
      <vt:lpstr>expected_production</vt:lpstr>
      <vt:lpstr>performance</vt:lpstr>
      <vt:lpstr>Comments</vt:lpstr>
      <vt:lpstr>CountryList</vt:lpstr>
      <vt:lpstr>AfricaCountries</vt:lpstr>
      <vt:lpstr>DegradationRate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2026-10-05T16:31:12Z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