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516" documentId="13_ncr:1_{8CCFD1E3-719E-4C10-96BD-950107C648A6}" xr6:coauthVersionLast="47" xr6:coauthVersionMax="47" xr10:uidLastSave="{42647637-DA25-4CF8-9C6D-83C45F09EC19}"/>
  <bookViews>
    <workbookView xWindow="-28920" yWindow="-120" windowWidth="29040" windowHeight="15720" tabRatio="746" activeTab="7"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779" i="9" l="1" a="1"/>
  <c r="D2779" i="9" s="1"/>
  <c r="C2779" i="9" a="1"/>
  <c r="C2779" i="9" s="1"/>
  <c r="D2778" i="9" a="1"/>
  <c r="D2778" i="9" s="1"/>
  <c r="C2778" i="9" a="1"/>
  <c r="C2778" i="9" s="1"/>
  <c r="D2777" i="9" a="1"/>
  <c r="D2777" i="9" s="1"/>
  <c r="C2777" i="9" a="1"/>
  <c r="C2777" i="9" s="1"/>
  <c r="D2776" i="9" a="1"/>
  <c r="D2776" i="9" s="1"/>
  <c r="C2776" i="9" a="1"/>
  <c r="C2776" i="9" s="1"/>
  <c r="D2775" i="9" a="1"/>
  <c r="D2775" i="9" s="1"/>
  <c r="C2775" i="9" a="1"/>
  <c r="C2775" i="9" s="1"/>
  <c r="D2774" i="9" a="1"/>
  <c r="D2774" i="9" s="1"/>
  <c r="C2774" i="9" a="1"/>
  <c r="C2774" i="9" s="1"/>
  <c r="E2774" i="9" s="1"/>
  <c r="F2774" i="9" s="1"/>
  <c r="D2773" i="9" a="1"/>
  <c r="D2773"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E2775" i="9" l="1"/>
  <c r="F2775" i="9" s="1"/>
  <c r="E2777" i="9"/>
  <c r="F2777" i="9" s="1"/>
  <c r="E2776" i="9"/>
  <c r="F2776" i="9" s="1"/>
  <c r="E2778" i="9"/>
  <c r="F2778" i="9" s="1"/>
  <c r="E2773" i="9"/>
  <c r="F2773" i="9" s="1"/>
  <c r="E2779" i="9"/>
  <c r="F2779" i="9" s="1"/>
  <c r="F15" i="12"/>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D78" i="6"/>
  <c r="C2751" i="7" s="1"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I64" i="4"/>
  <c r="J64" i="6" s="1"/>
  <c r="I63" i="4"/>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79" i="9" a="1"/>
  <c r="D2679" i="9" s="1"/>
  <c r="E2679" i="9" s="1"/>
  <c r="F2679" i="9" s="1"/>
  <c r="D2667" i="9" a="1"/>
  <c r="D2667" i="9" s="1"/>
  <c r="E2667" i="9" s="1"/>
  <c r="F2667" i="9" s="1"/>
  <c r="D2716" i="9" a="1"/>
  <c r="D2716" i="9" s="1"/>
  <c r="E2716" i="9" s="1"/>
  <c r="F2716"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461" i="9" l="1"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<sst xmlns="http://schemas.openxmlformats.org/spreadsheetml/2006/main" count="14684" uniqueCount="1068">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</sst>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8"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5">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5" borderId="2" xfId="0" applyFill="1" applyBorder="1" applyAlignment="1">
      <alignment vertical="top" wrapText="1"/>
    </xf>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Y82" totalsRowShown="0">
  <autoFilter ref="A1:Y82" xr:uid="{00000000-000C-0000-FFFF-FFFF00000000}"/>
  <sortState xmlns:xlrd2="http://schemas.microsoft.com/office/spreadsheetml/2017/richdata2" ref="A2:Y82">
    <sortCondition ref="A1:A82"/>
  </sortState>
  <tableColumns count="25">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08" totalsRowShown="0">
  <autoFilter ref="A1:C2708" xr:uid="{00000000-0009-0000-0100-000006000000}">
    <filterColumn colId="1">
      <filters>
        <dateGroupItem year="2026" month="7"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7"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sortState xmlns:xlrd2="http://schemas.microsoft.com/office/spreadsheetml/2017/richdata2" ref="A23: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7"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228"/>
  <sheetViews>
    <sheetView zoomScale="98" zoomScaleNormal="98" workbookViewId="0">
      <pane xSplit="1" ySplit="1" topLeftCell="M21" activePane="bottomRight" state="frozen"/>
      <selection pane="topRight" activeCell="B1" sqref="B1"/>
      <selection pane="bottomLeft" activeCell="A2" sqref="A2"/>
      <selection pane="bottomRight" activeCell="S38" sqref="S38"/>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s>
  <sheetData>
    <row r="1" spans="1:25"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row>
    <row r="2" spans="1:25"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3.5345653661875427</v>
      </c>
      <c r="X2" t="s">
        <v>1000</v>
      </c>
      <c r="Y2" t="s">
        <v>1000</v>
      </c>
    </row>
    <row r="3" spans="1:25"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2.8966461327857633</v>
      </c>
      <c r="X3" t="s">
        <v>1009</v>
      </c>
      <c r="Y3" t="s">
        <v>1000</v>
      </c>
    </row>
    <row r="4" spans="1:25"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1.6317590691307324</v>
      </c>
      <c r="X4" t="s">
        <v>1000</v>
      </c>
      <c r="Y4" t="s">
        <v>1000</v>
      </c>
    </row>
    <row r="5" spans="1:25"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0.31211498973305957</v>
      </c>
      <c r="X5" t="s">
        <v>1000</v>
      </c>
      <c r="Y5" t="s">
        <v>1000</v>
      </c>
    </row>
    <row r="6" spans="1:25"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3.6851471594798082</v>
      </c>
      <c r="X6" t="s">
        <v>1000</v>
      </c>
      <c r="Y6" t="s">
        <v>1008</v>
      </c>
    </row>
    <row r="7" spans="1:25"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2.6885694729637235</v>
      </c>
      <c r="X7" t="s">
        <v>1000</v>
      </c>
      <c r="Y7" t="s">
        <v>1008</v>
      </c>
    </row>
    <row r="8" spans="1:25"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2.6885694729637235</v>
      </c>
      <c r="X8" t="s">
        <v>1000</v>
      </c>
      <c r="Y8" t="s">
        <v>1000</v>
      </c>
    </row>
    <row r="9" spans="1:25"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1.7631759069130732</v>
      </c>
      <c r="X9" t="s">
        <v>1000</v>
      </c>
      <c r="Y9" t="s">
        <v>1008</v>
      </c>
    </row>
    <row r="10" spans="1:25"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2.9322381930184807</v>
      </c>
      <c r="X10" t="s">
        <v>1000</v>
      </c>
      <c r="Y10" t="s">
        <v>1008</v>
      </c>
    </row>
    <row r="11" spans="1:25"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2.2039698836413417</v>
      </c>
      <c r="X11" t="s">
        <v>1000</v>
      </c>
      <c r="Y11" t="s">
        <v>1000</v>
      </c>
    </row>
    <row r="12" spans="1:25"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0.34223134839151265</v>
      </c>
      <c r="X12" t="s">
        <v>1008</v>
      </c>
      <c r="Y12" t="s">
        <v>1000</v>
      </c>
    </row>
    <row r="13" spans="1:25"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row>
    <row r="14" spans="1:25"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row>
    <row r="15" spans="1:25"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2.1437371663244353</v>
      </c>
      <c r="X15" t="s">
        <v>1000</v>
      </c>
      <c r="Y15" t="s">
        <v>1000</v>
      </c>
    </row>
    <row r="16" spans="1:25"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4.3504449007529091</v>
      </c>
      <c r="X16" t="s">
        <v>1000</v>
      </c>
      <c r="Y16" t="s">
        <v>1000</v>
      </c>
    </row>
    <row r="17" spans="1:25"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4.4106776180698155</v>
      </c>
      <c r="X17" t="s">
        <v>1000</v>
      </c>
      <c r="Y17" t="s">
        <v>1000</v>
      </c>
    </row>
    <row r="18" spans="1:25"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2.0396988364134154</v>
      </c>
      <c r="X18" t="s">
        <v>1000</v>
      </c>
      <c r="Y18" t="s">
        <v>1000</v>
      </c>
    </row>
    <row r="19" spans="1:25"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2.1738535249828885</v>
      </c>
      <c r="X19" t="s">
        <v>1000</v>
      </c>
      <c r="Y19" t="s">
        <v>1000</v>
      </c>
    </row>
    <row r="20" spans="1:25"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0.2518822724161533</v>
      </c>
      <c r="X20" t="s">
        <v>1001</v>
      </c>
      <c r="Y20" t="s">
        <v>1000</v>
      </c>
    </row>
    <row r="21" spans="1:25"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0.82956878850102667</v>
      </c>
      <c r="X21" t="s">
        <v>1000</v>
      </c>
      <c r="Y21" t="s">
        <v>1000</v>
      </c>
    </row>
    <row r="22" spans="1:25"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4.85968514715948</v>
      </c>
      <c r="X22" t="s">
        <v>1000</v>
      </c>
      <c r="Y22" t="s">
        <v>1000</v>
      </c>
    </row>
    <row r="23" spans="1:25"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4.85968514715948</v>
      </c>
      <c r="X23" t="s">
        <v>1000</v>
      </c>
      <c r="Y23" t="s">
        <v>1000</v>
      </c>
    </row>
    <row r="24" spans="1:25"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3.2334017796030117</v>
      </c>
      <c r="X24" t="s">
        <v>1000</v>
      </c>
      <c r="Y24" t="s">
        <v>1000</v>
      </c>
    </row>
    <row r="25" spans="1:25"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3.2361396303901437</v>
      </c>
      <c r="X25" t="s">
        <v>1000</v>
      </c>
      <c r="Y25" t="s">
        <v>1000</v>
      </c>
    </row>
    <row r="26" spans="1:25"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0.45995893223819301</v>
      </c>
      <c r="X26" t="s">
        <v>1000</v>
      </c>
      <c r="Y26" t="s">
        <v>1000</v>
      </c>
    </row>
    <row r="27" spans="1:25"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2.3189596167008899</v>
      </c>
      <c r="X27" t="s">
        <v>1000</v>
      </c>
      <c r="Y27" t="s">
        <v>1000</v>
      </c>
    </row>
    <row r="28" spans="1:25"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t="s">
        <v>22</v>
      </c>
      <c r="T28" s="1" t="s">
        <v>42</v>
      </c>
      <c r="U28" s="1" t="s">
        <v>22</v>
      </c>
      <c r="V28" t="s">
        <v>874</v>
      </c>
      <c r="W28" s="20" t="str">
        <f t="shared" ca="1" si="0"/>
        <v/>
      </c>
      <c r="X28" t="s">
        <v>1000</v>
      </c>
      <c r="Y28" t="s">
        <v>1000</v>
      </c>
    </row>
    <row r="29" spans="1:25"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3.2799452429842573</v>
      </c>
      <c r="X29" t="s">
        <v>1000</v>
      </c>
      <c r="Y29" t="s">
        <v>1000</v>
      </c>
    </row>
    <row r="30" spans="1:25"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2.1656399726214923</v>
      </c>
      <c r="X30" t="s">
        <v>1000</v>
      </c>
      <c r="Y30" t="s">
        <v>1000</v>
      </c>
    </row>
    <row r="31" spans="1:25"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0.87611225188227237</v>
      </c>
      <c r="X31" t="s">
        <v>1000</v>
      </c>
      <c r="Y31" t="s">
        <v>1000</v>
      </c>
    </row>
    <row r="32" spans="1:25"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0.87611225188227237</v>
      </c>
      <c r="X32" t="s">
        <v>1000</v>
      </c>
      <c r="Y32" t="s">
        <v>1000</v>
      </c>
    </row>
    <row r="33" spans="1:25"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row>
    <row r="34" spans="1:25"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3.2963723477070501</v>
      </c>
      <c r="X34" t="s">
        <v>1000</v>
      </c>
      <c r="Y34" t="s">
        <v>1000</v>
      </c>
    </row>
    <row r="35" spans="1:25"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t="s">
        <v>22</v>
      </c>
      <c r="T35" s="1" t="s">
        <v>42</v>
      </c>
      <c r="U35" s="1" t="s">
        <v>48</v>
      </c>
      <c r="V35" t="s">
        <v>874</v>
      </c>
      <c r="W35" s="20" t="str">
        <f t="shared" ca="1" si="1"/>
        <v/>
      </c>
      <c r="X35" t="s">
        <v>1001</v>
      </c>
      <c r="Y35" t="s">
        <v>1000</v>
      </c>
    </row>
    <row r="36" spans="1:25"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4.2765229295003424</v>
      </c>
      <c r="X36" t="s">
        <v>1000</v>
      </c>
      <c r="Y36" t="s">
        <v>1000</v>
      </c>
    </row>
    <row r="37" spans="1:25"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2.3408624229979464</v>
      </c>
      <c r="X37" t="s">
        <v>1000</v>
      </c>
      <c r="Y37" t="s">
        <v>1000</v>
      </c>
    </row>
    <row r="38" spans="1:25"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t="s">
        <v>22</v>
      </c>
      <c r="T38" s="1" t="s">
        <v>42</v>
      </c>
      <c r="U38" s="1" t="s">
        <v>22</v>
      </c>
      <c r="V38" s="12"/>
      <c r="W38" s="20" t="str">
        <f t="shared" ca="1" si="1"/>
        <v/>
      </c>
      <c r="X38" t="s">
        <v>1000</v>
      </c>
      <c r="Y38" t="s">
        <v>1000</v>
      </c>
    </row>
    <row r="39" spans="1:25"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2.754277891854894</v>
      </c>
      <c r="X39" t="s">
        <v>1000</v>
      </c>
      <c r="Y39" t="s">
        <v>1000</v>
      </c>
    </row>
    <row r="40" spans="1:25"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2.4722792607802875</v>
      </c>
      <c r="X40" t="s">
        <v>1000</v>
      </c>
      <c r="Y40" t="s">
        <v>1000</v>
      </c>
    </row>
    <row r="41" spans="1:25"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2.9349760438056127</v>
      </c>
      <c r="X41" t="s">
        <v>1000</v>
      </c>
      <c r="Y41" t="s">
        <v>1000</v>
      </c>
    </row>
    <row r="42" spans="1:25"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0.90349075975359339</v>
      </c>
      <c r="X42" t="s">
        <v>1001</v>
      </c>
      <c r="Y42" t="s">
        <v>1000</v>
      </c>
    </row>
    <row r="43" spans="1:25"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0.90349075975359339</v>
      </c>
      <c r="X43" t="s">
        <v>1001</v>
      </c>
      <c r="Y43" t="s">
        <v>1000</v>
      </c>
    </row>
    <row r="44" spans="1:25"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2.9568788501026693</v>
      </c>
      <c r="X44" t="s">
        <v>1000</v>
      </c>
      <c r="Y44" t="s">
        <v>1000</v>
      </c>
    </row>
    <row r="45" spans="1:25"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3.1567419575633129</v>
      </c>
      <c r="X45" s="22" t="s">
        <v>1000</v>
      </c>
      <c r="Y45" t="s">
        <v>1000</v>
      </c>
    </row>
    <row r="46" spans="1:25"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4.2874743326488707</v>
      </c>
      <c r="X46" t="s">
        <v>1000</v>
      </c>
      <c r="Y46" t="s">
        <v>1000</v>
      </c>
    </row>
    <row r="47" spans="1:25"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t="s">
        <v>22</v>
      </c>
      <c r="T47" s="1" t="s">
        <v>42</v>
      </c>
      <c r="U47" s="1" t="s">
        <v>22</v>
      </c>
      <c r="V47" t="s">
        <v>874</v>
      </c>
      <c r="W47" s="20" t="str">
        <f t="shared" ca="1" si="1"/>
        <v/>
      </c>
      <c r="X47" t="s">
        <v>1000</v>
      </c>
      <c r="Y47" t="s">
        <v>1000</v>
      </c>
    </row>
    <row r="48" spans="1:25"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3.1813826146475015</v>
      </c>
      <c r="X48" t="s">
        <v>1000</v>
      </c>
      <c r="Y48" t="s">
        <v>1000</v>
      </c>
    </row>
    <row r="49" spans="1:25"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4.3559206023271733</v>
      </c>
      <c r="X49" t="s">
        <v>1000</v>
      </c>
      <c r="Y49" t="s">
        <v>1000</v>
      </c>
    </row>
    <row r="50" spans="1:25"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3.2744695414099931</v>
      </c>
      <c r="X50" t="s">
        <v>1000</v>
      </c>
      <c r="Y50" t="s">
        <v>1000</v>
      </c>
    </row>
    <row r="51" spans="1:25"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0.38329911019849416</v>
      </c>
      <c r="X51" t="s">
        <v>1008</v>
      </c>
      <c r="Y51" t="s">
        <v>1000</v>
      </c>
    </row>
    <row r="52" spans="1:25"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row>
    <row r="53" spans="1:25"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t="s">
        <v>22</v>
      </c>
      <c r="T53" s="1" t="s">
        <v>42</v>
      </c>
      <c r="U53" s="1" t="s">
        <v>101</v>
      </c>
      <c r="V53" t="s">
        <v>874</v>
      </c>
      <c r="W53" s="20" t="str">
        <f t="shared" ca="1" si="1"/>
        <v/>
      </c>
      <c r="X53" t="s">
        <v>1000</v>
      </c>
      <c r="Y53" t="s">
        <v>1000</v>
      </c>
    </row>
    <row r="54" spans="1:25"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t="s">
        <v>22</v>
      </c>
      <c r="T54" s="1" t="s">
        <v>42</v>
      </c>
      <c r="U54" s="1" t="s">
        <v>101</v>
      </c>
      <c r="V54" t="s">
        <v>874</v>
      </c>
      <c r="W54" s="20" t="str">
        <f t="shared" ca="1" si="1"/>
        <v/>
      </c>
      <c r="X54" t="s">
        <v>1000</v>
      </c>
      <c r="Y54" t="s">
        <v>1000</v>
      </c>
    </row>
    <row r="55" spans="1:25"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t="s">
        <v>22</v>
      </c>
      <c r="T55" s="1" t="s">
        <v>42</v>
      </c>
      <c r="U55" s="1" t="s">
        <v>22</v>
      </c>
      <c r="V55" t="s">
        <v>874</v>
      </c>
      <c r="W55" s="20" t="str">
        <f t="shared" ca="1" si="1"/>
        <v/>
      </c>
      <c r="X55" t="s">
        <v>1000</v>
      </c>
      <c r="Y55" t="s">
        <v>1000</v>
      </c>
    </row>
    <row r="56" spans="1:25"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t="s">
        <v>22</v>
      </c>
      <c r="T56" s="1" t="s">
        <v>42</v>
      </c>
      <c r="U56" s="1" t="s">
        <v>22</v>
      </c>
      <c r="V56" t="s">
        <v>874</v>
      </c>
      <c r="W56" s="20" t="str">
        <f t="shared" ca="1" si="1"/>
        <v/>
      </c>
      <c r="X56" t="s">
        <v>1000</v>
      </c>
      <c r="Y56" t="s">
        <v>1000</v>
      </c>
    </row>
    <row r="57" spans="1:25"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c r="T57" s="1" t="s">
        <v>42</v>
      </c>
      <c r="U57" s="1" t="s">
        <v>84</v>
      </c>
      <c r="V57" t="s">
        <v>874</v>
      </c>
      <c r="W57" s="20" t="str">
        <f t="shared" ca="1" si="1"/>
        <v/>
      </c>
      <c r="X57" t="s">
        <v>1000</v>
      </c>
      <c r="Y57" t="s">
        <v>1000</v>
      </c>
    </row>
    <row r="58" spans="1:25"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c r="T58" s="1" t="s">
        <v>42</v>
      </c>
      <c r="U58" s="1" t="s">
        <v>84</v>
      </c>
      <c r="V58" t="s">
        <v>874</v>
      </c>
      <c r="W58" s="20" t="str">
        <f t="shared" ca="1" si="1"/>
        <v/>
      </c>
      <c r="X58" t="s">
        <v>1000</v>
      </c>
      <c r="Y58" t="s">
        <v>1000</v>
      </c>
    </row>
    <row r="59" spans="1:25"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c r="T59" s="1" t="s">
        <v>42</v>
      </c>
      <c r="U59" s="1" t="s">
        <v>54</v>
      </c>
      <c r="V59" t="s">
        <v>874</v>
      </c>
      <c r="W59" s="20" t="str">
        <f t="shared" ca="1" si="1"/>
        <v/>
      </c>
      <c r="X59" t="s">
        <v>1000</v>
      </c>
      <c r="Y59" t="s">
        <v>1000</v>
      </c>
    </row>
    <row r="60" spans="1:25"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0.50924024640657084</v>
      </c>
      <c r="X60" t="s">
        <v>1008</v>
      </c>
      <c r="Y60" t="s">
        <v>1000</v>
      </c>
    </row>
    <row r="61" spans="1:25"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1.8179329226557153</v>
      </c>
      <c r="X61" t="s">
        <v>1000</v>
      </c>
      <c r="Y61" t="s">
        <v>1001</v>
      </c>
    </row>
    <row r="62" spans="1:25"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1.9055441478439425</v>
      </c>
      <c r="X62" t="s">
        <v>1000</v>
      </c>
      <c r="Y62" t="s">
        <v>1000</v>
      </c>
    </row>
    <row r="63" spans="1:25"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8.2135523613963042E-3</v>
      </c>
      <c r="X63" t="s">
        <v>1008</v>
      </c>
      <c r="Y63" t="s">
        <v>1000</v>
      </c>
    </row>
    <row r="64" spans="1:25"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1.9794661190965093</v>
      </c>
      <c r="X64" t="s">
        <v>1000</v>
      </c>
      <c r="Y64" t="s">
        <v>1000</v>
      </c>
    </row>
    <row r="65" spans="1:25"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1.9548254620123204</v>
      </c>
      <c r="X65" t="s">
        <v>1001</v>
      </c>
      <c r="Y65" t="s">
        <v>1000</v>
      </c>
    </row>
    <row r="66" spans="1:25"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0.71731690622861055</v>
      </c>
      <c r="X66" t="s">
        <v>1000</v>
      </c>
      <c r="Y66" t="s">
        <v>1000</v>
      </c>
    </row>
    <row r="67" spans="1:25"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9.3086926762491445E-2</v>
      </c>
      <c r="X67" t="s">
        <v>1008</v>
      </c>
      <c r="Y67" t="s">
        <v>1000</v>
      </c>
    </row>
    <row r="68" spans="1:25"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1.3853524982888432</v>
      </c>
      <c r="X68" t="s">
        <v>1001</v>
      </c>
      <c r="Y68" t="s">
        <v>1000</v>
      </c>
    </row>
    <row r="69" spans="1:25"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t="s">
        <v>22</v>
      </c>
      <c r="T69" s="1" t="s">
        <v>42</v>
      </c>
      <c r="U69" s="1" t="s">
        <v>103</v>
      </c>
      <c r="V69" t="s">
        <v>874</v>
      </c>
      <c r="W69" s="20" t="str">
        <f t="shared" ca="1" si="2"/>
        <v/>
      </c>
      <c r="X69" t="s">
        <v>1000</v>
      </c>
      <c r="Y69" t="s">
        <v>1000</v>
      </c>
    </row>
    <row r="70" spans="1:25"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0.99931553730321698</v>
      </c>
      <c r="X70" t="s">
        <v>1001</v>
      </c>
      <c r="Y70" t="s">
        <v>1000</v>
      </c>
    </row>
    <row r="71" spans="1:25"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0.99931553730321698</v>
      </c>
      <c r="X71" t="s">
        <v>1001</v>
      </c>
      <c r="Y71" t="s">
        <v>1000</v>
      </c>
    </row>
    <row r="72" spans="1:25"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0.99931553730321698</v>
      </c>
      <c r="X72" t="s">
        <v>1001</v>
      </c>
      <c r="Y72" t="s">
        <v>1000</v>
      </c>
    </row>
    <row r="73" spans="1:25"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2.7570157426420261</v>
      </c>
      <c r="X73" t="s">
        <v>1000</v>
      </c>
      <c r="Y73" t="s">
        <v>1000</v>
      </c>
    </row>
    <row r="74" spans="1:25"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3.247091033538672</v>
      </c>
      <c r="X74" t="s">
        <v>1000</v>
      </c>
      <c r="Y74" t="s">
        <v>1000</v>
      </c>
    </row>
    <row r="75" spans="1:25"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c r="T75" s="1" t="s">
        <v>42</v>
      </c>
      <c r="U75" s="1" t="s">
        <v>84</v>
      </c>
      <c r="V75" t="s">
        <v>874</v>
      </c>
      <c r="W75" s="20" t="str">
        <f t="shared" ca="1" si="2"/>
        <v/>
      </c>
      <c r="X75" t="s">
        <v>1000</v>
      </c>
      <c r="Y75" t="s">
        <v>1000</v>
      </c>
    </row>
    <row r="76" spans="1:25"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t="s">
        <v>22</v>
      </c>
      <c r="T76" s="1" t="s">
        <v>42</v>
      </c>
      <c r="U76" s="1" t="s">
        <v>22</v>
      </c>
      <c r="V76" t="s">
        <v>874</v>
      </c>
      <c r="W76" s="20" t="str">
        <f t="shared" ca="1" si="2"/>
        <v/>
      </c>
      <c r="X76" t="s">
        <v>1000</v>
      </c>
      <c r="Y76" t="s">
        <v>1000</v>
      </c>
    </row>
    <row r="77" spans="1:25"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t="s">
        <v>22</v>
      </c>
      <c r="T77" s="1" t="s">
        <v>42</v>
      </c>
      <c r="U77" s="1" t="s">
        <v>22</v>
      </c>
      <c r="V77" t="s">
        <v>874</v>
      </c>
      <c r="W77" s="20" t="str">
        <f t="shared" ca="1" si="2"/>
        <v/>
      </c>
      <c r="X77" t="s">
        <v>1000</v>
      </c>
      <c r="Y77" t="s">
        <v>1000</v>
      </c>
    </row>
    <row r="78" spans="1:25"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c r="T78" s="1" t="s">
        <v>42</v>
      </c>
      <c r="U78" s="1" t="s">
        <v>210</v>
      </c>
      <c r="V78" t="s">
        <v>874</v>
      </c>
      <c r="W78" s="20" t="str">
        <f t="shared" ca="1" si="2"/>
        <v/>
      </c>
      <c r="X78" t="s">
        <v>1000</v>
      </c>
      <c r="Y78" t="s">
        <v>1000</v>
      </c>
    </row>
    <row r="79" spans="1:25"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0.18891170431211499</v>
      </c>
      <c r="X79" t="s">
        <v>1008</v>
      </c>
      <c r="Y79" t="s">
        <v>1000</v>
      </c>
    </row>
    <row r="80" spans="1:25"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row>
    <row r="81" spans="1:25"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3.2717316906228611</v>
      </c>
      <c r="X81" t="s">
        <v>1000</v>
      </c>
      <c r="Y81" t="s">
        <v>1000</v>
      </c>
    </row>
    <row r="82" spans="1:25"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2.9185489390828199</v>
      </c>
      <c r="X82" t="s">
        <v>1000</v>
      </c>
      <c r="Y82" t="s">
        <v>1000</v>
      </c>
    </row>
    <row r="83" spans="1:25" ht="14.25" customHeight="1" x14ac:dyDescent="0.3"/>
    <row r="84" spans="1:25" ht="14.25" customHeight="1" x14ac:dyDescent="0.3"/>
    <row r="85" spans="1:25" ht="14.25" customHeight="1" x14ac:dyDescent="0.3"/>
    <row r="86" spans="1:25" ht="14.25" customHeight="1" x14ac:dyDescent="0.3"/>
    <row r="87" spans="1:25" ht="14.25" customHeight="1" x14ac:dyDescent="0.3"/>
    <row r="88" spans="1:25" ht="14.25" customHeight="1" x14ac:dyDescent="0.3"/>
    <row r="89" spans="1:25" ht="14.25" customHeight="1" x14ac:dyDescent="0.3"/>
    <row r="90" spans="1:25" ht="14.25" customHeight="1" x14ac:dyDescent="0.3"/>
    <row r="91" spans="1:25" ht="14.25" customHeight="1" x14ac:dyDescent="0.3"/>
    <row r="92" spans="1:25" ht="14.25" customHeight="1" x14ac:dyDescent="0.3"/>
    <row r="93" spans="1:25" ht="14.25" customHeight="1" x14ac:dyDescent="0.3"/>
    <row r="94" spans="1:25" ht="14.25" customHeight="1" x14ac:dyDescent="0.3"/>
    <row r="95" spans="1:25" ht="14.25" customHeight="1" x14ac:dyDescent="0.3"/>
    <row r="96" spans="1:25"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8">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82"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2"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2" xr:uid="{00000000-0002-0000-0000-000002000000}">
      <formula1>"Decommissioned,Producing,Reduced Demand"</formula1>
      <formula2>0</formula2>
    </dataValidation>
    <dataValidation type="list" allowBlank="1" showInputMessage="1" showErrorMessage="1" sqref="V2:V82" xr:uid="{2A54AE45-3D04-43F7-B880-1BB329B234AF}">
      <formula1>"YES,NO"</formula1>
    </dataValidation>
    <dataValidation type="list" allowBlank="1" showInputMessage="1" showErrorMessage="1" sqref="X2:Y82" xr:uid="{44973B9A-327E-4911-A79C-D3F0049038B9}">
      <formula1>"High,Medium,Low,Unknown"</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29" activePane="bottomRight" state="frozen"/>
      <selection pane="topRight" activeCell="B1" sqref="B1"/>
      <selection pane="bottomLeft" activeCell="A2" sqref="A2"/>
      <selection pane="bottomRight" activeCell="A80" sqref="A80"/>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(10/31)*7916</f>
        <v>2553.5483870967741</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(10/31)*24908</f>
        <v>8034.8387096774195</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(10/31)*8155.7</f>
        <v>2630.8709677419351</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7" t="s">
        <v>49</v>
      </c>
      <c r="B2" s="28" t="s">
        <v>875</v>
      </c>
      <c r="C2" s="29" cm="1">
        <f t="array" ref="C2">IFERROR(INDEX('Expected Production'!$B$2:$B$80,MATCH(TRIM($A2),INDEX(TRIM('Expected Production'!$A$2:$A$80),0),0)),"Not found")</f>
        <v>0.9</v>
      </c>
      <c r="D2" s="30" cm="1">
        <f t="array" aca="1" ref="D2" ca="1">_xlfn.IFNA(_xlfn.XLOOKUP(TRIM(A2),TRIM(site_tech_info!$A$2:$A$79),site_tech_info!$W$2:$W$79),"")</f>
        <v>1.6317590691307324</v>
      </c>
      <c r="E2" s="31" cm="1">
        <f t="array" ref="E2">IFERROR(SUM(INDEX('Simulated Production'!$B$2:$M$80,MATCH(TRIM($A2),INDEX(TRIM('Simulated Production'!$A$2:$A$80),0),0),0)),"Not found")</f>
        <v>63342</v>
      </c>
      <c r="F2" s="32">
        <f ca="1">(Table2[[#This Row],[As-Built kWh]]*Table2[[#This Row],[Expected Utilisation%]])*(1-0.007)^(Table2[[#This Row],[Age]])</f>
        <v>56358.080096430327</v>
      </c>
      <c r="G2" s="32">
        <f ca="1">(4681+4732*(9/31)+4546*(10/31)+4620*(3/30)+4991+4762)*(1-0.007)^(Table2[[#This Row],[Age]])</f>
        <v>17534.117306946737</v>
      </c>
      <c r="H2" s="31">
        <f ca="1">F2-G2</f>
        <v>38823.962789483587</v>
      </c>
      <c r="I2" s="31" cm="1">
        <f t="array" ref="I2">SUMPRODUCT((TRIM(measured[Site Name])=TRIM($A2))*(measured[Date]&gt;=DATE(2025,7,1))*(measured[Date]&lt;=DATE(2026,6,30))*measured[Measured Value (kWh)])</f>
        <v>34917.199999999997</v>
      </c>
      <c r="J2" s="31">
        <f ca="1">I2-H2</f>
        <v>-3906.7627894835896</v>
      </c>
      <c r="K2" s="31">
        <f ca="1">(Table2[[#This Row],[Actual Generation (kWh)]]/Table2[[#This Row],[Correct kWh]])*100</f>
        <v>89.937238476485888</v>
      </c>
      <c r="L2" s="28" t="s">
        <v>983</v>
      </c>
    </row>
    <row r="3" spans="1:12" x14ac:dyDescent="0.3">
      <c r="A3" s="27" t="s">
        <v>81</v>
      </c>
      <c r="B3" s="28" t="s">
        <v>875</v>
      </c>
      <c r="C3" s="29" cm="1">
        <f t="array" ref="C3">IFERROR(INDEX('Expected Production'!$B$2:$B$80,MATCH(TRIM($A3),INDEX(TRIM('Expected Production'!$A$2:$A$80),0),0)),"Not found")</f>
        <v>0.9</v>
      </c>
      <c r="D3" s="30" cm="1">
        <f t="array" aca="1" ref="D3" ca="1">_xlfn.IFNA(_xlfn.XLOOKUP(TRIM(A3),TRIM(site_tech_info!$A$2:$A$79),site_tech_info!$W$2:$W$79),"")</f>
        <v>2.1437371663244353</v>
      </c>
      <c r="E3" s="31" cm="1">
        <f t="array" ref="E3">IFERROR(SUM(INDEX('Simulated Production'!$B$2:$M$80,MATCH(TRIM($A3),INDEX(TRIM('Simulated Production'!$A$2:$A$80),0),0),0)),"Not found")</f>
        <v>94580</v>
      </c>
      <c r="F3" s="32">
        <f ca="1">(Table2[[#This Row],[As-Built kWh]]*Table2[[#This Row],[Expected Utilisation%]])*(1-0.007)^(Table2[[#This Row],[Age]])</f>
        <v>83849.757268788511</v>
      </c>
      <c r="G3" s="32">
        <f ca="1">(8100*(1/2)+7806*(1/2))*(1-0.007)^(Table2[[#This Row],[Age]])</f>
        <v>7834.1335913004277</v>
      </c>
      <c r="H3" s="31">
        <f t="shared" ref="H3:H24" ca="1" si="0">F3-G3</f>
        <v>76015.623677488082</v>
      </c>
      <c r="I3" s="31" cm="1">
        <f t="array" ref="I3">SUMPRODUCT((TRIM(measured[Site Name])=TRIM($A3))*(measured[Date]&gt;=DATE(2025,7,1))*(measured[Date]&lt;=DATE(2026,6,30))*measured[Measured Value (kWh)])</f>
        <v>76046.755900000004</v>
      </c>
      <c r="J3" s="31">
        <f t="shared" ref="J3:J23" ca="1" si="1">I3-H3</f>
        <v>31.132222511922009</v>
      </c>
      <c r="K3" s="31">
        <f ca="1">(Table2[[#This Row],[Actual Generation (kWh)]]/Table2[[#This Row],[Correct kWh]])*100</f>
        <v>100.04095503135515</v>
      </c>
      <c r="L3" s="28" t="s">
        <v>980</v>
      </c>
    </row>
    <row r="4" spans="1:12" x14ac:dyDescent="0.3">
      <c r="A4" s="27" t="s">
        <v>95</v>
      </c>
      <c r="B4" s="28" t="s">
        <v>875</v>
      </c>
      <c r="C4" s="29" cm="1">
        <f t="array" ref="C4">IFERROR(INDEX('Expected Production'!$B$2:$B$80,MATCH(TRIM($A4),INDEX(TRIM('Expected Production'!$A$2:$A$80),0),0)),"Not found")</f>
        <v>0.8</v>
      </c>
      <c r="D4" s="30" cm="1">
        <f t="array" aca="1" ref="D4" ca="1">_xlfn.IFNA(_xlfn.XLOOKUP(TRIM(A4),TRIM(site_tech_info!$A$2:$A$79),site_tech_info!$W$2:$W$79),"")</f>
        <v>2.1738535249828885</v>
      </c>
      <c r="E4" s="31" cm="1">
        <f t="array" ref="E4">IFERROR(SUM(INDEX('Simulated Production'!$B$2:$M$80,MATCH(TRIM($A4),INDEX(TRIM('Simulated Production'!$A$2:$A$80),0),0),0)),"Not found")</f>
        <v>428379</v>
      </c>
      <c r="F4" s="32">
        <f ca="1">(Table2[[#This Row],[As-Built kWh]]*Table2[[#This Row],[Expected Utilisation%]])*(1-0.007)^(Table2[[#This Row],[Age]])</f>
        <v>337509.71075554157</v>
      </c>
      <c r="G4" s="32">
        <f ca="1">(23255*(7/30)+35066*(2/30))*(1-0.007)^(Table2[[#This Row],[Age]])</f>
        <v>7646.2421224399104</v>
      </c>
      <c r="H4" s="31">
        <f t="shared" ca="1" si="0"/>
        <v>329863.46863310167</v>
      </c>
      <c r="I4" s="31" cm="1">
        <f t="array" ref="I4">SUMPRODUCT((TRIM(measured[Site Name])=TRIM($A4))*(measured[Date]&gt;=DATE(2025,7,1))*(measured[Date]&lt;=DATE(2026,6,30))*measured[Measured Value (kWh)])</f>
        <v>166060.42000000001</v>
      </c>
      <c r="J4" s="31">
        <f t="shared" ca="1" si="1"/>
        <v>-163803.04863310166</v>
      </c>
      <c r="K4" s="31">
        <f ca="1">(Table2[[#This Row],[Actual Generation (kWh)]]/Table2[[#This Row],[Correct kWh]])*100</f>
        <v>50.342167530137928</v>
      </c>
      <c r="L4" s="28" t="s">
        <v>981</v>
      </c>
    </row>
    <row r="5" spans="1:12" x14ac:dyDescent="0.3">
      <c r="A5" s="36" t="s">
        <v>104</v>
      </c>
      <c r="B5" s="37" t="s">
        <v>875</v>
      </c>
      <c r="C5" s="38" cm="1">
        <f t="array" ref="C5">IFERROR(INDEX('Expected Production'!$B$2:$B$80,MATCH(TRIM($A5),INDEX(TRIM('Expected Production'!$A$2:$A$80),0),0)),"Not found")</f>
        <v>0.9</v>
      </c>
      <c r="D5" s="39" cm="1">
        <f t="array" aca="1" ref="D5" ca="1">_xlfn.IFNA(_xlfn.XLOOKUP(TRIM(A5),TRIM(site_tech_info!$A$2:$A$79),site_tech_info!$W$2:$W$79),"")</f>
        <v>3.2334017796030117</v>
      </c>
      <c r="E5" s="40" cm="1">
        <f t="array" ref="E5">IFERROR(SUM(INDEX('Simulated Production'!$B$2:$M$80,MATCH(TRIM($A5),INDEX(TRIM('Simulated Production'!$A$2:$A$80),0),0),0)),"Not found")</f>
        <v>45617</v>
      </c>
      <c r="F5" s="41">
        <f ca="1">(Table2[[#This Row],[As-Built kWh]]*Table2[[#This Row],[Expected Utilisation%]])*(1-0.007)^(Table2[[#This Row],[Age]])</f>
        <v>40133.304909310224</v>
      </c>
      <c r="G5" s="41">
        <f ca="1">(4681+3499*(9/31)+2081*(10/31)+4317*(3/30)+4991*(18/31))*(1-0.007)^(Table2[[#This Row],[Age]])</f>
        <v>9480.0410546256826</v>
      </c>
      <c r="H5" s="40">
        <f t="shared" ca="1" si="0"/>
        <v>30653.263854684541</v>
      </c>
      <c r="I5" s="40" cm="1">
        <f t="array" ref="I5">SUMPRODUCT((TRIM(measured[Site Name])=TRIM($A5))*(measured[Date]&gt;=DATE(2025,7,1))*(measured[Date]&lt;=DATE(2026,6,30))*measured[Measured Value (kWh)])</f>
        <v>24341.599999999999</v>
      </c>
      <c r="J5" s="40">
        <f t="shared" ca="1" si="1"/>
        <v>-6311.6638546845425</v>
      </c>
      <c r="K5" s="40">
        <f ca="1">(Table2[[#This Row],[Actual Generation (kWh)]]/Table2[[#This Row],[Correct kWh]])*100</f>
        <v>79.409488383991544</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3.2361396303901437</v>
      </c>
      <c r="E6" s="14" cm="1">
        <f t="array" ref="E6">IFERROR(SUM(INDEX('Simulated Production'!$B$2:$M$80,MATCH(TRIM($A6),INDEX(TRIM('Simulated Production'!$A$2:$A$80),0),0),0)),"Not found")</f>
        <v>40942</v>
      </c>
      <c r="F6" s="5">
        <f ca="1">(Table2[[#This Row],[As-Built kWh]]*Table2[[#This Row],[Expected Utilisation%]])*(1-0.007)^(Table2[[#This Row],[Age]])</f>
        <v>36019.601650793127</v>
      </c>
      <c r="G6" s="5">
        <f ca="1">(2974*(24/31)+3147*(2/30))*(1-0.007)^(Table2[[#This Row],[Age]])</f>
        <v>2455.7857550067229</v>
      </c>
      <c r="H6" s="14">
        <f t="shared" ca="1" si="0"/>
        <v>33563.815895786407</v>
      </c>
      <c r="I6" s="14" cm="1">
        <f t="array" ref="I6">SUMPRODUCT((TRIM(measured[Site Name])=TRIM($A6))*(measured[Date]&gt;=DATE(2025,7,1))*(measured[Date]&lt;=DATE(2026,6,30))*measured[Measured Value (kWh)])</f>
        <v>32105.499999999996</v>
      </c>
      <c r="J6" s="14">
        <f t="shared" ca="1" si="1"/>
        <v>-1458.3158957864107</v>
      </c>
      <c r="K6" s="14">
        <f ca="1">(Table2[[#This Row],[Actual Generation (kWh)]]/Table2[[#This Row],[Correct kWh]])*100</f>
        <v>95.655095057384443</v>
      </c>
      <c r="L6" t="s">
        <v>880</v>
      </c>
    </row>
    <row r="7" spans="1:12" x14ac:dyDescent="0.3">
      <c r="A7" s="27" t="s">
        <v>114</v>
      </c>
      <c r="B7" s="28" t="s">
        <v>875</v>
      </c>
      <c r="C7" s="29" cm="1">
        <f t="array" ref="C7">IFERROR(INDEX('Expected Production'!$B$2:$B$80,MATCH(TRIM($A7),INDEX(TRIM('Expected Production'!$A$2:$A$80),0),0)),"Not found")</f>
        <v>0.85</v>
      </c>
      <c r="D7" s="30" cm="1">
        <f t="array" aca="1" ref="D7" ca="1">_xlfn.IFNA(_xlfn.XLOOKUP(TRIM(A7),TRIM(site_tech_info!$A$2:$A$79),site_tech_info!$W$2:$W$79),"")</f>
        <v>3.2799452429842573</v>
      </c>
      <c r="E7" s="31" cm="1">
        <f t="array" ref="E7">IFERROR(SUM(INDEX('Simulated Production'!$B$2:$M$80,MATCH(TRIM($A7),INDEX(TRIM('Simulated Production'!$A$2:$A$80),0),0),0)),"Not found")</f>
        <v>319608</v>
      </c>
      <c r="F7" s="32">
        <f ca="1">(Table2[[#This Row],[As-Built kWh]]*Table2[[#This Row],[Expected Utilisation%]])*(1-0.007)^(Table2[[#This Row],[Age]])</f>
        <v>265479.05880767934</v>
      </c>
      <c r="G7" s="32">
        <v>0</v>
      </c>
      <c r="H7" s="31">
        <f t="shared" ca="1" si="0"/>
        <v>265479.05880767934</v>
      </c>
      <c r="I7" s="31" cm="1">
        <f t="array" ref="I7">SUMPRODUCT((TRIM(measured[Site Name])=TRIM($A7))*(measured[Date]&gt;=DATE(2025,7,1))*(measured[Date]&lt;=DATE(2026,6,30))*measured[Measured Value (kWh)])</f>
        <v>254905.02</v>
      </c>
      <c r="J7" s="31">
        <f t="shared" ca="1" si="1"/>
        <v>-10574.038807679346</v>
      </c>
      <c r="K7" s="31">
        <f ca="1">(Table2[[#This Row],[Actual Generation (kWh)]]/Table2[[#This Row],[Correct kWh]])*100</f>
        <v>96.016997025991614</v>
      </c>
      <c r="L7" s="28" t="s">
        <v>984</v>
      </c>
    </row>
    <row r="8" spans="1:12" x14ac:dyDescent="0.3">
      <c r="A8" s="27" t="s">
        <v>117</v>
      </c>
      <c r="B8" s="28" t="s">
        <v>875</v>
      </c>
      <c r="C8" s="29" cm="1">
        <f t="array" ref="C8">IFERROR(INDEX('Expected Production'!$B$2:$B$80,MATCH(TRIM($A8),INDEX(TRIM('Expected Production'!$A$2:$A$80),0),0)),"Not found")</f>
        <v>0.9</v>
      </c>
      <c r="D8" s="30" cm="1">
        <f t="array" aca="1" ref="D8" ca="1">_xlfn.IFNA(_xlfn.XLOOKUP(TRIM(A8),TRIM(site_tech_info!$A$2:$A$79),site_tech_info!$W$2:$W$79),"")</f>
        <v>2.1656399726214923</v>
      </c>
      <c r="E8" s="31" cm="1">
        <f t="array" ref="E8">IFERROR(SUM(INDEX('Simulated Production'!$B$2:$M$80,MATCH(TRIM($A8),INDEX(TRIM('Simulated Production'!$A$2:$A$80),0),0),0)),"Not found")</f>
        <v>355254</v>
      </c>
      <c r="F8" s="32">
        <f ca="1">(Table2[[#This Row],[As-Built kWh]]*Table2[[#This Row],[Expected Utilisation%]])*(1-0.007)^(Table2[[#This Row],[Age]])</f>
        <v>314901.44726027682</v>
      </c>
      <c r="G8" s="32">
        <f ca="1">((22354*(0.5)+26969*(7/31))*(1-0.007)^(Table2[[#This Row],[Age]]))*(1-0.007)^(Table2[[#This Row],[Age]])</f>
        <v>16749.334300105238</v>
      </c>
      <c r="H8" s="31">
        <f t="shared" ca="1" si="0"/>
        <v>298152.11296017159</v>
      </c>
      <c r="I8" s="31" cm="1">
        <f t="array" ref="I8">SUMPRODUCT((TRIM(measured[Site Name])=TRIM($A8))*(measured[Date]&gt;=DATE(2025,7,1))*(measured[Date]&lt;=DATE(2026,6,30))*measured[Measured Value (kWh)])</f>
        <v>271722.179</v>
      </c>
      <c r="J8" s="31">
        <f t="shared" ca="1" si="1"/>
        <v>-26429.933960171591</v>
      </c>
      <c r="K8" s="31">
        <f ca="1">(Table2[[#This Row],[Actual Generation (kWh)]]/Table2[[#This Row],[Correct kWh]])*100</f>
        <v>91.135419535429492</v>
      </c>
      <c r="L8" s="28" t="s">
        <v>988</v>
      </c>
    </row>
    <row r="9" spans="1:12" s="28" customFormat="1" x14ac:dyDescent="0.3">
      <c r="A9" s="27" t="s">
        <v>127</v>
      </c>
      <c r="B9" s="28" t="s">
        <v>875</v>
      </c>
      <c r="C9" s="29" cm="1">
        <f t="array" ref="C9">IFERROR(INDEX('Expected Production'!$B$2:$B$80,MATCH(TRIM($A9),INDEX(TRIM('Expected Production'!$A$2:$A$80),0),0)),"Not found")</f>
        <v>0.8</v>
      </c>
      <c r="D9" s="30" cm="1">
        <f t="array" aca="1" ref="D9" ca="1">_xlfn.IFNA(_xlfn.XLOOKUP(TRIM(A9),TRIM(site_tech_info!$A$2:$A$79),site_tech_info!$W$2:$W$79),"")</f>
        <v>2.3408624229979464</v>
      </c>
      <c r="E9" s="31" cm="1">
        <f t="array" ref="E9">IFERROR(SUM(INDEX('Simulated Production'!$B$2:$M$80,MATCH(TRIM($A9),INDEX(TRIM('Simulated Production'!$A$2:$A$80),0),0),0)),"Not found")</f>
        <v>200775</v>
      </c>
      <c r="F9" s="32">
        <f ca="1">(Table2[[#This Row],[As-Built kWh]]*Table2[[#This Row],[Expected Utilisation%]])*(1-0.007)^(Table2[[#This Row],[Age]])</f>
        <v>158000.41658198708</v>
      </c>
      <c r="G9" s="32">
        <f ca="1">('Expected Production'!I34*0.5+'Expected Production'!C34*0.8)*(1-0.007)^(Table2[[#This Row],[Age]])</f>
        <v>17830.536863601988</v>
      </c>
      <c r="H9" s="31">
        <f t="shared" ca="1" si="0"/>
        <v>140169.87971838508</v>
      </c>
      <c r="I9" s="31" cm="1">
        <f t="array" ref="I9">SUMPRODUCT((TRIM(measured[Site Name])=TRIM($A9))*(measured[Date]&gt;=DATE(2025,7,1))*(measured[Date]&lt;=DATE(2026,6,30))*measured[Measured Value (kWh)])</f>
        <v>147166.31</v>
      </c>
      <c r="J9" s="31">
        <f t="shared" ca="1" si="1"/>
        <v>6996.4302816149138</v>
      </c>
      <c r="K9" s="31">
        <f ca="1">(Table2[[#This Row],[Actual Generation (kWh)]]/Table2[[#This Row],[Correct kWh]])*100</f>
        <v>104.99139351169553</v>
      </c>
      <c r="L9" s="28" t="s">
        <v>989</v>
      </c>
    </row>
    <row r="10" spans="1:12" s="28" customFormat="1" x14ac:dyDescent="0.3">
      <c r="A10" s="27" t="s">
        <v>131</v>
      </c>
      <c r="B10" s="28" t="s">
        <v>875</v>
      </c>
      <c r="C10" s="29" cm="1">
        <f t="array" ref="C10">IFERROR(INDEX('Expected Production'!$B$2:$B$80,MATCH(TRIM($A10),INDEX(TRIM('Expected Production'!$A$2:$A$80),0),0)),"Not found")</f>
        <v>0.9</v>
      </c>
      <c r="D10" s="30" cm="1">
        <f t="array" aca="1" ref="D10" ca="1">_xlfn.IFNA(_xlfn.XLOOKUP(TRIM(A10),TRIM(site_tech_info!$A$2:$A$79),site_tech_info!$W$2:$W$79),"")</f>
        <v>2.754277891854894</v>
      </c>
      <c r="E10" s="31" cm="1">
        <f t="array" ref="E10">IFERROR(SUM(INDEX('Simulated Production'!$B$2:$M$80,MATCH(TRIM($A10),INDEX(TRIM('Simulated Production'!$A$2:$A$80),0),0),0)),"Not found")</f>
        <v>73186</v>
      </c>
      <c r="F10" s="32">
        <f ca="1">(Table2[[#This Row],[As-Built kWh]]*Table2[[#This Row],[Expected Utilisation%]])*(1-0.007)^(Table2[[#This Row],[Age]])</f>
        <v>64605.263678936739</v>
      </c>
      <c r="G10" s="32">
        <v>0</v>
      </c>
      <c r="H10" s="31">
        <f t="shared" ca="1" si="0"/>
        <v>64605.263678936739</v>
      </c>
      <c r="I10" s="31" cm="1">
        <f t="array" ref="I10">SUMPRODUCT((TRIM(measured[Site Name])=TRIM($A10))*(measured[Date]&gt;=DATE(2025,7,1))*(measured[Date]&lt;=DATE(2026,6,30))*measured[Measured Value (kWh)])</f>
        <v>61467.39</v>
      </c>
      <c r="J10" s="31">
        <f t="shared" ca="1" si="1"/>
        <v>-3137.8736789367395</v>
      </c>
      <c r="K10" s="31">
        <f ca="1">(Table2[[#This Row],[Actual Generation (kWh)]]/Table2[[#This Row],[Correct kWh]])*100</f>
        <v>95.143006157314431</v>
      </c>
      <c r="L10" s="28"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2.9568788501026693</v>
      </c>
      <c r="E11" s="14" cm="1">
        <f t="array" ref="E11">IFERROR(SUM(INDEX('Simulated Production'!$B$2:$M$80,MATCH(TRIM($A11),INDEX(TRIM('Simulated Production'!$A$2:$A$80),0),0),0)),"Not found")</f>
        <v>66026</v>
      </c>
      <c r="F11" s="5">
        <f ca="1">(Table2[[#This Row],[As-Built kWh]]*Table2[[#This Row],[Expected Utilisation%]])*(1-0.007)^(Table2[[#This Row],[Age]])</f>
        <v>58201.850679668612</v>
      </c>
      <c r="G11" s="5">
        <v>0</v>
      </c>
      <c r="H11" s="14">
        <f t="shared" ca="1" si="0"/>
        <v>58201.850679668612</v>
      </c>
      <c r="I11" s="14" cm="1">
        <f t="array" ref="I11">SUMPRODUCT((TRIM(measured[Site Name])=TRIM($A11))*(measured[Date]&gt;=DATE(2025,7,1))*(measured[Date]&lt;=DATE(2026,6,30))*measured[Measured Value (kWh)])</f>
        <v>46668.700000000004</v>
      </c>
      <c r="J11" s="14">
        <f t="shared" ca="1" si="1"/>
        <v>-11533.150679668608</v>
      </c>
      <c r="K11" s="14">
        <f ca="1">(Table2[[#This Row],[Actual Generation (kWh)]]/Table2[[#This Row],[Correct kWh]])*100</f>
        <v>80.184220011929213</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4.2874743326488707</v>
      </c>
      <c r="E12" s="14" cm="1">
        <f t="array" ref="E12">IFERROR(SUM(INDEX('Simulated Production'!$B$2:$M$80,MATCH(TRIM($A12),INDEX(TRIM('Simulated Production'!$A$2:$A$80),0),0),0)),"Not found")</f>
        <v>125072.49999999997</v>
      </c>
      <c r="F12" s="5">
        <f ca="1">(Table2[[#This Row],[As-Built kWh]]*Table2[[#This Row],[Expected Utilisation%]])*(1-0.007)^(Table2[[#This Row],[Age]])</f>
        <v>91021.308684778895</v>
      </c>
      <c r="G12" s="5">
        <f ca="1">(5691*0.3*(1-0.007)^(Table2[[#This Row],[Age]]))*(1-0.007)^(Table2[[#This Row],[Age]])</f>
        <v>1607.4956367485127</v>
      </c>
      <c r="H12" s="14">
        <f t="shared" ca="1" si="0"/>
        <v>89413.813048030381</v>
      </c>
      <c r="I12" s="14" cm="1">
        <f t="array" ref="I12">SUMPRODUCT((TRIM(measured[Site Name])=TRIM($A12))*(measured[Date]&gt;=DATE(2025,7,1))*(measured[Date]&lt;=DATE(2026,6,30))*measured[Measured Value (kWh)])</f>
        <v>72438</v>
      </c>
      <c r="J12" s="14">
        <f t="shared" ca="1" si="1"/>
        <v>-16975.813048030381</v>
      </c>
      <c r="K12" s="14">
        <f ca="1">(Table2[[#This Row],[Actual Generation (kWh)]]/Table2[[#This Row],[Correct kWh]])*100</f>
        <v>81.014328246004354</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3.2744695414099931</v>
      </c>
      <c r="E13" s="14" cm="1">
        <f t="array" ref="E13">IFERROR(SUM(INDEX('Simulated Production'!$B$2:$M$80,MATCH(TRIM($A13),INDEX(TRIM('Simulated Production'!$A$2:$A$80),0),0),0)),"Not found")</f>
        <v>225937</v>
      </c>
      <c r="F13" s="5">
        <f ca="1">(Table2[[#This Row],[As-Built kWh]]*Table2[[#This Row],[Expected Utilisation%]])*(1-0.007)^(Table2[[#This Row],[Age]])</f>
        <v>187679.43645318819</v>
      </c>
      <c r="G13" s="5">
        <v>0</v>
      </c>
      <c r="H13" s="14">
        <f t="shared" ca="1" si="0"/>
        <v>187679.43645318819</v>
      </c>
      <c r="I13" s="14" cm="1">
        <f t="array" ref="I13">SUMPRODUCT((TRIM(measured[Site Name])=TRIM($A13))*(measured[Date]&gt;=DATE(2025,7,1))*(measured[Date]&lt;=DATE(2026,6,30))*measured[Measured Value (kWh)])</f>
        <v>176720.45</v>
      </c>
      <c r="J13" s="14">
        <f t="shared" ca="1" si="1"/>
        <v>-10958.986453188176</v>
      </c>
      <c r="K13" s="14">
        <f ca="1">(Table2[[#This Row],[Actual Generation (kWh)]]/Table2[[#This Row],[Correct kWh]])*100</f>
        <v>94.160795311253182</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3.247091033538672</v>
      </c>
      <c r="E14" s="14" cm="1">
        <f t="array" ref="E14">IFERROR(SUM(INDEX('Simulated Production'!$B$2:$M$80,MATCH(TRIM($A14),INDEX(TRIM('Simulated Production'!$A$2:$A$80),0),0),0)),"Not found")</f>
        <v>81158</v>
      </c>
      <c r="F14" s="5">
        <f ca="1">(Table2[[#This Row],[As-Built kWh]]*Table2[[#This Row],[Expected Utilisation%]])*(1-0.007)^(Table2[[#This Row],[Age]])</f>
        <v>73378.191014519558</v>
      </c>
      <c r="G14" s="5">
        <v>0</v>
      </c>
      <c r="H14" s="14">
        <f t="shared" ca="1" si="0"/>
        <v>73378.191014519558</v>
      </c>
      <c r="I14" s="14" cm="1">
        <f t="array" ref="I14">SUMPRODUCT((TRIM(measured[Site Name])=TRIM($A14))*(measured[Date]&gt;=DATE(2025,7,1))*(measured[Date]&lt;=DATE(2026,6,30))*measured[Measured Value (kWh)])</f>
        <v>56043.3</v>
      </c>
      <c r="J14" s="14">
        <f t="shared" ca="1" si="1"/>
        <v>-17334.891014519555</v>
      </c>
      <c r="K14" s="14">
        <f ca="1">(Table2[[#This Row],[Actual Generation (kWh)]]/Table2[[#This Row],[Correct kWh]])*100</f>
        <v>76.375962973672316</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0.99931553730321698</v>
      </c>
      <c r="E16" s="14" cm="1">
        <f t="array" ref="E16">IFERROR(SUM(INDEX('Simulated Production'!$B$2:$M$80,MATCH(TRIM($A16),INDEX(TRIM('Simulated Production'!$A$2:$A$80),0),0),0)),"Not found")</f>
        <v>96848.548387096773</v>
      </c>
      <c r="F16" s="5">
        <f ca="1">(Table2[[#This Row],[As-Built kWh]]*Table2[[#This Row],[Expected Utilisation%]])*(1-0.007)^(Table2[[#This Row],[Age]])</f>
        <v>86553.963851526234</v>
      </c>
      <c r="G16" s="5">
        <f ca="1">(6087*(1-0.007)^(Table2[[#This Row],[Age]]))*(1-0.007)^(Table2[[#This Row],[Age]])</f>
        <v>6002.1379803242835</v>
      </c>
      <c r="H16" s="14">
        <f t="shared" ca="1" si="0"/>
        <v>80551.825871201945</v>
      </c>
      <c r="I16" s="14" cm="1">
        <f t="array" ref="I16">SUMPRODUCT((TRIM(measured[Site Name])=TRIM($A16))*(measured[Date]&gt;=DATE(2025,7,1))*(measured[Date]&lt;=DATE(2026,6,30))*measured[Measured Value (kWh)])</f>
        <v>77775.48</v>
      </c>
      <c r="J16" s="14">
        <f t="shared" ca="1" si="1"/>
        <v>-2776.3458712019492</v>
      </c>
      <c r="K16" s="14">
        <f ca="1">(Table2[[#This Row],[Actual Generation (kWh)]]/Table2[[#This Row],[Correct kWh]])*100</f>
        <v>96.553342098488031</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0.99931553730321698</v>
      </c>
      <c r="E17" s="14" cm="1">
        <f t="array" ref="E17">IFERROR(SUM(INDEX('Simulated Production'!$B$2:$M$80,MATCH(TRIM($A17),INDEX(TRIM('Simulated Production'!$A$2:$A$80),0),0),0)),"Not found")</f>
        <v>100237.87096774194</v>
      </c>
      <c r="F17" s="5">
        <f ca="1">(Table2[[#This Row],[As-Built kWh]]*Table2[[#This Row],[Expected Utilisation%]])*(1-0.007)^(Table2[[#This Row],[Age]])</f>
        <v>89583.016005759753</v>
      </c>
      <c r="G17" s="5">
        <f ca="1">(6247*(1-0.007)^(Table2[[#This Row],[Age]]))*(1-0.007)^(Table2[[#This Row],[Age]])</f>
        <v>6159.9073374545424</v>
      </c>
      <c r="H17" s="14">
        <f t="shared" ca="1" si="0"/>
        <v>83423.108668305213</v>
      </c>
      <c r="I17" s="14" cm="1">
        <f t="array" ref="I17">SUMPRODUCT((TRIM(measured[Site Name])=TRIM($A17))*(measured[Date]&gt;=DATE(2025,7,1))*(measured[Date]&lt;=DATE(2026,6,30))*measured[Measured Value (kWh)])</f>
        <v>78264.639999999999</v>
      </c>
      <c r="J17" s="14">
        <f t="shared" ca="1" si="1"/>
        <v>-5158.4686683052132</v>
      </c>
      <c r="K17" s="14">
        <f ca="1">(Table2[[#This Row],[Actual Generation (kWh)]]/Table2[[#This Row],[Correct kWh]])*100</f>
        <v>93.816499108399853</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0.90349075975359339</v>
      </c>
      <c r="E18" s="14" cm="1">
        <f t="array" ref="E18">IFERROR(SUM(INDEX('Simulated Production'!$B$2:$M$80,MATCH(TRIM($A18),INDEX(TRIM('Simulated Production'!$A$2:$A$80),0),0),0)),"Not found")</f>
        <v>524973</v>
      </c>
      <c r="F18" s="5">
        <f ca="1">(Table2[[#This Row],[As-Built kWh]]*Table2[[#This Row],[Expected Utilisation%]])*(1-0.007)^(Table2[[#This Row],[Age]])</f>
        <v>469486.54606235411</v>
      </c>
      <c r="G18" s="5">
        <f ca="1">(31229+36815+40778+47657*(5/30))*(1-0.007)^(Table2[[#This Row],[Age]])</f>
        <v>116026.11161423348</v>
      </c>
      <c r="H18" s="14">
        <f t="shared" ca="1" si="0"/>
        <v>353460.43444812065</v>
      </c>
      <c r="I18" s="14" cm="1">
        <f t="array" ref="I18">SUMPRODUCT((TRIM(measured[Site Name])=TRIM($A18))*(measured[Date]&gt;=DATE(2025,7,1))*(measured[Date]&lt;=DATE(2026,6,30))*measured[Measured Value (kWh)])</f>
        <v>300497.95500000002</v>
      </c>
      <c r="J18" s="14">
        <f t="shared" ca="1" si="1"/>
        <v>-52962.479448120634</v>
      </c>
      <c r="K18" s="14">
        <f ca="1">(Table2[[#This Row],[Actual Generation (kWh)]]/Table2[[#This Row],[Correct kWh]])*100</f>
        <v>85.016009067375762</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0.90349075975359339</v>
      </c>
      <c r="E19" s="14" cm="1">
        <f t="array" ref="E19">IFERROR(SUM(INDEX('Simulated Production'!$B$2:$M$80,MATCH(TRIM($A19),INDEX(TRIM('Simulated Production'!$A$2:$A$80),0),0),0)),"Not found")</f>
        <v>138565</v>
      </c>
      <c r="F19" s="5">
        <f ca="1">(Table2[[#This Row],[As-Built kWh]]*Table2[[#This Row],[Expected Utilisation%]])*(1-0.007)^(Table2[[#This Row],[Age]])</f>
        <v>123919.52206138238</v>
      </c>
      <c r="G19" s="5">
        <f ca="1">(8307+9721+10756+12191*(5/30))*(1-0.007)^(Table2[[#This Row],[Age]])</f>
        <v>30620.874588258881</v>
      </c>
      <c r="H19" s="14">
        <f t="shared" ca="1" si="0"/>
        <v>93298.647473123492</v>
      </c>
      <c r="I19" s="14" cm="1">
        <f t="array" ref="I19">SUMPRODUCT((TRIM(measured[Site Name])=TRIM($A19))*(measured[Date]&gt;=DATE(2025,7,1))*(measured[Date]&lt;=DATE(2026,6,30))*measured[Measured Value (kWh)])</f>
        <v>81974.632769999997</v>
      </c>
      <c r="J19" s="14">
        <f t="shared" ca="1" si="1"/>
        <v>-11324.014703123496</v>
      </c>
      <c r="K19" s="14">
        <f ca="1">(Table2[[#This Row],[Actual Generation (kWh)]]/Table2[[#This Row],[Correct kWh]])*100</f>
        <v>87.862616436764966</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0.87611225188227237</v>
      </c>
      <c r="E20" s="14" cm="1">
        <f t="array" ref="E20">IFERROR(SUM(INDEX('Simulated Production'!$B$2:$M$80,MATCH(TRIM($A20),INDEX(TRIM('Simulated Production'!$A$2:$A$80),0),0),0)),"Not found")</f>
        <v>89076</v>
      </c>
      <c r="F20" s="5">
        <f ca="1">(Table2[[#This Row],[As-Built kWh]]*Table2[[#This Row],[Expected Utilisation%]])*(1-0.007)^(Table2[[#This Row],[Age]])</f>
        <v>79676.53063130044</v>
      </c>
      <c r="G20" s="5">
        <f ca="1">(5785+6585+7019+7479+7553+7553*(3/30))*(1-0.007)^(Table2[[#This Row],[Age]])</f>
        <v>34960.477500434259</v>
      </c>
      <c r="H20" s="14">
        <f t="shared" ca="1" si="0"/>
        <v>44716.053130866181</v>
      </c>
      <c r="I20" s="14" cm="1">
        <f t="array" ref="I20">SUMPRODUCT((TRIM(measured[Site Name])=TRIM($A20))*(measured[Date]&gt;=DATE(2025,7,1))*(measured[Date]&lt;=DATE(2026,6,30))*measured[Measured Value (kWh)])</f>
        <v>33061.699999999997</v>
      </c>
      <c r="J20" s="14">
        <f t="shared" ca="1" si="1"/>
        <v>-11654.353130866184</v>
      </c>
      <c r="K20" s="14">
        <f ca="1">(Table2[[#This Row],[Actual Generation (kWh)]]/Table2[[#This Row],[Correct kWh]])*100</f>
        <v>73.93698165453354</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0.87611225188227237</v>
      </c>
      <c r="E21" s="14" cm="1">
        <f t="array" ref="E21">IFERROR(SUM(INDEX('Simulated Production'!$B$2:$M$80,MATCH(TRIM($A21),INDEX(TRIM('Simulated Production'!$A$2:$A$80),0),0),0)),"Not found")</f>
        <v>89076</v>
      </c>
      <c r="F21" s="5">
        <f ca="1">(Table2[[#This Row],[As-Built kWh]]*Table2[[#This Row],[Expected Utilisation%]])*(1-0.007)^(Table2[[#This Row],[Age]])</f>
        <v>79676.53063130044</v>
      </c>
      <c r="G21" s="5">
        <f ca="1">(5785+6585+7019+7479+7553+7553*(3/30))*(1-0.007)^(Table2[[#This Row],[Age]])</f>
        <v>34960.477500434259</v>
      </c>
      <c r="H21" s="14">
        <f t="shared" ca="1" si="0"/>
        <v>44716.053130866181</v>
      </c>
      <c r="I21" s="14" cm="1">
        <f t="array" ref="I21">SUMPRODUCT((TRIM(measured[Site Name])=TRIM($A21))*(measured[Date]&gt;=DATE(2025,7,1))*(measured[Date]&lt;=DATE(2026,6,30))*measured[Measured Value (kWh)])</f>
        <v>47460.299999999996</v>
      </c>
      <c r="J21" s="14">
        <f t="shared" ca="1" si="1"/>
        <v>2744.2468691338145</v>
      </c>
      <c r="K21" s="14">
        <f ca="1">(Table2[[#This Row],[Actual Generation (kWh)]]/Table2[[#This Row],[Correct kWh]])*100</f>
        <v>106.13705073903211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0.82956878850102667</v>
      </c>
      <c r="E22" s="14" cm="1">
        <f t="array" ref="E22">IFERROR(SUM(INDEX('Simulated Production'!$B$2:$M$80,MATCH(TRIM($A22),INDEX(TRIM('Simulated Production'!$A$2:$A$80),0),0),0)),"Not found")</f>
        <v>31637</v>
      </c>
      <c r="F22" s="5">
        <f ca="1">(Table2[[#This Row],[As-Built kWh]]*Table2[[#This Row],[Expected Utilisation%]])*(1-0.007)^(Table2[[#This Row],[Age]])</f>
        <v>28307.857173535853</v>
      </c>
      <c r="G22" s="5">
        <f ca="1">(2350+2520+2436+2426+2356+2437)*(1-0.007)^(Table2[[#This Row],[Age]])</f>
        <v>14440.60314208779</v>
      </c>
      <c r="H22" s="14">
        <f t="shared" ca="1" si="0"/>
        <v>13867.254031448063</v>
      </c>
      <c r="I22" s="14" cm="1">
        <f t="array" ref="I22">SUMPRODUCT((TRIM(measured[Site Name])=TRIM($A22))*(measured[Date]&gt;=DATE(2025,7,1))*(measured[Date]&lt;=DATE(2026,6,30))*measured[Measured Value (kWh)])</f>
        <v>17882.440000000002</v>
      </c>
      <c r="J22" s="14">
        <f t="shared" ca="1" si="1"/>
        <v>4015.1859685519394</v>
      </c>
      <c r="K22" s="14">
        <f ca="1">(Table2[[#This Row],[Actual Generation (kWh)]]/Table2[[#This Row],[Correct kWh]])*100</f>
        <v>128.95444158913025</v>
      </c>
      <c r="L22" t="s">
        <v>880</v>
      </c>
    </row>
    <row r="23" spans="1:12" s="22" customFormat="1" x14ac:dyDescent="0.3">
      <c r="A23" s="22" t="s">
        <v>271</v>
      </c>
      <c r="B23" s="22" t="s">
        <v>875</v>
      </c>
      <c r="C23" s="23" cm="1">
        <f t="array" ref="C23">IFERROR(INDEX('Expected Production'!$B$2:$B$80,MATCH(TRIM($A23),INDEX(TRIM('Expected Production'!$A$2:$A$80),0),0)),"Not found")</f>
        <v>0.9</v>
      </c>
      <c r="D23" s="24" cm="1">
        <f t="array" aca="1" ref="D23" ca="1">_xlfn.IFNA(_xlfn.XLOOKUP(TRIM(A23),TRIM(site_tech_info!$A$2:$A$79),site_tech_info!$W$2:$W$79),"")</f>
        <v>0.2518822724161533</v>
      </c>
      <c r="E23" s="25" cm="1">
        <f t="array" ref="E23">IFERROR(SUM(INDEX('Simulated Production'!$B$2:$M$80,MATCH(TRIM($A23),INDEX(TRIM('Simulated Production'!$A$2:$A$80),0),0),0)),"Not found")</f>
        <v>190644.6</v>
      </c>
      <c r="F23" s="26">
        <f ca="1">(Table2[[#This Row],[As-Built kWh]]*Table2[[#This Row],[Expected Utilisation%]])*(1-0.007)^(Table2[[#This Row],[Age]])</f>
        <v>171276.81864670181</v>
      </c>
      <c r="G23" s="26">
        <v>171487.7679849522</v>
      </c>
      <c r="H23" s="25">
        <f t="shared" ca="1" si="0"/>
        <v>-210.94933825038606</v>
      </c>
      <c r="I23" s="25" cm="1">
        <f t="array" ref="I23">SUMPRODUCT((TRIM(measured[Site Name])=TRIM($A23))*(measured[Date]&gt;=DATE(2025,7,1))*(measured[Date]&lt;=DATE(2026,6,30))*measured[Measured Value (kWh)])</f>
        <v>10169</v>
      </c>
      <c r="J23" s="25">
        <f t="shared" ca="1" si="1"/>
        <v>10379.949338250386</v>
      </c>
      <c r="K23" s="25">
        <f ca="1">(Table2[[#This Row],[Actual Generation (kWh)]]/Table2[[#This Row],[Correct kWh]])*100</f>
        <v>-4820.5887178133344</v>
      </c>
      <c r="L23" s="22" t="s">
        <v>880</v>
      </c>
    </row>
    <row r="24" spans="1:12" s="22" customFormat="1" x14ac:dyDescent="0.3">
      <c r="A24" s="22" t="s">
        <v>250</v>
      </c>
      <c r="B24" s="22" t="s">
        <v>875</v>
      </c>
      <c r="C24" s="23" cm="1">
        <f t="array" ref="C24">IFERROR(INDEX('Expected Production'!$B$2:$B$80,MATCH(TRIM($A24),INDEX(TRIM('Expected Production'!$A$2:$A$80),0),0)),"Not found")</f>
        <v>0.9</v>
      </c>
      <c r="D24" s="24" cm="1">
        <f t="array" aca="1" ref="D24" ca="1">_xlfn.IFNA(_xlfn.XLOOKUP(TRIM(A24),TRIM(site_tech_info!$A$2:$A$79),site_tech_info!$W$2:$W$79),"")</f>
        <v>0.31211498973305957</v>
      </c>
      <c r="E24" s="25" cm="1">
        <f t="array" ref="E24">IFERROR(SUM(INDEX('Simulated Production'!$B$2:$M$80,MATCH(TRIM($A24),INDEX(TRIM('Simulated Production'!$A$2:$A$80),0),0),0)),"Not found")</f>
        <v>380893</v>
      </c>
      <c r="F24" s="26">
        <f ca="1">(Table2[[#This Row],[As-Built kWh]]*Table2[[#This Row],[Expected Utilisation%]])*(1-0.007)^(Table2[[#This Row],[Age]])</f>
        <v>342052.93045923411</v>
      </c>
      <c r="G24" s="26">
        <f ca="1">(28051+31649+28250+28466+28992+28904+28877+25885+27341+27824*(28/30))*(1-0.007)^(Table2[[#This Row],[Age]])</f>
        <v>281765.62131134834</v>
      </c>
      <c r="H24" s="25">
        <f t="shared" ca="1" si="0"/>
        <v>60287.309147885768</v>
      </c>
      <c r="I24" s="25" cm="1">
        <f t="array" ref="I24">SUMPRODUCT((TRIM(measured[Site Name])=TRIM($A24))*(measured[Date]&gt;=DATE(2025,7,1))*(measured[Date]&lt;=DATE(2026,6,30))*measured[Measured Value (kWh)])</f>
        <v>53212.2</v>
      </c>
      <c r="J24" s="25">
        <f ca="1">I24-H24</f>
        <v>-7075.1091478857707</v>
      </c>
      <c r="K24" s="25">
        <f ca="1">(Table2[[#This Row],[Actual Generation (kWh)]]/Table2[[#This Row],[Correct kWh]])*100</f>
        <v>88.264347425872984</v>
      </c>
      <c r="L24" s="22"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08"/>
  <sheetViews>
    <sheetView topLeftCell="A212" zoomScaleNormal="100" workbookViewId="0">
      <selection activeCell="A608" sqref="A608:XFD608"/>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customHeight="1" x14ac:dyDescent="0.3">
      <c r="A32" t="s">
        <v>31</v>
      </c>
      <c r="B32" s="2">
        <v>46204</v>
      </c>
      <c r="C32">
        <v>1638</v>
      </c>
    </row>
    <row r="33" spans="1:3" ht="15" hidden="1" customHeight="1" x14ac:dyDescent="0.3">
      <c r="A33" t="s">
        <v>31</v>
      </c>
      <c r="B33" s="2">
        <v>46235</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customHeight="1" x14ac:dyDescent="0.3">
      <c r="A68" t="s">
        <v>43</v>
      </c>
      <c r="B68" s="2">
        <v>46204</v>
      </c>
      <c r="C68">
        <v>13136.5304</v>
      </c>
    </row>
    <row r="69" spans="1:3" ht="15" hidden="1" customHeight="1" x14ac:dyDescent="0.3">
      <c r="A69" t="s">
        <v>43</v>
      </c>
      <c r="B69" s="2">
        <v>46235</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customHeight="1" x14ac:dyDescent="0.3">
      <c r="A104" t="s">
        <v>49</v>
      </c>
      <c r="B104" s="2">
        <v>46204</v>
      </c>
      <c r="C104">
        <v>2644</v>
      </c>
    </row>
    <row r="105" spans="1:3" ht="15" hidden="1" customHeight="1" x14ac:dyDescent="0.3">
      <c r="A105" t="s">
        <v>49</v>
      </c>
      <c r="B105" s="2">
        <v>46235</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customHeight="1" x14ac:dyDescent="0.3">
      <c r="A140" t="s">
        <v>250</v>
      </c>
      <c r="B140" s="2">
        <v>46204</v>
      </c>
      <c r="C140">
        <v>27942</v>
      </c>
    </row>
    <row r="141" spans="1:3" ht="15" hidden="1" customHeight="1" x14ac:dyDescent="0.3">
      <c r="A141" t="s">
        <v>64</v>
      </c>
      <c r="B141" s="2">
        <v>46235</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customHeight="1" x14ac:dyDescent="0.3">
      <c r="A176" t="s">
        <v>55</v>
      </c>
      <c r="B176" s="2">
        <v>46204</v>
      </c>
      <c r="C176">
        <v>10351.41</v>
      </c>
    </row>
    <row r="177" spans="1:3" ht="15" hidden="1" customHeight="1" x14ac:dyDescent="0.3">
      <c r="A177" t="s">
        <v>55</v>
      </c>
      <c r="B177" s="2">
        <v>46235</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customHeight="1" x14ac:dyDescent="0.3">
      <c r="A212" t="s">
        <v>60</v>
      </c>
      <c r="B212" s="2">
        <v>46204</v>
      </c>
      <c r="C212">
        <v>39160</v>
      </c>
    </row>
    <row r="213" spans="1:3" ht="15" hidden="1" customHeight="1" x14ac:dyDescent="0.3">
      <c r="A213" t="s">
        <v>60</v>
      </c>
      <c r="B213" s="2">
        <v>46235</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customHeight="1" x14ac:dyDescent="0.3">
      <c r="A248" t="s">
        <v>61</v>
      </c>
      <c r="B248" s="2">
        <v>46204</v>
      </c>
      <c r="C248">
        <v>5251.38</v>
      </c>
    </row>
    <row r="249" spans="1:3" ht="15" hidden="1" customHeight="1" x14ac:dyDescent="0.3">
      <c r="A249" t="s">
        <v>61</v>
      </c>
      <c r="B249" s="2">
        <v>46235</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customHeight="1" x14ac:dyDescent="0.3">
      <c r="A284" t="s">
        <v>64</v>
      </c>
      <c r="B284" s="2">
        <v>46204</v>
      </c>
      <c r="C284">
        <v>3615</v>
      </c>
    </row>
    <row r="285" spans="1:3" ht="15" hidden="1" customHeight="1" x14ac:dyDescent="0.3">
      <c r="A285" t="s">
        <v>66</v>
      </c>
      <c r="B285" s="2">
        <v>46235</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customHeight="1" x14ac:dyDescent="0.3">
      <c r="A320" t="s">
        <v>66</v>
      </c>
      <c r="B320" s="2">
        <v>46204</v>
      </c>
      <c r="C320">
        <v>719</v>
      </c>
    </row>
    <row r="321" spans="1:2" ht="15" hidden="1" customHeight="1" x14ac:dyDescent="0.3">
      <c r="A321" t="s">
        <v>71</v>
      </c>
      <c r="B321" s="2">
        <v>46235</v>
      </c>
    </row>
    <row r="322" spans="1:2" ht="15" hidden="1" customHeight="1" x14ac:dyDescent="0.3">
      <c r="A322" t="s">
        <v>71</v>
      </c>
      <c r="B322" s="2">
        <v>46266</v>
      </c>
    </row>
    <row r="323" spans="1:2" ht="15" hidden="1" customHeight="1" x14ac:dyDescent="0.3">
      <c r="A323" t="s">
        <v>71</v>
      </c>
      <c r="B323" s="2">
        <v>46296</v>
      </c>
    </row>
    <row r="324" spans="1:2" ht="15" hidden="1" customHeight="1" x14ac:dyDescent="0.3">
      <c r="A324" t="s">
        <v>71</v>
      </c>
      <c r="B324" s="2">
        <v>46327</v>
      </c>
    </row>
    <row r="325" spans="1:2" ht="15" hidden="1" customHeight="1" x14ac:dyDescent="0.3">
      <c r="A325" t="s">
        <v>71</v>
      </c>
      <c r="B325" s="2">
        <v>46357</v>
      </c>
    </row>
    <row r="326" spans="1:2" ht="15" hidden="1" customHeight="1" x14ac:dyDescent="0.3">
      <c r="A326" t="s">
        <v>77</v>
      </c>
      <c r="B326" s="2">
        <v>45292</v>
      </c>
    </row>
    <row r="327" spans="1:2" ht="15" hidden="1" customHeight="1" x14ac:dyDescent="0.3">
      <c r="A327" t="s">
        <v>77</v>
      </c>
      <c r="B327" s="2">
        <v>45323</v>
      </c>
    </row>
    <row r="328" spans="1:2" ht="15" hidden="1" customHeight="1" x14ac:dyDescent="0.3">
      <c r="A328" t="s">
        <v>77</v>
      </c>
      <c r="B328" s="2">
        <v>45352</v>
      </c>
    </row>
    <row r="329" spans="1:2" ht="15" hidden="1" customHeight="1" x14ac:dyDescent="0.3">
      <c r="A329" t="s">
        <v>77</v>
      </c>
      <c r="B329" s="2">
        <v>45383</v>
      </c>
    </row>
    <row r="330" spans="1:2" ht="15" hidden="1" customHeight="1" x14ac:dyDescent="0.3">
      <c r="A330" t="s">
        <v>77</v>
      </c>
      <c r="B330" s="2">
        <v>45413</v>
      </c>
    </row>
    <row r="331" spans="1:2" ht="15" hidden="1" customHeight="1" x14ac:dyDescent="0.3">
      <c r="A331" t="s">
        <v>77</v>
      </c>
      <c r="B331" s="2">
        <v>45444</v>
      </c>
    </row>
    <row r="332" spans="1:2" ht="15" hidden="1" customHeight="1" x14ac:dyDescent="0.3">
      <c r="A332" t="s">
        <v>77</v>
      </c>
      <c r="B332" s="2">
        <v>45474</v>
      </c>
    </row>
    <row r="333" spans="1:2" ht="15" hidden="1" customHeight="1" x14ac:dyDescent="0.3">
      <c r="A333" t="s">
        <v>77</v>
      </c>
      <c r="B333" s="2">
        <v>45505</v>
      </c>
    </row>
    <row r="334" spans="1:2" ht="15" hidden="1" customHeight="1" x14ac:dyDescent="0.3">
      <c r="A334" t="s">
        <v>77</v>
      </c>
      <c r="B334" s="2">
        <v>45536</v>
      </c>
    </row>
    <row r="335" spans="1:2" ht="15" hidden="1" customHeight="1" x14ac:dyDescent="0.3">
      <c r="A335" t="s">
        <v>77</v>
      </c>
      <c r="B335" s="2">
        <v>45566</v>
      </c>
    </row>
    <row r="336" spans="1:2"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customHeight="1" x14ac:dyDescent="0.3">
      <c r="A356" t="s">
        <v>71</v>
      </c>
      <c r="B356" s="2">
        <v>46204</v>
      </c>
      <c r="C356">
        <v>8756.0499999999993</v>
      </c>
    </row>
    <row r="357" spans="1:3" ht="15" hidden="1" customHeight="1" x14ac:dyDescent="0.3">
      <c r="A357" t="s">
        <v>77</v>
      </c>
      <c r="B357" s="2">
        <v>46235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customHeight="1" x14ac:dyDescent="0.3">
      <c r="A392" t="s">
        <v>251</v>
      </c>
      <c r="B392" s="2">
        <v>46204</v>
      </c>
      <c r="C392">
        <v>16617.160800000001</v>
      </c>
    </row>
    <row r="393" spans="1:3" ht="15" hidden="1" customHeight="1" x14ac:dyDescent="0.3">
      <c r="A393" t="s">
        <v>80</v>
      </c>
      <c r="B393" s="2">
        <v>46235</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4">
        <v>25295</v>
      </c>
    </row>
    <row r="428" spans="1:3" ht="15" customHeight="1" x14ac:dyDescent="0.3">
      <c r="A428" t="s">
        <v>77</v>
      </c>
      <c r="B428" s="2">
        <v>46204</v>
      </c>
      <c r="C428">
        <v>16600</v>
      </c>
    </row>
    <row r="429" spans="1:3" ht="15" hidden="1" customHeight="1" x14ac:dyDescent="0.3">
      <c r="A429" t="s">
        <v>81</v>
      </c>
      <c r="B429" s="2">
        <v>46235</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customHeight="1" x14ac:dyDescent="0.3">
      <c r="A464" t="s">
        <v>80</v>
      </c>
      <c r="B464" s="2">
        <v>46204</v>
      </c>
      <c r="C464">
        <v>14345</v>
      </c>
    </row>
    <row r="465" spans="1:3" ht="15" hidden="1" customHeight="1" x14ac:dyDescent="0.3">
      <c r="A465" t="s">
        <v>85</v>
      </c>
      <c r="B465" s="2">
        <v>46235</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customHeight="1" x14ac:dyDescent="0.3">
      <c r="A500" t="s">
        <v>81</v>
      </c>
      <c r="B500" s="2">
        <v>46204</v>
      </c>
      <c r="C500">
        <v>5573.8</v>
      </c>
    </row>
    <row r="501" spans="1:3" ht="15" hidden="1" customHeight="1" x14ac:dyDescent="0.3">
      <c r="A501" t="s">
        <v>90</v>
      </c>
      <c r="B501" s="2">
        <v>46235</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customHeight="1" x14ac:dyDescent="0.3">
      <c r="A572" t="s">
        <v>90</v>
      </c>
      <c r="B572" s="2">
        <v>46204</v>
      </c>
      <c r="C572">
        <v>3547</v>
      </c>
    </row>
    <row r="573" spans="1:3" ht="15" hidden="1" customHeight="1" x14ac:dyDescent="0.3">
      <c r="A573" t="s">
        <v>95</v>
      </c>
      <c r="B573" s="2">
        <v>46235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customHeight="1" x14ac:dyDescent="0.3">
      <c r="A608" t="s">
        <v>93</v>
      </c>
      <c r="B608" s="2">
        <v>46204</v>
      </c>
      <c r="C608">
        <v>0</v>
      </c>
      <c r="G608" t="s">
        <v>1012</v>
      </c>
    </row>
    <row r="609" spans="1:3" ht="15" hidden="1" customHeight="1" x14ac:dyDescent="0.3">
      <c r="A609" t="s">
        <v>239</v>
      </c>
      <c r="B609" s="2">
        <v>46235</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customHeight="1" x14ac:dyDescent="0.3">
      <c r="A644" t="s">
        <v>95</v>
      </c>
      <c r="B644" s="2">
        <v>46204</v>
      </c>
      <c r="C644">
        <v>12633</v>
      </c>
    </row>
    <row r="645" spans="1:3" ht="15" hidden="1" customHeight="1" x14ac:dyDescent="0.3">
      <c r="A645" t="s">
        <v>98</v>
      </c>
      <c r="B645" s="2">
        <v>46235</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customHeight="1" x14ac:dyDescent="0.3">
      <c r="A680" t="s">
        <v>271</v>
      </c>
      <c r="B680" s="2">
        <v>46204</v>
      </c>
      <c r="C680">
        <v>6140</v>
      </c>
    </row>
    <row r="681" spans="1:3" ht="15" hidden="1" customHeight="1" x14ac:dyDescent="0.3">
      <c r="A681" t="s">
        <v>102</v>
      </c>
      <c r="B681" s="2">
        <v>46235</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customHeight="1" x14ac:dyDescent="0.3">
      <c r="A717" t="s">
        <v>239</v>
      </c>
      <c r="B717" s="2">
        <v>46204</v>
      </c>
      <c r="C717">
        <v>3388.4247999999998</v>
      </c>
    </row>
    <row r="718" spans="1:3" ht="15" hidden="1" customHeight="1" x14ac:dyDescent="0.3">
      <c r="A718" t="s">
        <v>104</v>
      </c>
      <c r="B718" s="2">
        <v>46235</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customHeight="1" x14ac:dyDescent="0.3">
      <c r="A789" t="s">
        <v>102</v>
      </c>
      <c r="B789" s="2">
        <v>46204</v>
      </c>
      <c r="C789">
        <v>4112</v>
      </c>
    </row>
    <row r="790" spans="1:3" ht="15" hidden="1" customHeight="1" x14ac:dyDescent="0.3">
      <c r="A790" t="s">
        <v>228</v>
      </c>
      <c r="B790" s="2">
        <v>46235</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customHeight="1" x14ac:dyDescent="0.3">
      <c r="A825" t="s">
        <v>104</v>
      </c>
      <c r="B825" s="2">
        <v>46204</v>
      </c>
      <c r="C825">
        <v>857</v>
      </c>
    </row>
    <row r="826" spans="1:3" ht="15" hidden="1" customHeight="1" x14ac:dyDescent="0.3">
      <c r="A826" t="s">
        <v>109</v>
      </c>
      <c r="B826" s="2">
        <v>46235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customHeight="1" x14ac:dyDescent="0.3">
      <c r="A861" t="s">
        <v>107</v>
      </c>
      <c r="B861" s="2">
        <v>46204</v>
      </c>
      <c r="C861">
        <v>1400</v>
      </c>
    </row>
    <row r="862" spans="1:3" ht="15" hidden="1" customHeight="1" x14ac:dyDescent="0.3">
      <c r="A862" t="s">
        <v>113</v>
      </c>
      <c r="B862" s="2">
        <v>46235</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customHeight="1" x14ac:dyDescent="0.3">
      <c r="A896" t="s">
        <v>228</v>
      </c>
      <c r="B896" s="2">
        <v>46204</v>
      </c>
      <c r="C896">
        <v>8390</v>
      </c>
    </row>
    <row r="897" spans="1:3" ht="15" hidden="1" customHeight="1" x14ac:dyDescent="0.3">
      <c r="A897" t="s">
        <v>114</v>
      </c>
      <c r="B897" s="2">
        <v>46235</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5">
        <v>2477</v>
      </c>
    </row>
    <row r="932" spans="1:3" ht="15" customHeight="1" x14ac:dyDescent="0.3">
      <c r="A932" t="s">
        <v>109</v>
      </c>
      <c r="B932" s="2">
        <v>46204</v>
      </c>
      <c r="C932">
        <v>2598</v>
      </c>
    </row>
    <row r="933" spans="1:3" ht="15" hidden="1" customHeight="1" x14ac:dyDescent="0.3">
      <c r="A933" t="s">
        <v>117</v>
      </c>
      <c r="B933" s="2">
        <v>46235</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customHeight="1" x14ac:dyDescent="0.3">
      <c r="A968" t="s">
        <v>113</v>
      </c>
      <c r="B968" s="2">
        <v>46204</v>
      </c>
      <c r="C968">
        <v>14156</v>
      </c>
    </row>
    <row r="969" spans="1:3" ht="15" hidden="1" customHeight="1" x14ac:dyDescent="0.3">
      <c r="A969" t="s">
        <v>225</v>
      </c>
      <c r="B969" s="2">
        <v>46235</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customHeight="1" x14ac:dyDescent="0.3">
      <c r="A1004" t="s">
        <v>114</v>
      </c>
      <c r="B1004" s="2">
        <v>46204</v>
      </c>
      <c r="C1004">
        <v>17975</v>
      </c>
    </row>
    <row r="1005" spans="1:3" ht="15" hidden="1" customHeight="1" x14ac:dyDescent="0.3">
      <c r="A1005" t="s">
        <v>223</v>
      </c>
      <c r="B1005" s="2">
        <v>46235</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customHeight="1" x14ac:dyDescent="0.3">
      <c r="A1040" t="s">
        <v>117</v>
      </c>
      <c r="B1040" s="2">
        <v>46204</v>
      </c>
      <c r="C1040">
        <v>20850.759999999998</v>
      </c>
    </row>
    <row r="1041" spans="1:2" ht="15" hidden="1" customHeight="1" x14ac:dyDescent="0.3">
      <c r="A1041" t="s">
        <v>120</v>
      </c>
      <c r="B1041" s="2">
        <v>46235</v>
      </c>
    </row>
    <row r="1042" spans="1:2" ht="15" hidden="1" customHeight="1" x14ac:dyDescent="0.3">
      <c r="A1042" t="s">
        <v>120</v>
      </c>
      <c r="B1042" s="2">
        <v>46266</v>
      </c>
    </row>
    <row r="1043" spans="1:2" ht="15" hidden="1" customHeight="1" x14ac:dyDescent="0.3">
      <c r="A1043" t="s">
        <v>120</v>
      </c>
      <c r="B1043" s="2">
        <v>46296</v>
      </c>
    </row>
    <row r="1044" spans="1:2" ht="15" hidden="1" customHeight="1" x14ac:dyDescent="0.3">
      <c r="A1044" t="s">
        <v>120</v>
      </c>
      <c r="B1044" s="2">
        <v>46327</v>
      </c>
    </row>
    <row r="1045" spans="1:2" ht="15" hidden="1" customHeight="1" x14ac:dyDescent="0.3">
      <c r="A1045" t="s">
        <v>120</v>
      </c>
      <c r="B1045" s="2">
        <v>46357</v>
      </c>
    </row>
    <row r="1046" spans="1:2" ht="15" hidden="1" customHeight="1" x14ac:dyDescent="0.3">
      <c r="A1046" t="s">
        <v>236</v>
      </c>
      <c r="B1046" s="2">
        <v>45292</v>
      </c>
    </row>
    <row r="1047" spans="1:2" ht="15" hidden="1" customHeight="1" x14ac:dyDescent="0.3">
      <c r="A1047" t="s">
        <v>236</v>
      </c>
      <c r="B1047" s="2">
        <v>45323</v>
      </c>
    </row>
    <row r="1048" spans="1:2" ht="15" hidden="1" customHeight="1" x14ac:dyDescent="0.3">
      <c r="A1048" t="s">
        <v>236</v>
      </c>
      <c r="B1048" s="2">
        <v>45352</v>
      </c>
    </row>
    <row r="1049" spans="1:2" ht="15" hidden="1" customHeight="1" x14ac:dyDescent="0.3">
      <c r="A1049" t="s">
        <v>236</v>
      </c>
      <c r="B1049" s="2">
        <v>45383</v>
      </c>
    </row>
    <row r="1050" spans="1:2" ht="15" hidden="1" customHeight="1" x14ac:dyDescent="0.3">
      <c r="A1050" t="s">
        <v>236</v>
      </c>
      <c r="B1050" s="2">
        <v>45413</v>
      </c>
    </row>
    <row r="1051" spans="1:2" ht="15" hidden="1" customHeight="1" x14ac:dyDescent="0.3">
      <c r="A1051" t="s">
        <v>236</v>
      </c>
      <c r="B1051" s="2">
        <v>45444</v>
      </c>
    </row>
    <row r="1052" spans="1:2" ht="15" hidden="1" customHeight="1" x14ac:dyDescent="0.3">
      <c r="A1052" t="s">
        <v>236</v>
      </c>
      <c r="B1052" s="2">
        <v>45474</v>
      </c>
    </row>
    <row r="1053" spans="1:2" ht="15" hidden="1" customHeight="1" x14ac:dyDescent="0.3">
      <c r="A1053" t="s">
        <v>236</v>
      </c>
      <c r="B1053" s="2">
        <v>45505</v>
      </c>
    </row>
    <row r="1054" spans="1:2" ht="15" hidden="1" customHeight="1" x14ac:dyDescent="0.3">
      <c r="A1054" t="s">
        <v>236</v>
      </c>
      <c r="B1054" s="2">
        <v>45536</v>
      </c>
    </row>
    <row r="1055" spans="1:2" ht="15" hidden="1" customHeight="1" x14ac:dyDescent="0.3">
      <c r="A1055" t="s">
        <v>236</v>
      </c>
      <c r="B1055" s="2">
        <v>45566</v>
      </c>
    </row>
    <row r="1056" spans="1:2"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customHeight="1" x14ac:dyDescent="0.3">
      <c r="A1076" t="s">
        <v>225</v>
      </c>
      <c r="B1076" s="2">
        <v>46204</v>
      </c>
      <c r="C1076">
        <v>7311</v>
      </c>
    </row>
    <row r="1077" spans="1:3" ht="15" hidden="1" customHeight="1" x14ac:dyDescent="0.3">
      <c r="A1077" t="s">
        <v>236</v>
      </c>
      <c r="B1077" s="2">
        <v>46235</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customHeight="1" x14ac:dyDescent="0.3">
      <c r="A1112" t="s">
        <v>223</v>
      </c>
      <c r="B1112" s="2">
        <v>46204</v>
      </c>
      <c r="C1112">
        <v>3841</v>
      </c>
    </row>
    <row r="1113" spans="1:3" ht="15" hidden="1" customHeight="1" x14ac:dyDescent="0.3">
      <c r="A1113" t="s">
        <v>122</v>
      </c>
      <c r="B1113" s="2">
        <v>46235</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customHeight="1" x14ac:dyDescent="0.3">
      <c r="A1148" t="s">
        <v>120</v>
      </c>
      <c r="B1148" s="2">
        <v>46204</v>
      </c>
      <c r="C1148">
        <v>6582.2</v>
      </c>
    </row>
    <row r="1149" spans="1:3" ht="15" hidden="1" customHeight="1" x14ac:dyDescent="0.3">
      <c r="A1149" t="s">
        <v>124</v>
      </c>
      <c r="B1149" s="2">
        <v>46235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customHeight="1" x14ac:dyDescent="0.3">
      <c r="A1184" t="s">
        <v>236</v>
      </c>
      <c r="B1184" s="2">
        <v>46204</v>
      </c>
      <c r="C1184">
        <v>6010.4031999999997</v>
      </c>
    </row>
    <row r="1185" spans="1:2" ht="15" hidden="1" customHeight="1" x14ac:dyDescent="0.3">
      <c r="A1185" t="s">
        <v>127</v>
      </c>
      <c r="B1185" s="2">
        <v>46235</v>
      </c>
    </row>
    <row r="1186" spans="1:2" ht="15" hidden="1" customHeight="1" x14ac:dyDescent="0.3">
      <c r="A1186" t="s">
        <v>127</v>
      </c>
      <c r="B1186" s="2">
        <v>46266</v>
      </c>
    </row>
    <row r="1187" spans="1:2" ht="15" hidden="1" customHeight="1" x14ac:dyDescent="0.3">
      <c r="A1187" t="s">
        <v>127</v>
      </c>
      <c r="B1187" s="2">
        <v>46296</v>
      </c>
    </row>
    <row r="1188" spans="1:2" ht="15" hidden="1" customHeight="1" x14ac:dyDescent="0.3">
      <c r="A1188" t="s">
        <v>127</v>
      </c>
      <c r="B1188" s="2">
        <v>46327</v>
      </c>
    </row>
    <row r="1189" spans="1:2" ht="15" hidden="1" customHeight="1" x14ac:dyDescent="0.3">
      <c r="A1189" t="s">
        <v>127</v>
      </c>
      <c r="B1189" s="2">
        <v>46357</v>
      </c>
    </row>
    <row r="1190" spans="1:2" ht="15" hidden="1" customHeight="1" x14ac:dyDescent="0.3">
      <c r="A1190" t="s">
        <v>234</v>
      </c>
      <c r="B1190" s="2">
        <v>45292</v>
      </c>
    </row>
    <row r="1191" spans="1:2" ht="15" hidden="1" customHeight="1" x14ac:dyDescent="0.3">
      <c r="A1191" t="s">
        <v>234</v>
      </c>
      <c r="B1191" s="2">
        <v>45323</v>
      </c>
    </row>
    <row r="1192" spans="1:2" ht="15" hidden="1" customHeight="1" x14ac:dyDescent="0.3">
      <c r="A1192" t="s">
        <v>234</v>
      </c>
      <c r="B1192" s="2">
        <v>45352</v>
      </c>
    </row>
    <row r="1193" spans="1:2" ht="15" hidden="1" customHeight="1" x14ac:dyDescent="0.3">
      <c r="A1193" t="s">
        <v>234</v>
      </c>
      <c r="B1193" s="2">
        <v>45383</v>
      </c>
    </row>
    <row r="1194" spans="1:2" ht="15" hidden="1" customHeight="1" x14ac:dyDescent="0.3">
      <c r="A1194" t="s">
        <v>234</v>
      </c>
      <c r="B1194" s="2">
        <v>45413</v>
      </c>
    </row>
    <row r="1195" spans="1:2" ht="15" hidden="1" customHeight="1" x14ac:dyDescent="0.3">
      <c r="A1195" t="s">
        <v>234</v>
      </c>
      <c r="B1195" s="2">
        <v>45444</v>
      </c>
    </row>
    <row r="1196" spans="1:2" ht="15" hidden="1" customHeight="1" x14ac:dyDescent="0.3">
      <c r="A1196" t="s">
        <v>234</v>
      </c>
      <c r="B1196" s="2">
        <v>45474</v>
      </c>
    </row>
    <row r="1197" spans="1:2" ht="15" hidden="1" customHeight="1" x14ac:dyDescent="0.3">
      <c r="A1197" t="s">
        <v>234</v>
      </c>
      <c r="B1197" s="2">
        <v>45505</v>
      </c>
    </row>
    <row r="1198" spans="1:2" ht="15" hidden="1" customHeight="1" x14ac:dyDescent="0.3">
      <c r="A1198" t="s">
        <v>234</v>
      </c>
      <c r="B1198" s="2">
        <v>45536</v>
      </c>
    </row>
    <row r="1199" spans="1:2" ht="15" hidden="1" customHeight="1" x14ac:dyDescent="0.3">
      <c r="A1199" t="s">
        <v>234</v>
      </c>
      <c r="B1199" s="2">
        <v>45566</v>
      </c>
    </row>
    <row r="1200" spans="1:2"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customHeight="1" x14ac:dyDescent="0.3">
      <c r="A1220" t="s">
        <v>122</v>
      </c>
      <c r="B1220" s="2">
        <v>46204</v>
      </c>
      <c r="C1220">
        <v>12604.390950000001</v>
      </c>
    </row>
    <row r="1221" spans="1:3" ht="15" hidden="1" customHeight="1" x14ac:dyDescent="0.3">
      <c r="A1221" t="s">
        <v>234</v>
      </c>
      <c r="B1221" s="2">
        <v>46235</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customHeight="1" x14ac:dyDescent="0.3">
      <c r="A1256" t="s">
        <v>124</v>
      </c>
      <c r="B1256" s="2">
        <v>46204</v>
      </c>
      <c r="C1256">
        <v>40997.122360000001</v>
      </c>
    </row>
    <row r="1257" spans="1:3" ht="15" hidden="1" customHeight="1" x14ac:dyDescent="0.3">
      <c r="A1257" t="s">
        <v>131</v>
      </c>
      <c r="B1257" s="2">
        <v>46235</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customHeight="1" x14ac:dyDescent="0.3">
      <c r="A1292" t="s">
        <v>127</v>
      </c>
      <c r="B1292" s="2">
        <v>46204</v>
      </c>
      <c r="C1292">
        <v>13303</v>
      </c>
    </row>
    <row r="1293" spans="1:3" ht="15" hidden="1" customHeight="1" x14ac:dyDescent="0.3">
      <c r="A1293" t="s">
        <v>134</v>
      </c>
      <c r="B1293" s="2">
        <v>46235</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customHeight="1" x14ac:dyDescent="0.3">
      <c r="A1364" t="s">
        <v>131</v>
      </c>
      <c r="B1364" s="2">
        <v>46204</v>
      </c>
      <c r="C1364">
        <v>5690</v>
      </c>
    </row>
    <row r="1365" spans="1:3" ht="15" hidden="1" customHeight="1" x14ac:dyDescent="0.3">
      <c r="A1365" t="s">
        <v>220</v>
      </c>
      <c r="B1365" s="2">
        <v>46235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customHeight="1" x14ac:dyDescent="0.3">
      <c r="A1400" t="s">
        <v>134</v>
      </c>
      <c r="B1400" s="2">
        <v>46204</v>
      </c>
      <c r="C1400">
        <v>27326.29</v>
      </c>
    </row>
    <row r="1401" spans="1:3" ht="15" hidden="1" customHeight="1" x14ac:dyDescent="0.3">
      <c r="A1401" t="s">
        <v>222</v>
      </c>
      <c r="B1401" s="2">
        <v>46235</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customHeight="1" x14ac:dyDescent="0.3">
      <c r="A1436" t="s">
        <v>138</v>
      </c>
      <c r="B1436" s="2">
        <v>46204</v>
      </c>
      <c r="C1436">
        <v>0</v>
      </c>
    </row>
    <row r="1437" spans="1:3" ht="15" hidden="1" customHeight="1" x14ac:dyDescent="0.3">
      <c r="A1437" t="s">
        <v>142</v>
      </c>
      <c r="B1437" s="2">
        <v>46235</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customHeight="1" x14ac:dyDescent="0.3">
      <c r="A1472" t="s">
        <v>220</v>
      </c>
      <c r="B1472" s="2">
        <v>46204</v>
      </c>
      <c r="C1472">
        <v>27717.592700000001</v>
      </c>
    </row>
    <row r="1473" spans="1:3" ht="15" hidden="1" customHeight="1" x14ac:dyDescent="0.3">
      <c r="A1473" t="s">
        <v>145</v>
      </c>
      <c r="B1473" s="2">
        <v>46235</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customHeight="1" x14ac:dyDescent="0.3">
      <c r="A1508" t="s">
        <v>222</v>
      </c>
      <c r="B1508" s="2">
        <v>46204</v>
      </c>
      <c r="C1508">
        <v>7966.5733399999999</v>
      </c>
    </row>
    <row r="1509" spans="1:3" ht="15" hidden="1" customHeight="1" x14ac:dyDescent="0.3">
      <c r="A1509" t="s">
        <v>152</v>
      </c>
      <c r="B1509" s="2">
        <v>46235</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customHeight="1" x14ac:dyDescent="0.3">
      <c r="A1544" t="s">
        <v>142</v>
      </c>
      <c r="B1544" s="2">
        <v>46204</v>
      </c>
      <c r="C1544">
        <v>3812</v>
      </c>
    </row>
    <row r="1545" spans="1:3" ht="15" hidden="1" customHeight="1" x14ac:dyDescent="0.3">
      <c r="A1545" t="s">
        <v>149</v>
      </c>
      <c r="B1545" s="2">
        <v>46235</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customHeight="1" x14ac:dyDescent="0.3">
      <c r="A1616" t="s">
        <v>149</v>
      </c>
      <c r="B1616" s="2">
        <v>46204</v>
      </c>
      <c r="C1616">
        <v>6917</v>
      </c>
    </row>
    <row r="1617" spans="1:3" ht="15" hidden="1" customHeight="1" x14ac:dyDescent="0.3">
      <c r="A1617" t="s">
        <v>157</v>
      </c>
      <c r="B1617" s="2">
        <v>46235</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4">
        <v>3164</v>
      </c>
    </row>
    <row r="1652" spans="1:3" ht="15" customHeight="1" x14ac:dyDescent="0.3">
      <c r="A1652" t="s">
        <v>152</v>
      </c>
      <c r="B1652" s="2">
        <v>46204</v>
      </c>
      <c r="C1652">
        <v>6388</v>
      </c>
    </row>
    <row r="1653" spans="1:3" ht="15" hidden="1" customHeight="1" x14ac:dyDescent="0.3">
      <c r="A1653" t="s">
        <v>160</v>
      </c>
      <c r="B1653" s="2">
        <v>46235</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4">
        <v>5956</v>
      </c>
    </row>
    <row r="1688" spans="1:3" ht="15" customHeight="1" x14ac:dyDescent="0.3">
      <c r="A1688" t="s">
        <v>155</v>
      </c>
      <c r="B1688" s="2">
        <v>46204</v>
      </c>
      <c r="C1688">
        <v>0</v>
      </c>
    </row>
    <row r="1689" spans="1:3" ht="15" hidden="1" customHeight="1" x14ac:dyDescent="0.3">
      <c r="A1689" t="s">
        <v>213</v>
      </c>
      <c r="B1689" s="2">
        <v>46235</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customHeight="1" x14ac:dyDescent="0.3">
      <c r="A1724" t="s">
        <v>157</v>
      </c>
      <c r="B1724" s="2">
        <v>46204</v>
      </c>
      <c r="C1724">
        <v>4628</v>
      </c>
    </row>
    <row r="1725" spans="1:3" ht="15" hidden="1" customHeight="1" x14ac:dyDescent="0.3">
      <c r="A1725" t="s">
        <v>216</v>
      </c>
      <c r="B1725" s="2">
        <v>46235</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customHeight="1" x14ac:dyDescent="0.3">
      <c r="A1760" t="s">
        <v>160</v>
      </c>
      <c r="B1760" s="2">
        <v>46204</v>
      </c>
      <c r="C1760">
        <v>16691</v>
      </c>
    </row>
    <row r="1761" spans="1:3" ht="15" hidden="1" customHeight="1" x14ac:dyDescent="0.3">
      <c r="A1761" t="s">
        <v>218</v>
      </c>
      <c r="B1761" s="2">
        <v>46235</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customHeight="1" x14ac:dyDescent="0.3">
      <c r="A1832" t="s">
        <v>163</v>
      </c>
      <c r="B1832" s="2">
        <v>46204</v>
      </c>
      <c r="C1832">
        <v>0</v>
      </c>
    </row>
    <row r="1833" spans="1:3" ht="15" hidden="1" customHeight="1" x14ac:dyDescent="0.3">
      <c r="A1833" t="s">
        <v>166</v>
      </c>
      <c r="B1833" s="2">
        <v>46235</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customHeight="1" x14ac:dyDescent="0.3">
      <c r="A1868" t="s">
        <v>166</v>
      </c>
      <c r="B1868" s="2">
        <v>46204</v>
      </c>
      <c r="C1868">
        <v>12059</v>
      </c>
    </row>
    <row r="1869" spans="1:3" ht="15" hidden="1" customHeight="1" x14ac:dyDescent="0.3">
      <c r="A1869" t="s">
        <v>169</v>
      </c>
      <c r="B1869" s="2">
        <v>46235</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customHeight="1" x14ac:dyDescent="0.3">
      <c r="A1904" t="s">
        <v>169</v>
      </c>
      <c r="B1904" s="2">
        <v>46204</v>
      </c>
      <c r="C1904">
        <v>1098</v>
      </c>
    </row>
    <row r="1905" spans="1:3" ht="15" hidden="1" customHeight="1" x14ac:dyDescent="0.3">
      <c r="A1905" t="s">
        <v>171</v>
      </c>
      <c r="B1905" s="2">
        <v>46235</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customHeight="1" x14ac:dyDescent="0.3">
      <c r="A1940" t="s">
        <v>171</v>
      </c>
      <c r="B1940" s="2">
        <v>46204</v>
      </c>
      <c r="C1940">
        <v>6823</v>
      </c>
    </row>
    <row r="1941" spans="1:3" ht="15" hidden="1" customHeight="1" x14ac:dyDescent="0.3">
      <c r="A1941" t="s">
        <v>172</v>
      </c>
      <c r="B1941" s="2">
        <v>46235</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customHeight="1" x14ac:dyDescent="0.3">
      <c r="A1976" t="s">
        <v>172</v>
      </c>
      <c r="B1976" s="2">
        <v>46204</v>
      </c>
      <c r="C1976">
        <v>6825.8941000000004</v>
      </c>
    </row>
    <row r="1977" spans="1:3" ht="15" hidden="1" customHeight="1" x14ac:dyDescent="0.3">
      <c r="A1977" t="s">
        <v>177</v>
      </c>
      <c r="B1977" s="2">
        <v>46235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customHeight="1" x14ac:dyDescent="0.3">
      <c r="A2048" t="s">
        <v>177</v>
      </c>
      <c r="B2048" s="2">
        <v>46204</v>
      </c>
      <c r="C2048">
        <v>2926.66</v>
      </c>
    </row>
    <row r="2049" spans="1:2" ht="15" hidden="1" customHeight="1" x14ac:dyDescent="0.3">
      <c r="A2049" t="s">
        <v>180</v>
      </c>
      <c r="B2049" s="2">
        <v>46235</v>
      </c>
    </row>
    <row r="2050" spans="1:2" ht="15" hidden="1" customHeight="1" x14ac:dyDescent="0.3">
      <c r="A2050" t="s">
        <v>180</v>
      </c>
      <c r="B2050" s="2">
        <v>46266</v>
      </c>
    </row>
    <row r="2051" spans="1:2" ht="15" hidden="1" customHeight="1" x14ac:dyDescent="0.3">
      <c r="A2051" t="s">
        <v>180</v>
      </c>
      <c r="B2051" s="2">
        <v>46296</v>
      </c>
    </row>
    <row r="2052" spans="1:2" ht="15" hidden="1" customHeight="1" x14ac:dyDescent="0.3">
      <c r="A2052" t="s">
        <v>180</v>
      </c>
      <c r="B2052" s="2">
        <v>46327</v>
      </c>
    </row>
    <row r="2053" spans="1:2" ht="15" hidden="1" customHeight="1" x14ac:dyDescent="0.3">
      <c r="A2053" t="s">
        <v>180</v>
      </c>
      <c r="B2053" s="2">
        <v>46357</v>
      </c>
    </row>
    <row r="2054" spans="1:2" ht="15" hidden="1" customHeight="1" x14ac:dyDescent="0.3">
      <c r="A2054" t="s">
        <v>241</v>
      </c>
      <c r="B2054" s="2">
        <v>45292</v>
      </c>
    </row>
    <row r="2055" spans="1:2" ht="15" hidden="1" customHeight="1" x14ac:dyDescent="0.3">
      <c r="A2055" t="s">
        <v>241</v>
      </c>
      <c r="B2055" s="2">
        <v>45323</v>
      </c>
    </row>
    <row r="2056" spans="1:2" ht="15" hidden="1" customHeight="1" x14ac:dyDescent="0.3">
      <c r="A2056" t="s">
        <v>241</v>
      </c>
      <c r="B2056" s="2">
        <v>45352</v>
      </c>
    </row>
    <row r="2057" spans="1:2" ht="15" hidden="1" customHeight="1" x14ac:dyDescent="0.3">
      <c r="A2057" t="s">
        <v>241</v>
      </c>
      <c r="B2057" s="2">
        <v>45383</v>
      </c>
    </row>
    <row r="2058" spans="1:2" ht="15" hidden="1" customHeight="1" x14ac:dyDescent="0.3">
      <c r="A2058" t="s">
        <v>241</v>
      </c>
      <c r="B2058" s="2">
        <v>45413</v>
      </c>
    </row>
    <row r="2059" spans="1:2" ht="15" hidden="1" customHeight="1" x14ac:dyDescent="0.3">
      <c r="A2059" t="s">
        <v>241</v>
      </c>
      <c r="B2059" s="2">
        <v>45444</v>
      </c>
    </row>
    <row r="2060" spans="1:2" ht="15" hidden="1" customHeight="1" x14ac:dyDescent="0.3">
      <c r="A2060" t="s">
        <v>241</v>
      </c>
      <c r="B2060" s="2">
        <v>45474</v>
      </c>
    </row>
    <row r="2061" spans="1:2" ht="15" hidden="1" customHeight="1" x14ac:dyDescent="0.3">
      <c r="A2061" t="s">
        <v>241</v>
      </c>
      <c r="B2061" s="2">
        <v>45505</v>
      </c>
    </row>
    <row r="2062" spans="1:2" ht="15" hidden="1" customHeight="1" x14ac:dyDescent="0.3">
      <c r="A2062" t="s">
        <v>241</v>
      </c>
      <c r="B2062" s="2">
        <v>45536</v>
      </c>
    </row>
    <row r="2063" spans="1:2" ht="15" hidden="1" customHeight="1" x14ac:dyDescent="0.3">
      <c r="A2063" t="s">
        <v>241</v>
      </c>
      <c r="B2063" s="2">
        <v>45566</v>
      </c>
    </row>
    <row r="2064" spans="1:2"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customHeight="1" x14ac:dyDescent="0.3">
      <c r="A2084" t="s">
        <v>180</v>
      </c>
      <c r="B2084" s="2">
        <v>46204</v>
      </c>
      <c r="C2084">
        <v>13658</v>
      </c>
    </row>
    <row r="2085" spans="1:3" ht="15" hidden="1" customHeight="1" x14ac:dyDescent="0.3">
      <c r="A2085" t="s">
        <v>241</v>
      </c>
      <c r="B2085" s="2">
        <v>46235</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customHeight="1" x14ac:dyDescent="0.3">
      <c r="A2120" t="s">
        <v>241</v>
      </c>
      <c r="B2120" s="2">
        <v>46204</v>
      </c>
      <c r="C2120">
        <v>11339.6067</v>
      </c>
    </row>
    <row r="2121" spans="1:3" ht="15" hidden="1" customHeight="1" x14ac:dyDescent="0.3">
      <c r="A2121" t="s">
        <v>182</v>
      </c>
      <c r="B2121" s="2">
        <v>46235</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customHeight="1" x14ac:dyDescent="0.3">
      <c r="A2156" t="s">
        <v>182</v>
      </c>
      <c r="B2156" s="2">
        <v>46204</v>
      </c>
      <c r="C2156">
        <v>6980.78</v>
      </c>
    </row>
    <row r="2157" spans="1:3" ht="15" hidden="1" customHeight="1" x14ac:dyDescent="0.3">
      <c r="A2157" t="s">
        <v>184</v>
      </c>
      <c r="B2157" s="2">
        <v>46235</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customHeight="1" x14ac:dyDescent="0.3">
      <c r="A2192" t="s">
        <v>184</v>
      </c>
      <c r="B2192" s="2">
        <v>46204</v>
      </c>
      <c r="C2192">
        <v>17814.88</v>
      </c>
    </row>
    <row r="2193" spans="1:3" ht="15" hidden="1" customHeight="1" x14ac:dyDescent="0.3">
      <c r="A2193" t="s">
        <v>186</v>
      </c>
      <c r="B2193" s="2">
        <v>46235</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customHeight="1" x14ac:dyDescent="0.3">
      <c r="A2228" t="s">
        <v>186</v>
      </c>
      <c r="B2228" s="2">
        <v>46204</v>
      </c>
      <c r="C2228">
        <v>18234</v>
      </c>
    </row>
    <row r="2229" spans="1:3" ht="15" hidden="1" customHeight="1" x14ac:dyDescent="0.3">
      <c r="A2229" t="s">
        <v>188</v>
      </c>
      <c r="B2229" s="2">
        <v>46235</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customHeight="1" x14ac:dyDescent="0.3">
      <c r="A2264" t="s">
        <v>188</v>
      </c>
      <c r="B2264" s="2">
        <v>46204</v>
      </c>
      <c r="C2264">
        <v>9106.9599999999991</v>
      </c>
    </row>
    <row r="2265" spans="1:3" ht="15" hidden="1" customHeight="1" x14ac:dyDescent="0.3">
      <c r="A2265" t="s">
        <v>226</v>
      </c>
      <c r="B2265" s="2">
        <v>46235</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customHeight="1" x14ac:dyDescent="0.3">
      <c r="A2300" t="s">
        <v>226</v>
      </c>
      <c r="B2300" s="2">
        <v>46204</v>
      </c>
      <c r="C2300">
        <v>17999.1711</v>
      </c>
    </row>
    <row r="2301" spans="1:3" ht="15" hidden="1" customHeight="1" x14ac:dyDescent="0.3">
      <c r="A2301" t="s">
        <v>208</v>
      </c>
      <c r="B2301" s="2">
        <v>46235</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customHeight="1" x14ac:dyDescent="0.3">
      <c r="A2336" t="s">
        <v>208</v>
      </c>
      <c r="B2336" s="2">
        <v>46204</v>
      </c>
      <c r="C2336">
        <v>7916.06</v>
      </c>
    </row>
    <row r="2337" spans="1:3" ht="15" hidden="1" customHeight="1" x14ac:dyDescent="0.3">
      <c r="A2337" t="s">
        <v>190</v>
      </c>
      <c r="B2337" s="2">
        <v>46235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customHeight="1" x14ac:dyDescent="0.3">
      <c r="A2372" t="s">
        <v>190</v>
      </c>
      <c r="B2372" s="2">
        <v>46204</v>
      </c>
      <c r="C2372">
        <v>9713.4699999999993</v>
      </c>
    </row>
    <row r="2373" spans="1:3" ht="15" hidden="1" customHeight="1" x14ac:dyDescent="0.3">
      <c r="A2373" t="s">
        <v>199</v>
      </c>
      <c r="B2373" s="2">
        <v>46235</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customHeight="1" x14ac:dyDescent="0.3">
      <c r="A2444" t="s">
        <v>216</v>
      </c>
      <c r="B2444" s="2">
        <v>46204</v>
      </c>
      <c r="C2444">
        <v>10206</v>
      </c>
    </row>
    <row r="2445" spans="1:3" ht="15" hidden="1" customHeight="1" x14ac:dyDescent="0.3">
      <c r="A2445" t="s">
        <v>194</v>
      </c>
      <c r="B2445" s="2">
        <v>46235</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customHeight="1" x14ac:dyDescent="0.3">
      <c r="A2480" t="s">
        <v>218</v>
      </c>
      <c r="B2480" s="2">
        <v>46204</v>
      </c>
      <c r="C2480">
        <v>4951</v>
      </c>
    </row>
    <row r="2481" spans="1:3" ht="15" hidden="1" customHeight="1" x14ac:dyDescent="0.3">
      <c r="A2481" t="s">
        <v>196</v>
      </c>
      <c r="B2481" s="2">
        <v>46235</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customHeight="1" x14ac:dyDescent="0.3">
      <c r="A2516" t="s">
        <v>192</v>
      </c>
      <c r="B2516" s="2">
        <v>46204</v>
      </c>
      <c r="C2516">
        <v>0</v>
      </c>
    </row>
    <row r="2517" spans="1:3" ht="15" hidden="1" customHeight="1" x14ac:dyDescent="0.3">
      <c r="A2517" t="s">
        <v>201</v>
      </c>
      <c r="B2517" s="2">
        <v>46235</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customHeight="1" x14ac:dyDescent="0.3">
      <c r="A2552" t="s">
        <v>194</v>
      </c>
      <c r="B2552" s="2">
        <v>46204</v>
      </c>
      <c r="C2552">
        <v>2690</v>
      </c>
    </row>
    <row r="2553" spans="1:3" ht="15" hidden="1" customHeight="1" x14ac:dyDescent="0.3">
      <c r="A2553" t="s">
        <v>211</v>
      </c>
      <c r="B2553" s="2">
        <v>46235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customHeight="1" x14ac:dyDescent="0.3">
      <c r="A2588" t="s">
        <v>196</v>
      </c>
      <c r="B2588" s="2">
        <v>46204</v>
      </c>
      <c r="C2588">
        <v>3037</v>
      </c>
    </row>
    <row r="2589" spans="1:3" ht="15" hidden="1" customHeight="1" x14ac:dyDescent="0.3">
      <c r="A2589" t="s">
        <v>202</v>
      </c>
      <c r="B2589" s="2">
        <v>46235</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x14ac:dyDescent="0.3">
      <c r="A2664" t="s">
        <v>199</v>
      </c>
      <c r="B2664" s="2">
        <v>46204</v>
      </c>
      <c r="C2664">
        <v>2200.69</v>
      </c>
    </row>
    <row r="2665" spans="1:3" hidden="1" x14ac:dyDescent="0.3">
      <c r="A2665" t="s">
        <v>271</v>
      </c>
      <c r="B2665" s="2">
        <v>46235</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x14ac:dyDescent="0.3">
      <c r="A2699" t="s">
        <v>201</v>
      </c>
      <c r="B2699" s="2">
        <v>46204</v>
      </c>
      <c r="C2699">
        <v>9893.59</v>
      </c>
    </row>
    <row r="2700" spans="1:3" hidden="1" x14ac:dyDescent="0.3">
      <c r="A2700" t="s">
        <v>250</v>
      </c>
      <c r="B2700" s="2">
        <v>46235</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x14ac:dyDescent="0.3">
      <c r="A2705" t="s">
        <v>211</v>
      </c>
      <c r="B2705" s="2">
        <v>46204</v>
      </c>
      <c r="C2705">
        <v>2292.6909999999998</v>
      </c>
    </row>
    <row r="2706" spans="1:3" x14ac:dyDescent="0.3">
      <c r="A2706" t="s">
        <v>1004</v>
      </c>
      <c r="B2706" s="2">
        <v>46204</v>
      </c>
      <c r="C2706">
        <v>4094.8841000000002</v>
      </c>
    </row>
    <row r="2707" spans="1:3" x14ac:dyDescent="0.3">
      <c r="A2707" t="s">
        <v>202</v>
      </c>
      <c r="B2707" s="2">
        <v>46204</v>
      </c>
      <c r="C2707">
        <v>14705</v>
      </c>
    </row>
    <row r="2708" spans="1:3" x14ac:dyDescent="0.3">
      <c r="A2708" t="s">
        <v>206</v>
      </c>
      <c r="B2708" s="2">
        <v>46204</v>
      </c>
      <c r="C2708">
        <v>0</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66" activePane="bottomRight" state="frozen"/>
      <selection pane="topRight" activeCell="B1" sqref="B1"/>
      <selection pane="bottomLeft" activeCell="A2" sqref="A2"/>
      <selection pane="bottomRight" activeCell="B27" sqref="B27"/>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2298.1935483870966</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7231.354838709678</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2367.7838709677417</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2264" zoomScaleNormal="100" workbookViewId="0">
      <selection activeCell="A572" sqref="A572"/>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customHeight="1" x14ac:dyDescent="0.3">
      <c r="A32" t="s">
        <v>31</v>
      </c>
      <c r="B32" s="2">
        <v>46204</v>
      </c>
      <c r="C32">
        <v>1814.4</v>
      </c>
    </row>
    <row r="33" spans="1:3" ht="15" hidden="1"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customHeight="1" x14ac:dyDescent="0.3">
      <c r="A68" t="s">
        <v>43</v>
      </c>
      <c r="B68" s="2">
        <v>46204</v>
      </c>
      <c r="C68">
        <v>15907.665000000001</v>
      </c>
    </row>
    <row r="69" spans="1:3" ht="15" hidden="1"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customHeight="1" x14ac:dyDescent="0.3">
      <c r="A104" t="s">
        <v>49</v>
      </c>
      <c r="B104" s="2">
        <v>46204</v>
      </c>
      <c r="C104">
        <v>4680.8999999999996</v>
      </c>
    </row>
    <row r="105" spans="1:3" ht="15" hidden="1"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customHeight="1" x14ac:dyDescent="0.3">
      <c r="A140" t="s">
        <v>64</v>
      </c>
      <c r="B140" s="2">
        <v>46204</v>
      </c>
      <c r="C140">
        <v>5360.4</v>
      </c>
    </row>
    <row r="141" spans="1:3" ht="15" hidden="1"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customHeight="1" x14ac:dyDescent="0.3">
      <c r="A176" t="s">
        <v>55</v>
      </c>
      <c r="B176" s="2">
        <v>46204</v>
      </c>
      <c r="C176">
        <v>13735.15</v>
      </c>
    </row>
    <row r="177" spans="1:3" ht="15" hidden="1"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customHeight="1" x14ac:dyDescent="0.3">
      <c r="A212" t="s">
        <v>60</v>
      </c>
      <c r="B212" s="2">
        <v>46204</v>
      </c>
      <c r="C212">
        <v>43112.802960000001</v>
      </c>
    </row>
    <row r="213" spans="1:3" ht="15" hidden="1"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customHeight="1" x14ac:dyDescent="0.3">
      <c r="A248" t="s">
        <v>61</v>
      </c>
      <c r="B248" s="2">
        <v>46204</v>
      </c>
      <c r="C248">
        <v>5564.7</v>
      </c>
    </row>
    <row r="249" spans="1:3" ht="15" hidden="1"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customHeight="1" x14ac:dyDescent="0.3">
      <c r="A284" t="s">
        <v>66</v>
      </c>
      <c r="B284" s="2">
        <v>46204</v>
      </c>
      <c r="C284">
        <v>1612.8</v>
      </c>
    </row>
    <row r="285" spans="1:3" ht="15" hidden="1"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customHeight="1" x14ac:dyDescent="0.3">
      <c r="A320" t="s">
        <v>71</v>
      </c>
      <c r="B320" s="2">
        <v>46204</v>
      </c>
      <c r="C320">
        <v>13589.1</v>
      </c>
    </row>
    <row r="321" spans="1:3" ht="15" hidden="1"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customHeight="1" x14ac:dyDescent="0.3">
      <c r="A356" t="s">
        <v>77</v>
      </c>
      <c r="B356" s="2">
        <v>46204</v>
      </c>
      <c r="C356">
        <v>14002.2</v>
      </c>
    </row>
    <row r="357" spans="1:3" ht="15" hidden="1"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customHeight="1" x14ac:dyDescent="0.3">
      <c r="A392" t="s">
        <v>80</v>
      </c>
      <c r="B392" s="2">
        <v>46204</v>
      </c>
      <c r="C392">
        <v>14002.2</v>
      </c>
    </row>
    <row r="393" spans="1:3" ht="15" hidden="1"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customHeight="1" x14ac:dyDescent="0.3">
      <c r="A428" t="s">
        <v>81</v>
      </c>
      <c r="B428" s="2">
        <v>46204</v>
      </c>
      <c r="C428">
        <v>5372.1</v>
      </c>
    </row>
    <row r="429" spans="1:3" ht="15" hidden="1"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customHeight="1" x14ac:dyDescent="0.3">
      <c r="A464" t="s">
        <v>85</v>
      </c>
      <c r="B464" s="2">
        <v>46204</v>
      </c>
      <c r="C464">
        <v>3874.5</v>
      </c>
    </row>
    <row r="465" spans="1:3" ht="15" hidden="1"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customHeight="1" x14ac:dyDescent="0.3">
      <c r="A500" t="s">
        <v>90</v>
      </c>
      <c r="B500" s="2">
        <v>46204</v>
      </c>
      <c r="C500">
        <v>3416.15</v>
      </c>
    </row>
    <row r="501" spans="1:3" ht="15" hidden="1"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customHeight="1" x14ac:dyDescent="0.3">
      <c r="A536" t="s">
        <v>93</v>
      </c>
      <c r="B536" s="2">
        <v>46204</v>
      </c>
      <c r="C536">
        <v>6453</v>
      </c>
    </row>
    <row r="537" spans="1:3" ht="15" hidden="1"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customHeight="1" x14ac:dyDescent="0.3">
      <c r="A572" t="s">
        <v>95</v>
      </c>
      <c r="B572" s="2">
        <v>46204</v>
      </c>
      <c r="C572">
        <v>23255.200000000001</v>
      </c>
    </row>
    <row r="573" spans="1:3" ht="15" hidden="1"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customHeight="1" x14ac:dyDescent="0.3">
      <c r="A608" t="s">
        <v>239</v>
      </c>
      <c r="B608" s="2">
        <v>46204</v>
      </c>
      <c r="C608">
        <v>2349.9</v>
      </c>
    </row>
    <row r="609" spans="1:3" ht="15" hidden="1"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customHeight="1" x14ac:dyDescent="0.3">
      <c r="A644" t="s">
        <v>98</v>
      </c>
      <c r="B644" s="2">
        <v>46204</v>
      </c>
      <c r="C644">
        <v>9756.08</v>
      </c>
    </row>
    <row r="645" spans="1:3" ht="15" hidden="1"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customHeight="1" x14ac:dyDescent="0.3">
      <c r="A680" t="s">
        <v>102</v>
      </c>
      <c r="B680" s="2">
        <v>46204</v>
      </c>
      <c r="C680">
        <v>7865.1750000000002</v>
      </c>
    </row>
    <row r="681" spans="1:3" ht="15" hidden="1"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customHeight="1" x14ac:dyDescent="0.3">
      <c r="A716" t="s">
        <v>104</v>
      </c>
      <c r="B716" s="2">
        <v>46204</v>
      </c>
      <c r="C716">
        <v>3044.7</v>
      </c>
    </row>
    <row r="717" spans="1:3" ht="15" hidden="1"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customHeight="1" x14ac:dyDescent="0.3">
      <c r="A752" t="s">
        <v>107</v>
      </c>
      <c r="B752" s="2">
        <v>46204</v>
      </c>
      <c r="C752">
        <v>2701.8</v>
      </c>
    </row>
    <row r="753" spans="1:3" ht="15" hidden="1"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customHeight="1" x14ac:dyDescent="0.3">
      <c r="A818" t="s">
        <v>228</v>
      </c>
      <c r="B818" s="2">
        <v>46204</v>
      </c>
      <c r="C818">
        <v>0</v>
      </c>
    </row>
    <row r="819" spans="1:3" ht="15" customHeight="1" x14ac:dyDescent="0.3">
      <c r="A819" t="s">
        <v>228</v>
      </c>
      <c r="B819" s="2">
        <v>46204</v>
      </c>
      <c r="C819">
        <v>25632</v>
      </c>
    </row>
    <row r="820" spans="1:3" ht="15" hidden="1" customHeight="1" x14ac:dyDescent="0.3">
      <c r="A820" t="s">
        <v>228</v>
      </c>
      <c r="B820" s="2">
        <v>46235</v>
      </c>
      <c r="C820">
        <v>0</v>
      </c>
    </row>
    <row r="821" spans="1:3" ht="15" hidden="1"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customHeight="1" x14ac:dyDescent="0.3">
      <c r="A860" t="s">
        <v>109</v>
      </c>
      <c r="B860" s="2">
        <v>46204</v>
      </c>
      <c r="C860">
        <v>3029.4</v>
      </c>
    </row>
    <row r="861" spans="1:3" ht="15" hidden="1"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customHeight="1" x14ac:dyDescent="0.3">
      <c r="A896" t="s">
        <v>113</v>
      </c>
      <c r="B896" s="2">
        <v>46204</v>
      </c>
      <c r="C896">
        <v>16774.830000000002</v>
      </c>
    </row>
    <row r="897" spans="1:3" ht="15" hidden="1"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customHeight="1" x14ac:dyDescent="0.3">
      <c r="A932" t="s">
        <v>114</v>
      </c>
      <c r="B932" s="2">
        <v>46204</v>
      </c>
      <c r="C932">
        <v>19010.7</v>
      </c>
    </row>
    <row r="933" spans="1:3" ht="15" hidden="1"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customHeight="1" x14ac:dyDescent="0.3">
      <c r="A968" t="s">
        <v>117</v>
      </c>
      <c r="B968" s="2">
        <v>46204</v>
      </c>
      <c r="C968">
        <v>22354.2</v>
      </c>
    </row>
    <row r="969" spans="1:3" ht="15" hidden="1"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customHeight="1" x14ac:dyDescent="0.3">
      <c r="A1004" t="s">
        <v>225</v>
      </c>
      <c r="B1004" s="2">
        <v>46204</v>
      </c>
      <c r="C1004">
        <v>5785.2</v>
      </c>
    </row>
    <row r="1005" spans="1:3" ht="15" hidden="1"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customHeight="1" x14ac:dyDescent="0.3">
      <c r="A1040" t="s">
        <v>223</v>
      </c>
      <c r="B1040" s="2">
        <v>46204</v>
      </c>
      <c r="C1040">
        <v>5785.2</v>
      </c>
    </row>
    <row r="1041" spans="1:3" ht="15" hidden="1"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customHeight="1" x14ac:dyDescent="0.3">
      <c r="A1076" t="s">
        <v>120</v>
      </c>
      <c r="B1076" s="2">
        <v>46204</v>
      </c>
      <c r="C1076">
        <v>8550.9</v>
      </c>
    </row>
    <row r="1077" spans="1:3" ht="15" hidden="1"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customHeight="1" x14ac:dyDescent="0.3">
      <c r="A1112" t="s">
        <v>236</v>
      </c>
      <c r="B1112" s="2">
        <v>46204</v>
      </c>
      <c r="C1112">
        <v>0</v>
      </c>
    </row>
    <row r="1113" spans="1:3" ht="15" hidden="1"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customHeight="1" x14ac:dyDescent="0.3">
      <c r="A1148" t="s">
        <v>122</v>
      </c>
      <c r="B1148" s="2">
        <v>46204</v>
      </c>
      <c r="C1148">
        <v>13099.5</v>
      </c>
    </row>
    <row r="1149" spans="1:3" ht="15" hidden="1"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customHeight="1" x14ac:dyDescent="0.3">
      <c r="A1184" t="s">
        <v>124</v>
      </c>
      <c r="B1184" s="2">
        <v>46204</v>
      </c>
      <c r="C1184">
        <v>43977.3</v>
      </c>
    </row>
    <row r="1185" spans="1:3" ht="15" hidden="1"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customHeight="1" x14ac:dyDescent="0.3">
      <c r="A1220" t="s">
        <v>127</v>
      </c>
      <c r="B1220" s="2">
        <v>46204</v>
      </c>
      <c r="C1220">
        <v>15390.9</v>
      </c>
    </row>
    <row r="1221" spans="1:3" ht="15" hidden="1"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customHeight="1" x14ac:dyDescent="0.3">
      <c r="A1256" t="s">
        <v>234</v>
      </c>
      <c r="B1256" s="2">
        <v>46204</v>
      </c>
      <c r="C1256">
        <v>19783.8</v>
      </c>
    </row>
    <row r="1257" spans="1:3" ht="15" hidden="1"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customHeight="1" x14ac:dyDescent="0.3">
      <c r="A1292" t="s">
        <v>131</v>
      </c>
      <c r="B1292" s="2">
        <v>46204</v>
      </c>
      <c r="C1292">
        <v>5383.9</v>
      </c>
    </row>
    <row r="1293" spans="1:3" ht="15" hidden="1"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customHeight="1" x14ac:dyDescent="0.3">
      <c r="A1328" t="s">
        <v>134</v>
      </c>
      <c r="B1328" s="2">
        <v>46204</v>
      </c>
      <c r="C1328">
        <v>28361.7</v>
      </c>
    </row>
    <row r="1329" spans="1:3" ht="15" hidden="1"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customHeight="1" x14ac:dyDescent="0.3">
      <c r="A1364" t="s">
        <v>138</v>
      </c>
      <c r="B1364" s="2">
        <v>46204</v>
      </c>
      <c r="C1364">
        <v>20016</v>
      </c>
    </row>
    <row r="1365" spans="1:3" ht="15" hidden="1"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customHeight="1" x14ac:dyDescent="0.3">
      <c r="A1400" t="s">
        <v>220</v>
      </c>
      <c r="B1400" s="2">
        <v>46204</v>
      </c>
      <c r="C1400">
        <v>31229.1</v>
      </c>
    </row>
    <row r="1401" spans="1:3" ht="15" hidden="1"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customHeight="1" x14ac:dyDescent="0.3">
      <c r="A1436" t="s">
        <v>222</v>
      </c>
      <c r="B1436" s="2">
        <v>46204</v>
      </c>
      <c r="C1436">
        <v>8307</v>
      </c>
    </row>
    <row r="1437" spans="1:3" ht="15" hidden="1"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customHeight="1" x14ac:dyDescent="0.3">
      <c r="A1472" t="s">
        <v>142</v>
      </c>
      <c r="B1472" s="2">
        <v>46204</v>
      </c>
      <c r="C1472">
        <v>4217.3999999999996</v>
      </c>
    </row>
    <row r="1473" spans="1:3" ht="15" hidden="1"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customHeight="1" x14ac:dyDescent="0.3">
      <c r="A1508" t="s">
        <v>145</v>
      </c>
      <c r="B1508" s="2">
        <v>46204</v>
      </c>
      <c r="C1508">
        <v>32459.809590000001</v>
      </c>
    </row>
    <row r="1509" spans="1:3" ht="15" hidden="1"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customHeight="1" x14ac:dyDescent="0.3">
      <c r="A1544" t="s">
        <v>152</v>
      </c>
      <c r="B1544" s="2">
        <v>46204</v>
      </c>
      <c r="C1544">
        <v>8487.2000000000007</v>
      </c>
    </row>
    <row r="1545" spans="1:3" ht="15" hidden="1"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customHeight="1" x14ac:dyDescent="0.3">
      <c r="A1580" t="s">
        <v>149</v>
      </c>
      <c r="B1580" s="2">
        <v>46204</v>
      </c>
      <c r="C1580">
        <v>6946.7250000000004</v>
      </c>
    </row>
    <row r="1581" spans="1:3" ht="15" hidden="1"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customHeight="1" x14ac:dyDescent="0.3">
      <c r="A1616" t="s">
        <v>155</v>
      </c>
      <c r="B1616" s="2">
        <v>46204</v>
      </c>
      <c r="C1616">
        <v>4105.53</v>
      </c>
    </row>
    <row r="1617" spans="1:3" ht="15" hidden="1"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customHeight="1" x14ac:dyDescent="0.3">
      <c r="A1652" t="s">
        <v>157</v>
      </c>
      <c r="B1652" s="2">
        <v>46204</v>
      </c>
      <c r="C1652">
        <v>5303.16</v>
      </c>
    </row>
    <row r="1653" spans="1:3" ht="15" hidden="1"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customHeight="1" x14ac:dyDescent="0.3">
      <c r="A1688" t="s">
        <v>160</v>
      </c>
      <c r="B1688" s="2">
        <v>46204</v>
      </c>
      <c r="C1688">
        <v>15110.45</v>
      </c>
    </row>
    <row r="1689" spans="1:3" ht="15" hidden="1"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customHeight="1" x14ac:dyDescent="0.3">
      <c r="A1724" t="s">
        <v>244</v>
      </c>
      <c r="B1724" s="2">
        <v>46204</v>
      </c>
      <c r="C1724">
        <v>16827</v>
      </c>
    </row>
    <row r="1725" spans="1:3" ht="15" hidden="1"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customHeight="1" x14ac:dyDescent="0.3">
      <c r="A1760" t="s">
        <v>213</v>
      </c>
      <c r="B1760" s="2">
        <v>46204</v>
      </c>
      <c r="C1760">
        <v>6086.7</v>
      </c>
    </row>
    <row r="1761" spans="1:3" ht="15" hidden="1" customHeight="1" x14ac:dyDescent="0.3">
      <c r="A1761" t="s">
        <v>213</v>
      </c>
      <c r="B1761" s="2">
        <v>46235</v>
      </c>
      <c r="C1761">
        <v>2298.1935483870998</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customHeight="1" x14ac:dyDescent="0.3">
      <c r="A1796" t="s">
        <v>216</v>
      </c>
      <c r="B1796" s="2">
        <v>46204</v>
      </c>
      <c r="C1796">
        <v>19181.7</v>
      </c>
    </row>
    <row r="1797" spans="1:3" ht="15" hidden="1" customHeight="1" x14ac:dyDescent="0.3">
      <c r="A1797" t="s">
        <v>216</v>
      </c>
      <c r="B1797" s="2">
        <v>46235</v>
      </c>
      <c r="C1797">
        <v>7231.3548387096798</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customHeight="1" x14ac:dyDescent="0.3">
      <c r="A1832" t="s">
        <v>218</v>
      </c>
      <c r="B1832" s="2">
        <v>46204</v>
      </c>
      <c r="C1832">
        <v>6247.44</v>
      </c>
    </row>
    <row r="1833" spans="1:3" ht="15" hidden="1" customHeight="1" x14ac:dyDescent="0.3">
      <c r="A1833" t="s">
        <v>218</v>
      </c>
      <c r="B1833" s="2">
        <v>46235</v>
      </c>
      <c r="C1833">
        <v>2367.7838709677399</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customHeight="1" x14ac:dyDescent="0.3">
      <c r="A1868" t="s">
        <v>163</v>
      </c>
      <c r="B1868" s="2">
        <v>46204</v>
      </c>
      <c r="C1868">
        <v>4694.8505175</v>
      </c>
    </row>
    <row r="1869" spans="1:3" ht="15" hidden="1"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customHeight="1" x14ac:dyDescent="0.3">
      <c r="A1904" t="s">
        <v>166</v>
      </c>
      <c r="B1904" s="2">
        <v>46204</v>
      </c>
      <c r="C1904">
        <v>19629.900000000001</v>
      </c>
    </row>
    <row r="1905" spans="1:3" ht="15" hidden="1"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customHeight="1" x14ac:dyDescent="0.3">
      <c r="A1940" t="s">
        <v>169</v>
      </c>
      <c r="B1940" s="2">
        <v>46204</v>
      </c>
      <c r="C1940">
        <v>2819.0250000000001</v>
      </c>
    </row>
    <row r="1941" spans="1:3" ht="15" hidden="1"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customHeight="1" x14ac:dyDescent="0.3">
      <c r="A1976" t="s">
        <v>171</v>
      </c>
      <c r="B1976" s="2">
        <v>46204</v>
      </c>
      <c r="C1976">
        <v>7274.2449999999999</v>
      </c>
    </row>
    <row r="1977" spans="1:3" ht="15" hidden="1"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customHeight="1" x14ac:dyDescent="0.3">
      <c r="A2012" t="s">
        <v>172</v>
      </c>
      <c r="B2012" s="2">
        <v>46204</v>
      </c>
      <c r="C2012">
        <v>8635.69</v>
      </c>
    </row>
    <row r="2013" spans="1:3" ht="15" hidden="1"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customHeight="1" x14ac:dyDescent="0.3">
      <c r="A2048" t="s">
        <v>177</v>
      </c>
      <c r="B2048" s="2">
        <v>46204</v>
      </c>
      <c r="C2048">
        <v>3665.7</v>
      </c>
    </row>
    <row r="2049" spans="1:3" ht="15" hidden="1"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customHeight="1" x14ac:dyDescent="0.3">
      <c r="A2084" t="s">
        <v>265</v>
      </c>
      <c r="B2084" s="2">
        <v>46204</v>
      </c>
      <c r="C2084">
        <v>18821.97</v>
      </c>
    </row>
    <row r="2085" spans="1:3" ht="15" hidden="1"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customHeight="1" x14ac:dyDescent="0.3">
      <c r="A2120" t="s">
        <v>180</v>
      </c>
      <c r="B2120" s="2">
        <v>46204</v>
      </c>
      <c r="C2120">
        <v>15023.7</v>
      </c>
    </row>
    <row r="2121" spans="1:3" ht="15" hidden="1"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customHeight="1" x14ac:dyDescent="0.3">
      <c r="A2156" t="s">
        <v>241</v>
      </c>
      <c r="B2156" s="2">
        <v>46204</v>
      </c>
      <c r="C2156">
        <v>17358.3</v>
      </c>
    </row>
    <row r="2157" spans="1:3" ht="15" hidden="1"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customHeight="1" x14ac:dyDescent="0.3">
      <c r="A2192" t="s">
        <v>182</v>
      </c>
      <c r="B2192" s="2">
        <v>46204</v>
      </c>
      <c r="C2192">
        <v>14678.45</v>
      </c>
    </row>
    <row r="2193" spans="1:3" ht="15" hidden="1"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customHeight="1" x14ac:dyDescent="0.3">
      <c r="A2228" t="s">
        <v>184</v>
      </c>
      <c r="B2228" s="2">
        <v>46204</v>
      </c>
      <c r="C2228">
        <v>21551.7</v>
      </c>
    </row>
    <row r="2229" spans="1:3" ht="15" hidden="1"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customHeight="1" x14ac:dyDescent="0.3">
      <c r="A2264" t="s">
        <v>186</v>
      </c>
      <c r="B2264" s="2">
        <v>46204</v>
      </c>
      <c r="C2264">
        <v>21774.6</v>
      </c>
    </row>
    <row r="2265" spans="1:3" ht="15" hidden="1"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customHeight="1" x14ac:dyDescent="0.3">
      <c r="A2300" t="s">
        <v>188</v>
      </c>
      <c r="B2300" s="2">
        <v>46204</v>
      </c>
      <c r="C2300">
        <v>12990.6</v>
      </c>
    </row>
    <row r="2301" spans="1:3" ht="15" hidden="1"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customHeight="1" x14ac:dyDescent="0.3">
      <c r="A2336" t="s">
        <v>226</v>
      </c>
      <c r="B2336" s="2">
        <v>46204</v>
      </c>
      <c r="C2336">
        <v>17361.900000000001</v>
      </c>
    </row>
    <row r="2337" spans="1:3" ht="15" hidden="1"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customHeight="1" x14ac:dyDescent="0.3">
      <c r="A2372" t="s">
        <v>208</v>
      </c>
      <c r="B2372" s="2">
        <v>46204</v>
      </c>
      <c r="C2372">
        <v>12367.8</v>
      </c>
    </row>
    <row r="2373" spans="1:3" ht="15" hidden="1"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customHeight="1" x14ac:dyDescent="0.3">
      <c r="A2408" t="s">
        <v>190</v>
      </c>
      <c r="B2408" s="2">
        <v>46204</v>
      </c>
      <c r="C2408">
        <v>12892.545</v>
      </c>
    </row>
    <row r="2409" spans="1:3" ht="15" hidden="1"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customHeight="1" x14ac:dyDescent="0.3">
      <c r="A2444" t="s">
        <v>199</v>
      </c>
      <c r="B2444" s="2">
        <v>46204</v>
      </c>
      <c r="C2444">
        <v>3103.35</v>
      </c>
    </row>
    <row r="2445" spans="1:3" ht="15" hidden="1"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customHeight="1" x14ac:dyDescent="0.3">
      <c r="A2480" t="s">
        <v>192</v>
      </c>
      <c r="B2480" s="2">
        <v>46204</v>
      </c>
      <c r="C2480">
        <v>0</v>
      </c>
    </row>
    <row r="2481" spans="1:3" ht="15" hidden="1"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customHeight="1" x14ac:dyDescent="0.3">
      <c r="A2516" t="s">
        <v>194</v>
      </c>
      <c r="B2516" s="2">
        <v>46204</v>
      </c>
      <c r="C2516">
        <v>4730.3999999999996</v>
      </c>
    </row>
    <row r="2517" spans="1:3" ht="15" hidden="1"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customHeight="1" x14ac:dyDescent="0.3">
      <c r="A2552" t="s">
        <v>196</v>
      </c>
      <c r="B2552" s="2">
        <v>46204</v>
      </c>
      <c r="C2552">
        <v>2851.125</v>
      </c>
    </row>
    <row r="2553" spans="1:3" ht="15" hidden="1"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customHeight="1" x14ac:dyDescent="0.3">
      <c r="A2588" t="s">
        <v>201</v>
      </c>
      <c r="B2588" s="2">
        <v>46204</v>
      </c>
      <c r="C2588">
        <v>12024.27</v>
      </c>
    </row>
    <row r="2589" spans="1:3" ht="15" hidden="1"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customHeight="1" x14ac:dyDescent="0.3">
      <c r="A2624" t="s">
        <v>211</v>
      </c>
      <c r="B2624" s="2">
        <v>46204</v>
      </c>
      <c r="C2624">
        <v>4065.3</v>
      </c>
    </row>
    <row r="2625" spans="1:3" ht="15" hidden="1"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customHeight="1" x14ac:dyDescent="0.3">
      <c r="A2660" t="s">
        <v>202</v>
      </c>
      <c r="B2660" s="2">
        <v>46204</v>
      </c>
      <c r="C2660">
        <v>18900</v>
      </c>
    </row>
    <row r="2661" spans="1:3" ht="15" hidden="1"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customHeight="1" x14ac:dyDescent="0.3">
      <c r="A2696" t="s">
        <v>206</v>
      </c>
      <c r="B2696" s="2">
        <v>46204</v>
      </c>
    </row>
    <row r="2697" spans="1:3" ht="15" hidden="1"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x14ac:dyDescent="0.3">
      <c r="A2732" t="s">
        <v>271</v>
      </c>
      <c r="B2732" s="2">
        <v>46204</v>
      </c>
      <c r="C2732" cm="1">
        <f t="array" ref="C2732">IFERROR(INDEX('Expected Production'!$C$2:$N$200,MATCH(A2732,'Expected Production'!$A$2:$A$200,0),MONTH(B2732)),"")</f>
        <v>10986.300000000001</v>
      </c>
    </row>
    <row r="2733" spans="1:3" hidden="1"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x14ac:dyDescent="0.3">
      <c r="A2768" t="s">
        <v>251</v>
      </c>
      <c r="B2768" s="2">
        <v>46204</v>
      </c>
      <c r="C2768" cm="1">
        <f t="array" ref="C2768">IFERROR(INDEX('Expected Production'!$C$2:$N$200,MATCH(A2768,'Expected Production'!$A$2:$A$200,0),MONTH(B2768)),"")</f>
        <v>18261</v>
      </c>
    </row>
    <row r="2769" spans="1:3" hidden="1"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x14ac:dyDescent="0.3">
      <c r="A2804" t="s">
        <v>250</v>
      </c>
      <c r="B2804" s="2">
        <v>46204</v>
      </c>
      <c r="C2804" cm="1">
        <f t="array" ref="C2804">IFERROR(INDEX('Expected Production'!$C$2:$N$200,MATCH(A2804,'Expected Production'!$A$2:$A$200,0),MONTH(B2804)),"")</f>
        <v>28051.200000000001</v>
      </c>
    </row>
    <row r="2805" spans="1:3" hidden="1"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x14ac:dyDescent="0.3">
      <c r="A2812" t="s">
        <v>1004</v>
      </c>
      <c r="B2812" s="2">
        <v>46266</v>
      </c>
      <c r="C2812" cm="1">
        <f t="array" ref="C2812">IFERROR(INDEX('Expected Production'!$C$2:$N$200,MATCH(A2812,'Expected Production'!$A$2:$A$200,0),MONTH(B2812)),"")</f>
        <v>5567.4000000000005</v>
      </c>
    </row>
    <row r="2813" spans="1:3" x14ac:dyDescent="0.3">
      <c r="A2813" t="s">
        <v>1004</v>
      </c>
      <c r="B2813" s="2">
        <v>46296</v>
      </c>
      <c r="C2813" cm="1">
        <f t="array" ref="C2813">IFERROR(INDEX('Expected Production'!$C$2:$N$200,MATCH(A2813,'Expected Production'!$A$2:$A$200,0),MONTH(B2813)),"")</f>
        <v>6030.9000000000005</v>
      </c>
    </row>
    <row r="2814" spans="1:3" x14ac:dyDescent="0.3">
      <c r="A2814" t="s">
        <v>1004</v>
      </c>
      <c r="B2814" s="2">
        <v>46327</v>
      </c>
      <c r="C2814" cm="1">
        <f t="array" ref="C2814">IFERROR(INDEX('Expected Production'!$C$2:$N$200,MATCH(A2814,'Expected Production'!$A$2:$A$200,0),MONTH(B2814)),"")</f>
        <v>5897.7</v>
      </c>
    </row>
    <row r="2815" spans="1:3"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Normal="100" workbookViewId="0">
      <pane ySplit="23" topLeftCell="A216" activePane="bottomLeft" state="frozen"/>
      <selection pane="bottomLeft" activeCell="F528" sqref="F528"/>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x14ac:dyDescent="0.3">
      <c r="A2" t="s">
        <v>31</v>
      </c>
      <c r="B2" s="2">
        <v>45536</v>
      </c>
      <c r="C2" s="10"/>
    </row>
    <row r="3" spans="1:8" x14ac:dyDescent="0.3">
      <c r="A3" t="s">
        <v>31</v>
      </c>
      <c r="B3" s="2">
        <v>45566</v>
      </c>
      <c r="C3" s="10"/>
    </row>
    <row r="4" spans="1:8" x14ac:dyDescent="0.3">
      <c r="A4" t="s">
        <v>31</v>
      </c>
      <c r="B4" s="2">
        <v>45597</v>
      </c>
      <c r="C4" s="10"/>
    </row>
    <row r="5" spans="1:8" x14ac:dyDescent="0.3">
      <c r="A5" t="s">
        <v>31</v>
      </c>
      <c r="B5" s="2">
        <v>45627</v>
      </c>
      <c r="C5" s="10"/>
    </row>
    <row r="6" spans="1:8" x14ac:dyDescent="0.3">
      <c r="A6" t="s">
        <v>31</v>
      </c>
      <c r="B6" s="2">
        <v>45658</v>
      </c>
      <c r="C6" s="10"/>
    </row>
    <row r="7" spans="1:8" ht="72" customHeight="1" x14ac:dyDescent="0.3">
      <c r="A7" t="s">
        <v>31</v>
      </c>
      <c r="B7" s="2">
        <v>45689</v>
      </c>
      <c r="C7" s="10" t="s">
        <v>276</v>
      </c>
    </row>
    <row r="8" spans="1:8" ht="72" customHeight="1" x14ac:dyDescent="0.3">
      <c r="A8" t="s">
        <v>31</v>
      </c>
      <c r="B8" s="2">
        <v>45717</v>
      </c>
      <c r="C8" s="10" t="s">
        <v>277</v>
      </c>
    </row>
    <row r="9" spans="1:8" ht="57.6" customHeight="1" x14ac:dyDescent="0.3">
      <c r="A9" t="s">
        <v>31</v>
      </c>
      <c r="B9" s="2">
        <v>45748</v>
      </c>
      <c r="C9" s="10" t="s">
        <v>278</v>
      </c>
    </row>
    <row r="10" spans="1:8" ht="57.6" customHeight="1" x14ac:dyDescent="0.3">
      <c r="A10" t="s">
        <v>31</v>
      </c>
      <c r="B10" s="2">
        <v>45778</v>
      </c>
      <c r="C10" s="10" t="s">
        <v>279</v>
      </c>
    </row>
    <row r="11" spans="1:8" ht="57.6" customHeight="1" x14ac:dyDescent="0.3">
      <c r="A11" t="s">
        <v>31</v>
      </c>
      <c r="B11" s="2">
        <v>45809</v>
      </c>
      <c r="C11" s="10" t="s">
        <v>280</v>
      </c>
    </row>
    <row r="12" spans="1:8" ht="57.6" customHeight="1" x14ac:dyDescent="0.3">
      <c r="A12" t="s">
        <v>31</v>
      </c>
      <c r="B12" s="2">
        <v>45839</v>
      </c>
      <c r="C12" s="10" t="s">
        <v>281</v>
      </c>
    </row>
    <row r="13" spans="1:8" ht="57.6" customHeight="1" x14ac:dyDescent="0.3">
      <c r="A13" t="s">
        <v>31</v>
      </c>
      <c r="B13" s="2">
        <v>45870</v>
      </c>
      <c r="C13" s="10" t="s">
        <v>282</v>
      </c>
    </row>
    <row r="14" spans="1:8" ht="57.6" customHeight="1" x14ac:dyDescent="0.3">
      <c r="A14" t="s">
        <v>31</v>
      </c>
      <c r="B14" s="2">
        <v>45901</v>
      </c>
      <c r="C14" s="10" t="s">
        <v>283</v>
      </c>
    </row>
    <row r="15" spans="1:8" ht="57.6" customHeight="1" x14ac:dyDescent="0.3">
      <c r="A15" t="s">
        <v>31</v>
      </c>
      <c r="B15" s="2">
        <v>45931</v>
      </c>
      <c r="C15" s="10" t="s">
        <v>284</v>
      </c>
    </row>
    <row r="16" spans="1:8" ht="57.6" customHeight="1" x14ac:dyDescent="0.3">
      <c r="A16" t="s">
        <v>31</v>
      </c>
      <c r="B16" s="2">
        <v>45962</v>
      </c>
      <c r="C16" s="10" t="s">
        <v>285</v>
      </c>
    </row>
    <row r="17" spans="1:8" ht="28.8" x14ac:dyDescent="0.3">
      <c r="A17" t="s">
        <v>31</v>
      </c>
      <c r="B17" s="2">
        <v>45992</v>
      </c>
      <c r="C17" s="10" t="s">
        <v>286</v>
      </c>
    </row>
    <row r="18" spans="1:8" ht="28.8" x14ac:dyDescent="0.3">
      <c r="A18" t="s">
        <v>31</v>
      </c>
      <c r="B18" s="2">
        <v>46023</v>
      </c>
      <c r="C18" s="10" t="s">
        <v>286</v>
      </c>
    </row>
    <row r="19" spans="1:8" ht="28.8" x14ac:dyDescent="0.3">
      <c r="A19" t="s">
        <v>31</v>
      </c>
      <c r="B19" s="2">
        <v>46054</v>
      </c>
      <c r="C19" s="10" t="s">
        <v>286</v>
      </c>
    </row>
    <row r="20" spans="1:8" ht="28.8" x14ac:dyDescent="0.3">
      <c r="A20" t="s">
        <v>31</v>
      </c>
      <c r="B20" s="2">
        <v>46082</v>
      </c>
      <c r="C20" s="10" t="s">
        <v>286</v>
      </c>
    </row>
    <row r="21" spans="1:8" ht="28.95" customHeight="1" x14ac:dyDescent="0.3">
      <c r="A21" t="s">
        <v>31</v>
      </c>
      <c r="B21" s="2">
        <v>46113</v>
      </c>
      <c r="C21" s="10" t="s">
        <v>287</v>
      </c>
    </row>
    <row r="22" spans="1:8" x14ac:dyDescent="0.3">
      <c r="A22" t="s">
        <v>31</v>
      </c>
      <c r="B22" s="2">
        <v>46143</v>
      </c>
      <c r="C22" s="10" t="s">
        <v>852</v>
      </c>
    </row>
    <row r="23" spans="1:8" x14ac:dyDescent="0.3">
      <c r="A23" t="s">
        <v>31</v>
      </c>
      <c r="B23" s="2">
        <v>46174</v>
      </c>
      <c r="C23" s="10"/>
    </row>
    <row r="24" spans="1:8" x14ac:dyDescent="0.3">
      <c r="A24" t="s">
        <v>31</v>
      </c>
      <c r="B24" s="2">
        <v>46204</v>
      </c>
      <c r="C24" s="10">
        <v>31</v>
      </c>
      <c r="D24">
        <v>0</v>
      </c>
      <c r="E24" t="s">
        <v>33</v>
      </c>
      <c r="F24" t="s">
        <v>33</v>
      </c>
      <c r="G24" t="s">
        <v>1014</v>
      </c>
      <c r="H24" t="s">
        <v>36</v>
      </c>
    </row>
    <row r="25" spans="1:8" x14ac:dyDescent="0.3">
      <c r="A25" t="s">
        <v>31</v>
      </c>
      <c r="B25" s="2">
        <v>46235</v>
      </c>
      <c r="C25" s="10"/>
    </row>
    <row r="26" spans="1:8" x14ac:dyDescent="0.3">
      <c r="A26" t="s">
        <v>43</v>
      </c>
      <c r="B26" s="2">
        <v>45536</v>
      </c>
      <c r="C26" s="10"/>
    </row>
    <row r="27" spans="1:8" x14ac:dyDescent="0.3">
      <c r="A27" t="s">
        <v>43</v>
      </c>
      <c r="B27" s="2">
        <v>45566</v>
      </c>
      <c r="C27" s="10"/>
    </row>
    <row r="28" spans="1:8" x14ac:dyDescent="0.3">
      <c r="A28" t="s">
        <v>43</v>
      </c>
      <c r="B28" s="2">
        <v>45597</v>
      </c>
      <c r="C28" s="10"/>
    </row>
    <row r="29" spans="1:8" x14ac:dyDescent="0.3">
      <c r="A29" t="s">
        <v>43</v>
      </c>
      <c r="B29" s="2">
        <v>45627</v>
      </c>
      <c r="C29" s="10"/>
    </row>
    <row r="30" spans="1:8" x14ac:dyDescent="0.3">
      <c r="A30" t="s">
        <v>43</v>
      </c>
      <c r="B30" s="2">
        <v>45658</v>
      </c>
      <c r="C30" s="10"/>
    </row>
    <row r="31" spans="1:8" ht="43.2" customHeight="1" x14ac:dyDescent="0.3">
      <c r="A31" t="s">
        <v>43</v>
      </c>
      <c r="B31" s="2">
        <v>45689</v>
      </c>
      <c r="C31" s="10" t="s">
        <v>288</v>
      </c>
    </row>
    <row r="32" spans="1:8" x14ac:dyDescent="0.3">
      <c r="A32" t="s">
        <v>43</v>
      </c>
      <c r="B32" s="2">
        <v>45717</v>
      </c>
      <c r="C32" s="10" t="s">
        <v>289</v>
      </c>
    </row>
    <row r="33" spans="1:8" x14ac:dyDescent="0.3">
      <c r="A33" t="s">
        <v>43</v>
      </c>
      <c r="B33" s="2">
        <v>45748</v>
      </c>
      <c r="C33" s="10" t="s">
        <v>289</v>
      </c>
    </row>
    <row r="34" spans="1:8" ht="72" customHeight="1" x14ac:dyDescent="0.3">
      <c r="A34" t="s">
        <v>43</v>
      </c>
      <c r="B34" s="2">
        <v>45778</v>
      </c>
      <c r="C34" s="10" t="s">
        <v>290</v>
      </c>
    </row>
    <row r="35" spans="1:8" ht="72" customHeight="1" x14ac:dyDescent="0.3">
      <c r="A35" t="s">
        <v>43</v>
      </c>
      <c r="B35" s="2">
        <v>45809</v>
      </c>
      <c r="C35" s="10" t="s">
        <v>291</v>
      </c>
    </row>
    <row r="36" spans="1:8" ht="72" customHeight="1" x14ac:dyDescent="0.3">
      <c r="A36" t="s">
        <v>43</v>
      </c>
      <c r="B36" s="2">
        <v>45839</v>
      </c>
      <c r="C36" s="10" t="s">
        <v>292</v>
      </c>
    </row>
    <row r="37" spans="1:8" ht="57.6" customHeight="1" x14ac:dyDescent="0.3">
      <c r="A37" t="s">
        <v>43</v>
      </c>
      <c r="B37" s="2">
        <v>45870</v>
      </c>
      <c r="C37" s="10" t="s">
        <v>293</v>
      </c>
    </row>
    <row r="38" spans="1:8" ht="57.6" customHeight="1" x14ac:dyDescent="0.3">
      <c r="A38" t="s">
        <v>43</v>
      </c>
      <c r="B38" s="2">
        <v>45901</v>
      </c>
      <c r="C38" s="10" t="s">
        <v>294</v>
      </c>
    </row>
    <row r="39" spans="1:8" ht="72" customHeight="1" x14ac:dyDescent="0.3">
      <c r="A39" t="s">
        <v>43</v>
      </c>
      <c r="B39" s="2">
        <v>45931</v>
      </c>
      <c r="C39" s="10" t="s">
        <v>295</v>
      </c>
    </row>
    <row r="40" spans="1:8" ht="57.6" customHeight="1" x14ac:dyDescent="0.3">
      <c r="A40" t="s">
        <v>43</v>
      </c>
      <c r="B40" s="2">
        <v>45962</v>
      </c>
      <c r="C40" s="10" t="s">
        <v>296</v>
      </c>
    </row>
    <row r="41" spans="1:8" ht="28.8" x14ac:dyDescent="0.3">
      <c r="A41" t="s">
        <v>43</v>
      </c>
      <c r="B41" s="2">
        <v>45992</v>
      </c>
      <c r="C41" s="10" t="s">
        <v>297</v>
      </c>
    </row>
    <row r="42" spans="1:8" ht="28.8" x14ac:dyDescent="0.3">
      <c r="A42" t="s">
        <v>43</v>
      </c>
      <c r="B42" s="2">
        <v>46023</v>
      </c>
      <c r="C42" s="10" t="s">
        <v>298</v>
      </c>
    </row>
    <row r="43" spans="1:8" ht="28.8" x14ac:dyDescent="0.3">
      <c r="A43" t="s">
        <v>43</v>
      </c>
      <c r="B43" s="2">
        <v>46054</v>
      </c>
      <c r="C43" s="10" t="s">
        <v>299</v>
      </c>
    </row>
    <row r="44" spans="1:8" x14ac:dyDescent="0.3">
      <c r="A44" t="s">
        <v>43</v>
      </c>
      <c r="B44" s="2">
        <v>46082</v>
      </c>
      <c r="C44" s="10" t="s">
        <v>300</v>
      </c>
    </row>
    <row r="45" spans="1:8" x14ac:dyDescent="0.3">
      <c r="A45" t="s">
        <v>43</v>
      </c>
      <c r="B45" s="2">
        <v>46113</v>
      </c>
      <c r="C45" s="10" t="s">
        <v>300</v>
      </c>
    </row>
    <row r="46" spans="1:8" ht="28.8" x14ac:dyDescent="0.3">
      <c r="A46" t="s">
        <v>43</v>
      </c>
      <c r="B46" s="2">
        <v>46143</v>
      </c>
      <c r="C46" s="10" t="s">
        <v>867</v>
      </c>
    </row>
    <row r="47" spans="1:8" x14ac:dyDescent="0.3">
      <c r="A47" t="s">
        <v>43</v>
      </c>
      <c r="B47" s="2">
        <v>46174</v>
      </c>
      <c r="C47" s="10" t="s">
        <v>892</v>
      </c>
      <c r="D47">
        <v>0</v>
      </c>
      <c r="E47" t="s">
        <v>33</v>
      </c>
    </row>
    <row r="48" spans="1:8" x14ac:dyDescent="0.3">
      <c r="A48" t="s">
        <v>43</v>
      </c>
      <c r="B48" s="2">
        <v>46204</v>
      </c>
      <c r="C48" s="10">
        <v>31</v>
      </c>
      <c r="D48">
        <v>0</v>
      </c>
      <c r="E48" t="s">
        <v>33</v>
      </c>
      <c r="F48" t="s">
        <v>33</v>
      </c>
      <c r="G48" s="10" t="s">
        <v>932</v>
      </c>
      <c r="H48" t="s">
        <v>36</v>
      </c>
    </row>
    <row r="49" spans="1:7" x14ac:dyDescent="0.3">
      <c r="A49" t="s">
        <v>43</v>
      </c>
      <c r="B49" s="2">
        <v>46235</v>
      </c>
      <c r="C49" s="10"/>
    </row>
    <row r="50" spans="1:7" x14ac:dyDescent="0.3">
      <c r="A50" t="s">
        <v>49</v>
      </c>
      <c r="B50" s="2">
        <v>45536</v>
      </c>
      <c r="C50" s="10"/>
    </row>
    <row r="51" spans="1:7" x14ac:dyDescent="0.3">
      <c r="A51" t="s">
        <v>49</v>
      </c>
      <c r="B51" s="2">
        <v>45566</v>
      </c>
      <c r="C51" s="10"/>
    </row>
    <row r="52" spans="1:7" x14ac:dyDescent="0.3">
      <c r="A52" t="s">
        <v>49</v>
      </c>
      <c r="B52" s="2">
        <v>45597</v>
      </c>
      <c r="C52" s="10"/>
    </row>
    <row r="53" spans="1:7" x14ac:dyDescent="0.3">
      <c r="A53" t="s">
        <v>49</v>
      </c>
      <c r="B53" s="2">
        <v>45627</v>
      </c>
      <c r="C53" s="10"/>
    </row>
    <row r="54" spans="1:7" x14ac:dyDescent="0.3">
      <c r="A54" t="s">
        <v>49</v>
      </c>
      <c r="B54" s="2">
        <v>45658</v>
      </c>
      <c r="C54" s="10" t="s">
        <v>892</v>
      </c>
      <c r="D54" t="s">
        <v>33</v>
      </c>
      <c r="E54" t="s">
        <v>33</v>
      </c>
      <c r="F54" t="s">
        <v>893</v>
      </c>
      <c r="G54" s="10" t="s">
        <v>932</v>
      </c>
    </row>
    <row r="55" spans="1:7" x14ac:dyDescent="0.3">
      <c r="A55" t="s">
        <v>49</v>
      </c>
      <c r="B55" s="2">
        <v>45689</v>
      </c>
      <c r="C55" s="10" t="s">
        <v>895</v>
      </c>
      <c r="D55" t="s">
        <v>33</v>
      </c>
      <c r="E55" t="s">
        <v>33</v>
      </c>
      <c r="F55" t="s">
        <v>893</v>
      </c>
      <c r="G55" s="10" t="s">
        <v>932</v>
      </c>
    </row>
    <row r="56" spans="1:7" x14ac:dyDescent="0.3">
      <c r="A56" t="s">
        <v>49</v>
      </c>
      <c r="B56" s="2">
        <v>45717</v>
      </c>
      <c r="C56" s="10" t="s">
        <v>892</v>
      </c>
      <c r="D56" t="s">
        <v>33</v>
      </c>
      <c r="E56" t="s">
        <v>33</v>
      </c>
      <c r="F56" t="s">
        <v>893</v>
      </c>
      <c r="G56" s="10" t="s">
        <v>932</v>
      </c>
    </row>
    <row r="57" spans="1:7" x14ac:dyDescent="0.3">
      <c r="A57" t="s">
        <v>49</v>
      </c>
      <c r="B57" s="2">
        <v>45748</v>
      </c>
      <c r="C57" s="10" t="s">
        <v>896</v>
      </c>
      <c r="F57" t="s">
        <v>893</v>
      </c>
      <c r="G57" s="10" t="s">
        <v>932</v>
      </c>
    </row>
    <row r="58" spans="1:7" x14ac:dyDescent="0.3">
      <c r="A58" t="s">
        <v>49</v>
      </c>
      <c r="B58" s="2">
        <v>45778</v>
      </c>
      <c r="C58" s="10">
        <v>0</v>
      </c>
      <c r="D58">
        <v>30</v>
      </c>
      <c r="F58" t="s">
        <v>893</v>
      </c>
      <c r="G58" s="10" t="s">
        <v>932</v>
      </c>
    </row>
    <row r="59" spans="1:7" x14ac:dyDescent="0.3">
      <c r="A59" t="s">
        <v>49</v>
      </c>
      <c r="B59" s="2">
        <v>45809</v>
      </c>
      <c r="C59" s="10" t="s">
        <v>898</v>
      </c>
      <c r="D59">
        <v>4</v>
      </c>
      <c r="E59" t="s">
        <v>897</v>
      </c>
      <c r="F59" t="s">
        <v>893</v>
      </c>
      <c r="G59" s="10" t="s">
        <v>932</v>
      </c>
    </row>
    <row r="60" spans="1:7" x14ac:dyDescent="0.3">
      <c r="A60" t="s">
        <v>49</v>
      </c>
      <c r="B60" s="2">
        <v>45839</v>
      </c>
      <c r="C60" s="10" t="s">
        <v>899</v>
      </c>
      <c r="D60" s="10" t="s">
        <v>892</v>
      </c>
      <c r="E60" t="s">
        <v>913</v>
      </c>
      <c r="F60" t="s">
        <v>982</v>
      </c>
      <c r="G60" t="s">
        <v>992</v>
      </c>
    </row>
    <row r="61" spans="1:7" x14ac:dyDescent="0.3">
      <c r="A61" t="s">
        <v>49</v>
      </c>
      <c r="B61" s="2">
        <v>45870</v>
      </c>
      <c r="C61" s="10" t="s">
        <v>892</v>
      </c>
      <c r="D61">
        <v>0</v>
      </c>
      <c r="F61" t="s">
        <v>33</v>
      </c>
      <c r="G61" s="10" t="s">
        <v>932</v>
      </c>
    </row>
    <row r="62" spans="1:7" x14ac:dyDescent="0.3">
      <c r="A62" t="s">
        <v>49</v>
      </c>
      <c r="B62" s="2">
        <v>45901</v>
      </c>
      <c r="C62" s="10" t="s">
        <v>892</v>
      </c>
      <c r="D62">
        <v>0</v>
      </c>
      <c r="F62" t="s">
        <v>912</v>
      </c>
      <c r="G62" t="s">
        <v>914</v>
      </c>
    </row>
    <row r="63" spans="1:7" x14ac:dyDescent="0.3">
      <c r="A63" t="s">
        <v>49</v>
      </c>
      <c r="B63" s="2">
        <v>45931</v>
      </c>
      <c r="C63" s="10" t="s">
        <v>901</v>
      </c>
      <c r="D63" t="s">
        <v>900</v>
      </c>
      <c r="E63" t="s">
        <v>908</v>
      </c>
      <c r="F63" t="s">
        <v>915</v>
      </c>
      <c r="G63" s="10" t="s">
        <v>990</v>
      </c>
    </row>
    <row r="64" spans="1:7" x14ac:dyDescent="0.3">
      <c r="A64" t="s">
        <v>49</v>
      </c>
      <c r="B64" s="2">
        <v>45962</v>
      </c>
      <c r="C64" s="10" t="s">
        <v>896</v>
      </c>
      <c r="D64">
        <v>0</v>
      </c>
      <c r="F64" t="s">
        <v>33</v>
      </c>
      <c r="G64" s="10" t="s">
        <v>932</v>
      </c>
    </row>
    <row r="65" spans="1:8" x14ac:dyDescent="0.3">
      <c r="A65" t="s">
        <v>49</v>
      </c>
      <c r="B65" s="2">
        <v>45992</v>
      </c>
      <c r="C65" s="10" t="s">
        <v>911</v>
      </c>
      <c r="D65">
        <v>0</v>
      </c>
      <c r="E65" t="s">
        <v>33</v>
      </c>
      <c r="F65" t="s">
        <v>893</v>
      </c>
      <c r="G65" s="10" t="s">
        <v>932</v>
      </c>
    </row>
    <row r="66" spans="1:8" x14ac:dyDescent="0.3">
      <c r="A66" t="s">
        <v>49</v>
      </c>
      <c r="B66" s="2">
        <v>46023</v>
      </c>
      <c r="C66" s="10" t="s">
        <v>892</v>
      </c>
      <c r="D66">
        <v>0</v>
      </c>
      <c r="F66" t="s">
        <v>33</v>
      </c>
      <c r="G66" t="s">
        <v>894</v>
      </c>
    </row>
    <row r="67" spans="1:8" x14ac:dyDescent="0.3">
      <c r="A67" t="s">
        <v>49</v>
      </c>
      <c r="B67" s="2">
        <v>46054</v>
      </c>
      <c r="C67" s="10" t="s">
        <v>903</v>
      </c>
      <c r="D67">
        <v>0</v>
      </c>
      <c r="F67" t="s">
        <v>912</v>
      </c>
      <c r="G67" s="10" t="s">
        <v>932</v>
      </c>
    </row>
    <row r="68" spans="1:8" x14ac:dyDescent="0.3">
      <c r="A68" t="s">
        <v>49</v>
      </c>
      <c r="B68" s="2">
        <v>46082</v>
      </c>
      <c r="C68" s="10" t="s">
        <v>905</v>
      </c>
      <c r="D68" t="s">
        <v>904</v>
      </c>
      <c r="E68" t="s">
        <v>908</v>
      </c>
      <c r="F68" t="s">
        <v>910</v>
      </c>
      <c r="G68" s="10" t="s">
        <v>990</v>
      </c>
    </row>
    <row r="69" spans="1:8" x14ac:dyDescent="0.3">
      <c r="A69" t="s">
        <v>49</v>
      </c>
      <c r="B69" s="2">
        <v>46113</v>
      </c>
      <c r="C69" s="10" t="s">
        <v>896</v>
      </c>
      <c r="D69" t="s">
        <v>907</v>
      </c>
      <c r="E69" t="s">
        <v>908</v>
      </c>
      <c r="F69" t="s">
        <v>910</v>
      </c>
      <c r="G69" s="10" t="s">
        <v>991</v>
      </c>
    </row>
    <row r="70" spans="1:8" x14ac:dyDescent="0.3">
      <c r="A70" t="s">
        <v>49</v>
      </c>
      <c r="B70" s="2">
        <v>46143</v>
      </c>
      <c r="C70" s="10" t="s">
        <v>892</v>
      </c>
      <c r="D70" t="s">
        <v>906</v>
      </c>
      <c r="E70" t="s">
        <v>909</v>
      </c>
      <c r="F70" t="s">
        <v>910</v>
      </c>
      <c r="G70" s="10" t="s">
        <v>990</v>
      </c>
    </row>
    <row r="71" spans="1:8" x14ac:dyDescent="0.3">
      <c r="A71" t="s">
        <v>49</v>
      </c>
      <c r="B71" s="2">
        <v>46174</v>
      </c>
      <c r="C71" s="10" t="s">
        <v>896</v>
      </c>
      <c r="D71">
        <v>0</v>
      </c>
      <c r="E71" t="s">
        <v>33</v>
      </c>
      <c r="F71" t="s">
        <v>912</v>
      </c>
      <c r="G71" s="10" t="s">
        <v>1016</v>
      </c>
      <c r="H71" t="s">
        <v>36</v>
      </c>
    </row>
    <row r="72" spans="1:8" x14ac:dyDescent="0.3">
      <c r="A72" t="s">
        <v>49</v>
      </c>
      <c r="B72" s="2">
        <v>46204</v>
      </c>
      <c r="C72" s="10">
        <v>30</v>
      </c>
      <c r="D72" t="s">
        <v>1019</v>
      </c>
      <c r="E72" t="s">
        <v>927</v>
      </c>
      <c r="F72" t="s">
        <v>33</v>
      </c>
      <c r="G72" s="10" t="s">
        <v>1015</v>
      </c>
      <c r="H72" t="s">
        <v>36</v>
      </c>
    </row>
    <row r="73" spans="1:8" x14ac:dyDescent="0.3">
      <c r="A73" t="s">
        <v>49</v>
      </c>
      <c r="B73" s="2">
        <v>46235</v>
      </c>
      <c r="C73" s="10"/>
    </row>
    <row r="74" spans="1:8" x14ac:dyDescent="0.3">
      <c r="A74" t="s">
        <v>64</v>
      </c>
      <c r="B74" s="2">
        <v>45536</v>
      </c>
      <c r="C74" s="10"/>
    </row>
    <row r="75" spans="1:8" x14ac:dyDescent="0.3">
      <c r="A75" t="s">
        <v>64</v>
      </c>
      <c r="B75" s="2">
        <v>45566</v>
      </c>
      <c r="C75" s="10"/>
    </row>
    <row r="76" spans="1:8" x14ac:dyDescent="0.3">
      <c r="A76" t="s">
        <v>64</v>
      </c>
      <c r="B76" s="2">
        <v>45597</v>
      </c>
      <c r="C76" s="10"/>
    </row>
    <row r="77" spans="1:8" x14ac:dyDescent="0.3">
      <c r="A77" t="s">
        <v>64</v>
      </c>
      <c r="B77" s="2">
        <v>45627</v>
      </c>
      <c r="C77" s="10"/>
    </row>
    <row r="78" spans="1:8" x14ac:dyDescent="0.3">
      <c r="A78" t="s">
        <v>64</v>
      </c>
      <c r="B78" s="2">
        <v>45658</v>
      </c>
      <c r="C78" s="10"/>
    </row>
    <row r="79" spans="1:8" ht="28.95" customHeight="1" x14ac:dyDescent="0.3">
      <c r="A79" t="s">
        <v>64</v>
      </c>
      <c r="B79" s="2">
        <v>45689</v>
      </c>
      <c r="C79" s="10" t="s">
        <v>303</v>
      </c>
    </row>
    <row r="80" spans="1:8" ht="28.95" customHeight="1" x14ac:dyDescent="0.3">
      <c r="A80" t="s">
        <v>64</v>
      </c>
      <c r="B80" s="2">
        <v>45717</v>
      </c>
      <c r="C80" s="10" t="s">
        <v>304</v>
      </c>
    </row>
    <row r="81" spans="1:8" x14ac:dyDescent="0.3">
      <c r="A81" t="s">
        <v>64</v>
      </c>
      <c r="B81" s="2">
        <v>45748</v>
      </c>
      <c r="C81" s="10" t="s">
        <v>305</v>
      </c>
    </row>
    <row r="82" spans="1:8" ht="43.2" customHeight="1" x14ac:dyDescent="0.3">
      <c r="A82" t="s">
        <v>64</v>
      </c>
      <c r="B82" s="2">
        <v>45778</v>
      </c>
      <c r="C82" s="10" t="s">
        <v>306</v>
      </c>
    </row>
    <row r="83" spans="1:8" ht="57.6" customHeight="1" x14ac:dyDescent="0.3">
      <c r="A83" t="s">
        <v>64</v>
      </c>
      <c r="B83" s="2">
        <v>45809</v>
      </c>
      <c r="C83" s="10" t="s">
        <v>307</v>
      </c>
    </row>
    <row r="84" spans="1:8" ht="43.2" customHeight="1" x14ac:dyDescent="0.3">
      <c r="A84" t="s">
        <v>64</v>
      </c>
      <c r="B84" s="2">
        <v>45839</v>
      </c>
      <c r="C84" s="10" t="s">
        <v>308</v>
      </c>
    </row>
    <row r="85" spans="1:8" ht="72" customHeight="1" x14ac:dyDescent="0.3">
      <c r="A85" t="s">
        <v>64</v>
      </c>
      <c r="B85" s="2">
        <v>45870</v>
      </c>
      <c r="C85" s="10" t="s">
        <v>309</v>
      </c>
    </row>
    <row r="86" spans="1:8" ht="43.2" customHeight="1" x14ac:dyDescent="0.3">
      <c r="A86" t="s">
        <v>64</v>
      </c>
      <c r="B86" s="2">
        <v>45901</v>
      </c>
      <c r="C86" s="10" t="s">
        <v>310</v>
      </c>
    </row>
    <row r="87" spans="1:8" ht="43.2" customHeight="1" x14ac:dyDescent="0.3">
      <c r="A87" t="s">
        <v>64</v>
      </c>
      <c r="B87" s="2">
        <v>45931</v>
      </c>
      <c r="C87" s="10" t="s">
        <v>311</v>
      </c>
    </row>
    <row r="88" spans="1:8" ht="43.2" customHeight="1" x14ac:dyDescent="0.3">
      <c r="A88" t="s">
        <v>64</v>
      </c>
      <c r="B88" s="2">
        <v>45962</v>
      </c>
      <c r="C88" s="10" t="s">
        <v>312</v>
      </c>
    </row>
    <row r="89" spans="1:8" ht="28.8" x14ac:dyDescent="0.3">
      <c r="A89" t="s">
        <v>64</v>
      </c>
      <c r="B89" s="2">
        <v>45992</v>
      </c>
      <c r="C89" s="10" t="s">
        <v>313</v>
      </c>
    </row>
    <row r="90" spans="1:8" ht="28.8" x14ac:dyDescent="0.3">
      <c r="A90" t="s">
        <v>64</v>
      </c>
      <c r="B90" s="2">
        <v>46023</v>
      </c>
      <c r="C90" s="10" t="s">
        <v>313</v>
      </c>
    </row>
    <row r="91" spans="1:8" ht="43.2" x14ac:dyDescent="0.3">
      <c r="A91" t="s">
        <v>64</v>
      </c>
      <c r="B91" s="2">
        <v>46054</v>
      </c>
      <c r="C91" s="10" t="s">
        <v>314</v>
      </c>
    </row>
    <row r="92" spans="1:8" x14ac:dyDescent="0.3">
      <c r="A92" t="s">
        <v>64</v>
      </c>
      <c r="B92" s="2">
        <v>46082</v>
      </c>
      <c r="C92" s="10" t="s">
        <v>300</v>
      </c>
    </row>
    <row r="93" spans="1:8" x14ac:dyDescent="0.3">
      <c r="A93" t="s">
        <v>64</v>
      </c>
      <c r="B93" s="2">
        <v>46113</v>
      </c>
      <c r="C93" s="10" t="s">
        <v>300</v>
      </c>
    </row>
    <row r="94" spans="1:8" x14ac:dyDescent="0.3">
      <c r="A94" t="s">
        <v>64</v>
      </c>
      <c r="B94" s="2">
        <v>46143</v>
      </c>
      <c r="C94" s="10" t="s">
        <v>852</v>
      </c>
    </row>
    <row r="95" spans="1:8" x14ac:dyDescent="0.3">
      <c r="A95" t="s">
        <v>250</v>
      </c>
      <c r="B95" s="2">
        <v>46204</v>
      </c>
      <c r="C95">
        <v>31</v>
      </c>
      <c r="D95">
        <v>0</v>
      </c>
      <c r="E95" t="s">
        <v>33</v>
      </c>
      <c r="F95" t="s">
        <v>33</v>
      </c>
      <c r="G95" t="s">
        <v>959</v>
      </c>
      <c r="H95" t="s">
        <v>36</v>
      </c>
    </row>
    <row r="96" spans="1:8" x14ac:dyDescent="0.3">
      <c r="A96" t="s">
        <v>250</v>
      </c>
      <c r="B96" s="2">
        <v>46174</v>
      </c>
      <c r="C96" t="s">
        <v>919</v>
      </c>
      <c r="D96">
        <v>0</v>
      </c>
      <c r="E96" t="s">
        <v>33</v>
      </c>
      <c r="F96" t="s">
        <v>33</v>
      </c>
      <c r="G96" s="10" t="s">
        <v>996</v>
      </c>
      <c r="H96" t="s">
        <v>36</v>
      </c>
    </row>
    <row r="97" spans="1:3" x14ac:dyDescent="0.3">
      <c r="A97" t="s">
        <v>64</v>
      </c>
      <c r="B97" s="2">
        <v>46235</v>
      </c>
      <c r="C97" s="10"/>
    </row>
    <row r="98" spans="1:3" ht="28.8" x14ac:dyDescent="0.3">
      <c r="A98" t="s">
        <v>55</v>
      </c>
      <c r="B98" s="2">
        <v>45536</v>
      </c>
      <c r="C98" s="10" t="s">
        <v>315</v>
      </c>
    </row>
    <row r="99" spans="1:3" x14ac:dyDescent="0.3">
      <c r="A99" t="s">
        <v>55</v>
      </c>
      <c r="B99" s="2">
        <v>45566</v>
      </c>
      <c r="C99" s="10"/>
    </row>
    <row r="100" spans="1:3" x14ac:dyDescent="0.3">
      <c r="A100" t="s">
        <v>55</v>
      </c>
      <c r="B100" s="2">
        <v>45597</v>
      </c>
      <c r="C100" s="10"/>
    </row>
    <row r="101" spans="1:3" x14ac:dyDescent="0.3">
      <c r="A101" t="s">
        <v>55</v>
      </c>
      <c r="B101" s="2">
        <v>45627</v>
      </c>
      <c r="C101" s="10"/>
    </row>
    <row r="102" spans="1:3" x14ac:dyDescent="0.3">
      <c r="A102" t="s">
        <v>55</v>
      </c>
      <c r="B102" s="2">
        <v>45658</v>
      </c>
      <c r="C102" s="10"/>
    </row>
    <row r="103" spans="1:3" ht="72" customHeight="1" x14ac:dyDescent="0.3">
      <c r="A103" t="s">
        <v>55</v>
      </c>
      <c r="B103" s="2">
        <v>45689</v>
      </c>
      <c r="C103" s="10" t="s">
        <v>316</v>
      </c>
    </row>
    <row r="104" spans="1:3" ht="86.4" customHeight="1" x14ac:dyDescent="0.3">
      <c r="A104" t="s">
        <v>55</v>
      </c>
      <c r="B104" s="2">
        <v>45717</v>
      </c>
      <c r="C104" s="10" t="s">
        <v>317</v>
      </c>
    </row>
    <row r="105" spans="1:3" ht="72" customHeight="1" x14ac:dyDescent="0.3">
      <c r="A105" t="s">
        <v>55</v>
      </c>
      <c r="B105" s="2">
        <v>45748</v>
      </c>
      <c r="C105" s="10" t="s">
        <v>318</v>
      </c>
    </row>
    <row r="106" spans="1:3" ht="72" customHeight="1" x14ac:dyDescent="0.3">
      <c r="A106" t="s">
        <v>55</v>
      </c>
      <c r="B106" s="2">
        <v>45778</v>
      </c>
      <c r="C106" s="10" t="s">
        <v>319</v>
      </c>
    </row>
    <row r="107" spans="1:3" ht="57.6" customHeight="1" x14ac:dyDescent="0.3">
      <c r="A107" t="s">
        <v>55</v>
      </c>
      <c r="B107" s="2">
        <v>45809</v>
      </c>
      <c r="C107" s="10" t="s">
        <v>320</v>
      </c>
    </row>
    <row r="108" spans="1:3" ht="72" customHeight="1" x14ac:dyDescent="0.3">
      <c r="A108" t="s">
        <v>55</v>
      </c>
      <c r="B108" s="2">
        <v>45839</v>
      </c>
      <c r="C108" s="10" t="s">
        <v>321</v>
      </c>
    </row>
    <row r="109" spans="1:3" ht="57.6" customHeight="1" x14ac:dyDescent="0.3">
      <c r="A109" t="s">
        <v>55</v>
      </c>
      <c r="B109" s="2">
        <v>45870</v>
      </c>
      <c r="C109" s="10" t="s">
        <v>322</v>
      </c>
    </row>
    <row r="110" spans="1:3" ht="72" customHeight="1" x14ac:dyDescent="0.3">
      <c r="A110" t="s">
        <v>55</v>
      </c>
      <c r="B110" s="2">
        <v>45901</v>
      </c>
      <c r="C110" s="10" t="s">
        <v>323</v>
      </c>
    </row>
    <row r="111" spans="1:3" ht="86.4" customHeight="1" x14ac:dyDescent="0.3">
      <c r="A111" t="s">
        <v>55</v>
      </c>
      <c r="B111" s="2">
        <v>45931</v>
      </c>
      <c r="C111" s="10" t="s">
        <v>324</v>
      </c>
    </row>
    <row r="112" spans="1:3" ht="57.6" customHeight="1" x14ac:dyDescent="0.3">
      <c r="A112" t="s">
        <v>55</v>
      </c>
      <c r="B112" s="2">
        <v>45962</v>
      </c>
      <c r="C112" s="10" t="s">
        <v>325</v>
      </c>
    </row>
    <row r="113" spans="1:8" x14ac:dyDescent="0.3">
      <c r="A113" t="s">
        <v>55</v>
      </c>
      <c r="B113" s="2">
        <v>45992</v>
      </c>
      <c r="C113" s="10" t="s">
        <v>326</v>
      </c>
    </row>
    <row r="114" spans="1:8" ht="28.8" x14ac:dyDescent="0.3">
      <c r="A114" t="s">
        <v>55</v>
      </c>
      <c r="B114" s="2">
        <v>46023</v>
      </c>
      <c r="C114" s="10" t="s">
        <v>327</v>
      </c>
    </row>
    <row r="115" spans="1:8" ht="43.2" x14ac:dyDescent="0.3">
      <c r="A115" t="s">
        <v>55</v>
      </c>
      <c r="B115" s="2">
        <v>46054</v>
      </c>
      <c r="C115" s="10" t="s">
        <v>314</v>
      </c>
    </row>
    <row r="116" spans="1:8" x14ac:dyDescent="0.3">
      <c r="A116" t="s">
        <v>55</v>
      </c>
      <c r="B116" s="2">
        <v>46082</v>
      </c>
      <c r="C116" s="10" t="s">
        <v>300</v>
      </c>
    </row>
    <row r="117" spans="1:8" x14ac:dyDescent="0.3">
      <c r="A117" t="s">
        <v>55</v>
      </c>
      <c r="B117" s="2">
        <v>46113</v>
      </c>
      <c r="C117" s="10" t="s">
        <v>300</v>
      </c>
    </row>
    <row r="118" spans="1:8" x14ac:dyDescent="0.3">
      <c r="A118" t="s">
        <v>55</v>
      </c>
      <c r="B118" s="2">
        <v>46143</v>
      </c>
      <c r="C118" s="10" t="s">
        <v>852</v>
      </c>
    </row>
    <row r="119" spans="1:8" x14ac:dyDescent="0.3">
      <c r="A119" t="s">
        <v>55</v>
      </c>
      <c r="B119" s="2">
        <v>46174</v>
      </c>
      <c r="C119" s="10"/>
    </row>
    <row r="120" spans="1:8" x14ac:dyDescent="0.3">
      <c r="A120" t="s">
        <v>55</v>
      </c>
      <c r="B120" s="2">
        <v>46204</v>
      </c>
      <c r="C120" s="10">
        <v>31</v>
      </c>
      <c r="D120">
        <v>0</v>
      </c>
      <c r="E120" t="s">
        <v>33</v>
      </c>
      <c r="F120" t="s">
        <v>33</v>
      </c>
      <c r="G120" s="10" t="s">
        <v>932</v>
      </c>
      <c r="H120" t="s">
        <v>36</v>
      </c>
    </row>
    <row r="121" spans="1:8" x14ac:dyDescent="0.3">
      <c r="A121" t="s">
        <v>55</v>
      </c>
      <c r="B121" s="2">
        <v>46235</v>
      </c>
      <c r="C121" s="10"/>
    </row>
    <row r="122" spans="1:8" x14ac:dyDescent="0.3">
      <c r="A122" t="s">
        <v>60</v>
      </c>
      <c r="B122" s="2">
        <v>45536</v>
      </c>
      <c r="C122" s="10"/>
    </row>
    <row r="123" spans="1:8" x14ac:dyDescent="0.3">
      <c r="A123" t="s">
        <v>60</v>
      </c>
      <c r="B123" s="2">
        <v>45566</v>
      </c>
      <c r="C123" s="10"/>
    </row>
    <row r="124" spans="1:8" x14ac:dyDescent="0.3">
      <c r="A124" t="s">
        <v>60</v>
      </c>
      <c r="B124" s="2">
        <v>45597</v>
      </c>
      <c r="C124" s="10"/>
    </row>
    <row r="125" spans="1:8" x14ac:dyDescent="0.3">
      <c r="A125" t="s">
        <v>60</v>
      </c>
      <c r="B125" s="2">
        <v>45627</v>
      </c>
      <c r="C125" s="10"/>
    </row>
    <row r="126" spans="1:8" x14ac:dyDescent="0.3">
      <c r="A126" t="s">
        <v>60</v>
      </c>
      <c r="B126" s="2">
        <v>45658</v>
      </c>
      <c r="C126" s="10"/>
    </row>
    <row r="127" spans="1:8" ht="28.95" customHeight="1" x14ac:dyDescent="0.3">
      <c r="A127" t="s">
        <v>60</v>
      </c>
      <c r="B127" s="2">
        <v>45689</v>
      </c>
      <c r="C127" s="10" t="s">
        <v>328</v>
      </c>
    </row>
    <row r="128" spans="1:8" ht="57.6" customHeight="1" x14ac:dyDescent="0.3">
      <c r="A128" t="s">
        <v>60</v>
      </c>
      <c r="B128" s="2">
        <v>45717</v>
      </c>
      <c r="C128" s="10" t="s">
        <v>329</v>
      </c>
    </row>
    <row r="129" spans="1:8" ht="86.4" customHeight="1" x14ac:dyDescent="0.3">
      <c r="A129" t="s">
        <v>60</v>
      </c>
      <c r="B129" s="2">
        <v>45748</v>
      </c>
      <c r="C129" s="10" t="s">
        <v>330</v>
      </c>
    </row>
    <row r="130" spans="1:8" ht="72" customHeight="1" x14ac:dyDescent="0.3">
      <c r="A130" t="s">
        <v>60</v>
      </c>
      <c r="B130" s="2">
        <v>45778</v>
      </c>
      <c r="C130" s="10" t="s">
        <v>331</v>
      </c>
    </row>
    <row r="131" spans="1:8" ht="72" customHeight="1" x14ac:dyDescent="0.3">
      <c r="A131" t="s">
        <v>60</v>
      </c>
      <c r="B131" s="2">
        <v>45809</v>
      </c>
      <c r="C131" s="10" t="s">
        <v>332</v>
      </c>
    </row>
    <row r="132" spans="1:8" ht="72" customHeight="1" x14ac:dyDescent="0.3">
      <c r="A132" t="s">
        <v>60</v>
      </c>
      <c r="B132" s="2">
        <v>45839</v>
      </c>
      <c r="C132" s="10" t="s">
        <v>333</v>
      </c>
    </row>
    <row r="133" spans="1:8" ht="72" customHeight="1" x14ac:dyDescent="0.3">
      <c r="A133" t="s">
        <v>60</v>
      </c>
      <c r="B133" s="2">
        <v>45870</v>
      </c>
      <c r="C133" s="10" t="s">
        <v>334</v>
      </c>
    </row>
    <row r="134" spans="1:8" ht="57.6" customHeight="1" x14ac:dyDescent="0.3">
      <c r="A134" t="s">
        <v>60</v>
      </c>
      <c r="B134" s="2">
        <v>45901</v>
      </c>
      <c r="C134" s="10" t="s">
        <v>335</v>
      </c>
    </row>
    <row r="135" spans="1:8" ht="57.6" customHeight="1" x14ac:dyDescent="0.3">
      <c r="A135" t="s">
        <v>60</v>
      </c>
      <c r="B135" s="2">
        <v>45931</v>
      </c>
      <c r="C135" s="10" t="s">
        <v>336</v>
      </c>
    </row>
    <row r="136" spans="1:8" ht="57.6" customHeight="1" x14ac:dyDescent="0.3">
      <c r="A136" t="s">
        <v>60</v>
      </c>
      <c r="B136" s="2">
        <v>45962</v>
      </c>
      <c r="C136" s="10" t="s">
        <v>337</v>
      </c>
    </row>
    <row r="137" spans="1:8" x14ac:dyDescent="0.3">
      <c r="A137" t="s">
        <v>60</v>
      </c>
      <c r="B137" s="2">
        <v>45992</v>
      </c>
      <c r="C137" s="10" t="s">
        <v>326</v>
      </c>
    </row>
    <row r="138" spans="1:8" x14ac:dyDescent="0.3">
      <c r="A138" t="s">
        <v>60</v>
      </c>
      <c r="B138" s="2">
        <v>46023</v>
      </c>
      <c r="C138" s="10" t="s">
        <v>338</v>
      </c>
    </row>
    <row r="139" spans="1:8" x14ac:dyDescent="0.3">
      <c r="A139" t="s">
        <v>60</v>
      </c>
      <c r="B139" s="2">
        <v>46054</v>
      </c>
      <c r="C139" s="10" t="s">
        <v>326</v>
      </c>
    </row>
    <row r="140" spans="1:8" x14ac:dyDescent="0.3">
      <c r="A140" t="s">
        <v>60</v>
      </c>
      <c r="B140" s="2">
        <v>46082</v>
      </c>
      <c r="C140" s="10" t="s">
        <v>339</v>
      </c>
    </row>
    <row r="141" spans="1:8" x14ac:dyDescent="0.3">
      <c r="A141" t="s">
        <v>60</v>
      </c>
      <c r="B141" s="2">
        <v>46113</v>
      </c>
      <c r="C141" s="10" t="s">
        <v>339</v>
      </c>
    </row>
    <row r="142" spans="1:8" x14ac:dyDescent="0.3">
      <c r="A142" t="s">
        <v>60</v>
      </c>
      <c r="B142" s="2">
        <v>46143</v>
      </c>
      <c r="C142" s="10" t="s">
        <v>868</v>
      </c>
    </row>
    <row r="143" spans="1:8" x14ac:dyDescent="0.3">
      <c r="A143" t="s">
        <v>60</v>
      </c>
      <c r="B143" s="2">
        <v>46174</v>
      </c>
      <c r="C143" s="10"/>
    </row>
    <row r="144" spans="1:8" x14ac:dyDescent="0.3">
      <c r="A144" t="s">
        <v>60</v>
      </c>
      <c r="B144" s="2">
        <v>46204</v>
      </c>
      <c r="C144" s="10">
        <v>31</v>
      </c>
      <c r="D144">
        <v>0</v>
      </c>
      <c r="E144" t="s">
        <v>33</v>
      </c>
      <c r="F144" t="s">
        <v>33</v>
      </c>
      <c r="G144" t="s">
        <v>1014</v>
      </c>
      <c r="H144" t="s">
        <v>36</v>
      </c>
    </row>
    <row r="145" spans="1:3" x14ac:dyDescent="0.3">
      <c r="A145" t="s">
        <v>60</v>
      </c>
      <c r="B145" s="2">
        <v>46235</v>
      </c>
      <c r="C145" s="10"/>
    </row>
    <row r="146" spans="1:3" x14ac:dyDescent="0.3">
      <c r="A146" t="s">
        <v>61</v>
      </c>
      <c r="B146" s="2">
        <v>45536</v>
      </c>
      <c r="C146" s="10"/>
    </row>
    <row r="147" spans="1:3" x14ac:dyDescent="0.3">
      <c r="A147" t="s">
        <v>61</v>
      </c>
      <c r="B147" s="2">
        <v>45566</v>
      </c>
      <c r="C147" s="10"/>
    </row>
    <row r="148" spans="1:3" x14ac:dyDescent="0.3">
      <c r="A148" t="s">
        <v>61</v>
      </c>
      <c r="B148" s="2">
        <v>45597</v>
      </c>
      <c r="C148" s="10"/>
    </row>
    <row r="149" spans="1:3" x14ac:dyDescent="0.3">
      <c r="A149" t="s">
        <v>61</v>
      </c>
      <c r="B149" s="2">
        <v>45627</v>
      </c>
      <c r="C149" s="10"/>
    </row>
    <row r="150" spans="1:3" x14ac:dyDescent="0.3">
      <c r="A150" t="s">
        <v>61</v>
      </c>
      <c r="B150" s="2">
        <v>45658</v>
      </c>
      <c r="C150" s="10"/>
    </row>
    <row r="151" spans="1:3" ht="43.2" customHeight="1" x14ac:dyDescent="0.3">
      <c r="A151" t="s">
        <v>61</v>
      </c>
      <c r="B151" s="2">
        <v>45689</v>
      </c>
      <c r="C151" s="10" t="s">
        <v>340</v>
      </c>
    </row>
    <row r="152" spans="1:3" ht="57.6" customHeight="1" x14ac:dyDescent="0.3">
      <c r="A152" t="s">
        <v>61</v>
      </c>
      <c r="B152" s="2">
        <v>45717</v>
      </c>
      <c r="C152" s="10" t="s">
        <v>341</v>
      </c>
    </row>
    <row r="153" spans="1:3" ht="28.95" customHeight="1" x14ac:dyDescent="0.3">
      <c r="A153" t="s">
        <v>61</v>
      </c>
      <c r="B153" s="2">
        <v>45748</v>
      </c>
      <c r="C153" s="10" t="s">
        <v>342</v>
      </c>
    </row>
    <row r="154" spans="1:3" ht="57.6" customHeight="1" x14ac:dyDescent="0.3">
      <c r="A154" t="s">
        <v>61</v>
      </c>
      <c r="B154" s="2">
        <v>45778</v>
      </c>
      <c r="C154" s="10" t="s">
        <v>343</v>
      </c>
    </row>
    <row r="155" spans="1:3" ht="72" customHeight="1" x14ac:dyDescent="0.3">
      <c r="A155" t="s">
        <v>61</v>
      </c>
      <c r="B155" s="2">
        <v>45809</v>
      </c>
      <c r="C155" s="10" t="s">
        <v>344</v>
      </c>
    </row>
    <row r="156" spans="1:3" ht="57.6" customHeight="1" x14ac:dyDescent="0.3">
      <c r="A156" t="s">
        <v>61</v>
      </c>
      <c r="B156" s="2">
        <v>45839</v>
      </c>
      <c r="C156" s="10" t="s">
        <v>345</v>
      </c>
    </row>
    <row r="157" spans="1:3" ht="72" customHeight="1" x14ac:dyDescent="0.3">
      <c r="A157" t="s">
        <v>61</v>
      </c>
      <c r="B157" s="2">
        <v>45870</v>
      </c>
      <c r="C157" s="10" t="s">
        <v>346</v>
      </c>
    </row>
    <row r="158" spans="1:3" ht="57.6" customHeight="1" x14ac:dyDescent="0.3">
      <c r="A158" t="s">
        <v>61</v>
      </c>
      <c r="B158" s="2">
        <v>45901</v>
      </c>
      <c r="C158" s="10" t="s">
        <v>347</v>
      </c>
    </row>
    <row r="159" spans="1:3" ht="57.6" customHeight="1" x14ac:dyDescent="0.3">
      <c r="A159" t="s">
        <v>61</v>
      </c>
      <c r="B159" s="2">
        <v>45931</v>
      </c>
      <c r="C159" s="10" t="s">
        <v>348</v>
      </c>
    </row>
    <row r="160" spans="1:3" ht="57.6" customHeight="1" x14ac:dyDescent="0.3">
      <c r="A160" t="s">
        <v>61</v>
      </c>
      <c r="B160" s="2">
        <v>45962</v>
      </c>
      <c r="C160" s="10" t="s">
        <v>349</v>
      </c>
    </row>
    <row r="161" spans="1:8" x14ac:dyDescent="0.3">
      <c r="A161" t="s">
        <v>61</v>
      </c>
      <c r="B161" s="2">
        <v>45992</v>
      </c>
      <c r="C161" s="10" t="s">
        <v>326</v>
      </c>
    </row>
    <row r="162" spans="1:8" x14ac:dyDescent="0.3">
      <c r="A162" t="s">
        <v>61</v>
      </c>
      <c r="B162" s="2">
        <v>46023</v>
      </c>
      <c r="C162" s="10" t="s">
        <v>338</v>
      </c>
    </row>
    <row r="163" spans="1:8" ht="43.2" x14ac:dyDescent="0.3">
      <c r="A163" t="s">
        <v>61</v>
      </c>
      <c r="B163" s="2">
        <v>46054</v>
      </c>
      <c r="C163" s="10" t="s">
        <v>314</v>
      </c>
    </row>
    <row r="164" spans="1:8" x14ac:dyDescent="0.3">
      <c r="A164" t="s">
        <v>61</v>
      </c>
      <c r="B164" s="2">
        <v>46082</v>
      </c>
      <c r="C164" s="10" t="s">
        <v>338</v>
      </c>
    </row>
    <row r="165" spans="1:8" x14ac:dyDescent="0.3">
      <c r="A165" t="s">
        <v>61</v>
      </c>
      <c r="B165" s="2">
        <v>46113</v>
      </c>
      <c r="C165" s="10" t="s">
        <v>302</v>
      </c>
    </row>
    <row r="166" spans="1:8" x14ac:dyDescent="0.3">
      <c r="A166" t="s">
        <v>61</v>
      </c>
      <c r="B166" s="2">
        <v>46143</v>
      </c>
      <c r="C166" s="10" t="s">
        <v>302</v>
      </c>
    </row>
    <row r="167" spans="1:8" x14ac:dyDescent="0.3">
      <c r="A167" t="s">
        <v>61</v>
      </c>
      <c r="B167" s="2">
        <v>46174</v>
      </c>
      <c r="C167" s="10"/>
    </row>
    <row r="168" spans="1:8" x14ac:dyDescent="0.3">
      <c r="A168" t="s">
        <v>61</v>
      </c>
      <c r="B168" s="2">
        <v>46204</v>
      </c>
      <c r="C168" s="10">
        <v>31</v>
      </c>
      <c r="D168">
        <v>0</v>
      </c>
      <c r="E168" t="s">
        <v>33</v>
      </c>
      <c r="F168" t="s">
        <v>33</v>
      </c>
      <c r="G168" t="s">
        <v>1014</v>
      </c>
      <c r="H168" t="s">
        <v>36</v>
      </c>
    </row>
    <row r="169" spans="1:8" x14ac:dyDescent="0.3">
      <c r="A169" t="s">
        <v>61</v>
      </c>
      <c r="B169" s="2">
        <v>46235</v>
      </c>
      <c r="C169" s="10"/>
    </row>
    <row r="170" spans="1:8" x14ac:dyDescent="0.3">
      <c r="A170" t="s">
        <v>66</v>
      </c>
      <c r="B170" s="2">
        <v>45536</v>
      </c>
      <c r="C170" s="10"/>
    </row>
    <row r="171" spans="1:8" x14ac:dyDescent="0.3">
      <c r="A171" t="s">
        <v>66</v>
      </c>
      <c r="B171" s="2">
        <v>45566</v>
      </c>
      <c r="C171" s="10"/>
    </row>
    <row r="172" spans="1:8" x14ac:dyDescent="0.3">
      <c r="A172" t="s">
        <v>66</v>
      </c>
      <c r="B172" s="2">
        <v>45597</v>
      </c>
      <c r="C172" s="10"/>
    </row>
    <row r="173" spans="1:8" x14ac:dyDescent="0.3">
      <c r="A173" t="s">
        <v>66</v>
      </c>
      <c r="B173" s="2">
        <v>45627</v>
      </c>
      <c r="C173" s="10"/>
    </row>
    <row r="174" spans="1:8" x14ac:dyDescent="0.3">
      <c r="A174" t="s">
        <v>66</v>
      </c>
      <c r="B174" s="2">
        <v>45658</v>
      </c>
      <c r="C174" s="10"/>
    </row>
    <row r="175" spans="1:8" ht="28.95" customHeight="1" x14ac:dyDescent="0.3">
      <c r="A175" t="s">
        <v>66</v>
      </c>
      <c r="B175" s="2">
        <v>45689</v>
      </c>
      <c r="C175" s="10" t="s">
        <v>350</v>
      </c>
    </row>
    <row r="176" spans="1:8" ht="28.95" customHeight="1" x14ac:dyDescent="0.3">
      <c r="A176" t="s">
        <v>66</v>
      </c>
      <c r="B176" s="2">
        <v>45717</v>
      </c>
      <c r="C176" s="10" t="s">
        <v>350</v>
      </c>
    </row>
    <row r="177" spans="1:8" ht="28.95" customHeight="1" x14ac:dyDescent="0.3">
      <c r="A177" t="s">
        <v>66</v>
      </c>
      <c r="B177" s="2">
        <v>45748</v>
      </c>
      <c r="C177" s="10" t="s">
        <v>350</v>
      </c>
    </row>
    <row r="178" spans="1:8" ht="28.95" customHeight="1" x14ac:dyDescent="0.3">
      <c r="A178" t="s">
        <v>66</v>
      </c>
      <c r="B178" s="2">
        <v>45778</v>
      </c>
      <c r="C178" s="10" t="s">
        <v>350</v>
      </c>
    </row>
    <row r="179" spans="1:8" ht="28.95" customHeight="1" x14ac:dyDescent="0.3">
      <c r="A179" t="s">
        <v>66</v>
      </c>
      <c r="B179" s="2">
        <v>45809</v>
      </c>
      <c r="C179" s="10" t="s">
        <v>350</v>
      </c>
    </row>
    <row r="180" spans="1:8" ht="28.95" customHeight="1" x14ac:dyDescent="0.3">
      <c r="A180" t="s">
        <v>66</v>
      </c>
      <c r="B180" s="2">
        <v>45839</v>
      </c>
      <c r="C180" s="10" t="s">
        <v>350</v>
      </c>
    </row>
    <row r="181" spans="1:8" ht="28.95" customHeight="1" x14ac:dyDescent="0.3">
      <c r="A181" t="s">
        <v>66</v>
      </c>
      <c r="B181" s="2">
        <v>45870</v>
      </c>
      <c r="C181" s="10" t="s">
        <v>350</v>
      </c>
    </row>
    <row r="182" spans="1:8" ht="28.95" customHeight="1" x14ac:dyDescent="0.3">
      <c r="A182" t="s">
        <v>66</v>
      </c>
      <c r="B182" s="2">
        <v>45901</v>
      </c>
      <c r="C182" s="10" t="s">
        <v>351</v>
      </c>
    </row>
    <row r="183" spans="1:8" ht="43.2" customHeight="1" x14ac:dyDescent="0.3">
      <c r="A183" t="s">
        <v>66</v>
      </c>
      <c r="B183" s="2">
        <v>45931</v>
      </c>
      <c r="C183" s="10" t="s">
        <v>352</v>
      </c>
    </row>
    <row r="184" spans="1:8" x14ac:dyDescent="0.3">
      <c r="A184" t="s">
        <v>66</v>
      </c>
      <c r="B184" s="2">
        <v>45962</v>
      </c>
      <c r="C184" s="10" t="s">
        <v>353</v>
      </c>
    </row>
    <row r="185" spans="1:8" x14ac:dyDescent="0.3">
      <c r="A185" t="s">
        <v>66</v>
      </c>
      <c r="B185" s="2">
        <v>45992</v>
      </c>
      <c r="C185" s="10" t="s">
        <v>353</v>
      </c>
    </row>
    <row r="186" spans="1:8" x14ac:dyDescent="0.3">
      <c r="A186" t="s">
        <v>66</v>
      </c>
      <c r="B186" s="2">
        <v>46023</v>
      </c>
      <c r="C186" s="10" t="s">
        <v>353</v>
      </c>
    </row>
    <row r="187" spans="1:8" x14ac:dyDescent="0.3">
      <c r="A187" t="s">
        <v>66</v>
      </c>
      <c r="B187" s="2">
        <v>46054</v>
      </c>
      <c r="C187" s="10" t="s">
        <v>353</v>
      </c>
    </row>
    <row r="188" spans="1:8" x14ac:dyDescent="0.3">
      <c r="A188" t="s">
        <v>66</v>
      </c>
      <c r="B188" s="2">
        <v>46082</v>
      </c>
      <c r="C188" s="10" t="s">
        <v>353</v>
      </c>
    </row>
    <row r="189" spans="1:8" x14ac:dyDescent="0.3">
      <c r="A189" t="s">
        <v>66</v>
      </c>
      <c r="B189" s="2">
        <v>46113</v>
      </c>
      <c r="C189" s="10" t="s">
        <v>353</v>
      </c>
    </row>
    <row r="190" spans="1:8" x14ac:dyDescent="0.3">
      <c r="A190" t="s">
        <v>66</v>
      </c>
      <c r="B190" s="2">
        <v>46143</v>
      </c>
      <c r="C190" s="10" t="s">
        <v>853</v>
      </c>
    </row>
    <row r="191" spans="1:8" x14ac:dyDescent="0.3">
      <c r="A191" t="s">
        <v>64</v>
      </c>
      <c r="B191" s="2">
        <v>46174</v>
      </c>
      <c r="C191" s="10"/>
    </row>
    <row r="192" spans="1:8" ht="27.6" customHeight="1" x14ac:dyDescent="0.3">
      <c r="A192" t="s">
        <v>64</v>
      </c>
      <c r="B192" s="2">
        <v>46204</v>
      </c>
      <c r="C192" s="10">
        <v>31</v>
      </c>
      <c r="D192">
        <v>0</v>
      </c>
      <c r="E192" t="s">
        <v>33</v>
      </c>
      <c r="F192" t="s">
        <v>33</v>
      </c>
      <c r="G192" s="10" t="s">
        <v>932</v>
      </c>
      <c r="H192" t="s">
        <v>36</v>
      </c>
    </row>
    <row r="193" spans="1:3" x14ac:dyDescent="0.3">
      <c r="A193" t="s">
        <v>66</v>
      </c>
      <c r="B193" s="2">
        <v>46235</v>
      </c>
      <c r="C193" s="10"/>
    </row>
    <row r="194" spans="1:3" x14ac:dyDescent="0.3">
      <c r="A194" t="s">
        <v>71</v>
      </c>
      <c r="B194" s="2">
        <v>45536</v>
      </c>
      <c r="C194" s="10"/>
    </row>
    <row r="195" spans="1:3" x14ac:dyDescent="0.3">
      <c r="A195" t="s">
        <v>71</v>
      </c>
      <c r="B195" s="2">
        <v>45566</v>
      </c>
      <c r="C195" s="10"/>
    </row>
    <row r="196" spans="1:3" x14ac:dyDescent="0.3">
      <c r="A196" t="s">
        <v>71</v>
      </c>
      <c r="B196" s="2">
        <v>45597</v>
      </c>
      <c r="C196" s="10"/>
    </row>
    <row r="197" spans="1:3" x14ac:dyDescent="0.3">
      <c r="A197" t="s">
        <v>71</v>
      </c>
      <c r="B197" s="2">
        <v>45627</v>
      </c>
      <c r="C197" s="10"/>
    </row>
    <row r="198" spans="1:3" x14ac:dyDescent="0.3">
      <c r="A198" t="s">
        <v>71</v>
      </c>
      <c r="B198" s="2">
        <v>45658</v>
      </c>
      <c r="C198" s="10"/>
    </row>
    <row r="199" spans="1:3" ht="28.95" customHeight="1" x14ac:dyDescent="0.3">
      <c r="A199" t="s">
        <v>71</v>
      </c>
      <c r="B199" s="2">
        <v>45689</v>
      </c>
      <c r="C199" s="10" t="s">
        <v>354</v>
      </c>
    </row>
    <row r="200" spans="1:3" ht="28.95" customHeight="1" x14ac:dyDescent="0.3">
      <c r="A200" t="s">
        <v>71</v>
      </c>
      <c r="B200" s="2">
        <v>45717</v>
      </c>
      <c r="C200" s="10" t="s">
        <v>355</v>
      </c>
    </row>
    <row r="201" spans="1:3" ht="28.95" customHeight="1" x14ac:dyDescent="0.3">
      <c r="A201" t="s">
        <v>71</v>
      </c>
      <c r="B201" s="2">
        <v>45748</v>
      </c>
      <c r="C201" s="10" t="s">
        <v>356</v>
      </c>
    </row>
    <row r="202" spans="1:3" ht="43.2" customHeight="1" x14ac:dyDescent="0.3">
      <c r="A202" t="s">
        <v>71</v>
      </c>
      <c r="B202" s="2">
        <v>45778</v>
      </c>
      <c r="C202" s="10" t="s">
        <v>357</v>
      </c>
    </row>
    <row r="203" spans="1:3" ht="72" customHeight="1" x14ac:dyDescent="0.3">
      <c r="A203" t="s">
        <v>71</v>
      </c>
      <c r="B203" s="2">
        <v>45809</v>
      </c>
      <c r="C203" s="10" t="s">
        <v>358</v>
      </c>
    </row>
    <row r="204" spans="1:3" ht="72" customHeight="1" x14ac:dyDescent="0.3">
      <c r="A204" t="s">
        <v>71</v>
      </c>
      <c r="B204" s="2">
        <v>45839</v>
      </c>
      <c r="C204" s="10" t="s">
        <v>359</v>
      </c>
    </row>
    <row r="205" spans="1:3" ht="72" customHeight="1" x14ac:dyDescent="0.3">
      <c r="A205" t="s">
        <v>71</v>
      </c>
      <c r="B205" s="2">
        <v>45870</v>
      </c>
      <c r="C205" s="10" t="s">
        <v>360</v>
      </c>
    </row>
    <row r="206" spans="1:3" ht="57.6" customHeight="1" x14ac:dyDescent="0.3">
      <c r="A206" t="s">
        <v>71</v>
      </c>
      <c r="B206" s="2">
        <v>45901</v>
      </c>
      <c r="C206" s="10" t="s">
        <v>361</v>
      </c>
    </row>
    <row r="207" spans="1:3" ht="57.6" customHeight="1" x14ac:dyDescent="0.3">
      <c r="A207" t="s">
        <v>71</v>
      </c>
      <c r="B207" s="2">
        <v>45931</v>
      </c>
      <c r="C207" s="10" t="s">
        <v>362</v>
      </c>
    </row>
    <row r="208" spans="1:3" ht="57.6" customHeight="1" x14ac:dyDescent="0.3">
      <c r="A208" t="s">
        <v>71</v>
      </c>
      <c r="B208" s="2">
        <v>45962</v>
      </c>
      <c r="C208" s="10" t="s">
        <v>363</v>
      </c>
    </row>
    <row r="209" spans="1:8" ht="28.8" x14ac:dyDescent="0.3">
      <c r="A209" t="s">
        <v>71</v>
      </c>
      <c r="B209" s="2">
        <v>45992</v>
      </c>
      <c r="C209" s="10" t="s">
        <v>364</v>
      </c>
    </row>
    <row r="210" spans="1:8" x14ac:dyDescent="0.3">
      <c r="A210" t="s">
        <v>71</v>
      </c>
      <c r="B210" s="2">
        <v>46023</v>
      </c>
      <c r="C210" s="10" t="s">
        <v>338</v>
      </c>
    </row>
    <row r="211" spans="1:8" x14ac:dyDescent="0.3">
      <c r="A211" t="s">
        <v>71</v>
      </c>
      <c r="B211" s="2">
        <v>46054</v>
      </c>
      <c r="C211" s="10" t="s">
        <v>326</v>
      </c>
    </row>
    <row r="212" spans="1:8" x14ac:dyDescent="0.3">
      <c r="A212" t="s">
        <v>71</v>
      </c>
      <c r="B212" s="2">
        <v>46082</v>
      </c>
      <c r="C212" s="10" t="s">
        <v>326</v>
      </c>
    </row>
    <row r="213" spans="1:8" x14ac:dyDescent="0.3">
      <c r="A213" t="s">
        <v>71</v>
      </c>
      <c r="B213" s="2">
        <v>46113</v>
      </c>
      <c r="C213" s="10" t="s">
        <v>302</v>
      </c>
    </row>
    <row r="214" spans="1:8" x14ac:dyDescent="0.3">
      <c r="A214" t="s">
        <v>71</v>
      </c>
      <c r="B214" s="2">
        <v>46143</v>
      </c>
      <c r="C214" s="10" t="s">
        <v>302</v>
      </c>
    </row>
    <row r="215" spans="1:8" x14ac:dyDescent="0.3">
      <c r="A215" t="s">
        <v>66</v>
      </c>
      <c r="B215" s="2">
        <v>46174</v>
      </c>
      <c r="C215" s="10"/>
    </row>
    <row r="216" spans="1:8" x14ac:dyDescent="0.3">
      <c r="A216" t="s">
        <v>66</v>
      </c>
      <c r="B216" s="2">
        <v>46204</v>
      </c>
      <c r="C216" s="10">
        <v>31</v>
      </c>
      <c r="D216">
        <v>0</v>
      </c>
      <c r="E216" t="s">
        <v>33</v>
      </c>
      <c r="F216" t="s">
        <v>33</v>
      </c>
      <c r="G216" s="10" t="s">
        <v>932</v>
      </c>
      <c r="H216" t="s">
        <v>36</v>
      </c>
    </row>
    <row r="217" spans="1:8" x14ac:dyDescent="0.3">
      <c r="A217" t="s">
        <v>71</v>
      </c>
      <c r="B217" s="2">
        <v>46235</v>
      </c>
      <c r="C217" s="10"/>
    </row>
    <row r="218" spans="1:8" x14ac:dyDescent="0.3">
      <c r="A218" t="s">
        <v>77</v>
      </c>
      <c r="B218" s="2">
        <v>45536</v>
      </c>
      <c r="C218" s="10"/>
    </row>
    <row r="219" spans="1:8" x14ac:dyDescent="0.3">
      <c r="A219" t="s">
        <v>77</v>
      </c>
      <c r="B219" s="2">
        <v>45566</v>
      </c>
      <c r="C219" s="10"/>
    </row>
    <row r="220" spans="1:8" x14ac:dyDescent="0.3">
      <c r="A220" t="s">
        <v>77</v>
      </c>
      <c r="B220" s="2">
        <v>45597</v>
      </c>
      <c r="C220" s="10"/>
    </row>
    <row r="221" spans="1:8" x14ac:dyDescent="0.3">
      <c r="A221" t="s">
        <v>77</v>
      </c>
      <c r="B221" s="2">
        <v>45627</v>
      </c>
      <c r="C221" s="10"/>
    </row>
    <row r="222" spans="1:8" x14ac:dyDescent="0.3">
      <c r="A222" t="s">
        <v>77</v>
      </c>
      <c r="B222" s="2">
        <v>45658</v>
      </c>
      <c r="C222" s="10"/>
    </row>
    <row r="223" spans="1:8" x14ac:dyDescent="0.3">
      <c r="A223" t="s">
        <v>77</v>
      </c>
      <c r="B223" s="2">
        <v>45689</v>
      </c>
      <c r="C223" s="10" t="s">
        <v>365</v>
      </c>
    </row>
    <row r="224" spans="1:8" ht="28.95" customHeight="1" x14ac:dyDescent="0.3">
      <c r="A224" t="s">
        <v>77</v>
      </c>
      <c r="B224" s="2">
        <v>45717</v>
      </c>
      <c r="C224" s="10" t="s">
        <v>366</v>
      </c>
    </row>
    <row r="225" spans="1:8" ht="43.2" customHeight="1" x14ac:dyDescent="0.3">
      <c r="A225" t="s">
        <v>77</v>
      </c>
      <c r="B225" s="2">
        <v>45748</v>
      </c>
      <c r="C225" s="10" t="s">
        <v>367</v>
      </c>
    </row>
    <row r="226" spans="1:8" ht="57.6" customHeight="1" x14ac:dyDescent="0.3">
      <c r="A226" t="s">
        <v>77</v>
      </c>
      <c r="B226" s="2">
        <v>45778</v>
      </c>
      <c r="C226" s="10" t="s">
        <v>368</v>
      </c>
    </row>
    <row r="227" spans="1:8" ht="57.6" customHeight="1" x14ac:dyDescent="0.3">
      <c r="A227" t="s">
        <v>77</v>
      </c>
      <c r="B227" s="2">
        <v>45809</v>
      </c>
      <c r="C227" s="10" t="s">
        <v>369</v>
      </c>
    </row>
    <row r="228" spans="1:8" ht="43.2" customHeight="1" x14ac:dyDescent="0.3">
      <c r="A228" t="s">
        <v>77</v>
      </c>
      <c r="B228" s="2">
        <v>45839</v>
      </c>
      <c r="C228" s="10" t="s">
        <v>370</v>
      </c>
    </row>
    <row r="229" spans="1:8" ht="43.2" customHeight="1" x14ac:dyDescent="0.3">
      <c r="A229" t="s">
        <v>77</v>
      </c>
      <c r="B229" s="2">
        <v>45870</v>
      </c>
      <c r="C229" s="10" t="s">
        <v>371</v>
      </c>
    </row>
    <row r="230" spans="1:8" ht="43.2" customHeight="1" x14ac:dyDescent="0.3">
      <c r="A230" t="s">
        <v>77</v>
      </c>
      <c r="B230" s="2">
        <v>45901</v>
      </c>
      <c r="C230" s="10" t="s">
        <v>372</v>
      </c>
    </row>
    <row r="231" spans="1:8" ht="43.2" customHeight="1" x14ac:dyDescent="0.3">
      <c r="A231" t="s">
        <v>77</v>
      </c>
      <c r="B231" s="2">
        <v>45931</v>
      </c>
      <c r="C231" s="10" t="s">
        <v>373</v>
      </c>
    </row>
    <row r="232" spans="1:8" ht="43.2" customHeight="1" x14ac:dyDescent="0.3">
      <c r="A232" t="s">
        <v>77</v>
      </c>
      <c r="B232" s="2">
        <v>45962</v>
      </c>
      <c r="C232" s="10" t="s">
        <v>374</v>
      </c>
    </row>
    <row r="233" spans="1:8" x14ac:dyDescent="0.3">
      <c r="A233" t="s">
        <v>77</v>
      </c>
      <c r="B233" s="2">
        <v>45992</v>
      </c>
      <c r="C233" s="10" t="s">
        <v>326</v>
      </c>
    </row>
    <row r="234" spans="1:8" x14ac:dyDescent="0.3">
      <c r="A234" t="s">
        <v>77</v>
      </c>
      <c r="B234" s="2">
        <v>46023</v>
      </c>
      <c r="C234" s="10" t="s">
        <v>375</v>
      </c>
    </row>
    <row r="235" spans="1:8" x14ac:dyDescent="0.3">
      <c r="A235" t="s">
        <v>77</v>
      </c>
      <c r="B235" s="2">
        <v>46054</v>
      </c>
      <c r="C235" s="10" t="s">
        <v>326</v>
      </c>
    </row>
    <row r="236" spans="1:8" x14ac:dyDescent="0.3">
      <c r="A236" t="s">
        <v>77</v>
      </c>
      <c r="B236" s="2">
        <v>46082</v>
      </c>
      <c r="C236" s="10" t="s">
        <v>326</v>
      </c>
    </row>
    <row r="237" spans="1:8" x14ac:dyDescent="0.3">
      <c r="A237" t="s">
        <v>77</v>
      </c>
      <c r="B237" s="2">
        <v>46113</v>
      </c>
      <c r="C237" s="10" t="s">
        <v>302</v>
      </c>
    </row>
    <row r="238" spans="1:8" x14ac:dyDescent="0.3">
      <c r="A238" t="s">
        <v>77</v>
      </c>
      <c r="B238" s="2">
        <v>46143</v>
      </c>
      <c r="C238" s="10" t="s">
        <v>302</v>
      </c>
    </row>
    <row r="239" spans="1:8" x14ac:dyDescent="0.3">
      <c r="A239" t="s">
        <v>71</v>
      </c>
      <c r="B239" s="2">
        <v>46174</v>
      </c>
      <c r="C239" s="10"/>
    </row>
    <row r="240" spans="1:8" ht="28.8" x14ac:dyDescent="0.3">
      <c r="A240" t="s">
        <v>71</v>
      </c>
      <c r="B240" s="2">
        <v>46204</v>
      </c>
      <c r="C240" s="10">
        <v>24</v>
      </c>
      <c r="D240" t="s">
        <v>1023</v>
      </c>
      <c r="E240" s="33" t="s">
        <v>1017</v>
      </c>
      <c r="F240" s="33" t="s">
        <v>1018</v>
      </c>
      <c r="G240" s="10" t="s">
        <v>1020</v>
      </c>
      <c r="H240" t="s">
        <v>36</v>
      </c>
    </row>
    <row r="241" spans="1:3" x14ac:dyDescent="0.3">
      <c r="A241" t="s">
        <v>77</v>
      </c>
      <c r="B241" s="2">
        <v>46235</v>
      </c>
      <c r="C241" s="10"/>
    </row>
    <row r="242" spans="1:3" x14ac:dyDescent="0.3">
      <c r="A242" t="s">
        <v>80</v>
      </c>
      <c r="B242" s="2">
        <v>45536</v>
      </c>
      <c r="C242" s="10"/>
    </row>
    <row r="243" spans="1:3" x14ac:dyDescent="0.3">
      <c r="A243" t="s">
        <v>80</v>
      </c>
      <c r="B243" s="2">
        <v>45566</v>
      </c>
      <c r="C243" s="10"/>
    </row>
    <row r="244" spans="1:3" x14ac:dyDescent="0.3">
      <c r="A244" t="s">
        <v>80</v>
      </c>
      <c r="B244" s="2">
        <v>45597</v>
      </c>
      <c r="C244" s="10"/>
    </row>
    <row r="245" spans="1:3" x14ac:dyDescent="0.3">
      <c r="A245" t="s">
        <v>80</v>
      </c>
      <c r="B245" s="2">
        <v>45627</v>
      </c>
      <c r="C245" s="10"/>
    </row>
    <row r="246" spans="1:3" x14ac:dyDescent="0.3">
      <c r="A246" t="s">
        <v>80</v>
      </c>
      <c r="B246" s="2">
        <v>45658</v>
      </c>
      <c r="C246" s="10"/>
    </row>
    <row r="247" spans="1:3" x14ac:dyDescent="0.3">
      <c r="A247" t="s">
        <v>80</v>
      </c>
      <c r="B247" s="2">
        <v>45689</v>
      </c>
      <c r="C247" s="10" t="s">
        <v>365</v>
      </c>
    </row>
    <row r="248" spans="1:3" ht="28.95" customHeight="1" x14ac:dyDescent="0.3">
      <c r="A248" t="s">
        <v>80</v>
      </c>
      <c r="B248" s="2">
        <v>45717</v>
      </c>
      <c r="C248" s="10" t="s">
        <v>376</v>
      </c>
    </row>
    <row r="249" spans="1:3" ht="43.2" customHeight="1" x14ac:dyDescent="0.3">
      <c r="A249" t="s">
        <v>80</v>
      </c>
      <c r="B249" s="2">
        <v>45748</v>
      </c>
      <c r="C249" s="10" t="s">
        <v>377</v>
      </c>
    </row>
    <row r="250" spans="1:3" ht="57.6" customHeight="1" x14ac:dyDescent="0.3">
      <c r="A250" t="s">
        <v>80</v>
      </c>
      <c r="B250" s="2">
        <v>45778</v>
      </c>
      <c r="C250" s="10" t="s">
        <v>378</v>
      </c>
    </row>
    <row r="251" spans="1:3" ht="57.6" customHeight="1" x14ac:dyDescent="0.3">
      <c r="A251" t="s">
        <v>80</v>
      </c>
      <c r="B251" s="2">
        <v>45809</v>
      </c>
      <c r="C251" s="10" t="s">
        <v>379</v>
      </c>
    </row>
    <row r="252" spans="1:3" ht="43.2" customHeight="1" x14ac:dyDescent="0.3">
      <c r="A252" t="s">
        <v>80</v>
      </c>
      <c r="B252" s="2">
        <v>45839</v>
      </c>
      <c r="C252" s="10" t="s">
        <v>380</v>
      </c>
    </row>
    <row r="253" spans="1:3" ht="43.2" customHeight="1" x14ac:dyDescent="0.3">
      <c r="A253" t="s">
        <v>80</v>
      </c>
      <c r="B253" s="2">
        <v>45870</v>
      </c>
      <c r="C253" s="10" t="s">
        <v>381</v>
      </c>
    </row>
    <row r="254" spans="1:3" ht="43.2" customHeight="1" x14ac:dyDescent="0.3">
      <c r="A254" t="s">
        <v>80</v>
      </c>
      <c r="B254" s="2">
        <v>45901</v>
      </c>
      <c r="C254" s="10" t="s">
        <v>382</v>
      </c>
    </row>
    <row r="255" spans="1:3" ht="43.2" customHeight="1" x14ac:dyDescent="0.3">
      <c r="A255" t="s">
        <v>80</v>
      </c>
      <c r="B255" s="2">
        <v>45931</v>
      </c>
      <c r="C255" s="10" t="s">
        <v>383</v>
      </c>
    </row>
    <row r="256" spans="1:3" ht="57.6" customHeight="1" x14ac:dyDescent="0.3">
      <c r="A256" t="s">
        <v>80</v>
      </c>
      <c r="B256" s="2">
        <v>45962</v>
      </c>
      <c r="C256" s="10" t="s">
        <v>384</v>
      </c>
    </row>
    <row r="257" spans="1:8" x14ac:dyDescent="0.3">
      <c r="A257" t="s">
        <v>80</v>
      </c>
      <c r="B257" s="2">
        <v>45992</v>
      </c>
      <c r="C257" s="10" t="s">
        <v>385</v>
      </c>
    </row>
    <row r="258" spans="1:8" x14ac:dyDescent="0.3">
      <c r="A258" t="s">
        <v>80</v>
      </c>
      <c r="B258" s="2">
        <v>46023</v>
      </c>
      <c r="C258" s="10" t="s">
        <v>375</v>
      </c>
    </row>
    <row r="259" spans="1:8" x14ac:dyDescent="0.3">
      <c r="A259" t="s">
        <v>80</v>
      </c>
      <c r="B259" s="2">
        <v>46054</v>
      </c>
      <c r="C259" s="10" t="s">
        <v>326</v>
      </c>
    </row>
    <row r="260" spans="1:8" ht="28.8" x14ac:dyDescent="0.3">
      <c r="A260" t="s">
        <v>80</v>
      </c>
      <c r="B260" s="2">
        <v>46082</v>
      </c>
      <c r="C260" s="10" t="s">
        <v>386</v>
      </c>
    </row>
    <row r="261" spans="1:8" x14ac:dyDescent="0.3">
      <c r="A261" t="s">
        <v>80</v>
      </c>
      <c r="B261" s="2">
        <v>46113</v>
      </c>
      <c r="C261" s="10" t="s">
        <v>302</v>
      </c>
    </row>
    <row r="262" spans="1:8" x14ac:dyDescent="0.3">
      <c r="A262" t="s">
        <v>80</v>
      </c>
      <c r="B262" s="2">
        <v>46143</v>
      </c>
      <c r="C262" s="10" t="s">
        <v>302</v>
      </c>
    </row>
    <row r="263" spans="1:8" ht="10.199999999999999" customHeight="1" x14ac:dyDescent="0.3">
      <c r="A263" t="s">
        <v>251</v>
      </c>
      <c r="B263" s="2">
        <v>46204</v>
      </c>
      <c r="C263">
        <v>31</v>
      </c>
      <c r="D263">
        <v>0</v>
      </c>
      <c r="E263" t="s">
        <v>33</v>
      </c>
      <c r="F263" t="s">
        <v>33</v>
      </c>
      <c r="G263" t="s">
        <v>338</v>
      </c>
      <c r="H263" t="s">
        <v>36</v>
      </c>
    </row>
    <row r="264" spans="1:8" x14ac:dyDescent="0.3">
      <c r="A264" t="s">
        <v>251</v>
      </c>
      <c r="B264" s="2">
        <v>46174</v>
      </c>
    </row>
    <row r="265" spans="1:8" x14ac:dyDescent="0.3">
      <c r="A265" t="s">
        <v>80</v>
      </c>
      <c r="B265" s="2">
        <v>46235</v>
      </c>
      <c r="C265" s="10"/>
    </row>
    <row r="266" spans="1:8" x14ac:dyDescent="0.3">
      <c r="A266" t="s">
        <v>81</v>
      </c>
      <c r="B266" s="2">
        <v>45536</v>
      </c>
      <c r="C266" s="10"/>
    </row>
    <row r="267" spans="1:8" x14ac:dyDescent="0.3">
      <c r="A267" t="s">
        <v>81</v>
      </c>
      <c r="B267" s="2">
        <v>45566</v>
      </c>
      <c r="C267" s="10"/>
    </row>
    <row r="268" spans="1:8" x14ac:dyDescent="0.3">
      <c r="A268" t="s">
        <v>81</v>
      </c>
      <c r="B268" s="2">
        <v>45597</v>
      </c>
      <c r="C268" s="10"/>
    </row>
    <row r="269" spans="1:8" x14ac:dyDescent="0.3">
      <c r="A269" t="s">
        <v>81</v>
      </c>
      <c r="B269" s="2">
        <v>45627</v>
      </c>
      <c r="C269" s="10"/>
    </row>
    <row r="270" spans="1:8" x14ac:dyDescent="0.3">
      <c r="A270" t="s">
        <v>81</v>
      </c>
      <c r="B270" s="2">
        <v>45658</v>
      </c>
      <c r="C270" s="10"/>
    </row>
    <row r="271" spans="1:8" ht="28.95" customHeight="1" x14ac:dyDescent="0.3">
      <c r="A271" t="s">
        <v>81</v>
      </c>
      <c r="B271" s="2">
        <v>45689</v>
      </c>
      <c r="C271" s="10" t="s">
        <v>387</v>
      </c>
    </row>
    <row r="272" spans="1:8" ht="28.95" customHeight="1" x14ac:dyDescent="0.3">
      <c r="A272" t="s">
        <v>81</v>
      </c>
      <c r="B272" s="2">
        <v>45717</v>
      </c>
      <c r="C272" s="10" t="s">
        <v>388</v>
      </c>
    </row>
    <row r="273" spans="1:8" ht="28.95" customHeight="1" x14ac:dyDescent="0.3">
      <c r="A273" t="s">
        <v>81</v>
      </c>
      <c r="B273" s="2">
        <v>45748</v>
      </c>
      <c r="C273" s="10" t="s">
        <v>388</v>
      </c>
    </row>
    <row r="274" spans="1:8" ht="72" customHeight="1" x14ac:dyDescent="0.3">
      <c r="A274" t="s">
        <v>81</v>
      </c>
      <c r="B274" s="2">
        <v>45778</v>
      </c>
      <c r="C274" s="10" t="s">
        <v>389</v>
      </c>
    </row>
    <row r="275" spans="1:8" ht="43.2" customHeight="1" x14ac:dyDescent="0.3">
      <c r="A275" t="s">
        <v>81</v>
      </c>
      <c r="B275" s="2">
        <v>45809</v>
      </c>
      <c r="C275" s="10" t="s">
        <v>390</v>
      </c>
    </row>
    <row r="276" spans="1:8" x14ac:dyDescent="0.3">
      <c r="A276" t="s">
        <v>81</v>
      </c>
      <c r="B276" s="2">
        <v>45839</v>
      </c>
      <c r="C276" t="s">
        <v>911</v>
      </c>
      <c r="G276" s="10" t="s">
        <v>971</v>
      </c>
      <c r="H276" t="s">
        <v>36</v>
      </c>
    </row>
    <row r="277" spans="1:8" x14ac:dyDescent="0.3">
      <c r="A277" t="s">
        <v>81</v>
      </c>
      <c r="B277" s="2">
        <v>45870</v>
      </c>
      <c r="C277" t="s">
        <v>911</v>
      </c>
      <c r="D277">
        <v>0</v>
      </c>
      <c r="E277" t="s">
        <v>33</v>
      </c>
      <c r="F277" t="s">
        <v>33</v>
      </c>
      <c r="G277" s="10" t="s">
        <v>971</v>
      </c>
      <c r="H277" t="s">
        <v>36</v>
      </c>
    </row>
    <row r="278" spans="1:8" x14ac:dyDescent="0.3">
      <c r="A278" t="s">
        <v>81</v>
      </c>
      <c r="B278" s="2">
        <v>45901</v>
      </c>
      <c r="C278" t="s">
        <v>919</v>
      </c>
      <c r="D278">
        <v>0</v>
      </c>
      <c r="E278" t="s">
        <v>33</v>
      </c>
      <c r="F278" t="s">
        <v>33</v>
      </c>
      <c r="G278" s="21" t="s">
        <v>932</v>
      </c>
      <c r="H278" t="s">
        <v>36</v>
      </c>
    </row>
    <row r="279" spans="1:8" x14ac:dyDescent="0.3">
      <c r="A279" t="s">
        <v>81</v>
      </c>
      <c r="B279" s="2">
        <v>45931</v>
      </c>
      <c r="C279" t="s">
        <v>911</v>
      </c>
      <c r="D279">
        <v>0</v>
      </c>
      <c r="E279" t="s">
        <v>33</v>
      </c>
      <c r="F279" t="s">
        <v>33</v>
      </c>
      <c r="G279" s="21" t="s">
        <v>932</v>
      </c>
      <c r="H279" t="s">
        <v>36</v>
      </c>
    </row>
    <row r="280" spans="1:8" ht="57.6" customHeight="1" x14ac:dyDescent="0.3">
      <c r="A280" t="s">
        <v>81</v>
      </c>
      <c r="B280" s="2">
        <v>45962</v>
      </c>
      <c r="C280" t="s">
        <v>919</v>
      </c>
      <c r="D280">
        <v>0</v>
      </c>
      <c r="E280" t="s">
        <v>33</v>
      </c>
      <c r="F280" t="s">
        <v>33</v>
      </c>
      <c r="G280" s="21" t="s">
        <v>932</v>
      </c>
      <c r="H280" t="s">
        <v>36</v>
      </c>
    </row>
    <row r="281" spans="1:8" x14ac:dyDescent="0.3">
      <c r="A281" t="s">
        <v>81</v>
      </c>
      <c r="B281" s="2">
        <v>45992</v>
      </c>
      <c r="C281" t="s">
        <v>911</v>
      </c>
      <c r="D281">
        <v>0</v>
      </c>
      <c r="E281" t="s">
        <v>33</v>
      </c>
      <c r="F281" t="s">
        <v>33</v>
      </c>
      <c r="G281" s="10" t="s">
        <v>971</v>
      </c>
      <c r="H281" t="s">
        <v>36</v>
      </c>
    </row>
    <row r="282" spans="1:8" x14ac:dyDescent="0.3">
      <c r="A282" t="s">
        <v>81</v>
      </c>
      <c r="B282" s="2">
        <v>46023</v>
      </c>
      <c r="C282" t="s">
        <v>911</v>
      </c>
      <c r="D282">
        <v>0</v>
      </c>
      <c r="E282" t="s">
        <v>33</v>
      </c>
      <c r="F282" t="s">
        <v>33</v>
      </c>
      <c r="G282" s="21" t="s">
        <v>932</v>
      </c>
      <c r="H282" t="s">
        <v>36</v>
      </c>
    </row>
    <row r="283" spans="1:8" ht="28.8" x14ac:dyDescent="0.3">
      <c r="A283" t="s">
        <v>81</v>
      </c>
      <c r="B283" s="2">
        <v>46054</v>
      </c>
      <c r="C283" t="s">
        <v>895</v>
      </c>
      <c r="D283">
        <v>0</v>
      </c>
      <c r="E283" t="s">
        <v>33</v>
      </c>
      <c r="F283" t="s">
        <v>978</v>
      </c>
      <c r="G283" s="10" t="s">
        <v>979</v>
      </c>
      <c r="H283" t="s">
        <v>36</v>
      </c>
    </row>
    <row r="284" spans="1:8" ht="28.8" x14ac:dyDescent="0.3">
      <c r="A284" t="s">
        <v>81</v>
      </c>
      <c r="B284" s="2">
        <v>46082</v>
      </c>
      <c r="C284" t="s">
        <v>911</v>
      </c>
      <c r="D284">
        <v>0</v>
      </c>
      <c r="E284" t="s">
        <v>33</v>
      </c>
      <c r="F284" t="s">
        <v>978</v>
      </c>
      <c r="G284" s="10" t="s">
        <v>979</v>
      </c>
      <c r="H284" t="s">
        <v>36</v>
      </c>
    </row>
    <row r="285" spans="1:8" x14ac:dyDescent="0.3">
      <c r="A285" t="s">
        <v>81</v>
      </c>
      <c r="B285" s="2">
        <v>46113</v>
      </c>
      <c r="C285" t="s">
        <v>919</v>
      </c>
      <c r="D285">
        <v>0</v>
      </c>
      <c r="E285" t="s">
        <v>33</v>
      </c>
      <c r="F285" t="s">
        <v>33</v>
      </c>
      <c r="G285" s="10" t="s">
        <v>971</v>
      </c>
      <c r="H285" t="s">
        <v>36</v>
      </c>
    </row>
    <row r="286" spans="1:8" x14ac:dyDescent="0.3">
      <c r="A286" t="s">
        <v>81</v>
      </c>
      <c r="B286" s="2">
        <v>46143</v>
      </c>
      <c r="C286" t="s">
        <v>911</v>
      </c>
      <c r="D286">
        <v>0</v>
      </c>
      <c r="E286" t="s">
        <v>33</v>
      </c>
      <c r="F286" t="s">
        <v>33</v>
      </c>
      <c r="G286" s="10" t="s">
        <v>971</v>
      </c>
      <c r="H286" t="s">
        <v>36</v>
      </c>
    </row>
    <row r="287" spans="1:8" x14ac:dyDescent="0.3">
      <c r="A287" t="s">
        <v>77</v>
      </c>
      <c r="B287" s="2">
        <v>46174</v>
      </c>
      <c r="C287" s="10"/>
    </row>
    <row r="288" spans="1:8" x14ac:dyDescent="0.3">
      <c r="A288" t="s">
        <v>77</v>
      </c>
      <c r="B288" s="2">
        <v>46204</v>
      </c>
      <c r="C288" s="10">
        <v>31</v>
      </c>
      <c r="D288">
        <v>0</v>
      </c>
      <c r="E288" t="s">
        <v>33</v>
      </c>
      <c r="F288" t="s">
        <v>33</v>
      </c>
      <c r="G288" t="s">
        <v>1014</v>
      </c>
      <c r="H288" t="s">
        <v>36</v>
      </c>
    </row>
    <row r="289" spans="1:3" x14ac:dyDescent="0.3">
      <c r="A289" t="s">
        <v>81</v>
      </c>
      <c r="B289" s="2">
        <v>46235</v>
      </c>
      <c r="C289" s="10"/>
    </row>
    <row r="290" spans="1:3" x14ac:dyDescent="0.3">
      <c r="A290" t="s">
        <v>85</v>
      </c>
      <c r="B290" s="2">
        <v>45536</v>
      </c>
      <c r="C290" s="10"/>
    </row>
    <row r="291" spans="1:3" x14ac:dyDescent="0.3">
      <c r="A291" t="s">
        <v>85</v>
      </c>
      <c r="B291" s="2">
        <v>45566</v>
      </c>
      <c r="C291" s="10"/>
    </row>
    <row r="292" spans="1:3" x14ac:dyDescent="0.3">
      <c r="A292" t="s">
        <v>85</v>
      </c>
      <c r="B292" s="2">
        <v>45597</v>
      </c>
      <c r="C292" s="10"/>
    </row>
    <row r="293" spans="1:3" x14ac:dyDescent="0.3">
      <c r="A293" t="s">
        <v>85</v>
      </c>
      <c r="B293" s="2">
        <v>45627</v>
      </c>
      <c r="C293" s="10"/>
    </row>
    <row r="294" spans="1:3" x14ac:dyDescent="0.3">
      <c r="A294" t="s">
        <v>85</v>
      </c>
      <c r="B294" s="2">
        <v>45658</v>
      </c>
      <c r="C294" s="10"/>
    </row>
    <row r="295" spans="1:3" ht="43.2" customHeight="1" x14ac:dyDescent="0.3">
      <c r="A295" t="s">
        <v>85</v>
      </c>
      <c r="B295" s="2">
        <v>45689</v>
      </c>
      <c r="C295" s="10" t="s">
        <v>391</v>
      </c>
    </row>
    <row r="296" spans="1:3" ht="86.4" customHeight="1" x14ac:dyDescent="0.3">
      <c r="A296" t="s">
        <v>85</v>
      </c>
      <c r="B296" s="2">
        <v>45717</v>
      </c>
      <c r="C296" s="10" t="s">
        <v>392</v>
      </c>
    </row>
    <row r="297" spans="1:3" ht="57.6" customHeight="1" x14ac:dyDescent="0.3">
      <c r="A297" t="s">
        <v>85</v>
      </c>
      <c r="B297" s="2">
        <v>45748</v>
      </c>
      <c r="C297" s="10" t="s">
        <v>393</v>
      </c>
    </row>
    <row r="298" spans="1:3" ht="57.6" customHeight="1" x14ac:dyDescent="0.3">
      <c r="A298" t="s">
        <v>85</v>
      </c>
      <c r="B298" s="2">
        <v>45778</v>
      </c>
      <c r="C298" s="10" t="s">
        <v>394</v>
      </c>
    </row>
    <row r="299" spans="1:3" ht="57.6" customHeight="1" x14ac:dyDescent="0.3">
      <c r="A299" t="s">
        <v>85</v>
      </c>
      <c r="B299" s="2">
        <v>45809</v>
      </c>
      <c r="C299" s="10" t="s">
        <v>395</v>
      </c>
    </row>
    <row r="300" spans="1:3" ht="57.6" customHeight="1" x14ac:dyDescent="0.3">
      <c r="A300" t="s">
        <v>85</v>
      </c>
      <c r="B300" s="2">
        <v>45839</v>
      </c>
      <c r="C300" s="10" t="s">
        <v>396</v>
      </c>
    </row>
    <row r="301" spans="1:3" ht="72" customHeight="1" x14ac:dyDescent="0.3">
      <c r="A301" t="s">
        <v>85</v>
      </c>
      <c r="B301" s="2">
        <v>45870</v>
      </c>
      <c r="C301" s="10" t="s">
        <v>397</v>
      </c>
    </row>
    <row r="302" spans="1:3" ht="57.6" customHeight="1" x14ac:dyDescent="0.3">
      <c r="A302" t="s">
        <v>85</v>
      </c>
      <c r="B302" s="2">
        <v>45901</v>
      </c>
      <c r="C302" s="10" t="s">
        <v>398</v>
      </c>
    </row>
    <row r="303" spans="1:3" ht="57.6" customHeight="1" x14ac:dyDescent="0.3">
      <c r="A303" t="s">
        <v>85</v>
      </c>
      <c r="B303" s="2">
        <v>45931</v>
      </c>
      <c r="C303" s="10" t="s">
        <v>399</v>
      </c>
    </row>
    <row r="304" spans="1:3" ht="72" customHeight="1" x14ac:dyDescent="0.3">
      <c r="A304" t="s">
        <v>85</v>
      </c>
      <c r="B304" s="2">
        <v>45962</v>
      </c>
      <c r="C304" s="10" t="s">
        <v>400</v>
      </c>
    </row>
    <row r="305" spans="1:8" ht="28.8" x14ac:dyDescent="0.3">
      <c r="A305" t="s">
        <v>85</v>
      </c>
      <c r="B305" s="2">
        <v>45992</v>
      </c>
      <c r="C305" s="10" t="s">
        <v>401</v>
      </c>
    </row>
    <row r="306" spans="1:8" ht="28.8" x14ac:dyDescent="0.3">
      <c r="A306" t="s">
        <v>85</v>
      </c>
      <c r="B306" s="2">
        <v>46023</v>
      </c>
      <c r="C306" s="10" t="s">
        <v>401</v>
      </c>
    </row>
    <row r="307" spans="1:8" ht="28.8" x14ac:dyDescent="0.3">
      <c r="A307" t="s">
        <v>85</v>
      </c>
      <c r="B307" s="2">
        <v>46054</v>
      </c>
      <c r="C307" s="10" t="s">
        <v>401</v>
      </c>
    </row>
    <row r="308" spans="1:8" ht="28.8" x14ac:dyDescent="0.3">
      <c r="A308" t="s">
        <v>85</v>
      </c>
      <c r="B308" s="2">
        <v>46082</v>
      </c>
      <c r="C308" s="10" t="s">
        <v>402</v>
      </c>
    </row>
    <row r="309" spans="1:8" ht="28.95" customHeight="1" x14ac:dyDescent="0.3">
      <c r="A309" t="s">
        <v>85</v>
      </c>
      <c r="B309" s="2">
        <v>46113</v>
      </c>
      <c r="C309" s="10" t="s">
        <v>403</v>
      </c>
    </row>
    <row r="310" spans="1:8" x14ac:dyDescent="0.3">
      <c r="A310" t="s">
        <v>85</v>
      </c>
      <c r="B310" s="2">
        <v>46143</v>
      </c>
      <c r="C310" s="10" t="s">
        <v>852</v>
      </c>
    </row>
    <row r="311" spans="1:8" x14ac:dyDescent="0.3">
      <c r="A311" t="s">
        <v>80</v>
      </c>
      <c r="B311" s="2">
        <v>46174</v>
      </c>
      <c r="C311" s="10"/>
    </row>
    <row r="312" spans="1:8" x14ac:dyDescent="0.3">
      <c r="A312" t="s">
        <v>80</v>
      </c>
      <c r="B312" s="2">
        <v>46204</v>
      </c>
      <c r="C312" s="10">
        <v>31</v>
      </c>
      <c r="D312">
        <v>0</v>
      </c>
      <c r="E312" t="s">
        <v>33</v>
      </c>
      <c r="F312" t="s">
        <v>33</v>
      </c>
      <c r="G312" t="s">
        <v>1014</v>
      </c>
      <c r="H312" t="s">
        <v>36</v>
      </c>
    </row>
    <row r="313" spans="1:8" x14ac:dyDescent="0.3">
      <c r="A313" t="s">
        <v>85</v>
      </c>
      <c r="B313" s="2">
        <v>46235</v>
      </c>
      <c r="C313" s="10"/>
    </row>
    <row r="314" spans="1:8" x14ac:dyDescent="0.3">
      <c r="A314" t="s">
        <v>90</v>
      </c>
      <c r="B314" s="2">
        <v>45536</v>
      </c>
      <c r="C314" s="10"/>
    </row>
    <row r="315" spans="1:8" x14ac:dyDescent="0.3">
      <c r="A315" t="s">
        <v>90</v>
      </c>
      <c r="B315" s="2">
        <v>45566</v>
      </c>
      <c r="C315" s="10"/>
    </row>
    <row r="316" spans="1:8" x14ac:dyDescent="0.3">
      <c r="A316" t="s">
        <v>90</v>
      </c>
      <c r="B316" s="2">
        <v>45597</v>
      </c>
      <c r="C316" s="10"/>
    </row>
    <row r="317" spans="1:8" x14ac:dyDescent="0.3">
      <c r="A317" t="s">
        <v>90</v>
      </c>
      <c r="B317" s="2">
        <v>45627</v>
      </c>
      <c r="C317" s="10"/>
    </row>
    <row r="318" spans="1:8" x14ac:dyDescent="0.3">
      <c r="A318" t="s">
        <v>90</v>
      </c>
      <c r="B318" s="2">
        <v>45658</v>
      </c>
      <c r="C318" s="10"/>
    </row>
    <row r="319" spans="1:8" ht="72" customHeight="1" x14ac:dyDescent="0.3">
      <c r="A319" t="s">
        <v>90</v>
      </c>
      <c r="B319" s="2">
        <v>45689</v>
      </c>
      <c r="C319" s="10" t="s">
        <v>404</v>
      </c>
    </row>
    <row r="320" spans="1:8" ht="86.4" customHeight="1" x14ac:dyDescent="0.3">
      <c r="A320" t="s">
        <v>90</v>
      </c>
      <c r="B320" s="2">
        <v>45717</v>
      </c>
      <c r="C320" s="10" t="s">
        <v>405</v>
      </c>
    </row>
    <row r="321" spans="1:8" ht="57.6" customHeight="1" x14ac:dyDescent="0.3">
      <c r="A321" t="s">
        <v>90</v>
      </c>
      <c r="B321" s="2">
        <v>45748</v>
      </c>
      <c r="C321" s="10" t="s">
        <v>406</v>
      </c>
    </row>
    <row r="322" spans="1:8" ht="57.6" customHeight="1" x14ac:dyDescent="0.3">
      <c r="A322" t="s">
        <v>90</v>
      </c>
      <c r="B322" s="2">
        <v>45778</v>
      </c>
      <c r="C322" s="10" t="s">
        <v>407</v>
      </c>
    </row>
    <row r="323" spans="1:8" ht="57.6" customHeight="1" x14ac:dyDescent="0.3">
      <c r="A323" t="s">
        <v>90</v>
      </c>
      <c r="B323" s="2">
        <v>45809</v>
      </c>
      <c r="C323" s="10" t="s">
        <v>408</v>
      </c>
    </row>
    <row r="324" spans="1:8" ht="57.6" customHeight="1" x14ac:dyDescent="0.3">
      <c r="A324" t="s">
        <v>90</v>
      </c>
      <c r="B324" s="2">
        <v>45839</v>
      </c>
      <c r="C324" s="10" t="s">
        <v>409</v>
      </c>
    </row>
    <row r="325" spans="1:8" ht="57.6" customHeight="1" x14ac:dyDescent="0.3">
      <c r="A325" t="s">
        <v>90</v>
      </c>
      <c r="B325" s="2">
        <v>45870</v>
      </c>
      <c r="C325" s="10" t="s">
        <v>410</v>
      </c>
    </row>
    <row r="326" spans="1:8" ht="57.6" customHeight="1" x14ac:dyDescent="0.3">
      <c r="A326" t="s">
        <v>90</v>
      </c>
      <c r="B326" s="2">
        <v>45901</v>
      </c>
      <c r="C326" s="10" t="s">
        <v>411</v>
      </c>
    </row>
    <row r="327" spans="1:8" ht="57.6" customHeight="1" x14ac:dyDescent="0.3">
      <c r="A327" t="s">
        <v>90</v>
      </c>
      <c r="B327" s="2">
        <v>45931</v>
      </c>
      <c r="C327" s="10" t="s">
        <v>412</v>
      </c>
    </row>
    <row r="328" spans="1:8" ht="57.6" customHeight="1" x14ac:dyDescent="0.3">
      <c r="A328" t="s">
        <v>90</v>
      </c>
      <c r="B328" s="2">
        <v>45962</v>
      </c>
      <c r="C328" s="10" t="s">
        <v>413</v>
      </c>
    </row>
    <row r="329" spans="1:8" x14ac:dyDescent="0.3">
      <c r="A329" t="s">
        <v>90</v>
      </c>
      <c r="B329" s="2">
        <v>45992</v>
      </c>
      <c r="C329" s="10" t="s">
        <v>326</v>
      </c>
    </row>
    <row r="330" spans="1:8" x14ac:dyDescent="0.3">
      <c r="A330" t="s">
        <v>90</v>
      </c>
      <c r="B330" s="2">
        <v>46023</v>
      </c>
      <c r="C330" s="10" t="s">
        <v>338</v>
      </c>
    </row>
    <row r="331" spans="1:8" x14ac:dyDescent="0.3">
      <c r="A331" t="s">
        <v>90</v>
      </c>
      <c r="B331" s="2">
        <v>46054</v>
      </c>
      <c r="C331" s="10" t="s">
        <v>326</v>
      </c>
    </row>
    <row r="332" spans="1:8" x14ac:dyDescent="0.3">
      <c r="A332" t="s">
        <v>90</v>
      </c>
      <c r="B332" s="2">
        <v>46082</v>
      </c>
      <c r="C332" s="10" t="s">
        <v>326</v>
      </c>
    </row>
    <row r="333" spans="1:8" x14ac:dyDescent="0.3">
      <c r="A333" t="s">
        <v>90</v>
      </c>
      <c r="B333" s="2">
        <v>46113</v>
      </c>
      <c r="C333" s="10" t="s">
        <v>302</v>
      </c>
    </row>
    <row r="334" spans="1:8" x14ac:dyDescent="0.3">
      <c r="A334" t="s">
        <v>90</v>
      </c>
      <c r="B334" s="2">
        <v>46143</v>
      </c>
      <c r="C334" s="10" t="s">
        <v>302</v>
      </c>
    </row>
    <row r="335" spans="1:8" x14ac:dyDescent="0.3">
      <c r="A335" t="s">
        <v>81</v>
      </c>
      <c r="B335" s="2">
        <v>46174</v>
      </c>
      <c r="C335" t="s">
        <v>919</v>
      </c>
      <c r="D335">
        <v>0</v>
      </c>
      <c r="E335" t="s">
        <v>33</v>
      </c>
      <c r="F335" t="s">
        <v>33</v>
      </c>
      <c r="G335" s="10" t="s">
        <v>971</v>
      </c>
      <c r="H335" t="s">
        <v>36</v>
      </c>
    </row>
    <row r="336" spans="1:8" x14ac:dyDescent="0.3">
      <c r="A336" t="s">
        <v>81</v>
      </c>
      <c r="B336" s="2">
        <v>46204</v>
      </c>
      <c r="C336" s="10">
        <v>31</v>
      </c>
      <c r="D336">
        <v>0</v>
      </c>
      <c r="E336" t="s">
        <v>33</v>
      </c>
      <c r="F336" t="s">
        <v>33</v>
      </c>
      <c r="G336" t="s">
        <v>338</v>
      </c>
      <c r="H336" t="s">
        <v>36</v>
      </c>
    </row>
    <row r="337" spans="1:3" x14ac:dyDescent="0.3">
      <c r="A337" t="s">
        <v>90</v>
      </c>
      <c r="B337" s="2">
        <v>46235</v>
      </c>
      <c r="C337" s="10"/>
    </row>
    <row r="338" spans="1:3" x14ac:dyDescent="0.3">
      <c r="A338" t="s">
        <v>93</v>
      </c>
      <c r="B338" s="2">
        <v>45536</v>
      </c>
      <c r="C338" s="10"/>
    </row>
    <row r="339" spans="1:3" x14ac:dyDescent="0.3">
      <c r="A339" t="s">
        <v>93</v>
      </c>
      <c r="B339" s="2">
        <v>45566</v>
      </c>
      <c r="C339" s="10"/>
    </row>
    <row r="340" spans="1:3" x14ac:dyDescent="0.3">
      <c r="A340" t="s">
        <v>93</v>
      </c>
      <c r="B340" s="2">
        <v>45597</v>
      </c>
      <c r="C340" s="10"/>
    </row>
    <row r="341" spans="1:3" x14ac:dyDescent="0.3">
      <c r="A341" t="s">
        <v>93</v>
      </c>
      <c r="B341" s="2">
        <v>45627</v>
      </c>
      <c r="C341" s="10"/>
    </row>
    <row r="342" spans="1:3" x14ac:dyDescent="0.3">
      <c r="A342" t="s">
        <v>93</v>
      </c>
      <c r="B342" s="2">
        <v>45658</v>
      </c>
      <c r="C342" s="10"/>
    </row>
    <row r="343" spans="1:3" x14ac:dyDescent="0.3">
      <c r="A343" t="s">
        <v>93</v>
      </c>
      <c r="B343" s="2">
        <v>45689</v>
      </c>
      <c r="C343" s="10"/>
    </row>
    <row r="344" spans="1:3" x14ac:dyDescent="0.3">
      <c r="A344" t="s">
        <v>93</v>
      </c>
      <c r="B344" s="2">
        <v>45717</v>
      </c>
      <c r="C344" s="10"/>
    </row>
    <row r="345" spans="1:3" x14ac:dyDescent="0.3">
      <c r="A345" t="s">
        <v>93</v>
      </c>
      <c r="B345" s="2">
        <v>45748</v>
      </c>
      <c r="C345" s="10"/>
    </row>
    <row r="346" spans="1:3" x14ac:dyDescent="0.3">
      <c r="A346" t="s">
        <v>93</v>
      </c>
      <c r="B346" s="2">
        <v>45778</v>
      </c>
      <c r="C346" s="10"/>
    </row>
    <row r="347" spans="1:3" x14ac:dyDescent="0.3">
      <c r="A347" t="s">
        <v>93</v>
      </c>
      <c r="B347" s="2">
        <v>45809</v>
      </c>
      <c r="C347" s="10"/>
    </row>
    <row r="348" spans="1:3" x14ac:dyDescent="0.3">
      <c r="A348" t="s">
        <v>93</v>
      </c>
      <c r="B348" s="2">
        <v>45839</v>
      </c>
      <c r="C348" s="10"/>
    </row>
    <row r="349" spans="1:3" x14ac:dyDescent="0.3">
      <c r="A349" t="s">
        <v>93</v>
      </c>
      <c r="B349" s="2">
        <v>45870</v>
      </c>
      <c r="C349" s="10"/>
    </row>
    <row r="350" spans="1:3" x14ac:dyDescent="0.3">
      <c r="A350" t="s">
        <v>93</v>
      </c>
      <c r="B350" s="2">
        <v>45901</v>
      </c>
      <c r="C350" s="10"/>
    </row>
    <row r="351" spans="1:3" x14ac:dyDescent="0.3">
      <c r="A351" t="s">
        <v>93</v>
      </c>
      <c r="B351" s="2">
        <v>45931</v>
      </c>
      <c r="C351" s="10"/>
    </row>
    <row r="352" spans="1:3" ht="43.2" customHeight="1" x14ac:dyDescent="0.3">
      <c r="A352" t="s">
        <v>93</v>
      </c>
      <c r="B352" s="2">
        <v>45962</v>
      </c>
      <c r="C352" s="10" t="s">
        <v>414</v>
      </c>
    </row>
    <row r="353" spans="1:8" x14ac:dyDescent="0.3">
      <c r="A353" t="s">
        <v>93</v>
      </c>
      <c r="B353" s="2">
        <v>45992</v>
      </c>
      <c r="C353" s="10" t="s">
        <v>415</v>
      </c>
    </row>
    <row r="354" spans="1:8" x14ac:dyDescent="0.3">
      <c r="A354" t="s">
        <v>93</v>
      </c>
      <c r="B354" s="2">
        <v>46023</v>
      </c>
      <c r="C354" s="10" t="s">
        <v>338</v>
      </c>
    </row>
    <row r="355" spans="1:8" x14ac:dyDescent="0.3">
      <c r="A355" t="s">
        <v>93</v>
      </c>
      <c r="B355" s="2">
        <v>46054</v>
      </c>
      <c r="C355" s="10" t="s">
        <v>326</v>
      </c>
    </row>
    <row r="356" spans="1:8" x14ac:dyDescent="0.3">
      <c r="A356" t="s">
        <v>93</v>
      </c>
      <c r="B356" s="2">
        <v>46082</v>
      </c>
      <c r="C356" s="10" t="s">
        <v>326</v>
      </c>
    </row>
    <row r="357" spans="1:8" x14ac:dyDescent="0.3">
      <c r="A357" t="s">
        <v>93</v>
      </c>
      <c r="B357" s="2">
        <v>46113</v>
      </c>
      <c r="C357" s="10" t="s">
        <v>416</v>
      </c>
    </row>
    <row r="358" spans="1:8" x14ac:dyDescent="0.3">
      <c r="A358" t="s">
        <v>93</v>
      </c>
      <c r="B358" s="2">
        <v>46143</v>
      </c>
      <c r="C358" s="10" t="s">
        <v>854</v>
      </c>
    </row>
    <row r="359" spans="1:8" x14ac:dyDescent="0.3">
      <c r="A359" t="s">
        <v>85</v>
      </c>
      <c r="B359" s="2">
        <v>46174</v>
      </c>
      <c r="C359" s="10"/>
    </row>
    <row r="360" spans="1:8" x14ac:dyDescent="0.3">
      <c r="A360" t="s">
        <v>85</v>
      </c>
      <c r="B360" s="2">
        <v>46204</v>
      </c>
      <c r="C360" s="10">
        <v>31</v>
      </c>
      <c r="D360">
        <v>0</v>
      </c>
      <c r="E360" t="s">
        <v>33</v>
      </c>
      <c r="F360" t="s">
        <v>33</v>
      </c>
      <c r="G360" t="s">
        <v>338</v>
      </c>
      <c r="H360" t="s">
        <v>36</v>
      </c>
    </row>
    <row r="361" spans="1:8" x14ac:dyDescent="0.3">
      <c r="A361" t="s">
        <v>93</v>
      </c>
      <c r="B361" s="2">
        <v>46235</v>
      </c>
      <c r="C361" s="10"/>
    </row>
    <row r="362" spans="1:8" ht="28.8" x14ac:dyDescent="0.3">
      <c r="A362" t="s">
        <v>95</v>
      </c>
      <c r="B362" s="2">
        <v>45536</v>
      </c>
      <c r="C362" s="10" t="s">
        <v>417</v>
      </c>
    </row>
    <row r="363" spans="1:8" ht="28.95" customHeight="1" x14ac:dyDescent="0.3">
      <c r="A363" t="s">
        <v>95</v>
      </c>
      <c r="B363" s="2">
        <v>45566</v>
      </c>
      <c r="C363" s="10" t="s">
        <v>418</v>
      </c>
    </row>
    <row r="364" spans="1:8" x14ac:dyDescent="0.3">
      <c r="A364" t="s">
        <v>95</v>
      </c>
      <c r="B364" s="2">
        <v>45597</v>
      </c>
      <c r="C364" s="10"/>
    </row>
    <row r="365" spans="1:8" x14ac:dyDescent="0.3">
      <c r="A365" t="s">
        <v>95</v>
      </c>
      <c r="B365" s="2">
        <v>45627</v>
      </c>
      <c r="C365" s="10"/>
    </row>
    <row r="366" spans="1:8" x14ac:dyDescent="0.3">
      <c r="A366" t="s">
        <v>95</v>
      </c>
      <c r="B366" s="2">
        <v>45658</v>
      </c>
      <c r="C366" s="10"/>
    </row>
    <row r="367" spans="1:8" ht="57.6" customHeight="1" x14ac:dyDescent="0.3">
      <c r="A367" t="s">
        <v>95</v>
      </c>
      <c r="B367" s="2">
        <v>45689</v>
      </c>
      <c r="C367" s="10" t="s">
        <v>419</v>
      </c>
    </row>
    <row r="368" spans="1:8" ht="43.2" customHeight="1" x14ac:dyDescent="0.3">
      <c r="A368" t="s">
        <v>95</v>
      </c>
      <c r="B368" s="2">
        <v>45717</v>
      </c>
      <c r="C368" s="10" t="s">
        <v>420</v>
      </c>
    </row>
    <row r="369" spans="1:8" ht="43.2" customHeight="1" x14ac:dyDescent="0.3">
      <c r="A369" t="s">
        <v>95</v>
      </c>
      <c r="B369" s="2">
        <v>45748</v>
      </c>
      <c r="C369" s="10" t="s">
        <v>420</v>
      </c>
    </row>
    <row r="370" spans="1:8" ht="57.6" customHeight="1" x14ac:dyDescent="0.3">
      <c r="A370" t="s">
        <v>95</v>
      </c>
      <c r="B370" s="2">
        <v>45778</v>
      </c>
      <c r="C370" s="10" t="s">
        <v>421</v>
      </c>
    </row>
    <row r="371" spans="1:8" ht="57.6" customHeight="1" x14ac:dyDescent="0.3">
      <c r="A371" t="s">
        <v>95</v>
      </c>
      <c r="B371" s="2">
        <v>45809</v>
      </c>
      <c r="C371" s="10" t="s">
        <v>422</v>
      </c>
    </row>
    <row r="372" spans="1:8" x14ac:dyDescent="0.3">
      <c r="A372" t="s">
        <v>95</v>
      </c>
      <c r="B372" s="2">
        <v>45839</v>
      </c>
      <c r="C372" s="10" t="s">
        <v>911</v>
      </c>
      <c r="D372">
        <v>0</v>
      </c>
      <c r="E372" t="s">
        <v>33</v>
      </c>
      <c r="F372" t="s">
        <v>33</v>
      </c>
      <c r="G372" s="10" t="s">
        <v>932</v>
      </c>
      <c r="H372" t="s">
        <v>36</v>
      </c>
    </row>
    <row r="373" spans="1:8" x14ac:dyDescent="0.3">
      <c r="A373" t="s">
        <v>95</v>
      </c>
      <c r="B373" s="2">
        <v>45870</v>
      </c>
      <c r="C373" s="10" t="s">
        <v>911</v>
      </c>
      <c r="D373">
        <v>0</v>
      </c>
      <c r="E373" t="s">
        <v>33</v>
      </c>
      <c r="F373" t="s">
        <v>33</v>
      </c>
      <c r="G373" s="10" t="s">
        <v>932</v>
      </c>
      <c r="H373" t="s">
        <v>36</v>
      </c>
    </row>
    <row r="374" spans="1:8" x14ac:dyDescent="0.3">
      <c r="A374" t="s">
        <v>95</v>
      </c>
      <c r="B374" s="2">
        <v>45901</v>
      </c>
      <c r="C374" s="10" t="s">
        <v>931</v>
      </c>
      <c r="D374">
        <v>0</v>
      </c>
      <c r="E374" t="s">
        <v>33</v>
      </c>
      <c r="F374" t="s">
        <v>33</v>
      </c>
      <c r="G374" s="10" t="s">
        <v>932</v>
      </c>
      <c r="H374" t="s">
        <v>36</v>
      </c>
    </row>
    <row r="375" spans="1:8" x14ac:dyDescent="0.3">
      <c r="A375" t="s">
        <v>95</v>
      </c>
      <c r="B375" s="2">
        <v>45931</v>
      </c>
      <c r="C375" s="10" t="s">
        <v>911</v>
      </c>
      <c r="D375">
        <v>0</v>
      </c>
      <c r="E375" t="s">
        <v>33</v>
      </c>
      <c r="F375" t="s">
        <v>33</v>
      </c>
      <c r="G375" s="10" t="s">
        <v>932</v>
      </c>
      <c r="H375" t="s">
        <v>36</v>
      </c>
    </row>
    <row r="376" spans="1:8" x14ac:dyDescent="0.3">
      <c r="A376" t="s">
        <v>95</v>
      </c>
      <c r="B376" s="2">
        <v>45962</v>
      </c>
      <c r="C376" s="10" t="s">
        <v>931</v>
      </c>
      <c r="D376">
        <v>0</v>
      </c>
      <c r="E376" t="s">
        <v>33</v>
      </c>
      <c r="F376" t="s">
        <v>33</v>
      </c>
      <c r="G376" s="10" t="s">
        <v>933</v>
      </c>
      <c r="H376" t="s">
        <v>36</v>
      </c>
    </row>
    <row r="377" spans="1:8" x14ac:dyDescent="0.3">
      <c r="A377" t="s">
        <v>95</v>
      </c>
      <c r="B377" s="2">
        <v>45992</v>
      </c>
      <c r="C377" s="10" t="s">
        <v>935</v>
      </c>
      <c r="D377" t="s">
        <v>934</v>
      </c>
      <c r="E377" t="s">
        <v>936</v>
      </c>
      <c r="F377" t="s">
        <v>33</v>
      </c>
      <c r="G377" s="10" t="s">
        <v>938</v>
      </c>
      <c r="H377" t="s">
        <v>36</v>
      </c>
    </row>
    <row r="378" spans="1:8" x14ac:dyDescent="0.3">
      <c r="A378" t="s">
        <v>95</v>
      </c>
      <c r="B378" s="2">
        <v>46023</v>
      </c>
      <c r="C378" s="10" t="s">
        <v>930</v>
      </c>
      <c r="D378" t="s">
        <v>904</v>
      </c>
      <c r="E378" t="s">
        <v>937</v>
      </c>
      <c r="F378" t="s">
        <v>939</v>
      </c>
      <c r="G378" s="10" t="s">
        <v>938</v>
      </c>
      <c r="H378" t="s">
        <v>36</v>
      </c>
    </row>
    <row r="379" spans="1:8" ht="28.8" x14ac:dyDescent="0.3">
      <c r="A379" t="s">
        <v>95</v>
      </c>
      <c r="B379" s="2">
        <v>46054</v>
      </c>
      <c r="C379" s="10" t="s">
        <v>940</v>
      </c>
      <c r="D379" t="s">
        <v>941</v>
      </c>
      <c r="E379" t="s">
        <v>937</v>
      </c>
      <c r="F379" t="s">
        <v>939</v>
      </c>
      <c r="G379" s="10" t="s">
        <v>424</v>
      </c>
      <c r="H379" t="s">
        <v>36</v>
      </c>
    </row>
    <row r="380" spans="1:8" x14ac:dyDescent="0.3">
      <c r="A380" t="s">
        <v>95</v>
      </c>
      <c r="B380" s="2">
        <v>46082</v>
      </c>
      <c r="C380" s="10" t="s">
        <v>911</v>
      </c>
      <c r="D380">
        <v>0</v>
      </c>
      <c r="E380" t="s">
        <v>33</v>
      </c>
      <c r="F380" t="s">
        <v>33</v>
      </c>
      <c r="G380" s="10" t="s">
        <v>932</v>
      </c>
      <c r="H380" t="s">
        <v>36</v>
      </c>
    </row>
    <row r="381" spans="1:8" x14ac:dyDescent="0.3">
      <c r="A381" t="s">
        <v>95</v>
      </c>
      <c r="B381" s="2">
        <v>46113</v>
      </c>
      <c r="C381" s="10" t="s">
        <v>919</v>
      </c>
      <c r="D381">
        <v>0</v>
      </c>
      <c r="E381" t="s">
        <v>33</v>
      </c>
      <c r="F381" t="s">
        <v>33</v>
      </c>
      <c r="G381" s="10" t="s">
        <v>932</v>
      </c>
      <c r="H381" t="s">
        <v>36</v>
      </c>
    </row>
    <row r="382" spans="1:8" x14ac:dyDescent="0.3">
      <c r="A382" t="s">
        <v>95</v>
      </c>
      <c r="B382" s="2">
        <v>46143</v>
      </c>
      <c r="C382" s="10" t="s">
        <v>911</v>
      </c>
      <c r="D382">
        <v>0</v>
      </c>
      <c r="E382" t="s">
        <v>33</v>
      </c>
      <c r="F382" t="s">
        <v>33</v>
      </c>
      <c r="G382" s="10" t="s">
        <v>932</v>
      </c>
      <c r="H382" t="s">
        <v>36</v>
      </c>
    </row>
    <row r="383" spans="1:8" x14ac:dyDescent="0.3">
      <c r="A383" t="s">
        <v>90</v>
      </c>
      <c r="B383" s="2">
        <v>46174</v>
      </c>
      <c r="C383" s="10"/>
    </row>
    <row r="384" spans="1:8" x14ac:dyDescent="0.3">
      <c r="A384" t="s">
        <v>90</v>
      </c>
      <c r="B384" s="2">
        <v>46204</v>
      </c>
      <c r="C384" s="10">
        <v>31</v>
      </c>
      <c r="D384">
        <v>0</v>
      </c>
      <c r="E384" t="s">
        <v>33</v>
      </c>
      <c r="F384" t="s">
        <v>33</v>
      </c>
      <c r="G384" t="s">
        <v>338</v>
      </c>
      <c r="H384" t="s">
        <v>36</v>
      </c>
    </row>
    <row r="385" spans="1:8" x14ac:dyDescent="0.3">
      <c r="A385" t="s">
        <v>95</v>
      </c>
      <c r="B385" s="2">
        <v>46235</v>
      </c>
      <c r="C385" s="10"/>
    </row>
    <row r="386" spans="1:8" x14ac:dyDescent="0.3">
      <c r="A386" t="s">
        <v>239</v>
      </c>
      <c r="B386" s="2">
        <v>45536</v>
      </c>
      <c r="C386" s="10"/>
    </row>
    <row r="387" spans="1:8" x14ac:dyDescent="0.3">
      <c r="A387" t="s">
        <v>239</v>
      </c>
      <c r="B387" s="2">
        <v>45566</v>
      </c>
      <c r="C387" s="10"/>
    </row>
    <row r="388" spans="1:8" x14ac:dyDescent="0.3">
      <c r="A388" t="s">
        <v>239</v>
      </c>
      <c r="B388" s="2">
        <v>45597</v>
      </c>
      <c r="C388" s="10"/>
    </row>
    <row r="389" spans="1:8" x14ac:dyDescent="0.3">
      <c r="A389" t="s">
        <v>239</v>
      </c>
      <c r="B389" s="2">
        <v>45627</v>
      </c>
      <c r="C389" s="10"/>
    </row>
    <row r="390" spans="1:8" x14ac:dyDescent="0.3">
      <c r="A390" t="s">
        <v>239</v>
      </c>
      <c r="B390" s="2">
        <v>45658</v>
      </c>
      <c r="C390" s="10"/>
    </row>
    <row r="391" spans="1:8" x14ac:dyDescent="0.3">
      <c r="A391" t="s">
        <v>239</v>
      </c>
      <c r="B391" s="2">
        <v>45689</v>
      </c>
      <c r="C391" s="10"/>
    </row>
    <row r="392" spans="1:8" x14ac:dyDescent="0.3">
      <c r="A392" t="s">
        <v>239</v>
      </c>
      <c r="B392" s="2">
        <v>45717</v>
      </c>
      <c r="C392" s="10"/>
    </row>
    <row r="393" spans="1:8" x14ac:dyDescent="0.3">
      <c r="A393" t="s">
        <v>239</v>
      </c>
      <c r="B393" s="2">
        <v>45748</v>
      </c>
      <c r="C393" s="10"/>
    </row>
    <row r="394" spans="1:8" x14ac:dyDescent="0.3">
      <c r="A394" t="s">
        <v>239</v>
      </c>
      <c r="B394" s="2">
        <v>45778</v>
      </c>
      <c r="C394" s="10"/>
    </row>
    <row r="395" spans="1:8" x14ac:dyDescent="0.3">
      <c r="A395" t="s">
        <v>239</v>
      </c>
      <c r="B395" s="2">
        <v>45809</v>
      </c>
      <c r="C395" s="10"/>
    </row>
    <row r="396" spans="1:8" x14ac:dyDescent="0.3">
      <c r="A396" t="s">
        <v>239</v>
      </c>
      <c r="B396" s="2">
        <v>45839</v>
      </c>
      <c r="C396" t="s">
        <v>911</v>
      </c>
      <c r="D396" t="s">
        <v>36</v>
      </c>
      <c r="E396" t="s">
        <v>36</v>
      </c>
      <c r="F396" t="s">
        <v>36</v>
      </c>
      <c r="G396" t="s">
        <v>36</v>
      </c>
      <c r="H396" t="s">
        <v>967</v>
      </c>
    </row>
    <row r="397" spans="1:8" x14ac:dyDescent="0.3">
      <c r="A397" t="s">
        <v>239</v>
      </c>
      <c r="B397" s="2">
        <v>45870</v>
      </c>
      <c r="C397" t="s">
        <v>911</v>
      </c>
      <c r="D397" t="s">
        <v>36</v>
      </c>
      <c r="E397" t="s">
        <v>36</v>
      </c>
      <c r="F397" t="s">
        <v>36</v>
      </c>
      <c r="G397" t="s">
        <v>36</v>
      </c>
      <c r="H397" t="s">
        <v>967</v>
      </c>
    </row>
    <row r="398" spans="1:8" x14ac:dyDescent="0.3">
      <c r="A398" t="s">
        <v>239</v>
      </c>
      <c r="B398" s="2">
        <v>45901</v>
      </c>
      <c r="C398" t="s">
        <v>919</v>
      </c>
      <c r="D398" t="s">
        <v>36</v>
      </c>
      <c r="E398" t="s">
        <v>36</v>
      </c>
      <c r="F398" t="s">
        <v>36</v>
      </c>
      <c r="G398" t="s">
        <v>36</v>
      </c>
      <c r="H398" t="s">
        <v>967</v>
      </c>
    </row>
    <row r="399" spans="1:8" x14ac:dyDescent="0.3">
      <c r="A399" t="s">
        <v>239</v>
      </c>
      <c r="B399" s="2">
        <v>45931</v>
      </c>
      <c r="C399" t="s">
        <v>911</v>
      </c>
      <c r="D399" t="s">
        <v>36</v>
      </c>
      <c r="E399" t="s">
        <v>36</v>
      </c>
      <c r="F399" t="s">
        <v>36</v>
      </c>
      <c r="G399" t="s">
        <v>36</v>
      </c>
      <c r="H399" t="s">
        <v>967</v>
      </c>
    </row>
    <row r="400" spans="1:8" x14ac:dyDescent="0.3">
      <c r="A400" t="s">
        <v>239</v>
      </c>
      <c r="B400" s="2">
        <v>45962</v>
      </c>
      <c r="C400" t="s">
        <v>919</v>
      </c>
      <c r="D400">
        <v>0</v>
      </c>
      <c r="E400" t="s">
        <v>33</v>
      </c>
      <c r="F400" t="s">
        <v>33</v>
      </c>
      <c r="G400" s="10" t="s">
        <v>338</v>
      </c>
      <c r="H400" t="s">
        <v>36</v>
      </c>
    </row>
    <row r="401" spans="1:8" x14ac:dyDescent="0.3">
      <c r="A401" t="s">
        <v>239</v>
      </c>
      <c r="B401" s="2">
        <v>45992</v>
      </c>
      <c r="C401" t="s">
        <v>911</v>
      </c>
      <c r="D401">
        <v>0</v>
      </c>
      <c r="E401" t="s">
        <v>33</v>
      </c>
      <c r="F401" t="s">
        <v>33</v>
      </c>
      <c r="G401" s="10" t="s">
        <v>338</v>
      </c>
      <c r="H401" t="s">
        <v>36</v>
      </c>
    </row>
    <row r="402" spans="1:8" x14ac:dyDescent="0.3">
      <c r="A402" t="s">
        <v>239</v>
      </c>
      <c r="B402" s="2">
        <v>46023</v>
      </c>
      <c r="C402" t="s">
        <v>911</v>
      </c>
      <c r="D402">
        <v>0</v>
      </c>
      <c r="E402" t="s">
        <v>33</v>
      </c>
      <c r="F402" t="s">
        <v>33</v>
      </c>
      <c r="G402" s="10" t="s">
        <v>338</v>
      </c>
      <c r="H402" t="s">
        <v>36</v>
      </c>
    </row>
    <row r="403" spans="1:8" x14ac:dyDescent="0.3">
      <c r="A403" t="s">
        <v>239</v>
      </c>
      <c r="B403" s="2">
        <v>46054</v>
      </c>
      <c r="C403" t="s">
        <v>895</v>
      </c>
      <c r="D403">
        <v>0</v>
      </c>
      <c r="E403" t="s">
        <v>33</v>
      </c>
      <c r="F403" t="s">
        <v>33</v>
      </c>
      <c r="G403" s="10" t="s">
        <v>338</v>
      </c>
      <c r="H403" t="s">
        <v>36</v>
      </c>
    </row>
    <row r="404" spans="1:8" x14ac:dyDescent="0.3">
      <c r="A404" t="s">
        <v>239</v>
      </c>
      <c r="B404" s="2">
        <v>46082</v>
      </c>
      <c r="C404" t="s">
        <v>911</v>
      </c>
      <c r="D404">
        <v>0</v>
      </c>
      <c r="E404" t="s">
        <v>33</v>
      </c>
      <c r="F404" t="s">
        <v>33</v>
      </c>
      <c r="G404" s="10" t="s">
        <v>338</v>
      </c>
      <c r="H404" t="s">
        <v>36</v>
      </c>
    </row>
    <row r="405" spans="1:8" x14ac:dyDescent="0.3">
      <c r="A405" t="s">
        <v>239</v>
      </c>
      <c r="B405" s="2">
        <v>46113</v>
      </c>
      <c r="C405" t="s">
        <v>919</v>
      </c>
      <c r="D405">
        <v>0</v>
      </c>
      <c r="E405" t="s">
        <v>33</v>
      </c>
      <c r="F405" t="s">
        <v>33</v>
      </c>
      <c r="G405" s="10" t="s">
        <v>302</v>
      </c>
      <c r="H405" t="s">
        <v>36</v>
      </c>
    </row>
    <row r="406" spans="1:8" x14ac:dyDescent="0.3">
      <c r="A406" t="s">
        <v>239</v>
      </c>
      <c r="B406" s="2">
        <v>46143</v>
      </c>
      <c r="C406" t="s">
        <v>911</v>
      </c>
      <c r="D406">
        <v>0</v>
      </c>
      <c r="E406" t="s">
        <v>33</v>
      </c>
      <c r="F406" t="s">
        <v>33</v>
      </c>
      <c r="G406" s="10" t="s">
        <v>302</v>
      </c>
      <c r="H406" t="s">
        <v>36</v>
      </c>
    </row>
    <row r="407" spans="1:8" x14ac:dyDescent="0.3">
      <c r="A407" t="s">
        <v>93</v>
      </c>
      <c r="B407" s="2">
        <v>46174</v>
      </c>
      <c r="C407" s="10"/>
    </row>
    <row r="408" spans="1:8" x14ac:dyDescent="0.3">
      <c r="A408" t="s">
        <v>93</v>
      </c>
      <c r="B408" s="2">
        <v>46204</v>
      </c>
      <c r="C408" s="10">
        <v>31</v>
      </c>
      <c r="D408">
        <v>0</v>
      </c>
      <c r="E408" t="s">
        <v>33</v>
      </c>
      <c r="F408" t="s">
        <v>1064</v>
      </c>
      <c r="G408" s="10" t="s">
        <v>36</v>
      </c>
      <c r="H408" s="10" t="s">
        <v>36</v>
      </c>
    </row>
    <row r="409" spans="1:8" x14ac:dyDescent="0.3">
      <c r="A409" t="s">
        <v>239</v>
      </c>
      <c r="B409" s="2">
        <v>46235</v>
      </c>
      <c r="C409" s="10"/>
    </row>
    <row r="410" spans="1:8" x14ac:dyDescent="0.3">
      <c r="A410" t="s">
        <v>98</v>
      </c>
      <c r="B410" s="2">
        <v>45536</v>
      </c>
      <c r="C410" s="10"/>
    </row>
    <row r="411" spans="1:8" x14ac:dyDescent="0.3">
      <c r="A411" t="s">
        <v>98</v>
      </c>
      <c r="B411" s="2">
        <v>45566</v>
      </c>
      <c r="C411" s="10"/>
    </row>
    <row r="412" spans="1:8" x14ac:dyDescent="0.3">
      <c r="A412" t="s">
        <v>98</v>
      </c>
      <c r="B412" s="2">
        <v>45597</v>
      </c>
      <c r="C412" s="10"/>
    </row>
    <row r="413" spans="1:8" x14ac:dyDescent="0.3">
      <c r="A413" t="s">
        <v>98</v>
      </c>
      <c r="B413" s="2">
        <v>45627</v>
      </c>
      <c r="C413" s="10"/>
    </row>
    <row r="414" spans="1:8" x14ac:dyDescent="0.3">
      <c r="A414" t="s">
        <v>98</v>
      </c>
      <c r="B414" s="2">
        <v>45658</v>
      </c>
      <c r="C414" s="10"/>
    </row>
    <row r="415" spans="1:8" ht="28.95" customHeight="1" x14ac:dyDescent="0.3">
      <c r="A415" t="s">
        <v>98</v>
      </c>
      <c r="B415" s="2">
        <v>45689</v>
      </c>
      <c r="C415" s="10" t="s">
        <v>425</v>
      </c>
    </row>
    <row r="416" spans="1:8" ht="28.95" customHeight="1" x14ac:dyDescent="0.3">
      <c r="A416" t="s">
        <v>98</v>
      </c>
      <c r="B416" s="2">
        <v>45717</v>
      </c>
      <c r="C416" s="10" t="s">
        <v>426</v>
      </c>
    </row>
    <row r="417" spans="1:8" ht="43.2" customHeight="1" x14ac:dyDescent="0.3">
      <c r="A417" t="s">
        <v>98</v>
      </c>
      <c r="B417" s="2">
        <v>45748</v>
      </c>
      <c r="C417" s="10" t="s">
        <v>427</v>
      </c>
    </row>
    <row r="418" spans="1:8" ht="72" customHeight="1" x14ac:dyDescent="0.3">
      <c r="A418" t="s">
        <v>98</v>
      </c>
      <c r="B418" s="2">
        <v>45778</v>
      </c>
      <c r="C418" s="10" t="s">
        <v>428</v>
      </c>
    </row>
    <row r="419" spans="1:8" ht="72" customHeight="1" x14ac:dyDescent="0.3">
      <c r="A419" t="s">
        <v>98</v>
      </c>
      <c r="B419" s="2">
        <v>45809</v>
      </c>
      <c r="C419" s="10" t="s">
        <v>429</v>
      </c>
    </row>
    <row r="420" spans="1:8" ht="72" customHeight="1" x14ac:dyDescent="0.3">
      <c r="A420" t="s">
        <v>98</v>
      </c>
      <c r="B420" s="2">
        <v>45839</v>
      </c>
      <c r="C420" s="10" t="s">
        <v>430</v>
      </c>
    </row>
    <row r="421" spans="1:8" ht="57.6" customHeight="1" x14ac:dyDescent="0.3">
      <c r="A421" t="s">
        <v>98</v>
      </c>
      <c r="B421" s="2">
        <v>45870</v>
      </c>
      <c r="C421" s="10" t="s">
        <v>431</v>
      </c>
    </row>
    <row r="422" spans="1:8" ht="57.6" customHeight="1" x14ac:dyDescent="0.3">
      <c r="A422" t="s">
        <v>98</v>
      </c>
      <c r="B422" s="2">
        <v>45901</v>
      </c>
      <c r="C422" s="10" t="s">
        <v>432</v>
      </c>
    </row>
    <row r="423" spans="1:8" ht="57.6" customHeight="1" x14ac:dyDescent="0.3">
      <c r="A423" t="s">
        <v>98</v>
      </c>
      <c r="B423" s="2">
        <v>45931</v>
      </c>
      <c r="C423" s="10" t="s">
        <v>433</v>
      </c>
    </row>
    <row r="424" spans="1:8" ht="57.6" customHeight="1" x14ac:dyDescent="0.3">
      <c r="A424" t="s">
        <v>98</v>
      </c>
      <c r="B424" s="2">
        <v>45962</v>
      </c>
      <c r="C424" s="10" t="s">
        <v>434</v>
      </c>
    </row>
    <row r="425" spans="1:8" ht="28.8" x14ac:dyDescent="0.3">
      <c r="A425" t="s">
        <v>98</v>
      </c>
      <c r="B425" s="2">
        <v>45992</v>
      </c>
      <c r="C425" s="10" t="s">
        <v>435</v>
      </c>
    </row>
    <row r="426" spans="1:8" ht="28.8" x14ac:dyDescent="0.3">
      <c r="A426" t="s">
        <v>98</v>
      </c>
      <c r="B426" s="2">
        <v>46023</v>
      </c>
      <c r="C426" s="10" t="s">
        <v>436</v>
      </c>
    </row>
    <row r="427" spans="1:8" ht="43.2" x14ac:dyDescent="0.3">
      <c r="A427" t="s">
        <v>98</v>
      </c>
      <c r="B427" s="2">
        <v>46054</v>
      </c>
      <c r="C427" s="10" t="s">
        <v>437</v>
      </c>
    </row>
    <row r="428" spans="1:8" ht="28.8" x14ac:dyDescent="0.3">
      <c r="A428" t="s">
        <v>98</v>
      </c>
      <c r="B428" s="2">
        <v>46082</v>
      </c>
      <c r="C428" s="10" t="s">
        <v>438</v>
      </c>
    </row>
    <row r="429" spans="1:8" ht="28.8" x14ac:dyDescent="0.3">
      <c r="A429" t="s">
        <v>98</v>
      </c>
      <c r="B429" s="2">
        <v>46113</v>
      </c>
      <c r="C429" s="10" t="s">
        <v>438</v>
      </c>
    </row>
    <row r="430" spans="1:8" ht="28.8" x14ac:dyDescent="0.3">
      <c r="A430" t="s">
        <v>98</v>
      </c>
      <c r="B430" s="2">
        <v>46143</v>
      </c>
      <c r="C430" s="10" t="s">
        <v>855</v>
      </c>
    </row>
    <row r="431" spans="1:8" x14ac:dyDescent="0.3">
      <c r="A431" t="s">
        <v>95</v>
      </c>
      <c r="B431" s="2">
        <v>46174</v>
      </c>
      <c r="C431" s="10" t="s">
        <v>919</v>
      </c>
      <c r="D431">
        <v>0</v>
      </c>
      <c r="E431" t="s">
        <v>33</v>
      </c>
      <c r="F431" t="s">
        <v>33</v>
      </c>
      <c r="G431" s="10" t="s">
        <v>932</v>
      </c>
      <c r="H431" t="s">
        <v>36</v>
      </c>
    </row>
    <row r="432" spans="1:8" x14ac:dyDescent="0.3">
      <c r="A432" t="s">
        <v>95</v>
      </c>
      <c r="B432" s="2">
        <v>46204</v>
      </c>
      <c r="C432" s="10">
        <v>31</v>
      </c>
      <c r="D432">
        <v>0</v>
      </c>
      <c r="E432" t="s">
        <v>33</v>
      </c>
      <c r="F432" t="s">
        <v>33</v>
      </c>
      <c r="G432" s="10" t="s">
        <v>932</v>
      </c>
      <c r="H432" t="s">
        <v>36</v>
      </c>
    </row>
    <row r="433" spans="1:3" x14ac:dyDescent="0.3">
      <c r="A433" t="s">
        <v>98</v>
      </c>
      <c r="B433" s="2">
        <v>46235</v>
      </c>
      <c r="C433" s="10"/>
    </row>
    <row r="434" spans="1:3" x14ac:dyDescent="0.3">
      <c r="A434" t="s">
        <v>102</v>
      </c>
      <c r="B434" s="2">
        <v>45536</v>
      </c>
      <c r="C434" s="10"/>
    </row>
    <row r="435" spans="1:3" x14ac:dyDescent="0.3">
      <c r="A435" t="s">
        <v>102</v>
      </c>
      <c r="B435" s="2">
        <v>45566</v>
      </c>
      <c r="C435" s="10"/>
    </row>
    <row r="436" spans="1:3" x14ac:dyDescent="0.3">
      <c r="A436" t="s">
        <v>102</v>
      </c>
      <c r="B436" s="2">
        <v>45597</v>
      </c>
      <c r="C436" s="10"/>
    </row>
    <row r="437" spans="1:3" x14ac:dyDescent="0.3">
      <c r="A437" t="s">
        <v>102</v>
      </c>
      <c r="B437" s="2">
        <v>45627</v>
      </c>
      <c r="C437" s="10"/>
    </row>
    <row r="438" spans="1:3" x14ac:dyDescent="0.3">
      <c r="A438" t="s">
        <v>102</v>
      </c>
      <c r="B438" s="2">
        <v>45658</v>
      </c>
      <c r="C438" s="10"/>
    </row>
    <row r="439" spans="1:3" ht="57.6" customHeight="1" x14ac:dyDescent="0.3">
      <c r="A439" t="s">
        <v>102</v>
      </c>
      <c r="B439" s="2">
        <v>45689</v>
      </c>
      <c r="C439" s="10" t="s">
        <v>439</v>
      </c>
    </row>
    <row r="440" spans="1:3" ht="43.2" customHeight="1" x14ac:dyDescent="0.3">
      <c r="A440" t="s">
        <v>102</v>
      </c>
      <c r="B440" s="2">
        <v>45717</v>
      </c>
      <c r="C440" s="10" t="s">
        <v>440</v>
      </c>
    </row>
    <row r="441" spans="1:3" ht="43.2" customHeight="1" x14ac:dyDescent="0.3">
      <c r="A441" t="s">
        <v>102</v>
      </c>
      <c r="B441" s="2">
        <v>45748</v>
      </c>
      <c r="C441" s="10" t="s">
        <v>441</v>
      </c>
    </row>
    <row r="442" spans="1:3" ht="57.6" customHeight="1" x14ac:dyDescent="0.3">
      <c r="A442" t="s">
        <v>102</v>
      </c>
      <c r="B442" s="2">
        <v>45778</v>
      </c>
      <c r="C442" s="10" t="s">
        <v>442</v>
      </c>
    </row>
    <row r="443" spans="1:3" ht="72" customHeight="1" x14ac:dyDescent="0.3">
      <c r="A443" t="s">
        <v>102</v>
      </c>
      <c r="B443" s="2">
        <v>45809</v>
      </c>
      <c r="C443" s="10" t="s">
        <v>443</v>
      </c>
    </row>
    <row r="444" spans="1:3" ht="57.6" customHeight="1" x14ac:dyDescent="0.3">
      <c r="A444" t="s">
        <v>102</v>
      </c>
      <c r="B444" s="2">
        <v>45839</v>
      </c>
      <c r="C444" s="10" t="s">
        <v>444</v>
      </c>
    </row>
    <row r="445" spans="1:3" ht="86.4" customHeight="1" x14ac:dyDescent="0.3">
      <c r="A445" t="s">
        <v>102</v>
      </c>
      <c r="B445" s="2">
        <v>45870</v>
      </c>
      <c r="C445" s="10" t="s">
        <v>445</v>
      </c>
    </row>
    <row r="446" spans="1:3" ht="57.6" customHeight="1" x14ac:dyDescent="0.3">
      <c r="A446" t="s">
        <v>102</v>
      </c>
      <c r="B446" s="2">
        <v>45901</v>
      </c>
      <c r="C446" s="10" t="s">
        <v>446</v>
      </c>
    </row>
    <row r="447" spans="1:3" ht="57.6" customHeight="1" x14ac:dyDescent="0.3">
      <c r="A447" t="s">
        <v>102</v>
      </c>
      <c r="B447" s="2">
        <v>45931</v>
      </c>
      <c r="C447" s="10" t="s">
        <v>447</v>
      </c>
    </row>
    <row r="448" spans="1:3" ht="57.6" customHeight="1" x14ac:dyDescent="0.3">
      <c r="A448" t="s">
        <v>102</v>
      </c>
      <c r="B448" s="2">
        <v>45962</v>
      </c>
      <c r="C448" s="10" t="s">
        <v>448</v>
      </c>
    </row>
    <row r="449" spans="1:8" ht="28.8" x14ac:dyDescent="0.3">
      <c r="A449" t="s">
        <v>102</v>
      </c>
      <c r="B449" s="2">
        <v>45992</v>
      </c>
      <c r="C449" s="10" t="s">
        <v>435</v>
      </c>
    </row>
    <row r="450" spans="1:8" x14ac:dyDescent="0.3">
      <c r="A450" t="s">
        <v>102</v>
      </c>
      <c r="B450" s="2">
        <v>46023</v>
      </c>
      <c r="C450" s="10" t="s">
        <v>423</v>
      </c>
    </row>
    <row r="451" spans="1:8" x14ac:dyDescent="0.3">
      <c r="A451" t="s">
        <v>102</v>
      </c>
      <c r="B451" s="2">
        <v>46054</v>
      </c>
      <c r="C451" s="10" t="s">
        <v>423</v>
      </c>
    </row>
    <row r="452" spans="1:8" x14ac:dyDescent="0.3">
      <c r="A452" t="s">
        <v>102</v>
      </c>
      <c r="B452" s="2">
        <v>46082</v>
      </c>
      <c r="C452" s="10" t="s">
        <v>423</v>
      </c>
    </row>
    <row r="453" spans="1:8" x14ac:dyDescent="0.3">
      <c r="A453" t="s">
        <v>102</v>
      </c>
      <c r="B453" s="2">
        <v>46113</v>
      </c>
      <c r="C453" s="10" t="s">
        <v>423</v>
      </c>
    </row>
    <row r="454" spans="1:8" x14ac:dyDescent="0.3">
      <c r="A454" t="s">
        <v>102</v>
      </c>
      <c r="B454" s="2">
        <v>46143</v>
      </c>
      <c r="C454" s="10" t="s">
        <v>852</v>
      </c>
    </row>
    <row r="455" spans="1:8" x14ac:dyDescent="0.3">
      <c r="A455" t="s">
        <v>271</v>
      </c>
      <c r="B455" s="2">
        <v>46174</v>
      </c>
      <c r="C455" t="s">
        <v>919</v>
      </c>
      <c r="D455">
        <v>0</v>
      </c>
      <c r="E455" t="s">
        <v>36</v>
      </c>
      <c r="F455" t="s">
        <v>912</v>
      </c>
      <c r="G455" t="s">
        <v>33</v>
      </c>
      <c r="H455" t="s">
        <v>36</v>
      </c>
    </row>
    <row r="456" spans="1:8" x14ac:dyDescent="0.3">
      <c r="A456" t="s">
        <v>271</v>
      </c>
      <c r="B456" s="2">
        <v>46204</v>
      </c>
      <c r="C456">
        <v>18</v>
      </c>
      <c r="D456" s="42" t="s">
        <v>1022</v>
      </c>
      <c r="E456" t="s">
        <v>1024</v>
      </c>
      <c r="F456" t="s">
        <v>1008</v>
      </c>
      <c r="G456" s="33" t="s">
        <v>1025</v>
      </c>
      <c r="H456" t="s">
        <v>36</v>
      </c>
    </row>
    <row r="457" spans="1:8" x14ac:dyDescent="0.3">
      <c r="A457" t="s">
        <v>102</v>
      </c>
      <c r="B457" s="2">
        <v>46235</v>
      </c>
      <c r="C457" s="10"/>
    </row>
    <row r="458" spans="1:8" x14ac:dyDescent="0.3">
      <c r="A458" t="s">
        <v>104</v>
      </c>
      <c r="B458" s="2">
        <v>45536</v>
      </c>
      <c r="C458" s="10" t="s">
        <v>449</v>
      </c>
    </row>
    <row r="459" spans="1:8" x14ac:dyDescent="0.3">
      <c r="A459" t="s">
        <v>104</v>
      </c>
      <c r="B459" s="2">
        <v>45566</v>
      </c>
      <c r="C459" s="10" t="s">
        <v>449</v>
      </c>
    </row>
    <row r="460" spans="1:8" x14ac:dyDescent="0.3">
      <c r="A460" t="s">
        <v>104</v>
      </c>
      <c r="B460" s="2">
        <v>45597</v>
      </c>
      <c r="C460" s="10"/>
    </row>
    <row r="461" spans="1:8" x14ac:dyDescent="0.3">
      <c r="A461" t="s">
        <v>104</v>
      </c>
      <c r="B461" s="2">
        <v>45627</v>
      </c>
      <c r="C461" s="10"/>
    </row>
    <row r="462" spans="1:8" x14ac:dyDescent="0.3">
      <c r="A462" t="s">
        <v>104</v>
      </c>
      <c r="B462" s="2">
        <v>45658</v>
      </c>
      <c r="C462" s="10"/>
    </row>
    <row r="463" spans="1:8" ht="57.6" customHeight="1" x14ac:dyDescent="0.3">
      <c r="A463" t="s">
        <v>104</v>
      </c>
      <c r="B463" s="2">
        <v>45689</v>
      </c>
      <c r="C463" s="10" t="s">
        <v>450</v>
      </c>
    </row>
    <row r="464" spans="1:8" ht="57.6" customHeight="1" x14ac:dyDescent="0.3">
      <c r="A464" t="s">
        <v>104</v>
      </c>
      <c r="B464" s="2">
        <v>45717</v>
      </c>
      <c r="C464" s="10" t="s">
        <v>451</v>
      </c>
    </row>
    <row r="465" spans="1:8" ht="57.6" customHeight="1" x14ac:dyDescent="0.3">
      <c r="A465" t="s">
        <v>104</v>
      </c>
      <c r="B465" s="2">
        <v>45748</v>
      </c>
      <c r="C465" s="10" t="s">
        <v>452</v>
      </c>
    </row>
    <row r="466" spans="1:8" ht="72" customHeight="1" x14ac:dyDescent="0.3">
      <c r="A466" t="s">
        <v>104</v>
      </c>
      <c r="B466" s="2">
        <v>45778</v>
      </c>
      <c r="C466" s="10" t="s">
        <v>453</v>
      </c>
    </row>
    <row r="467" spans="1:8" ht="57.6" customHeight="1" x14ac:dyDescent="0.3">
      <c r="A467" t="s">
        <v>104</v>
      </c>
      <c r="B467" s="2">
        <v>45809</v>
      </c>
      <c r="C467" s="10" t="s">
        <v>454</v>
      </c>
    </row>
    <row r="468" spans="1:8" x14ac:dyDescent="0.3">
      <c r="A468" t="s">
        <v>104</v>
      </c>
      <c r="B468" s="2">
        <v>45839</v>
      </c>
      <c r="C468" t="s">
        <v>949</v>
      </c>
      <c r="D468" t="s">
        <v>948</v>
      </c>
      <c r="E468" t="s">
        <v>950</v>
      </c>
      <c r="F468" t="s">
        <v>951</v>
      </c>
      <c r="G468" s="10" t="s">
        <v>932</v>
      </c>
      <c r="H468" t="s">
        <v>36</v>
      </c>
    </row>
    <row r="469" spans="1:8" x14ac:dyDescent="0.3">
      <c r="A469" t="s">
        <v>104</v>
      </c>
      <c r="B469" s="2">
        <v>45870</v>
      </c>
      <c r="C469" t="s">
        <v>898</v>
      </c>
      <c r="D469" t="s">
        <v>952</v>
      </c>
      <c r="E469" t="s">
        <v>950</v>
      </c>
      <c r="F469" t="s">
        <v>951</v>
      </c>
      <c r="G469" s="10" t="s">
        <v>932</v>
      </c>
      <c r="H469" t="s">
        <v>36</v>
      </c>
    </row>
    <row r="470" spans="1:8" x14ac:dyDescent="0.3">
      <c r="A470" t="s">
        <v>104</v>
      </c>
      <c r="B470" s="2">
        <v>45901</v>
      </c>
      <c r="C470" t="s">
        <v>919</v>
      </c>
      <c r="D470" t="s">
        <v>33</v>
      </c>
      <c r="E470" t="s">
        <v>33</v>
      </c>
      <c r="F470" t="s">
        <v>33</v>
      </c>
      <c r="G470" s="10" t="s">
        <v>932</v>
      </c>
      <c r="H470" t="s">
        <v>36</v>
      </c>
    </row>
    <row r="471" spans="1:8" x14ac:dyDescent="0.3">
      <c r="A471" t="s">
        <v>104</v>
      </c>
      <c r="B471" s="2">
        <v>45931</v>
      </c>
      <c r="C471" t="s">
        <v>954</v>
      </c>
      <c r="D471" t="s">
        <v>953</v>
      </c>
      <c r="E471" t="s">
        <v>950</v>
      </c>
      <c r="F471" t="s">
        <v>951</v>
      </c>
      <c r="G471" s="10" t="s">
        <v>932</v>
      </c>
      <c r="H471" t="s">
        <v>36</v>
      </c>
    </row>
    <row r="472" spans="1:8" x14ac:dyDescent="0.3">
      <c r="A472" t="s">
        <v>104</v>
      </c>
      <c r="B472" s="2">
        <v>45962</v>
      </c>
      <c r="C472" t="s">
        <v>919</v>
      </c>
      <c r="D472">
        <v>0</v>
      </c>
      <c r="E472" t="s">
        <v>33</v>
      </c>
      <c r="F472" t="s">
        <v>33</v>
      </c>
      <c r="G472" s="10" t="s">
        <v>932</v>
      </c>
      <c r="H472" t="s">
        <v>36</v>
      </c>
    </row>
    <row r="473" spans="1:8" x14ac:dyDescent="0.3">
      <c r="A473" t="s">
        <v>104</v>
      </c>
      <c r="B473" s="2">
        <v>45992</v>
      </c>
      <c r="C473" t="s">
        <v>919</v>
      </c>
      <c r="D473" t="s">
        <v>955</v>
      </c>
      <c r="E473" t="s">
        <v>936</v>
      </c>
      <c r="F473" t="s">
        <v>33</v>
      </c>
      <c r="G473" s="10" t="s">
        <v>932</v>
      </c>
      <c r="H473" t="s">
        <v>36</v>
      </c>
    </row>
    <row r="474" spans="1:8" x14ac:dyDescent="0.3">
      <c r="A474" t="s">
        <v>104</v>
      </c>
      <c r="B474" s="2">
        <v>46023</v>
      </c>
      <c r="C474" t="s">
        <v>911</v>
      </c>
      <c r="D474">
        <v>0</v>
      </c>
      <c r="E474" t="s">
        <v>33</v>
      </c>
      <c r="F474" t="s">
        <v>33</v>
      </c>
      <c r="G474" s="10" t="s">
        <v>932</v>
      </c>
      <c r="H474" t="s">
        <v>36</v>
      </c>
    </row>
    <row r="475" spans="1:8" x14ac:dyDescent="0.3">
      <c r="A475" t="s">
        <v>104</v>
      </c>
      <c r="B475" s="2">
        <v>46054</v>
      </c>
      <c r="C475" t="s">
        <v>895</v>
      </c>
      <c r="D475">
        <v>0</v>
      </c>
      <c r="E475" t="s">
        <v>33</v>
      </c>
      <c r="F475" t="s">
        <v>33</v>
      </c>
      <c r="G475" s="10" t="s">
        <v>932</v>
      </c>
      <c r="H475" t="s">
        <v>36</v>
      </c>
    </row>
    <row r="476" spans="1:8" x14ac:dyDescent="0.3">
      <c r="A476" t="s">
        <v>104</v>
      </c>
      <c r="B476" s="2">
        <v>46082</v>
      </c>
      <c r="C476" t="s">
        <v>917</v>
      </c>
      <c r="D476" t="s">
        <v>956</v>
      </c>
      <c r="E476" t="s">
        <v>950</v>
      </c>
      <c r="F476" t="s">
        <v>951</v>
      </c>
      <c r="G476" s="10" t="s">
        <v>932</v>
      </c>
      <c r="H476" t="s">
        <v>36</v>
      </c>
    </row>
    <row r="477" spans="1:8" x14ac:dyDescent="0.3">
      <c r="A477" t="s">
        <v>104</v>
      </c>
      <c r="B477" s="2">
        <v>46113</v>
      </c>
      <c r="C477" t="s">
        <v>919</v>
      </c>
      <c r="D477">
        <v>0</v>
      </c>
      <c r="E477" t="s">
        <v>33</v>
      </c>
      <c r="F477" t="s">
        <v>33</v>
      </c>
      <c r="G477" s="10" t="s">
        <v>932</v>
      </c>
    </row>
    <row r="478" spans="1:8" x14ac:dyDescent="0.3">
      <c r="A478" t="s">
        <v>104</v>
      </c>
      <c r="B478" s="2">
        <v>46143</v>
      </c>
      <c r="C478" t="s">
        <v>957</v>
      </c>
      <c r="D478" t="s">
        <v>958</v>
      </c>
      <c r="E478" t="s">
        <v>950</v>
      </c>
      <c r="F478" t="s">
        <v>951</v>
      </c>
      <c r="G478" s="10" t="s">
        <v>856</v>
      </c>
    </row>
    <row r="479" spans="1:8" x14ac:dyDescent="0.3">
      <c r="A479" t="s">
        <v>239</v>
      </c>
      <c r="B479" s="2">
        <v>46174</v>
      </c>
      <c r="C479" t="s">
        <v>919</v>
      </c>
      <c r="D479">
        <v>0</v>
      </c>
      <c r="E479" t="s">
        <v>33</v>
      </c>
      <c r="F479" t="s">
        <v>33</v>
      </c>
      <c r="G479" t="s">
        <v>959</v>
      </c>
      <c r="H479" t="s">
        <v>36</v>
      </c>
    </row>
    <row r="480" spans="1:8" x14ac:dyDescent="0.3">
      <c r="A480" t="s">
        <v>239</v>
      </c>
      <c r="B480" s="2">
        <v>46204</v>
      </c>
      <c r="C480" s="10">
        <v>31</v>
      </c>
      <c r="D480">
        <v>0</v>
      </c>
      <c r="E480" t="s">
        <v>33</v>
      </c>
      <c r="F480" t="s">
        <v>1026</v>
      </c>
      <c r="G480" t="s">
        <v>338</v>
      </c>
      <c r="H480" t="s">
        <v>36</v>
      </c>
    </row>
    <row r="481" spans="1:8" x14ac:dyDescent="0.3">
      <c r="A481" t="s">
        <v>104</v>
      </c>
      <c r="B481" s="2">
        <v>46235</v>
      </c>
      <c r="C481" s="10"/>
    </row>
    <row r="482" spans="1:8" x14ac:dyDescent="0.3">
      <c r="A482" t="s">
        <v>107</v>
      </c>
      <c r="B482" s="2">
        <v>45536</v>
      </c>
      <c r="C482" s="10"/>
    </row>
    <row r="483" spans="1:8" x14ac:dyDescent="0.3">
      <c r="A483" t="s">
        <v>107</v>
      </c>
      <c r="B483" s="2">
        <v>45566</v>
      </c>
      <c r="C483" s="10"/>
    </row>
    <row r="484" spans="1:8" x14ac:dyDescent="0.3">
      <c r="A484" t="s">
        <v>107</v>
      </c>
      <c r="B484" s="2">
        <v>45597</v>
      </c>
      <c r="C484" s="10"/>
    </row>
    <row r="485" spans="1:8" x14ac:dyDescent="0.3">
      <c r="A485" t="s">
        <v>107</v>
      </c>
      <c r="B485" s="2">
        <v>45627</v>
      </c>
      <c r="C485" s="10"/>
    </row>
    <row r="486" spans="1:8" x14ac:dyDescent="0.3">
      <c r="A486" t="s">
        <v>107</v>
      </c>
      <c r="B486" s="2">
        <v>45658</v>
      </c>
      <c r="C486" s="10"/>
    </row>
    <row r="487" spans="1:8" ht="57.6" customHeight="1" x14ac:dyDescent="0.3">
      <c r="A487" t="s">
        <v>107</v>
      </c>
      <c r="B487" s="2">
        <v>45689</v>
      </c>
      <c r="C487" s="10" t="s">
        <v>450</v>
      </c>
    </row>
    <row r="488" spans="1:8" x14ac:dyDescent="0.3">
      <c r="A488" t="s">
        <v>107</v>
      </c>
      <c r="B488" s="2">
        <v>45717</v>
      </c>
      <c r="C488" s="10" t="s">
        <v>455</v>
      </c>
    </row>
    <row r="489" spans="1:8" x14ac:dyDescent="0.3">
      <c r="A489" t="s">
        <v>107</v>
      </c>
      <c r="B489" s="2">
        <v>45748</v>
      </c>
      <c r="C489" s="10" t="s">
        <v>455</v>
      </c>
    </row>
    <row r="490" spans="1:8" ht="57.6" customHeight="1" x14ac:dyDescent="0.3">
      <c r="A490" t="s">
        <v>107</v>
      </c>
      <c r="B490" s="2">
        <v>45778</v>
      </c>
      <c r="C490" s="10" t="s">
        <v>456</v>
      </c>
    </row>
    <row r="491" spans="1:8" ht="57.6" customHeight="1" x14ac:dyDescent="0.3">
      <c r="A491" t="s">
        <v>107</v>
      </c>
      <c r="B491" s="2">
        <v>45809</v>
      </c>
      <c r="C491" s="10" t="s">
        <v>457</v>
      </c>
    </row>
    <row r="492" spans="1:8" x14ac:dyDescent="0.3">
      <c r="A492" t="s">
        <v>107</v>
      </c>
      <c r="B492" s="2">
        <v>45839</v>
      </c>
      <c r="C492" t="s">
        <v>911</v>
      </c>
      <c r="D492">
        <v>0</v>
      </c>
      <c r="E492" t="s">
        <v>33</v>
      </c>
      <c r="F492" t="s">
        <v>33</v>
      </c>
      <c r="G492" s="10" t="s">
        <v>959</v>
      </c>
      <c r="H492" t="s">
        <v>36</v>
      </c>
    </row>
    <row r="493" spans="1:8" x14ac:dyDescent="0.3">
      <c r="A493" t="s">
        <v>107</v>
      </c>
      <c r="B493" s="2">
        <v>45870</v>
      </c>
      <c r="C493" t="s">
        <v>898</v>
      </c>
      <c r="D493" t="s">
        <v>960</v>
      </c>
      <c r="E493" t="s">
        <v>469</v>
      </c>
      <c r="F493" t="s">
        <v>951</v>
      </c>
      <c r="G493" s="10" t="s">
        <v>961</v>
      </c>
      <c r="H493" t="s">
        <v>36</v>
      </c>
    </row>
    <row r="494" spans="1:8" x14ac:dyDescent="0.3">
      <c r="A494" t="s">
        <v>107</v>
      </c>
      <c r="B494" s="2">
        <v>45901</v>
      </c>
      <c r="C494" t="s">
        <v>919</v>
      </c>
      <c r="D494">
        <v>0</v>
      </c>
      <c r="E494" t="s">
        <v>33</v>
      </c>
      <c r="F494" t="s">
        <v>33</v>
      </c>
      <c r="G494" s="10" t="s">
        <v>959</v>
      </c>
      <c r="H494" t="s">
        <v>36</v>
      </c>
    </row>
    <row r="495" spans="1:8" x14ac:dyDescent="0.3">
      <c r="A495" t="s">
        <v>107</v>
      </c>
      <c r="B495" s="2">
        <v>45931</v>
      </c>
      <c r="C495" t="s">
        <v>911</v>
      </c>
      <c r="D495">
        <v>0</v>
      </c>
      <c r="E495" t="s">
        <v>33</v>
      </c>
      <c r="F495" t="s">
        <v>33</v>
      </c>
      <c r="G495" s="10" t="s">
        <v>959</v>
      </c>
      <c r="H495" t="s">
        <v>36</v>
      </c>
    </row>
    <row r="496" spans="1:8" x14ac:dyDescent="0.3">
      <c r="A496" t="s">
        <v>107</v>
      </c>
      <c r="B496" s="2">
        <v>45962</v>
      </c>
      <c r="C496" t="s">
        <v>919</v>
      </c>
      <c r="D496">
        <v>0</v>
      </c>
      <c r="E496" t="s">
        <v>33</v>
      </c>
      <c r="F496" t="s">
        <v>33</v>
      </c>
      <c r="G496" s="10" t="s">
        <v>959</v>
      </c>
      <c r="H496" t="s">
        <v>36</v>
      </c>
    </row>
    <row r="497" spans="1:8" x14ac:dyDescent="0.3">
      <c r="A497" t="s">
        <v>107</v>
      </c>
      <c r="B497" s="2">
        <v>45992</v>
      </c>
      <c r="C497" t="s">
        <v>911</v>
      </c>
      <c r="D497">
        <v>0</v>
      </c>
      <c r="E497" t="s">
        <v>33</v>
      </c>
      <c r="F497" t="s">
        <v>33</v>
      </c>
      <c r="G497" s="10" t="s">
        <v>959</v>
      </c>
      <c r="H497" t="s">
        <v>36</v>
      </c>
    </row>
    <row r="498" spans="1:8" ht="28.8" x14ac:dyDescent="0.3">
      <c r="A498" t="s">
        <v>107</v>
      </c>
      <c r="B498" s="2">
        <v>46023</v>
      </c>
      <c r="C498" t="s">
        <v>911</v>
      </c>
      <c r="D498">
        <v>0</v>
      </c>
      <c r="E498" t="s">
        <v>33</v>
      </c>
      <c r="F498" t="s">
        <v>33</v>
      </c>
      <c r="G498" s="10" t="s">
        <v>959</v>
      </c>
      <c r="H498" s="10" t="s">
        <v>458</v>
      </c>
    </row>
    <row r="499" spans="1:8" x14ac:dyDescent="0.3">
      <c r="A499" t="s">
        <v>107</v>
      </c>
      <c r="B499" s="2">
        <v>46054</v>
      </c>
      <c r="C499" t="s">
        <v>895</v>
      </c>
      <c r="D499">
        <v>0</v>
      </c>
      <c r="E499" t="s">
        <v>33</v>
      </c>
      <c r="F499" t="s">
        <v>33</v>
      </c>
      <c r="G499" s="10" t="s">
        <v>959</v>
      </c>
      <c r="H499" t="s">
        <v>36</v>
      </c>
    </row>
    <row r="500" spans="1:8" x14ac:dyDescent="0.3">
      <c r="A500" t="s">
        <v>107</v>
      </c>
      <c r="B500" s="2">
        <v>46082</v>
      </c>
      <c r="C500" t="s">
        <v>911</v>
      </c>
      <c r="D500">
        <v>0</v>
      </c>
      <c r="E500" t="s">
        <v>33</v>
      </c>
      <c r="F500" t="s">
        <v>33</v>
      </c>
      <c r="G500" s="10" t="s">
        <v>932</v>
      </c>
      <c r="H500" t="s">
        <v>36</v>
      </c>
    </row>
    <row r="501" spans="1:8" x14ac:dyDescent="0.3">
      <c r="A501" t="s">
        <v>107</v>
      </c>
      <c r="B501" s="2">
        <v>46113</v>
      </c>
      <c r="C501" t="s">
        <v>919</v>
      </c>
      <c r="D501">
        <v>0</v>
      </c>
      <c r="E501" t="s">
        <v>33</v>
      </c>
      <c r="F501" t="s">
        <v>33</v>
      </c>
      <c r="G501" s="10" t="s">
        <v>932</v>
      </c>
      <c r="H501" t="s">
        <v>36</v>
      </c>
    </row>
    <row r="502" spans="1:8" x14ac:dyDescent="0.3">
      <c r="A502" t="s">
        <v>107</v>
      </c>
      <c r="B502" s="2">
        <v>46143</v>
      </c>
      <c r="C502" t="s">
        <v>911</v>
      </c>
      <c r="D502">
        <v>0</v>
      </c>
      <c r="E502" t="s">
        <v>33</v>
      </c>
      <c r="F502" t="s">
        <v>33</v>
      </c>
      <c r="G502" s="10" t="s">
        <v>959</v>
      </c>
      <c r="H502" t="s">
        <v>36</v>
      </c>
    </row>
    <row r="503" spans="1:8" x14ac:dyDescent="0.3">
      <c r="A503" t="s">
        <v>98</v>
      </c>
      <c r="B503" s="2">
        <v>46174</v>
      </c>
      <c r="C503" s="10"/>
    </row>
    <row r="504" spans="1:8" x14ac:dyDescent="0.3">
      <c r="A504" t="s">
        <v>98</v>
      </c>
      <c r="B504" s="2">
        <v>46204</v>
      </c>
      <c r="C504" s="10">
        <v>31</v>
      </c>
      <c r="D504">
        <v>0</v>
      </c>
      <c r="E504" t="s">
        <v>33</v>
      </c>
      <c r="F504" t="s">
        <v>1026</v>
      </c>
      <c r="G504" s="10" t="s">
        <v>932</v>
      </c>
      <c r="H504" t="s">
        <v>36</v>
      </c>
    </row>
    <row r="505" spans="1:8" x14ac:dyDescent="0.3">
      <c r="A505" t="s">
        <v>107</v>
      </c>
      <c r="B505" s="2">
        <v>46235</v>
      </c>
      <c r="C505" s="10"/>
    </row>
    <row r="506" spans="1:8" x14ac:dyDescent="0.3">
      <c r="A506" t="s">
        <v>228</v>
      </c>
      <c r="B506" s="2">
        <v>45536</v>
      </c>
      <c r="C506" s="10"/>
    </row>
    <row r="507" spans="1:8" x14ac:dyDescent="0.3">
      <c r="A507" t="s">
        <v>228</v>
      </c>
      <c r="B507" s="2">
        <v>45566</v>
      </c>
      <c r="C507" s="10"/>
    </row>
    <row r="508" spans="1:8" x14ac:dyDescent="0.3">
      <c r="A508" t="s">
        <v>228</v>
      </c>
      <c r="B508" s="2">
        <v>45597</v>
      </c>
      <c r="C508" s="10"/>
    </row>
    <row r="509" spans="1:8" x14ac:dyDescent="0.3">
      <c r="A509" t="s">
        <v>228</v>
      </c>
      <c r="B509" s="2">
        <v>45627</v>
      </c>
      <c r="C509" s="10"/>
    </row>
    <row r="510" spans="1:8" x14ac:dyDescent="0.3">
      <c r="A510" t="s">
        <v>228</v>
      </c>
      <c r="B510" s="2">
        <v>45658</v>
      </c>
      <c r="C510" s="10"/>
    </row>
    <row r="511" spans="1:8" x14ac:dyDescent="0.3">
      <c r="A511" t="s">
        <v>228</v>
      </c>
      <c r="B511" s="2">
        <v>45689</v>
      </c>
      <c r="C511" s="10"/>
    </row>
    <row r="512" spans="1:8" x14ac:dyDescent="0.3">
      <c r="A512" t="s">
        <v>228</v>
      </c>
      <c r="B512" s="2">
        <v>45717</v>
      </c>
      <c r="C512" s="10"/>
    </row>
    <row r="513" spans="1:8" x14ac:dyDescent="0.3">
      <c r="A513" t="s">
        <v>228</v>
      </c>
      <c r="B513" s="2">
        <v>45748</v>
      </c>
      <c r="C513" s="10"/>
    </row>
    <row r="514" spans="1:8" x14ac:dyDescent="0.3">
      <c r="A514" t="s">
        <v>228</v>
      </c>
      <c r="B514" s="2">
        <v>45778</v>
      </c>
      <c r="C514" s="10"/>
    </row>
    <row r="515" spans="1:8" x14ac:dyDescent="0.3">
      <c r="A515" t="s">
        <v>228</v>
      </c>
      <c r="B515" s="2">
        <v>45809</v>
      </c>
      <c r="C515" s="10"/>
    </row>
    <row r="516" spans="1:8" x14ac:dyDescent="0.3">
      <c r="A516" t="s">
        <v>228</v>
      </c>
      <c r="B516" s="2">
        <v>45839</v>
      </c>
      <c r="C516" s="10"/>
    </row>
    <row r="517" spans="1:8" x14ac:dyDescent="0.3">
      <c r="A517" t="s">
        <v>228</v>
      </c>
      <c r="B517" s="2">
        <v>45870</v>
      </c>
      <c r="C517" s="10"/>
    </row>
    <row r="518" spans="1:8" x14ac:dyDescent="0.3">
      <c r="A518" t="s">
        <v>228</v>
      </c>
      <c r="B518" s="2">
        <v>45901</v>
      </c>
      <c r="C518" s="10"/>
    </row>
    <row r="519" spans="1:8" x14ac:dyDescent="0.3">
      <c r="A519" t="s">
        <v>228</v>
      </c>
      <c r="B519" s="2">
        <v>45931</v>
      </c>
      <c r="C519" s="10"/>
    </row>
    <row r="520" spans="1:8" x14ac:dyDescent="0.3">
      <c r="A520" t="s">
        <v>228</v>
      </c>
      <c r="B520" s="2">
        <v>45962</v>
      </c>
      <c r="C520" s="10"/>
    </row>
    <row r="521" spans="1:8" x14ac:dyDescent="0.3">
      <c r="A521" t="s">
        <v>228</v>
      </c>
      <c r="B521" s="2">
        <v>45992</v>
      </c>
      <c r="C521" s="10"/>
    </row>
    <row r="522" spans="1:8" x14ac:dyDescent="0.3">
      <c r="A522" t="s">
        <v>228</v>
      </c>
      <c r="B522" s="2">
        <v>46023</v>
      </c>
      <c r="C522" s="10"/>
    </row>
    <row r="523" spans="1:8" x14ac:dyDescent="0.3">
      <c r="A523" t="s">
        <v>228</v>
      </c>
      <c r="B523" s="2">
        <v>46054</v>
      </c>
      <c r="C523" s="10"/>
    </row>
    <row r="524" spans="1:8" x14ac:dyDescent="0.3">
      <c r="A524" t="s">
        <v>228</v>
      </c>
      <c r="B524" s="2">
        <v>46082</v>
      </c>
      <c r="C524" s="10" t="s">
        <v>459</v>
      </c>
    </row>
    <row r="525" spans="1:8" x14ac:dyDescent="0.3">
      <c r="A525" t="s">
        <v>228</v>
      </c>
      <c r="B525" s="2">
        <v>46113</v>
      </c>
      <c r="C525" s="10" t="s">
        <v>460</v>
      </c>
    </row>
    <row r="526" spans="1:8" x14ac:dyDescent="0.3">
      <c r="A526" t="s">
        <v>228</v>
      </c>
      <c r="B526" s="2">
        <v>46143</v>
      </c>
      <c r="C526" s="10" t="s">
        <v>852</v>
      </c>
    </row>
    <row r="527" spans="1:8" x14ac:dyDescent="0.3">
      <c r="A527" t="s">
        <v>102</v>
      </c>
      <c r="B527" s="2">
        <v>46174</v>
      </c>
      <c r="C527" s="10"/>
    </row>
    <row r="528" spans="1:8" x14ac:dyDescent="0.3">
      <c r="A528" t="s">
        <v>102</v>
      </c>
      <c r="B528" s="2">
        <v>46204</v>
      </c>
      <c r="C528" s="10">
        <v>31</v>
      </c>
      <c r="D528">
        <v>0</v>
      </c>
      <c r="E528" t="s">
        <v>33</v>
      </c>
      <c r="F528" t="s">
        <v>1026</v>
      </c>
      <c r="G528" s="10" t="s">
        <v>932</v>
      </c>
      <c r="H528" t="s">
        <v>36</v>
      </c>
    </row>
    <row r="529" spans="1:3" x14ac:dyDescent="0.3">
      <c r="A529" t="s">
        <v>228</v>
      </c>
      <c r="B529" s="2">
        <v>46235</v>
      </c>
      <c r="C529" s="10"/>
    </row>
    <row r="530" spans="1:3" x14ac:dyDescent="0.3">
      <c r="A530" t="s">
        <v>109</v>
      </c>
      <c r="B530" s="2">
        <v>45536</v>
      </c>
      <c r="C530" s="10"/>
    </row>
    <row r="531" spans="1:3" x14ac:dyDescent="0.3">
      <c r="A531" t="s">
        <v>109</v>
      </c>
      <c r="B531" s="2">
        <v>45566</v>
      </c>
      <c r="C531" s="10"/>
    </row>
    <row r="532" spans="1:3" x14ac:dyDescent="0.3">
      <c r="A532" t="s">
        <v>109</v>
      </c>
      <c r="B532" s="2">
        <v>45597</v>
      </c>
      <c r="C532" s="10"/>
    </row>
    <row r="533" spans="1:3" x14ac:dyDescent="0.3">
      <c r="A533" t="s">
        <v>109</v>
      </c>
      <c r="B533" s="2">
        <v>45627</v>
      </c>
      <c r="C533" s="10"/>
    </row>
    <row r="534" spans="1:3" x14ac:dyDescent="0.3">
      <c r="A534" t="s">
        <v>109</v>
      </c>
      <c r="B534" s="2">
        <v>45658</v>
      </c>
      <c r="C534" s="10"/>
    </row>
    <row r="535" spans="1:3" ht="28.95" customHeight="1" x14ac:dyDescent="0.3">
      <c r="A535" t="s">
        <v>109</v>
      </c>
      <c r="B535" s="2">
        <v>45689</v>
      </c>
      <c r="C535" s="10" t="s">
        <v>461</v>
      </c>
    </row>
    <row r="536" spans="1:3" x14ac:dyDescent="0.3">
      <c r="A536" t="s">
        <v>109</v>
      </c>
      <c r="B536" s="2">
        <v>45717</v>
      </c>
      <c r="C536" s="10"/>
    </row>
    <row r="537" spans="1:3" x14ac:dyDescent="0.3">
      <c r="A537" t="s">
        <v>109</v>
      </c>
      <c r="B537" s="2">
        <v>45748</v>
      </c>
      <c r="C537" s="10"/>
    </row>
    <row r="538" spans="1:3" ht="43.2" customHeight="1" x14ac:dyDescent="0.3">
      <c r="A538" t="s">
        <v>109</v>
      </c>
      <c r="B538" s="2">
        <v>45778</v>
      </c>
      <c r="C538" s="10" t="s">
        <v>462</v>
      </c>
    </row>
    <row r="539" spans="1:3" ht="57.6" customHeight="1" x14ac:dyDescent="0.3">
      <c r="A539" t="s">
        <v>109</v>
      </c>
      <c r="B539" s="2">
        <v>45809</v>
      </c>
      <c r="C539" s="10" t="s">
        <v>463</v>
      </c>
    </row>
    <row r="540" spans="1:3" ht="57.6" customHeight="1" x14ac:dyDescent="0.3">
      <c r="A540" t="s">
        <v>109</v>
      </c>
      <c r="B540" s="2">
        <v>45839</v>
      </c>
      <c r="C540" s="10" t="s">
        <v>464</v>
      </c>
    </row>
    <row r="541" spans="1:3" ht="57.6" customHeight="1" x14ac:dyDescent="0.3">
      <c r="A541" t="s">
        <v>109</v>
      </c>
      <c r="B541" s="2">
        <v>45870</v>
      </c>
      <c r="C541" s="10" t="s">
        <v>465</v>
      </c>
    </row>
    <row r="542" spans="1:3" ht="57.6" customHeight="1" x14ac:dyDescent="0.3">
      <c r="A542" t="s">
        <v>109</v>
      </c>
      <c r="B542" s="2">
        <v>45901</v>
      </c>
      <c r="C542" s="10" t="s">
        <v>466</v>
      </c>
    </row>
    <row r="543" spans="1:3" ht="57.6" customHeight="1" x14ac:dyDescent="0.3">
      <c r="A543" t="s">
        <v>109</v>
      </c>
      <c r="B543" s="2">
        <v>45931</v>
      </c>
      <c r="C543" s="10" t="s">
        <v>467</v>
      </c>
    </row>
    <row r="544" spans="1:3" ht="57.6" customHeight="1" x14ac:dyDescent="0.3">
      <c r="A544" t="s">
        <v>109</v>
      </c>
      <c r="B544" s="2">
        <v>45962</v>
      </c>
      <c r="C544" s="10" t="s">
        <v>468</v>
      </c>
    </row>
    <row r="545" spans="1:8" x14ac:dyDescent="0.3">
      <c r="A545" t="s">
        <v>109</v>
      </c>
      <c r="B545" s="2">
        <v>45992</v>
      </c>
      <c r="C545" s="10" t="s">
        <v>469</v>
      </c>
    </row>
    <row r="546" spans="1:8" x14ac:dyDescent="0.3">
      <c r="A546" t="s">
        <v>109</v>
      </c>
      <c r="B546" s="2">
        <v>46023</v>
      </c>
      <c r="C546" s="10" t="s">
        <v>469</v>
      </c>
    </row>
    <row r="547" spans="1:8" x14ac:dyDescent="0.3">
      <c r="A547" t="s">
        <v>109</v>
      </c>
      <c r="B547" s="2">
        <v>46054</v>
      </c>
      <c r="C547" s="10" t="s">
        <v>326</v>
      </c>
    </row>
    <row r="548" spans="1:8" ht="28.8" x14ac:dyDescent="0.3">
      <c r="A548" t="s">
        <v>109</v>
      </c>
      <c r="B548" s="2">
        <v>46082</v>
      </c>
      <c r="C548" s="10" t="s">
        <v>470</v>
      </c>
    </row>
    <row r="549" spans="1:8" ht="28.8" x14ac:dyDescent="0.3">
      <c r="A549" t="s">
        <v>109</v>
      </c>
      <c r="B549" s="2">
        <v>46113</v>
      </c>
      <c r="C549" s="10" t="s">
        <v>470</v>
      </c>
    </row>
    <row r="550" spans="1:8" x14ac:dyDescent="0.3">
      <c r="A550" t="s">
        <v>109</v>
      </c>
      <c r="B550" s="2">
        <v>46143</v>
      </c>
      <c r="C550" s="10" t="s">
        <v>857</v>
      </c>
    </row>
    <row r="551" spans="1:8" x14ac:dyDescent="0.3">
      <c r="A551" t="s">
        <v>104</v>
      </c>
      <c r="B551" s="2">
        <v>46174</v>
      </c>
      <c r="C551" t="s">
        <v>919</v>
      </c>
      <c r="D551">
        <v>0</v>
      </c>
      <c r="E551" t="s">
        <v>33</v>
      </c>
      <c r="F551" t="s">
        <v>998</v>
      </c>
      <c r="G551" s="10" t="s">
        <v>996</v>
      </c>
      <c r="H551" t="s">
        <v>36</v>
      </c>
    </row>
    <row r="552" spans="1:8" x14ac:dyDescent="0.3">
      <c r="A552" t="s">
        <v>104</v>
      </c>
      <c r="B552" s="2">
        <v>46204</v>
      </c>
      <c r="C552" s="10">
        <v>31</v>
      </c>
      <c r="D552">
        <v>0</v>
      </c>
      <c r="E552" t="s">
        <v>33</v>
      </c>
      <c r="F552" t="s">
        <v>912</v>
      </c>
      <c r="G552" s="10" t="s">
        <v>932</v>
      </c>
      <c r="H552" t="s">
        <v>1027</v>
      </c>
    </row>
    <row r="553" spans="1:8" x14ac:dyDescent="0.3">
      <c r="A553" t="s">
        <v>109</v>
      </c>
      <c r="B553" s="2">
        <v>46235</v>
      </c>
      <c r="C553" s="10"/>
    </row>
    <row r="554" spans="1:8" x14ac:dyDescent="0.3">
      <c r="A554" t="s">
        <v>113</v>
      </c>
      <c r="B554" s="2">
        <v>45536</v>
      </c>
      <c r="C554" s="10"/>
    </row>
    <row r="555" spans="1:8" x14ac:dyDescent="0.3">
      <c r="A555" t="s">
        <v>113</v>
      </c>
      <c r="B555" s="2">
        <v>45566</v>
      </c>
      <c r="C555" s="10"/>
    </row>
    <row r="556" spans="1:8" x14ac:dyDescent="0.3">
      <c r="A556" t="s">
        <v>113</v>
      </c>
      <c r="B556" s="2">
        <v>45597</v>
      </c>
      <c r="C556" s="10"/>
    </row>
    <row r="557" spans="1:8" x14ac:dyDescent="0.3">
      <c r="A557" t="s">
        <v>113</v>
      </c>
      <c r="B557" s="2">
        <v>45627</v>
      </c>
      <c r="C557" s="10"/>
    </row>
    <row r="558" spans="1:8" x14ac:dyDescent="0.3">
      <c r="A558" t="s">
        <v>113</v>
      </c>
      <c r="B558" s="2">
        <v>45658</v>
      </c>
      <c r="C558" s="10"/>
    </row>
    <row r="559" spans="1:8" ht="43.2" customHeight="1" x14ac:dyDescent="0.3">
      <c r="A559" t="s">
        <v>113</v>
      </c>
      <c r="B559" s="2">
        <v>45689</v>
      </c>
      <c r="C559" s="10" t="s">
        <v>471</v>
      </c>
    </row>
    <row r="560" spans="1:8" ht="28.95" customHeight="1" x14ac:dyDescent="0.3">
      <c r="A560" t="s">
        <v>113</v>
      </c>
      <c r="B560" s="2">
        <v>45717</v>
      </c>
      <c r="C560" s="10" t="s">
        <v>472</v>
      </c>
    </row>
    <row r="561" spans="1:8" ht="28.95" customHeight="1" x14ac:dyDescent="0.3">
      <c r="A561" t="s">
        <v>113</v>
      </c>
      <c r="B561" s="2">
        <v>45748</v>
      </c>
      <c r="C561" s="10" t="s">
        <v>473</v>
      </c>
    </row>
    <row r="562" spans="1:8" ht="72" customHeight="1" x14ac:dyDescent="0.3">
      <c r="A562" t="s">
        <v>113</v>
      </c>
      <c r="B562" s="2">
        <v>45778</v>
      </c>
      <c r="C562" s="10" t="s">
        <v>474</v>
      </c>
    </row>
    <row r="563" spans="1:8" ht="57.6" customHeight="1" x14ac:dyDescent="0.3">
      <c r="A563" t="s">
        <v>113</v>
      </c>
      <c r="B563" s="2">
        <v>45809</v>
      </c>
      <c r="C563" s="10" t="s">
        <v>475</v>
      </c>
    </row>
    <row r="564" spans="1:8" ht="57.6" customHeight="1" x14ac:dyDescent="0.3">
      <c r="A564" t="s">
        <v>113</v>
      </c>
      <c r="B564" s="2">
        <v>45839</v>
      </c>
      <c r="C564" s="10" t="s">
        <v>476</v>
      </c>
    </row>
    <row r="565" spans="1:8" ht="57.6" customHeight="1" x14ac:dyDescent="0.3">
      <c r="A565" t="s">
        <v>113</v>
      </c>
      <c r="B565" s="2">
        <v>45870</v>
      </c>
      <c r="C565" s="10" t="s">
        <v>477</v>
      </c>
    </row>
    <row r="566" spans="1:8" ht="57.6" customHeight="1" x14ac:dyDescent="0.3">
      <c r="A566" t="s">
        <v>113</v>
      </c>
      <c r="B566" s="2">
        <v>45901</v>
      </c>
      <c r="C566" s="10" t="s">
        <v>478</v>
      </c>
    </row>
    <row r="567" spans="1:8" ht="57.6" customHeight="1" x14ac:dyDescent="0.3">
      <c r="A567" t="s">
        <v>113</v>
      </c>
      <c r="B567" s="2">
        <v>45931</v>
      </c>
      <c r="C567" s="10" t="s">
        <v>479</v>
      </c>
    </row>
    <row r="568" spans="1:8" ht="57.6" customHeight="1" x14ac:dyDescent="0.3">
      <c r="A568" t="s">
        <v>113</v>
      </c>
      <c r="B568" s="2">
        <v>45962</v>
      </c>
      <c r="C568" s="10" t="s">
        <v>480</v>
      </c>
    </row>
    <row r="569" spans="1:8" x14ac:dyDescent="0.3">
      <c r="A569" t="s">
        <v>113</v>
      </c>
      <c r="B569" s="2">
        <v>45992</v>
      </c>
      <c r="C569" s="10" t="s">
        <v>326</v>
      </c>
    </row>
    <row r="570" spans="1:8" x14ac:dyDescent="0.3">
      <c r="A570" t="s">
        <v>113</v>
      </c>
      <c r="B570" s="2">
        <v>46023</v>
      </c>
      <c r="C570" s="10" t="s">
        <v>338</v>
      </c>
    </row>
    <row r="571" spans="1:8" x14ac:dyDescent="0.3">
      <c r="A571" t="s">
        <v>113</v>
      </c>
      <c r="B571" s="2">
        <v>46054</v>
      </c>
      <c r="C571" s="10" t="s">
        <v>326</v>
      </c>
    </row>
    <row r="572" spans="1:8" x14ac:dyDescent="0.3">
      <c r="A572" t="s">
        <v>113</v>
      </c>
      <c r="B572" s="2">
        <v>46082</v>
      </c>
      <c r="C572" s="10" t="s">
        <v>326</v>
      </c>
    </row>
    <row r="573" spans="1:8" x14ac:dyDescent="0.3">
      <c r="A573" t="s">
        <v>113</v>
      </c>
      <c r="B573" s="2">
        <v>46113</v>
      </c>
      <c r="C573" s="10" t="s">
        <v>481</v>
      </c>
    </row>
    <row r="574" spans="1:8" ht="28.8" x14ac:dyDescent="0.3">
      <c r="A574" t="s">
        <v>113</v>
      </c>
      <c r="B574" s="2">
        <v>46143</v>
      </c>
      <c r="C574" s="10" t="s">
        <v>867</v>
      </c>
    </row>
    <row r="575" spans="1:8" ht="28.8" x14ac:dyDescent="0.3">
      <c r="A575" t="s">
        <v>107</v>
      </c>
      <c r="B575" s="2">
        <v>46204</v>
      </c>
      <c r="C575" s="10">
        <v>17</v>
      </c>
      <c r="D575" t="s">
        <v>1028</v>
      </c>
      <c r="E575" t="s">
        <v>1029</v>
      </c>
      <c r="F575" t="s">
        <v>33</v>
      </c>
      <c r="G575" s="10" t="s">
        <v>1030</v>
      </c>
      <c r="H575" s="33" t="s">
        <v>1031</v>
      </c>
    </row>
    <row r="576" spans="1:8" x14ac:dyDescent="0.3">
      <c r="A576" t="s">
        <v>107</v>
      </c>
      <c r="B576" s="2">
        <v>46174</v>
      </c>
      <c r="C576" t="s">
        <v>919</v>
      </c>
      <c r="D576">
        <v>0</v>
      </c>
      <c r="E576" t="s">
        <v>33</v>
      </c>
      <c r="F576" t="s">
        <v>33</v>
      </c>
      <c r="G576" s="10" t="s">
        <v>338</v>
      </c>
      <c r="H576" t="s">
        <v>36</v>
      </c>
    </row>
    <row r="577" spans="1:8" x14ac:dyDescent="0.3">
      <c r="A577" t="s">
        <v>113</v>
      </c>
      <c r="B577" s="2">
        <v>46235</v>
      </c>
      <c r="C577" s="10"/>
    </row>
    <row r="578" spans="1:8" x14ac:dyDescent="0.3">
      <c r="A578" t="s">
        <v>114</v>
      </c>
      <c r="B578" s="2">
        <v>45536</v>
      </c>
      <c r="C578" s="10"/>
    </row>
    <row r="579" spans="1:8" x14ac:dyDescent="0.3">
      <c r="A579" t="s">
        <v>114</v>
      </c>
      <c r="B579" s="2">
        <v>45566</v>
      </c>
      <c r="C579" s="10"/>
    </row>
    <row r="580" spans="1:8" x14ac:dyDescent="0.3">
      <c r="A580" t="s">
        <v>114</v>
      </c>
      <c r="B580" s="2">
        <v>45597</v>
      </c>
      <c r="C580" s="10"/>
    </row>
    <row r="581" spans="1:8" x14ac:dyDescent="0.3">
      <c r="A581" t="s">
        <v>114</v>
      </c>
      <c r="B581" s="2">
        <v>45627</v>
      </c>
      <c r="C581" s="10"/>
    </row>
    <row r="582" spans="1:8" x14ac:dyDescent="0.3">
      <c r="A582" t="s">
        <v>114</v>
      </c>
      <c r="B582" s="2">
        <v>45658</v>
      </c>
      <c r="C582" s="10"/>
    </row>
    <row r="583" spans="1:8" ht="43.2" customHeight="1" x14ac:dyDescent="0.3">
      <c r="A583" t="s">
        <v>114</v>
      </c>
      <c r="B583" s="2">
        <v>45689</v>
      </c>
      <c r="C583" s="10" t="s">
        <v>482</v>
      </c>
    </row>
    <row r="584" spans="1:8" ht="43.2" customHeight="1" x14ac:dyDescent="0.3">
      <c r="A584" t="s">
        <v>114</v>
      </c>
      <c r="B584" s="2">
        <v>45717</v>
      </c>
      <c r="C584" s="10" t="s">
        <v>483</v>
      </c>
    </row>
    <row r="585" spans="1:8" ht="57.6" customHeight="1" x14ac:dyDescent="0.3">
      <c r="A585" t="s">
        <v>114</v>
      </c>
      <c r="B585" s="2">
        <v>45748</v>
      </c>
      <c r="C585" s="10" t="s">
        <v>484</v>
      </c>
    </row>
    <row r="586" spans="1:8" ht="57.6" customHeight="1" x14ac:dyDescent="0.3">
      <c r="A586" t="s">
        <v>114</v>
      </c>
      <c r="B586" s="2">
        <v>45778</v>
      </c>
      <c r="C586" s="10" t="s">
        <v>485</v>
      </c>
    </row>
    <row r="587" spans="1:8" ht="57.6" customHeight="1" x14ac:dyDescent="0.3">
      <c r="A587" t="s">
        <v>114</v>
      </c>
      <c r="B587" s="2">
        <v>45809</v>
      </c>
      <c r="C587" s="10" t="s">
        <v>486</v>
      </c>
    </row>
    <row r="588" spans="1:8" x14ac:dyDescent="0.3">
      <c r="A588" t="s">
        <v>114</v>
      </c>
      <c r="B588" s="2">
        <v>45839</v>
      </c>
      <c r="C588" t="s">
        <v>911</v>
      </c>
      <c r="D588">
        <v>0</v>
      </c>
      <c r="E588" t="s">
        <v>33</v>
      </c>
      <c r="F588" t="s">
        <v>33</v>
      </c>
      <c r="G588" s="10" t="s">
        <v>959</v>
      </c>
      <c r="H588" t="s">
        <v>36</v>
      </c>
    </row>
    <row r="589" spans="1:8" x14ac:dyDescent="0.3">
      <c r="A589" t="s">
        <v>114</v>
      </c>
      <c r="B589" s="2">
        <v>45870</v>
      </c>
      <c r="C589" t="s">
        <v>911</v>
      </c>
      <c r="D589">
        <v>0</v>
      </c>
      <c r="E589" t="s">
        <v>33</v>
      </c>
      <c r="F589" t="s">
        <v>33</v>
      </c>
      <c r="G589" s="10" t="s">
        <v>959</v>
      </c>
      <c r="H589" t="s">
        <v>36</v>
      </c>
    </row>
    <row r="590" spans="1:8" x14ac:dyDescent="0.3">
      <c r="A590" t="s">
        <v>114</v>
      </c>
      <c r="B590" s="2">
        <v>45901</v>
      </c>
      <c r="C590" t="s">
        <v>919</v>
      </c>
      <c r="D590">
        <v>0</v>
      </c>
      <c r="E590" t="s">
        <v>33</v>
      </c>
      <c r="F590" t="s">
        <v>33</v>
      </c>
      <c r="G590" s="10" t="s">
        <v>959</v>
      </c>
      <c r="H590" t="s">
        <v>36</v>
      </c>
    </row>
    <row r="591" spans="1:8" x14ac:dyDescent="0.3">
      <c r="A591" t="s">
        <v>114</v>
      </c>
      <c r="B591" s="2">
        <v>45931</v>
      </c>
      <c r="C591" t="s">
        <v>911</v>
      </c>
      <c r="D591">
        <v>0</v>
      </c>
      <c r="E591" t="s">
        <v>33</v>
      </c>
      <c r="F591" t="s">
        <v>33</v>
      </c>
      <c r="G591" s="10" t="s">
        <v>959</v>
      </c>
      <c r="H591" t="s">
        <v>36</v>
      </c>
    </row>
    <row r="592" spans="1:8" x14ac:dyDescent="0.3">
      <c r="A592" t="s">
        <v>114</v>
      </c>
      <c r="B592" s="2">
        <v>45962</v>
      </c>
      <c r="C592" t="s">
        <v>919</v>
      </c>
      <c r="D592">
        <v>0</v>
      </c>
      <c r="E592" t="s">
        <v>33</v>
      </c>
      <c r="F592" t="s">
        <v>33</v>
      </c>
      <c r="G592" s="10" t="s">
        <v>959</v>
      </c>
      <c r="H592" t="s">
        <v>36</v>
      </c>
    </row>
    <row r="593" spans="1:8" x14ac:dyDescent="0.3">
      <c r="A593" t="s">
        <v>114</v>
      </c>
      <c r="B593" s="2">
        <v>45992</v>
      </c>
      <c r="C593" t="s">
        <v>965</v>
      </c>
      <c r="D593" t="s">
        <v>964</v>
      </c>
      <c r="E593" t="s">
        <v>976</v>
      </c>
      <c r="F593" t="s">
        <v>33</v>
      </c>
      <c r="G593" s="10" t="s">
        <v>977</v>
      </c>
      <c r="H593" t="s">
        <v>36</v>
      </c>
    </row>
    <row r="594" spans="1:8" x14ac:dyDescent="0.3">
      <c r="A594" t="s">
        <v>114</v>
      </c>
      <c r="B594" s="2">
        <v>46023</v>
      </c>
      <c r="C594" t="s">
        <v>902</v>
      </c>
      <c r="D594" t="s">
        <v>966</v>
      </c>
      <c r="E594" t="s">
        <v>976</v>
      </c>
      <c r="F594" t="s">
        <v>33</v>
      </c>
      <c r="G594" s="10" t="s">
        <v>487</v>
      </c>
      <c r="H594" t="s">
        <v>36</v>
      </c>
    </row>
    <row r="595" spans="1:8" x14ac:dyDescent="0.3">
      <c r="A595" t="s">
        <v>114</v>
      </c>
      <c r="B595" s="2">
        <v>46054</v>
      </c>
      <c r="C595" t="s">
        <v>895</v>
      </c>
      <c r="D595">
        <v>0</v>
      </c>
      <c r="E595" t="s">
        <v>33</v>
      </c>
      <c r="F595" t="s">
        <v>33</v>
      </c>
      <c r="G595" s="10" t="s">
        <v>959</v>
      </c>
      <c r="H595" t="s">
        <v>36</v>
      </c>
    </row>
    <row r="596" spans="1:8" x14ac:dyDescent="0.3">
      <c r="A596" t="s">
        <v>114</v>
      </c>
      <c r="B596" s="2">
        <v>46082</v>
      </c>
      <c r="C596" t="s">
        <v>911</v>
      </c>
      <c r="D596">
        <v>0</v>
      </c>
      <c r="E596" t="s">
        <v>33</v>
      </c>
      <c r="F596" t="s">
        <v>33</v>
      </c>
      <c r="G596" s="10" t="s">
        <v>959</v>
      </c>
      <c r="H596" t="s">
        <v>36</v>
      </c>
    </row>
    <row r="597" spans="1:8" x14ac:dyDescent="0.3">
      <c r="A597" t="s">
        <v>114</v>
      </c>
      <c r="B597" s="2">
        <v>46113</v>
      </c>
      <c r="C597" t="s">
        <v>919</v>
      </c>
      <c r="D597">
        <v>0</v>
      </c>
      <c r="E597" t="s">
        <v>33</v>
      </c>
      <c r="F597" t="s">
        <v>33</v>
      </c>
      <c r="G597" s="10" t="s">
        <v>487</v>
      </c>
      <c r="H597" t="s">
        <v>36</v>
      </c>
    </row>
    <row r="598" spans="1:8" x14ac:dyDescent="0.3">
      <c r="A598" t="s">
        <v>114</v>
      </c>
      <c r="B598" s="2">
        <v>46143</v>
      </c>
      <c r="C598" t="s">
        <v>911</v>
      </c>
      <c r="D598">
        <v>0</v>
      </c>
      <c r="E598" t="s">
        <v>33</v>
      </c>
      <c r="F598" t="s">
        <v>33</v>
      </c>
      <c r="G598" s="10" t="s">
        <v>959</v>
      </c>
      <c r="H598" t="s">
        <v>36</v>
      </c>
    </row>
    <row r="599" spans="1:8" x14ac:dyDescent="0.3">
      <c r="A599" t="s">
        <v>228</v>
      </c>
      <c r="B599" s="2">
        <v>46174</v>
      </c>
      <c r="C599" s="10"/>
    </row>
    <row r="600" spans="1:8" x14ac:dyDescent="0.3">
      <c r="A600" t="s">
        <v>228</v>
      </c>
      <c r="B600" s="2">
        <v>46204</v>
      </c>
      <c r="C600">
        <v>31</v>
      </c>
      <c r="D600">
        <v>0</v>
      </c>
      <c r="E600" t="s">
        <v>33</v>
      </c>
      <c r="F600" t="s">
        <v>33</v>
      </c>
      <c r="G600" s="10" t="s">
        <v>932</v>
      </c>
      <c r="H600" t="s">
        <v>36</v>
      </c>
    </row>
    <row r="601" spans="1:8" x14ac:dyDescent="0.3">
      <c r="A601" t="s">
        <v>114</v>
      </c>
      <c r="B601" s="2">
        <v>46235</v>
      </c>
      <c r="C601" s="10"/>
    </row>
    <row r="602" spans="1:8" x14ac:dyDescent="0.3">
      <c r="A602" t="s">
        <v>117</v>
      </c>
      <c r="B602" s="2">
        <v>45536</v>
      </c>
      <c r="C602" s="10"/>
    </row>
    <row r="603" spans="1:8" x14ac:dyDescent="0.3">
      <c r="A603" t="s">
        <v>117</v>
      </c>
      <c r="B603" s="2">
        <v>45566</v>
      </c>
      <c r="C603" s="10"/>
    </row>
    <row r="604" spans="1:8" x14ac:dyDescent="0.3">
      <c r="A604" t="s">
        <v>117</v>
      </c>
      <c r="B604" s="2">
        <v>45597</v>
      </c>
      <c r="C604" s="10"/>
    </row>
    <row r="605" spans="1:8" x14ac:dyDescent="0.3">
      <c r="A605" t="s">
        <v>117</v>
      </c>
      <c r="B605" s="2">
        <v>45627</v>
      </c>
      <c r="C605" s="10"/>
    </row>
    <row r="606" spans="1:8" x14ac:dyDescent="0.3">
      <c r="A606" t="s">
        <v>117</v>
      </c>
      <c r="B606" s="2">
        <v>45658</v>
      </c>
      <c r="C606" s="10"/>
    </row>
    <row r="607" spans="1:8" ht="43.2" customHeight="1" x14ac:dyDescent="0.3">
      <c r="A607" t="s">
        <v>117</v>
      </c>
      <c r="B607" s="2">
        <v>45689</v>
      </c>
      <c r="C607" s="10" t="s">
        <v>488</v>
      </c>
    </row>
    <row r="608" spans="1:8" ht="28.95" customHeight="1" x14ac:dyDescent="0.3">
      <c r="A608" t="s">
        <v>117</v>
      </c>
      <c r="B608" s="2">
        <v>45717</v>
      </c>
      <c r="C608" s="10" t="s">
        <v>489</v>
      </c>
    </row>
    <row r="609" spans="1:8" x14ac:dyDescent="0.3">
      <c r="A609" t="s">
        <v>117</v>
      </c>
      <c r="B609" s="2">
        <v>45748</v>
      </c>
      <c r="C609" s="10" t="s">
        <v>490</v>
      </c>
    </row>
    <row r="610" spans="1:8" ht="43.2" customHeight="1" x14ac:dyDescent="0.3">
      <c r="A610" t="s">
        <v>117</v>
      </c>
      <c r="B610" s="2">
        <v>45778</v>
      </c>
      <c r="C610" s="10" t="s">
        <v>491</v>
      </c>
    </row>
    <row r="611" spans="1:8" ht="43.2" customHeight="1" x14ac:dyDescent="0.3">
      <c r="A611" t="s">
        <v>117</v>
      </c>
      <c r="B611" s="2">
        <v>45809</v>
      </c>
      <c r="C611" s="10" t="s">
        <v>492</v>
      </c>
    </row>
    <row r="612" spans="1:8" ht="48" customHeight="1" x14ac:dyDescent="0.3">
      <c r="A612" t="s">
        <v>117</v>
      </c>
      <c r="B612" s="2">
        <v>45839</v>
      </c>
      <c r="C612" s="10" t="s">
        <v>965</v>
      </c>
      <c r="D612">
        <v>15</v>
      </c>
      <c r="E612" t="s">
        <v>985</v>
      </c>
      <c r="F612" t="s">
        <v>986</v>
      </c>
      <c r="G612" s="33" t="s">
        <v>987</v>
      </c>
      <c r="H612" s="10" t="s">
        <v>36</v>
      </c>
    </row>
    <row r="613" spans="1:8" ht="57.6" customHeight="1" x14ac:dyDescent="0.3">
      <c r="A613" t="s">
        <v>994</v>
      </c>
      <c r="B613" s="2">
        <v>45870</v>
      </c>
      <c r="C613" s="10" t="s">
        <v>911</v>
      </c>
      <c r="D613">
        <v>0</v>
      </c>
      <c r="E613" t="s">
        <v>33</v>
      </c>
      <c r="F613" t="s">
        <v>33</v>
      </c>
      <c r="G613" t="s">
        <v>995</v>
      </c>
      <c r="H613" s="10" t="s">
        <v>36</v>
      </c>
    </row>
    <row r="614" spans="1:8" ht="57.6" customHeight="1" x14ac:dyDescent="0.3">
      <c r="A614" t="s">
        <v>117</v>
      </c>
      <c r="B614" s="2">
        <v>45901</v>
      </c>
      <c r="C614" s="10" t="s">
        <v>919</v>
      </c>
      <c r="D614">
        <v>0</v>
      </c>
      <c r="E614" t="s">
        <v>33</v>
      </c>
      <c r="F614" t="s">
        <v>33</v>
      </c>
      <c r="G614" t="s">
        <v>995</v>
      </c>
      <c r="H614" s="10" t="s">
        <v>36</v>
      </c>
    </row>
    <row r="615" spans="1:8" ht="57.6" customHeight="1" x14ac:dyDescent="0.3">
      <c r="A615" t="s">
        <v>117</v>
      </c>
      <c r="B615" s="2">
        <v>45931</v>
      </c>
      <c r="C615" s="10" t="s">
        <v>911</v>
      </c>
      <c r="D615">
        <v>0</v>
      </c>
      <c r="E615" t="s">
        <v>33</v>
      </c>
      <c r="F615" t="s">
        <v>33</v>
      </c>
      <c r="G615" t="s">
        <v>995</v>
      </c>
      <c r="H615" s="10" t="s">
        <v>36</v>
      </c>
    </row>
    <row r="616" spans="1:8" ht="57.6" customHeight="1" x14ac:dyDescent="0.3">
      <c r="A616" t="s">
        <v>117</v>
      </c>
      <c r="B616" s="2">
        <v>45962</v>
      </c>
      <c r="C616" s="10" t="s">
        <v>919</v>
      </c>
      <c r="D616">
        <v>0</v>
      </c>
      <c r="E616" t="s">
        <v>33</v>
      </c>
      <c r="F616" t="s">
        <v>33</v>
      </c>
      <c r="G616" s="10" t="s">
        <v>997</v>
      </c>
      <c r="H616" s="10" t="s">
        <v>36</v>
      </c>
    </row>
    <row r="617" spans="1:8" x14ac:dyDescent="0.3">
      <c r="A617" t="s">
        <v>117</v>
      </c>
      <c r="B617" s="2">
        <v>45992</v>
      </c>
      <c r="C617" s="10" t="s">
        <v>911</v>
      </c>
      <c r="D617">
        <v>0</v>
      </c>
      <c r="E617" t="s">
        <v>33</v>
      </c>
      <c r="F617" t="s">
        <v>33</v>
      </c>
      <c r="G617" t="s">
        <v>995</v>
      </c>
      <c r="H617" s="10" t="s">
        <v>36</v>
      </c>
    </row>
    <row r="618" spans="1:8" x14ac:dyDescent="0.3">
      <c r="A618" t="s">
        <v>117</v>
      </c>
      <c r="B618" s="2">
        <v>46023</v>
      </c>
      <c r="C618" s="10" t="s">
        <v>911</v>
      </c>
      <c r="D618">
        <v>0</v>
      </c>
      <c r="E618" t="s">
        <v>33</v>
      </c>
      <c r="F618" t="s">
        <v>33</v>
      </c>
      <c r="G618" s="10" t="s">
        <v>996</v>
      </c>
      <c r="H618" s="10" t="s">
        <v>36</v>
      </c>
    </row>
    <row r="619" spans="1:8" x14ac:dyDescent="0.3">
      <c r="A619" t="s">
        <v>117</v>
      </c>
      <c r="B619" s="2">
        <v>46054</v>
      </c>
      <c r="C619" s="10" t="s">
        <v>895</v>
      </c>
      <c r="D619">
        <v>0</v>
      </c>
      <c r="E619" t="s">
        <v>33</v>
      </c>
      <c r="F619" t="s">
        <v>33</v>
      </c>
      <c r="G619" t="s">
        <v>995</v>
      </c>
      <c r="H619" s="10" t="s">
        <v>36</v>
      </c>
    </row>
    <row r="620" spans="1:8" x14ac:dyDescent="0.3">
      <c r="A620" t="s">
        <v>117</v>
      </c>
      <c r="B620" s="2">
        <v>46082</v>
      </c>
      <c r="C620" s="10" t="s">
        <v>911</v>
      </c>
      <c r="D620">
        <v>0</v>
      </c>
      <c r="E620" t="s">
        <v>33</v>
      </c>
      <c r="F620" t="s">
        <v>33</v>
      </c>
      <c r="G620" s="10" t="s">
        <v>996</v>
      </c>
      <c r="H620" s="10" t="s">
        <v>36</v>
      </c>
    </row>
    <row r="621" spans="1:8" x14ac:dyDescent="0.3">
      <c r="A621" t="s">
        <v>117</v>
      </c>
      <c r="B621" s="2">
        <v>46113</v>
      </c>
      <c r="C621" s="10" t="s">
        <v>919</v>
      </c>
      <c r="D621">
        <v>0</v>
      </c>
      <c r="E621" t="s">
        <v>33</v>
      </c>
      <c r="F621" t="s">
        <v>33</v>
      </c>
      <c r="G621" s="10" t="s">
        <v>993</v>
      </c>
      <c r="H621" s="10" t="s">
        <v>36</v>
      </c>
    </row>
    <row r="622" spans="1:8" x14ac:dyDescent="0.3">
      <c r="A622" t="s">
        <v>117</v>
      </c>
      <c r="B622" s="2">
        <v>46143</v>
      </c>
      <c r="C622" s="10" t="s">
        <v>911</v>
      </c>
      <c r="D622">
        <v>0</v>
      </c>
      <c r="E622" t="s">
        <v>33</v>
      </c>
      <c r="F622" t="s">
        <v>33</v>
      </c>
      <c r="G622" t="s">
        <v>995</v>
      </c>
      <c r="H622" s="10" t="s">
        <v>36</v>
      </c>
    </row>
    <row r="623" spans="1:8" x14ac:dyDescent="0.3">
      <c r="A623" t="s">
        <v>109</v>
      </c>
      <c r="B623" s="2">
        <v>46174</v>
      </c>
      <c r="C623" s="10"/>
    </row>
    <row r="624" spans="1:8" x14ac:dyDescent="0.3">
      <c r="A624" t="s">
        <v>109</v>
      </c>
      <c r="B624" s="2">
        <v>46204</v>
      </c>
      <c r="C624" s="10">
        <v>31</v>
      </c>
      <c r="D624">
        <v>0</v>
      </c>
      <c r="E624" t="s">
        <v>33</v>
      </c>
      <c r="F624" t="s">
        <v>33</v>
      </c>
      <c r="G624" s="10" t="s">
        <v>932</v>
      </c>
      <c r="H624" t="s">
        <v>36</v>
      </c>
    </row>
    <row r="625" spans="1:8" x14ac:dyDescent="0.3">
      <c r="A625" t="s">
        <v>117</v>
      </c>
      <c r="B625" s="2">
        <v>46235</v>
      </c>
      <c r="C625" s="10" t="s">
        <v>892</v>
      </c>
    </row>
    <row r="626" spans="1:8" x14ac:dyDescent="0.3">
      <c r="A626" t="s">
        <v>225</v>
      </c>
      <c r="B626" s="2">
        <v>45536</v>
      </c>
      <c r="C626" s="10"/>
    </row>
    <row r="627" spans="1:8" x14ac:dyDescent="0.3">
      <c r="A627" t="s">
        <v>225</v>
      </c>
      <c r="B627" s="2">
        <v>45566</v>
      </c>
      <c r="C627" s="10"/>
    </row>
    <row r="628" spans="1:8" x14ac:dyDescent="0.3">
      <c r="A628" t="s">
        <v>225</v>
      </c>
      <c r="B628" s="2">
        <v>45597</v>
      </c>
      <c r="C628" s="10"/>
    </row>
    <row r="629" spans="1:8" x14ac:dyDescent="0.3">
      <c r="A629" t="s">
        <v>225</v>
      </c>
      <c r="B629" s="2">
        <v>45627</v>
      </c>
      <c r="C629" s="10"/>
    </row>
    <row r="630" spans="1:8" x14ac:dyDescent="0.3">
      <c r="A630" t="s">
        <v>225</v>
      </c>
      <c r="B630" s="2">
        <v>45658</v>
      </c>
      <c r="C630" s="10"/>
    </row>
    <row r="631" spans="1:8" x14ac:dyDescent="0.3">
      <c r="A631" t="s">
        <v>225</v>
      </c>
      <c r="B631" s="2">
        <v>45689</v>
      </c>
      <c r="C631" s="10"/>
    </row>
    <row r="632" spans="1:8" x14ac:dyDescent="0.3">
      <c r="A632" t="s">
        <v>225</v>
      </c>
      <c r="B632" s="2">
        <v>45717</v>
      </c>
      <c r="C632" s="10"/>
    </row>
    <row r="633" spans="1:8" x14ac:dyDescent="0.3">
      <c r="A633" t="s">
        <v>225</v>
      </c>
      <c r="B633" s="2">
        <v>45748</v>
      </c>
      <c r="C633" s="10"/>
    </row>
    <row r="634" spans="1:8" x14ac:dyDescent="0.3">
      <c r="A634" t="s">
        <v>225</v>
      </c>
      <c r="B634" s="2">
        <v>45778</v>
      </c>
      <c r="C634" s="10"/>
    </row>
    <row r="635" spans="1:8" x14ac:dyDescent="0.3">
      <c r="A635" t="s">
        <v>225</v>
      </c>
      <c r="B635" s="2">
        <v>45809</v>
      </c>
      <c r="C635" s="10"/>
    </row>
    <row r="636" spans="1:8" x14ac:dyDescent="0.3">
      <c r="A636" t="s">
        <v>225</v>
      </c>
      <c r="B636" s="2">
        <v>45839</v>
      </c>
      <c r="C636" s="10" t="s">
        <v>36</v>
      </c>
      <c r="D636" s="10" t="s">
        <v>36</v>
      </c>
      <c r="E636" s="10" t="s">
        <v>36</v>
      </c>
      <c r="F636" s="10" t="s">
        <v>36</v>
      </c>
      <c r="G636" s="10" t="s">
        <v>36</v>
      </c>
      <c r="H636" s="10" t="s">
        <v>920</v>
      </c>
    </row>
    <row r="637" spans="1:8" x14ac:dyDescent="0.3">
      <c r="A637" t="s">
        <v>225</v>
      </c>
      <c r="B637" s="2">
        <v>45870</v>
      </c>
      <c r="C637" s="10" t="s">
        <v>36</v>
      </c>
      <c r="D637" s="10" t="s">
        <v>36</v>
      </c>
      <c r="E637" s="10" t="s">
        <v>36</v>
      </c>
      <c r="F637" s="10" t="s">
        <v>36</v>
      </c>
      <c r="G637" s="10" t="s">
        <v>36</v>
      </c>
      <c r="H637" s="10" t="s">
        <v>920</v>
      </c>
    </row>
    <row r="638" spans="1:8" x14ac:dyDescent="0.3">
      <c r="A638" t="s">
        <v>225</v>
      </c>
      <c r="B638" s="2">
        <v>45901</v>
      </c>
      <c r="C638" s="10" t="s">
        <v>36</v>
      </c>
      <c r="D638" s="10" t="s">
        <v>36</v>
      </c>
      <c r="E638" s="10" t="s">
        <v>36</v>
      </c>
      <c r="F638" s="10" t="s">
        <v>36</v>
      </c>
      <c r="G638" s="10" t="s">
        <v>36</v>
      </c>
      <c r="H638" s="10" t="s">
        <v>920</v>
      </c>
    </row>
    <row r="639" spans="1:8" x14ac:dyDescent="0.3">
      <c r="A639" t="s">
        <v>225</v>
      </c>
      <c r="B639" s="2">
        <v>45931</v>
      </c>
      <c r="C639" s="10" t="s">
        <v>895</v>
      </c>
      <c r="D639" s="10" t="s">
        <v>975</v>
      </c>
      <c r="E639" s="10" t="s">
        <v>920</v>
      </c>
      <c r="F639" s="10" t="s">
        <v>33</v>
      </c>
      <c r="G639" s="10" t="s">
        <v>33</v>
      </c>
      <c r="H639" s="10" t="s">
        <v>920</v>
      </c>
    </row>
    <row r="640" spans="1:8" x14ac:dyDescent="0.3">
      <c r="A640" t="s">
        <v>225</v>
      </c>
      <c r="B640" s="2">
        <v>45962</v>
      </c>
      <c r="C640" s="10" t="s">
        <v>919</v>
      </c>
      <c r="D640" s="10">
        <v>0</v>
      </c>
      <c r="E640" s="10" t="s">
        <v>33</v>
      </c>
      <c r="F640" s="10" t="s">
        <v>33</v>
      </c>
      <c r="G640" s="10" t="s">
        <v>33</v>
      </c>
      <c r="H640" s="10" t="s">
        <v>36</v>
      </c>
    </row>
    <row r="641" spans="1:8" x14ac:dyDescent="0.3">
      <c r="A641" t="s">
        <v>225</v>
      </c>
      <c r="B641" s="2">
        <v>45992</v>
      </c>
      <c r="C641" s="10" t="s">
        <v>911</v>
      </c>
      <c r="D641" s="10">
        <v>0</v>
      </c>
      <c r="E641" s="10" t="s">
        <v>33</v>
      </c>
      <c r="F641" s="10" t="s">
        <v>33</v>
      </c>
      <c r="G641" s="10" t="s">
        <v>460</v>
      </c>
      <c r="H641" s="10" t="s">
        <v>36</v>
      </c>
    </row>
    <row r="642" spans="1:8" x14ac:dyDescent="0.3">
      <c r="A642" t="s">
        <v>225</v>
      </c>
      <c r="B642" s="2">
        <v>46023</v>
      </c>
      <c r="C642" s="10" t="s">
        <v>892</v>
      </c>
      <c r="D642" s="10">
        <v>0</v>
      </c>
      <c r="E642" s="10" t="s">
        <v>33</v>
      </c>
      <c r="F642" s="10" t="s">
        <v>33</v>
      </c>
      <c r="G642" s="10" t="s">
        <v>460</v>
      </c>
      <c r="H642" s="10" t="s">
        <v>36</v>
      </c>
    </row>
    <row r="643" spans="1:8" x14ac:dyDescent="0.3">
      <c r="A643" t="s">
        <v>225</v>
      </c>
      <c r="B643" s="2">
        <v>46054</v>
      </c>
      <c r="C643" s="10" t="s">
        <v>895</v>
      </c>
      <c r="D643" s="10">
        <v>0</v>
      </c>
      <c r="E643" s="10" t="s">
        <v>33</v>
      </c>
      <c r="F643" s="10" t="s">
        <v>33</v>
      </c>
      <c r="G643" s="10" t="s">
        <v>460</v>
      </c>
      <c r="H643" s="10" t="s">
        <v>36</v>
      </c>
    </row>
    <row r="644" spans="1:8" x14ac:dyDescent="0.3">
      <c r="A644" t="s">
        <v>225</v>
      </c>
      <c r="B644" s="2">
        <v>46082</v>
      </c>
      <c r="C644" s="10" t="s">
        <v>892</v>
      </c>
      <c r="D644" s="10">
        <v>0</v>
      </c>
      <c r="E644" s="10" t="s">
        <v>33</v>
      </c>
      <c r="F644" s="10" t="s">
        <v>33</v>
      </c>
      <c r="G644" s="10" t="s">
        <v>460</v>
      </c>
      <c r="H644" s="10" t="s">
        <v>36</v>
      </c>
    </row>
    <row r="645" spans="1:8" x14ac:dyDescent="0.3">
      <c r="A645" t="s">
        <v>225</v>
      </c>
      <c r="B645" s="2">
        <v>46113</v>
      </c>
      <c r="C645" s="10" t="s">
        <v>896</v>
      </c>
      <c r="D645" s="10">
        <v>0</v>
      </c>
      <c r="E645" s="10" t="s">
        <v>33</v>
      </c>
      <c r="F645" s="10" t="s">
        <v>33</v>
      </c>
      <c r="G645" s="10" t="s">
        <v>460</v>
      </c>
      <c r="H645" s="10" t="s">
        <v>36</v>
      </c>
    </row>
    <row r="646" spans="1:8" x14ac:dyDescent="0.3">
      <c r="A646" t="s">
        <v>225</v>
      </c>
      <c r="B646" s="2">
        <v>46143</v>
      </c>
      <c r="C646" s="10" t="s">
        <v>892</v>
      </c>
      <c r="D646" s="10">
        <v>0</v>
      </c>
      <c r="E646" s="10" t="s">
        <v>33</v>
      </c>
      <c r="F646" s="10" t="s">
        <v>33</v>
      </c>
      <c r="G646" s="10" t="s">
        <v>460</v>
      </c>
      <c r="H646" s="10" t="s">
        <v>36</v>
      </c>
    </row>
    <row r="647" spans="1:8" x14ac:dyDescent="0.3">
      <c r="A647" t="s">
        <v>113</v>
      </c>
      <c r="B647" s="2">
        <v>46174</v>
      </c>
      <c r="C647" s="10"/>
    </row>
    <row r="648" spans="1:8" x14ac:dyDescent="0.3">
      <c r="A648" t="s">
        <v>113</v>
      </c>
      <c r="B648" s="2">
        <v>46204</v>
      </c>
      <c r="C648" s="10">
        <v>31</v>
      </c>
      <c r="D648">
        <v>0</v>
      </c>
      <c r="E648" t="s">
        <v>33</v>
      </c>
      <c r="F648" t="s">
        <v>33</v>
      </c>
      <c r="G648" s="10" t="s">
        <v>932</v>
      </c>
      <c r="H648" t="s">
        <v>36</v>
      </c>
    </row>
    <row r="649" spans="1:8" x14ac:dyDescent="0.3">
      <c r="A649" t="s">
        <v>225</v>
      </c>
      <c r="B649" s="2">
        <v>46235</v>
      </c>
      <c r="C649" s="10"/>
    </row>
    <row r="650" spans="1:8" x14ac:dyDescent="0.3">
      <c r="A650" t="s">
        <v>223</v>
      </c>
      <c r="B650" s="2">
        <v>45536</v>
      </c>
      <c r="C650" s="10"/>
    </row>
    <row r="651" spans="1:8" x14ac:dyDescent="0.3">
      <c r="A651" t="s">
        <v>223</v>
      </c>
      <c r="B651" s="2">
        <v>45566</v>
      </c>
      <c r="C651" s="10"/>
    </row>
    <row r="652" spans="1:8" x14ac:dyDescent="0.3">
      <c r="A652" t="s">
        <v>223</v>
      </c>
      <c r="B652" s="2">
        <v>45597</v>
      </c>
      <c r="C652" s="10"/>
    </row>
    <row r="653" spans="1:8" x14ac:dyDescent="0.3">
      <c r="A653" t="s">
        <v>223</v>
      </c>
      <c r="B653" s="2">
        <v>45627</v>
      </c>
      <c r="C653" s="10"/>
    </row>
    <row r="654" spans="1:8" x14ac:dyDescent="0.3">
      <c r="A654" t="s">
        <v>223</v>
      </c>
      <c r="B654" s="2">
        <v>45658</v>
      </c>
      <c r="C654" s="10"/>
    </row>
    <row r="655" spans="1:8" x14ac:dyDescent="0.3">
      <c r="A655" t="s">
        <v>223</v>
      </c>
      <c r="B655" s="2">
        <v>45689</v>
      </c>
      <c r="C655" s="10"/>
    </row>
    <row r="656" spans="1:8" x14ac:dyDescent="0.3">
      <c r="A656" t="s">
        <v>223</v>
      </c>
      <c r="B656" s="2">
        <v>45717</v>
      </c>
      <c r="C656" s="10"/>
    </row>
    <row r="657" spans="1:8" x14ac:dyDescent="0.3">
      <c r="A657" t="s">
        <v>223</v>
      </c>
      <c r="B657" s="2">
        <v>45748</v>
      </c>
      <c r="C657" s="10"/>
    </row>
    <row r="658" spans="1:8" x14ac:dyDescent="0.3">
      <c r="A658" t="s">
        <v>223</v>
      </c>
      <c r="B658" s="2">
        <v>45778</v>
      </c>
      <c r="C658" s="10"/>
    </row>
    <row r="659" spans="1:8" x14ac:dyDescent="0.3">
      <c r="A659" t="s">
        <v>223</v>
      </c>
      <c r="B659" s="2">
        <v>45809</v>
      </c>
      <c r="C659" s="10"/>
    </row>
    <row r="660" spans="1:8" x14ac:dyDescent="0.3">
      <c r="A660" t="s">
        <v>223</v>
      </c>
      <c r="B660" s="2">
        <v>45839</v>
      </c>
      <c r="C660" s="10" t="s">
        <v>36</v>
      </c>
      <c r="D660" s="10" t="s">
        <v>36</v>
      </c>
      <c r="E660" s="10" t="s">
        <v>36</v>
      </c>
      <c r="F660" s="10" t="s">
        <v>36</v>
      </c>
      <c r="G660" s="10" t="s">
        <v>36</v>
      </c>
      <c r="H660" s="10" t="s">
        <v>920</v>
      </c>
    </row>
    <row r="661" spans="1:8" x14ac:dyDescent="0.3">
      <c r="A661" t="s">
        <v>223</v>
      </c>
      <c r="B661" s="2">
        <v>45870</v>
      </c>
      <c r="C661" s="10" t="s">
        <v>36</v>
      </c>
      <c r="D661" s="10" t="s">
        <v>36</v>
      </c>
      <c r="E661" s="10" t="s">
        <v>36</v>
      </c>
      <c r="F661" s="10" t="s">
        <v>36</v>
      </c>
      <c r="G661" s="10" t="s">
        <v>36</v>
      </c>
      <c r="H661" s="10" t="s">
        <v>920</v>
      </c>
    </row>
    <row r="662" spans="1:8" x14ac:dyDescent="0.3">
      <c r="A662" t="s">
        <v>223</v>
      </c>
      <c r="B662" s="2">
        <v>45901</v>
      </c>
      <c r="C662" s="10" t="s">
        <v>36</v>
      </c>
      <c r="D662" s="10" t="s">
        <v>36</v>
      </c>
      <c r="E662" s="10" t="s">
        <v>36</v>
      </c>
      <c r="F662" s="10" t="s">
        <v>36</v>
      </c>
      <c r="G662" s="10" t="s">
        <v>36</v>
      </c>
      <c r="H662" s="10" t="s">
        <v>920</v>
      </c>
    </row>
    <row r="663" spans="1:8" x14ac:dyDescent="0.3">
      <c r="A663" t="s">
        <v>223</v>
      </c>
      <c r="B663" s="2">
        <v>45931</v>
      </c>
      <c r="C663" s="10" t="s">
        <v>895</v>
      </c>
      <c r="D663" s="10" t="s">
        <v>942</v>
      </c>
      <c r="E663" s="10" t="s">
        <v>920</v>
      </c>
      <c r="F663" s="10" t="s">
        <v>33</v>
      </c>
      <c r="G663" s="10" t="s">
        <v>33</v>
      </c>
      <c r="H663" s="10" t="s">
        <v>920</v>
      </c>
    </row>
    <row r="664" spans="1:8" x14ac:dyDescent="0.3">
      <c r="A664" t="s">
        <v>223</v>
      </c>
      <c r="B664" s="2">
        <v>45962</v>
      </c>
      <c r="C664" s="10" t="s">
        <v>919</v>
      </c>
      <c r="D664" s="10">
        <v>0</v>
      </c>
      <c r="E664" s="10" t="s">
        <v>33</v>
      </c>
      <c r="F664" s="10" t="s">
        <v>33</v>
      </c>
      <c r="H664" s="10" t="s">
        <v>36</v>
      </c>
    </row>
    <row r="665" spans="1:8" x14ac:dyDescent="0.3">
      <c r="A665" t="s">
        <v>223</v>
      </c>
      <c r="B665" s="2">
        <v>45992</v>
      </c>
      <c r="C665" s="10" t="s">
        <v>911</v>
      </c>
      <c r="D665" s="10">
        <v>0</v>
      </c>
      <c r="E665" s="10" t="s">
        <v>33</v>
      </c>
      <c r="F665" s="10" t="s">
        <v>33</v>
      </c>
      <c r="G665" s="10" t="s">
        <v>493</v>
      </c>
      <c r="H665" s="10" t="s">
        <v>36</v>
      </c>
    </row>
    <row r="666" spans="1:8" x14ac:dyDescent="0.3">
      <c r="A666" t="s">
        <v>223</v>
      </c>
      <c r="B666" s="2">
        <v>46023</v>
      </c>
      <c r="C666" s="10" t="s">
        <v>892</v>
      </c>
      <c r="D666" s="10">
        <v>0</v>
      </c>
      <c r="E666" s="10" t="s">
        <v>33</v>
      </c>
      <c r="F666" s="10" t="s">
        <v>33</v>
      </c>
      <c r="G666" s="10" t="s">
        <v>932</v>
      </c>
      <c r="H666" s="10" t="s">
        <v>36</v>
      </c>
    </row>
    <row r="667" spans="1:8" x14ac:dyDescent="0.3">
      <c r="A667" t="s">
        <v>223</v>
      </c>
      <c r="B667" s="2">
        <v>46054</v>
      </c>
      <c r="C667" s="10" t="s">
        <v>895</v>
      </c>
      <c r="D667" s="10">
        <v>0</v>
      </c>
      <c r="E667" s="10" t="s">
        <v>33</v>
      </c>
      <c r="F667" s="10" t="s">
        <v>33</v>
      </c>
      <c r="G667" s="10" t="s">
        <v>932</v>
      </c>
      <c r="H667" s="10" t="s">
        <v>36</v>
      </c>
    </row>
    <row r="668" spans="1:8" x14ac:dyDescent="0.3">
      <c r="A668" t="s">
        <v>223</v>
      </c>
      <c r="B668" s="2">
        <v>46082</v>
      </c>
      <c r="C668" s="10" t="s">
        <v>892</v>
      </c>
      <c r="D668" s="10">
        <v>0</v>
      </c>
      <c r="E668" s="10" t="s">
        <v>33</v>
      </c>
      <c r="F668" s="10" t="s">
        <v>33</v>
      </c>
      <c r="G668" s="10" t="s">
        <v>932</v>
      </c>
      <c r="H668" s="10" t="s">
        <v>36</v>
      </c>
    </row>
    <row r="669" spans="1:8" x14ac:dyDescent="0.3">
      <c r="A669" t="s">
        <v>223</v>
      </c>
      <c r="B669" s="2">
        <v>46113</v>
      </c>
      <c r="C669" s="10" t="s">
        <v>896</v>
      </c>
      <c r="D669" s="10">
        <v>0</v>
      </c>
      <c r="E669" s="10" t="s">
        <v>33</v>
      </c>
      <c r="F669" s="10" t="s">
        <v>33</v>
      </c>
      <c r="G669" s="10" t="s">
        <v>932</v>
      </c>
      <c r="H669" s="10" t="s">
        <v>36</v>
      </c>
    </row>
    <row r="670" spans="1:8" x14ac:dyDescent="0.3">
      <c r="A670" t="s">
        <v>223</v>
      </c>
      <c r="B670" s="2">
        <v>46143</v>
      </c>
      <c r="C670" s="10" t="s">
        <v>892</v>
      </c>
      <c r="D670" s="10">
        <v>0</v>
      </c>
      <c r="E670" s="10" t="s">
        <v>33</v>
      </c>
      <c r="F670" s="10" t="s">
        <v>33</v>
      </c>
      <c r="G670" s="10" t="s">
        <v>932</v>
      </c>
      <c r="H670" s="10" t="s">
        <v>36</v>
      </c>
    </row>
    <row r="671" spans="1:8" x14ac:dyDescent="0.3">
      <c r="A671" t="s">
        <v>114</v>
      </c>
      <c r="B671" s="2">
        <v>46174</v>
      </c>
      <c r="C671" t="s">
        <v>919</v>
      </c>
      <c r="D671">
        <v>0</v>
      </c>
      <c r="E671" t="s">
        <v>33</v>
      </c>
      <c r="F671" t="s">
        <v>33</v>
      </c>
      <c r="G671" s="10" t="s">
        <v>996</v>
      </c>
      <c r="H671" t="s">
        <v>36</v>
      </c>
    </row>
    <row r="672" spans="1:8" x14ac:dyDescent="0.3">
      <c r="A672" t="s">
        <v>114</v>
      </c>
      <c r="B672" s="2">
        <v>46204</v>
      </c>
      <c r="C672" s="10">
        <v>31</v>
      </c>
      <c r="D672">
        <v>0</v>
      </c>
      <c r="E672" t="s">
        <v>33</v>
      </c>
      <c r="F672" t="s">
        <v>33</v>
      </c>
      <c r="G672" t="s">
        <v>1014</v>
      </c>
      <c r="H672" t="s">
        <v>36</v>
      </c>
    </row>
    <row r="673" spans="1:3" x14ac:dyDescent="0.3">
      <c r="A673" t="s">
        <v>223</v>
      </c>
      <c r="B673" s="2">
        <v>46235</v>
      </c>
      <c r="C673" s="10"/>
    </row>
    <row r="674" spans="1:3" x14ac:dyDescent="0.3">
      <c r="A674" t="s">
        <v>120</v>
      </c>
      <c r="B674" s="2">
        <v>45536</v>
      </c>
      <c r="C674" s="10"/>
    </row>
    <row r="675" spans="1:3" x14ac:dyDescent="0.3">
      <c r="A675" t="s">
        <v>120</v>
      </c>
      <c r="B675" s="2">
        <v>45566</v>
      </c>
      <c r="C675" s="10"/>
    </row>
    <row r="676" spans="1:3" x14ac:dyDescent="0.3">
      <c r="A676" t="s">
        <v>120</v>
      </c>
      <c r="B676" s="2">
        <v>45597</v>
      </c>
      <c r="C676" s="10"/>
    </row>
    <row r="677" spans="1:3" x14ac:dyDescent="0.3">
      <c r="A677" t="s">
        <v>120</v>
      </c>
      <c r="B677" s="2">
        <v>45627</v>
      </c>
      <c r="C677" s="10"/>
    </row>
    <row r="678" spans="1:3" x14ac:dyDescent="0.3">
      <c r="A678" t="s">
        <v>120</v>
      </c>
      <c r="B678" s="2">
        <v>45658</v>
      </c>
      <c r="C678" s="10"/>
    </row>
    <row r="679" spans="1:3" ht="28.95" customHeight="1" x14ac:dyDescent="0.3">
      <c r="A679" t="s">
        <v>120</v>
      </c>
      <c r="B679" s="2">
        <v>45689</v>
      </c>
      <c r="C679" s="10" t="s">
        <v>495</v>
      </c>
    </row>
    <row r="680" spans="1:3" ht="72" customHeight="1" x14ac:dyDescent="0.3">
      <c r="A680" t="s">
        <v>120</v>
      </c>
      <c r="B680" s="2">
        <v>45717</v>
      </c>
      <c r="C680" s="10" t="s">
        <v>496</v>
      </c>
    </row>
    <row r="681" spans="1:3" ht="72" customHeight="1" x14ac:dyDescent="0.3">
      <c r="A681" t="s">
        <v>120</v>
      </c>
      <c r="B681" s="2">
        <v>45748</v>
      </c>
      <c r="C681" s="10" t="s">
        <v>497</v>
      </c>
    </row>
    <row r="682" spans="1:3" ht="57.6" customHeight="1" x14ac:dyDescent="0.3">
      <c r="A682" t="s">
        <v>120</v>
      </c>
      <c r="B682" s="2">
        <v>45778</v>
      </c>
      <c r="C682" s="10" t="s">
        <v>498</v>
      </c>
    </row>
    <row r="683" spans="1:3" ht="57.6" customHeight="1" x14ac:dyDescent="0.3">
      <c r="A683" t="s">
        <v>120</v>
      </c>
      <c r="B683" s="2">
        <v>45809</v>
      </c>
      <c r="C683" s="10" t="s">
        <v>499</v>
      </c>
    </row>
    <row r="684" spans="1:3" ht="57.6" customHeight="1" x14ac:dyDescent="0.3">
      <c r="A684" t="s">
        <v>120</v>
      </c>
      <c r="B684" s="2">
        <v>45839</v>
      </c>
      <c r="C684" s="10" t="s">
        <v>500</v>
      </c>
    </row>
    <row r="685" spans="1:3" ht="57.6" customHeight="1" x14ac:dyDescent="0.3">
      <c r="A685" t="s">
        <v>120</v>
      </c>
      <c r="B685" s="2">
        <v>45870</v>
      </c>
      <c r="C685" s="10" t="s">
        <v>501</v>
      </c>
    </row>
    <row r="686" spans="1:3" ht="57.6" customHeight="1" x14ac:dyDescent="0.3">
      <c r="A686" t="s">
        <v>120</v>
      </c>
      <c r="B686" s="2">
        <v>45901</v>
      </c>
      <c r="C686" s="10" t="s">
        <v>502</v>
      </c>
    </row>
    <row r="687" spans="1:3" ht="57.6" customHeight="1" x14ac:dyDescent="0.3">
      <c r="A687" t="s">
        <v>120</v>
      </c>
      <c r="B687" s="2">
        <v>45931</v>
      </c>
      <c r="C687" s="10" t="s">
        <v>503</v>
      </c>
    </row>
    <row r="688" spans="1:3" ht="57.6" customHeight="1" x14ac:dyDescent="0.3">
      <c r="A688" t="s">
        <v>120</v>
      </c>
      <c r="B688" s="2">
        <v>45962</v>
      </c>
      <c r="C688" s="10" t="s">
        <v>504</v>
      </c>
    </row>
    <row r="689" spans="1:8" x14ac:dyDescent="0.3">
      <c r="A689" t="s">
        <v>120</v>
      </c>
      <c r="B689" s="2">
        <v>45992</v>
      </c>
      <c r="C689" s="10" t="s">
        <v>455</v>
      </c>
    </row>
    <row r="690" spans="1:8" x14ac:dyDescent="0.3">
      <c r="A690" t="s">
        <v>120</v>
      </c>
      <c r="B690" s="2">
        <v>46023</v>
      </c>
      <c r="C690" s="10" t="s">
        <v>338</v>
      </c>
    </row>
    <row r="691" spans="1:8" ht="43.2" x14ac:dyDescent="0.3">
      <c r="A691" t="s">
        <v>120</v>
      </c>
      <c r="B691" s="2">
        <v>46054</v>
      </c>
      <c r="C691" s="10" t="s">
        <v>314</v>
      </c>
    </row>
    <row r="692" spans="1:8" ht="43.2" x14ac:dyDescent="0.3">
      <c r="A692" t="s">
        <v>120</v>
      </c>
      <c r="B692" s="2">
        <v>46082</v>
      </c>
      <c r="C692" s="10" t="s">
        <v>314</v>
      </c>
    </row>
    <row r="693" spans="1:8" ht="28.8" x14ac:dyDescent="0.3">
      <c r="A693" t="s">
        <v>120</v>
      </c>
      <c r="B693" s="2">
        <v>46113</v>
      </c>
      <c r="C693" s="10" t="s">
        <v>494</v>
      </c>
    </row>
    <row r="694" spans="1:8" x14ac:dyDescent="0.3">
      <c r="A694" t="s">
        <v>120</v>
      </c>
      <c r="B694" s="2">
        <v>46143</v>
      </c>
      <c r="C694" s="10" t="s">
        <v>852</v>
      </c>
    </row>
    <row r="695" spans="1:8" x14ac:dyDescent="0.3">
      <c r="A695" t="s">
        <v>117</v>
      </c>
      <c r="B695" s="2">
        <v>46174</v>
      </c>
      <c r="C695" s="10" t="s">
        <v>919</v>
      </c>
      <c r="D695">
        <v>0</v>
      </c>
      <c r="E695" t="s">
        <v>33</v>
      </c>
      <c r="F695" t="s">
        <v>33</v>
      </c>
      <c r="G695" s="10" t="s">
        <v>996</v>
      </c>
      <c r="H695" s="10" t="s">
        <v>36</v>
      </c>
    </row>
    <row r="696" spans="1:8" x14ac:dyDescent="0.3">
      <c r="A696" t="s">
        <v>117</v>
      </c>
      <c r="B696" s="2">
        <v>46204</v>
      </c>
      <c r="C696" s="10">
        <v>31</v>
      </c>
      <c r="D696">
        <v>0</v>
      </c>
      <c r="E696" t="s">
        <v>33</v>
      </c>
      <c r="F696" t="s">
        <v>33</v>
      </c>
      <c r="G696" t="s">
        <v>1014</v>
      </c>
      <c r="H696" t="s">
        <v>36</v>
      </c>
    </row>
    <row r="697" spans="1:8" x14ac:dyDescent="0.3">
      <c r="A697" t="s">
        <v>120</v>
      </c>
      <c r="B697" s="2">
        <v>46235</v>
      </c>
      <c r="C697" s="10"/>
    </row>
    <row r="698" spans="1:8" x14ac:dyDescent="0.3">
      <c r="A698" t="s">
        <v>122</v>
      </c>
      <c r="B698" s="2">
        <v>45536</v>
      </c>
      <c r="C698" s="10"/>
    </row>
    <row r="699" spans="1:8" x14ac:dyDescent="0.3">
      <c r="A699" t="s">
        <v>122</v>
      </c>
      <c r="B699" s="2">
        <v>45566</v>
      </c>
      <c r="C699" s="10"/>
    </row>
    <row r="700" spans="1:8" x14ac:dyDescent="0.3">
      <c r="A700" t="s">
        <v>122</v>
      </c>
      <c r="B700" s="2">
        <v>45597</v>
      </c>
      <c r="C700" s="10"/>
    </row>
    <row r="701" spans="1:8" x14ac:dyDescent="0.3">
      <c r="A701" t="s">
        <v>122</v>
      </c>
      <c r="B701" s="2">
        <v>45627</v>
      </c>
      <c r="C701" s="10"/>
    </row>
    <row r="702" spans="1:8" x14ac:dyDescent="0.3">
      <c r="A702" t="s">
        <v>122</v>
      </c>
      <c r="B702" s="2">
        <v>45658</v>
      </c>
      <c r="C702" s="10"/>
    </row>
    <row r="703" spans="1:8" ht="43.2" customHeight="1" x14ac:dyDescent="0.3">
      <c r="A703" t="s">
        <v>122</v>
      </c>
      <c r="B703" s="2">
        <v>45689</v>
      </c>
      <c r="C703" s="10" t="s">
        <v>505</v>
      </c>
    </row>
    <row r="704" spans="1:8" ht="43.2" customHeight="1" x14ac:dyDescent="0.3">
      <c r="A704" t="s">
        <v>122</v>
      </c>
      <c r="B704" s="2">
        <v>45717</v>
      </c>
      <c r="C704" s="10" t="s">
        <v>506</v>
      </c>
    </row>
    <row r="705" spans="1:8" ht="57.6" customHeight="1" x14ac:dyDescent="0.3">
      <c r="A705" t="s">
        <v>122</v>
      </c>
      <c r="B705" s="2">
        <v>45748</v>
      </c>
      <c r="C705" s="10" t="s">
        <v>507</v>
      </c>
    </row>
    <row r="706" spans="1:8" ht="57.6" customHeight="1" x14ac:dyDescent="0.3">
      <c r="A706" t="s">
        <v>122</v>
      </c>
      <c r="B706" s="2">
        <v>45778</v>
      </c>
      <c r="C706" s="10" t="s">
        <v>508</v>
      </c>
    </row>
    <row r="707" spans="1:8" ht="57.6" customHeight="1" x14ac:dyDescent="0.3">
      <c r="A707" t="s">
        <v>122</v>
      </c>
      <c r="B707" s="2">
        <v>45809</v>
      </c>
      <c r="C707" s="10" t="s">
        <v>508</v>
      </c>
    </row>
    <row r="708" spans="1:8" ht="57.6" customHeight="1" x14ac:dyDescent="0.3">
      <c r="A708" t="s">
        <v>122</v>
      </c>
      <c r="B708" s="2">
        <v>45839</v>
      </c>
      <c r="C708" s="10" t="s">
        <v>509</v>
      </c>
    </row>
    <row r="709" spans="1:8" ht="57.6" customHeight="1" x14ac:dyDescent="0.3">
      <c r="A709" t="s">
        <v>122</v>
      </c>
      <c r="B709" s="2">
        <v>45870</v>
      </c>
      <c r="C709" s="10" t="s">
        <v>510</v>
      </c>
    </row>
    <row r="710" spans="1:8" ht="72" customHeight="1" x14ac:dyDescent="0.3">
      <c r="A710" t="s">
        <v>122</v>
      </c>
      <c r="B710" s="2">
        <v>45901</v>
      </c>
      <c r="C710" s="10" t="s">
        <v>511</v>
      </c>
    </row>
    <row r="711" spans="1:8" ht="57.6" customHeight="1" x14ac:dyDescent="0.3">
      <c r="A711" t="s">
        <v>122</v>
      </c>
      <c r="B711" s="2">
        <v>45931</v>
      </c>
      <c r="C711" s="10" t="s">
        <v>512</v>
      </c>
    </row>
    <row r="712" spans="1:8" ht="57.6" customHeight="1" x14ac:dyDescent="0.3">
      <c r="A712" t="s">
        <v>122</v>
      </c>
      <c r="B712" s="2">
        <v>45962</v>
      </c>
      <c r="C712" s="10" t="s">
        <v>513</v>
      </c>
    </row>
    <row r="713" spans="1:8" x14ac:dyDescent="0.3">
      <c r="A713" t="s">
        <v>122</v>
      </c>
      <c r="B713" s="2">
        <v>45992</v>
      </c>
      <c r="C713" s="10" t="s">
        <v>326</v>
      </c>
    </row>
    <row r="714" spans="1:8" x14ac:dyDescent="0.3">
      <c r="A714" t="s">
        <v>122</v>
      </c>
      <c r="B714" s="2">
        <v>46023</v>
      </c>
      <c r="C714" s="10" t="s">
        <v>338</v>
      </c>
    </row>
    <row r="715" spans="1:8" x14ac:dyDescent="0.3">
      <c r="A715" t="s">
        <v>122</v>
      </c>
      <c r="B715" s="2">
        <v>46054</v>
      </c>
      <c r="C715" s="10" t="s">
        <v>326</v>
      </c>
    </row>
    <row r="716" spans="1:8" x14ac:dyDescent="0.3">
      <c r="A716" t="s">
        <v>122</v>
      </c>
      <c r="B716" s="2">
        <v>46082</v>
      </c>
      <c r="C716" s="10" t="s">
        <v>338</v>
      </c>
    </row>
    <row r="717" spans="1:8" x14ac:dyDescent="0.3">
      <c r="A717" t="s">
        <v>122</v>
      </c>
      <c r="B717" s="2">
        <v>46113</v>
      </c>
      <c r="C717" s="10" t="s">
        <v>302</v>
      </c>
    </row>
    <row r="718" spans="1:8" x14ac:dyDescent="0.3">
      <c r="A718" t="s">
        <v>122</v>
      </c>
      <c r="B718" s="2">
        <v>46143</v>
      </c>
      <c r="C718" s="10" t="s">
        <v>302</v>
      </c>
    </row>
    <row r="719" spans="1:8" x14ac:dyDescent="0.3">
      <c r="A719" t="s">
        <v>225</v>
      </c>
      <c r="B719" s="2">
        <v>46174</v>
      </c>
      <c r="C719" s="10" t="s">
        <v>896</v>
      </c>
      <c r="D719" s="10">
        <v>0</v>
      </c>
      <c r="E719" s="10" t="s">
        <v>33</v>
      </c>
      <c r="F719" s="10" t="s">
        <v>33</v>
      </c>
      <c r="G719" s="10" t="s">
        <v>338</v>
      </c>
      <c r="H719" s="10" t="s">
        <v>36</v>
      </c>
    </row>
    <row r="720" spans="1:8" x14ac:dyDescent="0.3">
      <c r="A720" t="s">
        <v>225</v>
      </c>
      <c r="B720" s="2">
        <v>46204</v>
      </c>
      <c r="C720" s="10">
        <v>31</v>
      </c>
      <c r="D720">
        <v>0</v>
      </c>
      <c r="E720" t="s">
        <v>33</v>
      </c>
      <c r="F720" t="s">
        <v>33</v>
      </c>
      <c r="G720" t="s">
        <v>1014</v>
      </c>
      <c r="H720" t="s">
        <v>36</v>
      </c>
    </row>
    <row r="721" spans="1:3" x14ac:dyDescent="0.3">
      <c r="A721" t="s">
        <v>122</v>
      </c>
      <c r="B721" s="2">
        <v>46235</v>
      </c>
      <c r="C721" s="10"/>
    </row>
    <row r="722" spans="1:3" ht="28.8" x14ac:dyDescent="0.3">
      <c r="A722" t="s">
        <v>124</v>
      </c>
      <c r="B722" s="2">
        <v>45536</v>
      </c>
      <c r="C722" s="10" t="s">
        <v>514</v>
      </c>
    </row>
    <row r="723" spans="1:3" x14ac:dyDescent="0.3">
      <c r="A723" t="s">
        <v>124</v>
      </c>
      <c r="B723" s="2">
        <v>45566</v>
      </c>
      <c r="C723" s="10"/>
    </row>
    <row r="724" spans="1:3" x14ac:dyDescent="0.3">
      <c r="A724" t="s">
        <v>124</v>
      </c>
      <c r="B724" s="2">
        <v>45597</v>
      </c>
      <c r="C724" s="10"/>
    </row>
    <row r="725" spans="1:3" x14ac:dyDescent="0.3">
      <c r="A725" t="s">
        <v>124</v>
      </c>
      <c r="B725" s="2">
        <v>45627</v>
      </c>
      <c r="C725" s="10"/>
    </row>
    <row r="726" spans="1:3" x14ac:dyDescent="0.3">
      <c r="A726" t="s">
        <v>124</v>
      </c>
      <c r="B726" s="2">
        <v>45658</v>
      </c>
      <c r="C726" s="10"/>
    </row>
    <row r="727" spans="1:3" ht="43.2" customHeight="1" x14ac:dyDescent="0.3">
      <c r="A727" t="s">
        <v>124</v>
      </c>
      <c r="B727" s="2">
        <v>45689</v>
      </c>
      <c r="C727" s="10" t="s">
        <v>515</v>
      </c>
    </row>
    <row r="728" spans="1:3" ht="57.6" customHeight="1" x14ac:dyDescent="0.3">
      <c r="A728" t="s">
        <v>124</v>
      </c>
      <c r="B728" s="2">
        <v>45717</v>
      </c>
      <c r="C728" s="10" t="s">
        <v>516</v>
      </c>
    </row>
    <row r="729" spans="1:3" ht="57.6" customHeight="1" x14ac:dyDescent="0.3">
      <c r="A729" t="s">
        <v>124</v>
      </c>
      <c r="B729" s="2">
        <v>45748</v>
      </c>
      <c r="C729" s="10" t="s">
        <v>517</v>
      </c>
    </row>
    <row r="730" spans="1:3" ht="57.6" customHeight="1" x14ac:dyDescent="0.3">
      <c r="A730" t="s">
        <v>124</v>
      </c>
      <c r="B730" s="2">
        <v>45778</v>
      </c>
      <c r="C730" s="10" t="s">
        <v>518</v>
      </c>
    </row>
    <row r="731" spans="1:3" ht="57.6" customHeight="1" x14ac:dyDescent="0.3">
      <c r="A731" t="s">
        <v>124</v>
      </c>
      <c r="B731" s="2">
        <v>45809</v>
      </c>
      <c r="C731" s="10" t="s">
        <v>519</v>
      </c>
    </row>
    <row r="732" spans="1:3" ht="57.6" customHeight="1" x14ac:dyDescent="0.3">
      <c r="A732" t="s">
        <v>124</v>
      </c>
      <c r="B732" s="2">
        <v>45839</v>
      </c>
      <c r="C732" s="10" t="s">
        <v>520</v>
      </c>
    </row>
    <row r="733" spans="1:3" ht="57.6" customHeight="1" x14ac:dyDescent="0.3">
      <c r="A733" t="s">
        <v>124</v>
      </c>
      <c r="B733" s="2">
        <v>45870</v>
      </c>
      <c r="C733" s="10" t="s">
        <v>521</v>
      </c>
    </row>
    <row r="734" spans="1:3" ht="57.6" customHeight="1" x14ac:dyDescent="0.3">
      <c r="A734" t="s">
        <v>124</v>
      </c>
      <c r="B734" s="2">
        <v>45901</v>
      </c>
      <c r="C734" s="10" t="s">
        <v>522</v>
      </c>
    </row>
    <row r="735" spans="1:3" ht="57.6" customHeight="1" x14ac:dyDescent="0.3">
      <c r="A735" t="s">
        <v>124</v>
      </c>
      <c r="B735" s="2">
        <v>45931</v>
      </c>
      <c r="C735" s="10" t="s">
        <v>523</v>
      </c>
    </row>
    <row r="736" spans="1:3" ht="57.6" customHeight="1" x14ac:dyDescent="0.3">
      <c r="A736" t="s">
        <v>124</v>
      </c>
      <c r="B736" s="2">
        <v>45962</v>
      </c>
      <c r="C736" s="10" t="s">
        <v>524</v>
      </c>
    </row>
    <row r="737" spans="1:8" ht="28.8" x14ac:dyDescent="0.3">
      <c r="A737" t="s">
        <v>124</v>
      </c>
      <c r="B737" s="2">
        <v>45992</v>
      </c>
      <c r="C737" s="10" t="s">
        <v>525</v>
      </c>
    </row>
    <row r="738" spans="1:8" ht="28.8" x14ac:dyDescent="0.3">
      <c r="A738" t="s">
        <v>124</v>
      </c>
      <c r="B738" s="2">
        <v>46023</v>
      </c>
      <c r="C738" s="10" t="s">
        <v>526</v>
      </c>
    </row>
    <row r="739" spans="1:8" x14ac:dyDescent="0.3">
      <c r="A739" t="s">
        <v>124</v>
      </c>
      <c r="B739" s="2">
        <v>46054</v>
      </c>
      <c r="C739" s="10" t="s">
        <v>326</v>
      </c>
    </row>
    <row r="740" spans="1:8" x14ac:dyDescent="0.3">
      <c r="A740" t="s">
        <v>124</v>
      </c>
      <c r="B740" s="2">
        <v>46082</v>
      </c>
      <c r="C740" s="10" t="s">
        <v>326</v>
      </c>
    </row>
    <row r="741" spans="1:8" ht="28.8" x14ac:dyDescent="0.3">
      <c r="A741" t="s">
        <v>124</v>
      </c>
      <c r="B741" s="2">
        <v>46113</v>
      </c>
      <c r="C741" s="10" t="s">
        <v>527</v>
      </c>
    </row>
    <row r="742" spans="1:8" x14ac:dyDescent="0.3">
      <c r="A742" t="s">
        <v>124</v>
      </c>
      <c r="B742" s="2">
        <v>46143</v>
      </c>
      <c r="C742" s="10" t="s">
        <v>302</v>
      </c>
    </row>
    <row r="743" spans="1:8" x14ac:dyDescent="0.3">
      <c r="A743" t="s">
        <v>223</v>
      </c>
      <c r="B743" s="2">
        <v>46204</v>
      </c>
      <c r="C743" s="10">
        <v>31</v>
      </c>
      <c r="D743">
        <v>0</v>
      </c>
      <c r="E743" t="s">
        <v>33</v>
      </c>
      <c r="F743" t="s">
        <v>33</v>
      </c>
      <c r="G743" s="10" t="s">
        <v>932</v>
      </c>
      <c r="H743" t="s">
        <v>36</v>
      </c>
    </row>
    <row r="744" spans="1:8" ht="40.799999999999997" customHeight="1" x14ac:dyDescent="0.3">
      <c r="A744" t="s">
        <v>223</v>
      </c>
      <c r="B744" s="2">
        <v>46174</v>
      </c>
      <c r="C744" s="10" t="s">
        <v>896</v>
      </c>
      <c r="D744" s="10">
        <v>0</v>
      </c>
      <c r="E744" s="10" t="s">
        <v>33</v>
      </c>
      <c r="F744" s="10" t="s">
        <v>33</v>
      </c>
      <c r="G744" s="10" t="s">
        <v>996</v>
      </c>
      <c r="H744" s="10" t="s">
        <v>36</v>
      </c>
    </row>
    <row r="745" spans="1:8" x14ac:dyDescent="0.3">
      <c r="A745" t="s">
        <v>124</v>
      </c>
      <c r="B745" s="2">
        <v>46235</v>
      </c>
      <c r="C745" s="10"/>
    </row>
    <row r="746" spans="1:8" x14ac:dyDescent="0.3">
      <c r="A746" t="s">
        <v>127</v>
      </c>
      <c r="B746" s="2">
        <v>45536</v>
      </c>
      <c r="C746" s="10"/>
    </row>
    <row r="747" spans="1:8" x14ac:dyDescent="0.3">
      <c r="A747" t="s">
        <v>127</v>
      </c>
      <c r="B747" s="2">
        <v>45566</v>
      </c>
      <c r="C747" s="10"/>
    </row>
    <row r="748" spans="1:8" x14ac:dyDescent="0.3">
      <c r="A748" t="s">
        <v>127</v>
      </c>
      <c r="B748" s="2">
        <v>45597</v>
      </c>
      <c r="C748" s="10"/>
    </row>
    <row r="749" spans="1:8" x14ac:dyDescent="0.3">
      <c r="A749" t="s">
        <v>127</v>
      </c>
      <c r="B749" s="2">
        <v>45627</v>
      </c>
      <c r="C749" s="10"/>
    </row>
    <row r="750" spans="1:8" x14ac:dyDescent="0.3">
      <c r="A750" t="s">
        <v>127</v>
      </c>
      <c r="B750" s="2">
        <v>45658</v>
      </c>
      <c r="C750" s="10"/>
    </row>
    <row r="751" spans="1:8" ht="57.6" customHeight="1" x14ac:dyDescent="0.3">
      <c r="A751" t="s">
        <v>127</v>
      </c>
      <c r="B751" s="2">
        <v>45689</v>
      </c>
      <c r="C751" s="10" t="s">
        <v>528</v>
      </c>
    </row>
    <row r="752" spans="1:8" x14ac:dyDescent="0.3">
      <c r="A752" t="s">
        <v>127</v>
      </c>
      <c r="B752" s="2">
        <v>45717</v>
      </c>
      <c r="C752" s="10" t="s">
        <v>529</v>
      </c>
    </row>
    <row r="753" spans="1:8" ht="28.8" x14ac:dyDescent="0.3">
      <c r="A753" t="s">
        <v>127</v>
      </c>
      <c r="B753" s="2">
        <v>45748</v>
      </c>
      <c r="C753" s="10" t="s">
        <v>530</v>
      </c>
    </row>
    <row r="754" spans="1:8" x14ac:dyDescent="0.3">
      <c r="A754" t="s">
        <v>127</v>
      </c>
      <c r="B754" s="2">
        <v>45778</v>
      </c>
      <c r="C754" s="10" t="s">
        <v>531</v>
      </c>
    </row>
    <row r="755" spans="1:8" x14ac:dyDescent="0.3">
      <c r="A755" t="s">
        <v>127</v>
      </c>
      <c r="B755" s="2">
        <v>45809</v>
      </c>
      <c r="C755" s="10" t="s">
        <v>531</v>
      </c>
    </row>
    <row r="756" spans="1:8" ht="28.8" x14ac:dyDescent="0.3">
      <c r="A756" t="s">
        <v>127</v>
      </c>
      <c r="B756" s="2">
        <v>45839</v>
      </c>
      <c r="C756" t="s">
        <v>911</v>
      </c>
      <c r="D756">
        <v>0</v>
      </c>
      <c r="E756" t="s">
        <v>33</v>
      </c>
      <c r="F756" t="s">
        <v>974</v>
      </c>
      <c r="G756" s="10" t="s">
        <v>932</v>
      </c>
      <c r="H756" s="10" t="s">
        <v>531</v>
      </c>
    </row>
    <row r="757" spans="1:8" ht="28.8" x14ac:dyDescent="0.3">
      <c r="A757" t="s">
        <v>127</v>
      </c>
      <c r="B757" s="2">
        <v>45870</v>
      </c>
      <c r="C757" t="s">
        <v>911</v>
      </c>
      <c r="D757">
        <v>0</v>
      </c>
      <c r="E757" t="s">
        <v>33</v>
      </c>
      <c r="F757" t="s">
        <v>974</v>
      </c>
      <c r="G757" s="10" t="s">
        <v>973</v>
      </c>
      <c r="H757" s="10" t="s">
        <v>531</v>
      </c>
    </row>
    <row r="758" spans="1:8" ht="28.8" x14ac:dyDescent="0.3">
      <c r="A758" t="s">
        <v>127</v>
      </c>
      <c r="B758" s="2">
        <v>45901</v>
      </c>
      <c r="C758" t="s">
        <v>919</v>
      </c>
      <c r="D758">
        <v>0</v>
      </c>
      <c r="E758" t="s">
        <v>33</v>
      </c>
      <c r="F758" t="s">
        <v>974</v>
      </c>
      <c r="G758" s="10" t="s">
        <v>932</v>
      </c>
      <c r="H758" s="10" t="s">
        <v>531</v>
      </c>
    </row>
    <row r="759" spans="1:8" x14ac:dyDescent="0.3">
      <c r="A759" t="s">
        <v>127</v>
      </c>
      <c r="B759" s="2">
        <v>45931</v>
      </c>
      <c r="C759" t="s">
        <v>911</v>
      </c>
      <c r="D759">
        <v>0</v>
      </c>
      <c r="E759" t="s">
        <v>33</v>
      </c>
      <c r="F759" t="s">
        <v>33</v>
      </c>
      <c r="G759" s="10" t="s">
        <v>973</v>
      </c>
      <c r="H759" t="s">
        <v>36</v>
      </c>
    </row>
    <row r="760" spans="1:8" x14ac:dyDescent="0.3">
      <c r="A760" t="s">
        <v>127</v>
      </c>
      <c r="B760" s="2">
        <v>45962</v>
      </c>
      <c r="C760" t="s">
        <v>919</v>
      </c>
      <c r="D760">
        <v>0</v>
      </c>
      <c r="E760" t="s">
        <v>33</v>
      </c>
      <c r="F760" t="s">
        <v>33</v>
      </c>
      <c r="G760" s="10" t="s">
        <v>973</v>
      </c>
      <c r="H760" t="s">
        <v>36</v>
      </c>
    </row>
    <row r="761" spans="1:8" x14ac:dyDescent="0.3">
      <c r="A761" t="s">
        <v>127</v>
      </c>
      <c r="B761" s="2">
        <v>45992</v>
      </c>
      <c r="C761" t="s">
        <v>911</v>
      </c>
      <c r="D761">
        <v>0</v>
      </c>
      <c r="E761" t="s">
        <v>33</v>
      </c>
      <c r="F761" t="s">
        <v>33</v>
      </c>
      <c r="G761" s="10" t="s">
        <v>973</v>
      </c>
      <c r="H761" t="s">
        <v>36</v>
      </c>
    </row>
    <row r="762" spans="1:8" x14ac:dyDescent="0.3">
      <c r="A762" t="s">
        <v>127</v>
      </c>
      <c r="B762" s="2">
        <v>46023</v>
      </c>
      <c r="C762" t="s">
        <v>911</v>
      </c>
      <c r="D762">
        <v>0</v>
      </c>
      <c r="E762" t="s">
        <v>33</v>
      </c>
      <c r="F762" t="s">
        <v>33</v>
      </c>
      <c r="G762" s="10" t="s">
        <v>932</v>
      </c>
      <c r="H762" t="s">
        <v>36</v>
      </c>
    </row>
    <row r="763" spans="1:8" x14ac:dyDescent="0.3">
      <c r="A763" t="s">
        <v>127</v>
      </c>
      <c r="B763" s="2">
        <v>46054</v>
      </c>
      <c r="C763" t="s">
        <v>895</v>
      </c>
      <c r="D763">
        <v>0</v>
      </c>
      <c r="E763" t="s">
        <v>33</v>
      </c>
      <c r="F763" t="s">
        <v>33</v>
      </c>
      <c r="G763" s="10" t="s">
        <v>326</v>
      </c>
      <c r="H763" t="s">
        <v>36</v>
      </c>
    </row>
    <row r="764" spans="1:8" x14ac:dyDescent="0.3">
      <c r="A764" t="s">
        <v>127</v>
      </c>
      <c r="B764" s="2">
        <v>46082</v>
      </c>
      <c r="C764" t="s">
        <v>911</v>
      </c>
      <c r="D764">
        <v>0</v>
      </c>
      <c r="E764" t="s">
        <v>33</v>
      </c>
      <c r="F764" t="s">
        <v>33</v>
      </c>
      <c r="G764" s="21" t="s">
        <v>932</v>
      </c>
      <c r="H764" t="s">
        <v>36</v>
      </c>
    </row>
    <row r="765" spans="1:8" x14ac:dyDescent="0.3">
      <c r="A765" t="s">
        <v>127</v>
      </c>
      <c r="B765" s="2">
        <v>46113</v>
      </c>
      <c r="C765" t="s">
        <v>919</v>
      </c>
      <c r="D765">
        <v>0</v>
      </c>
      <c r="E765" t="s">
        <v>33</v>
      </c>
      <c r="F765" t="s">
        <v>33</v>
      </c>
      <c r="G765" s="10" t="s">
        <v>932</v>
      </c>
      <c r="H765" t="s">
        <v>36</v>
      </c>
    </row>
    <row r="766" spans="1:8" x14ac:dyDescent="0.3">
      <c r="A766" t="s">
        <v>127</v>
      </c>
      <c r="B766" s="2">
        <v>46143</v>
      </c>
      <c r="C766" t="s">
        <v>911</v>
      </c>
      <c r="D766">
        <v>0</v>
      </c>
      <c r="E766" t="s">
        <v>33</v>
      </c>
      <c r="F766" t="s">
        <v>33</v>
      </c>
      <c r="G766" s="10" t="s">
        <v>973</v>
      </c>
      <c r="H766" t="s">
        <v>36</v>
      </c>
    </row>
    <row r="767" spans="1:8" x14ac:dyDescent="0.3">
      <c r="A767" t="s">
        <v>120</v>
      </c>
      <c r="B767" s="2">
        <v>46174</v>
      </c>
      <c r="C767" s="10"/>
    </row>
    <row r="768" spans="1:8" ht="43.2" x14ac:dyDescent="0.3">
      <c r="A768" t="s">
        <v>120</v>
      </c>
      <c r="B768" s="2">
        <v>46204</v>
      </c>
      <c r="C768" s="10">
        <v>31</v>
      </c>
      <c r="D768">
        <v>0</v>
      </c>
      <c r="E768" t="s">
        <v>33</v>
      </c>
      <c r="F768" s="33" t="s">
        <v>1033</v>
      </c>
      <c r="G768" s="33" t="s">
        <v>1032</v>
      </c>
      <c r="H768" t="s">
        <v>1034</v>
      </c>
    </row>
    <row r="769" spans="1:3" x14ac:dyDescent="0.3">
      <c r="A769" t="s">
        <v>127</v>
      </c>
      <c r="B769" s="2">
        <v>46235</v>
      </c>
      <c r="C769" s="10"/>
    </row>
    <row r="770" spans="1:3" x14ac:dyDescent="0.3">
      <c r="A770" t="s">
        <v>234</v>
      </c>
      <c r="B770" s="2">
        <v>45536</v>
      </c>
      <c r="C770" s="10"/>
    </row>
    <row r="771" spans="1:3" x14ac:dyDescent="0.3">
      <c r="A771" t="s">
        <v>234</v>
      </c>
      <c r="B771" s="2">
        <v>45566</v>
      </c>
      <c r="C771" s="10"/>
    </row>
    <row r="772" spans="1:3" x14ac:dyDescent="0.3">
      <c r="A772" t="s">
        <v>234</v>
      </c>
      <c r="B772" s="2">
        <v>45597</v>
      </c>
      <c r="C772" s="10"/>
    </row>
    <row r="773" spans="1:3" x14ac:dyDescent="0.3">
      <c r="A773" t="s">
        <v>234</v>
      </c>
      <c r="B773" s="2">
        <v>45627</v>
      </c>
      <c r="C773" s="10"/>
    </row>
    <row r="774" spans="1:3" x14ac:dyDescent="0.3">
      <c r="A774" t="s">
        <v>234</v>
      </c>
      <c r="B774" s="2">
        <v>45658</v>
      </c>
      <c r="C774" s="10"/>
    </row>
    <row r="775" spans="1:3" x14ac:dyDescent="0.3">
      <c r="A775" t="s">
        <v>234</v>
      </c>
      <c r="B775" s="2">
        <v>45689</v>
      </c>
      <c r="C775" s="10"/>
    </row>
    <row r="776" spans="1:3" x14ac:dyDescent="0.3">
      <c r="A776" t="s">
        <v>234</v>
      </c>
      <c r="B776" s="2">
        <v>45717</v>
      </c>
      <c r="C776" s="10"/>
    </row>
    <row r="777" spans="1:3" x14ac:dyDescent="0.3">
      <c r="A777" t="s">
        <v>234</v>
      </c>
      <c r="B777" s="2">
        <v>45748</v>
      </c>
      <c r="C777" s="10"/>
    </row>
    <row r="778" spans="1:3" x14ac:dyDescent="0.3">
      <c r="A778" t="s">
        <v>234</v>
      </c>
      <c r="B778" s="2">
        <v>45778</v>
      </c>
      <c r="C778" s="10"/>
    </row>
    <row r="779" spans="1:3" x14ac:dyDescent="0.3">
      <c r="A779" t="s">
        <v>234</v>
      </c>
      <c r="B779" s="2">
        <v>45809</v>
      </c>
      <c r="C779" s="10"/>
    </row>
    <row r="780" spans="1:3" x14ac:dyDescent="0.3">
      <c r="A780" t="s">
        <v>234</v>
      </c>
      <c r="B780" s="2">
        <v>45839</v>
      </c>
      <c r="C780" s="10"/>
    </row>
    <row r="781" spans="1:3" x14ac:dyDescent="0.3">
      <c r="A781" t="s">
        <v>234</v>
      </c>
      <c r="B781" s="2">
        <v>45870</v>
      </c>
      <c r="C781" s="10"/>
    </row>
    <row r="782" spans="1:3" x14ac:dyDescent="0.3">
      <c r="A782" t="s">
        <v>234</v>
      </c>
      <c r="B782" s="2">
        <v>45901</v>
      </c>
      <c r="C782" s="10"/>
    </row>
    <row r="783" spans="1:3" x14ac:dyDescent="0.3">
      <c r="A783" t="s">
        <v>234</v>
      </c>
      <c r="B783" s="2">
        <v>45931</v>
      </c>
      <c r="C783" s="10"/>
    </row>
    <row r="784" spans="1:3" x14ac:dyDescent="0.3">
      <c r="A784" t="s">
        <v>234</v>
      </c>
      <c r="B784" s="2">
        <v>45962</v>
      </c>
      <c r="C784" s="10"/>
    </row>
    <row r="785" spans="1:8" x14ac:dyDescent="0.3">
      <c r="A785" t="s">
        <v>234</v>
      </c>
      <c r="B785" s="2">
        <v>45992</v>
      </c>
      <c r="C785" s="10" t="s">
        <v>533</v>
      </c>
    </row>
    <row r="786" spans="1:8" x14ac:dyDescent="0.3">
      <c r="A786" t="s">
        <v>234</v>
      </c>
      <c r="B786" s="2">
        <v>46023</v>
      </c>
      <c r="C786" s="10" t="s">
        <v>533</v>
      </c>
    </row>
    <row r="787" spans="1:8" x14ac:dyDescent="0.3">
      <c r="A787" t="s">
        <v>234</v>
      </c>
      <c r="B787" s="2">
        <v>46054</v>
      </c>
      <c r="C787" s="10" t="s">
        <v>326</v>
      </c>
    </row>
    <row r="788" spans="1:8" x14ac:dyDescent="0.3">
      <c r="A788" t="s">
        <v>234</v>
      </c>
      <c r="B788" s="2">
        <v>46082</v>
      </c>
      <c r="C788" s="10" t="s">
        <v>326</v>
      </c>
    </row>
    <row r="789" spans="1:8" x14ac:dyDescent="0.3">
      <c r="A789" t="s">
        <v>234</v>
      </c>
      <c r="B789" s="2">
        <v>46113</v>
      </c>
      <c r="C789" s="10" t="s">
        <v>302</v>
      </c>
    </row>
    <row r="790" spans="1:8" x14ac:dyDescent="0.3">
      <c r="A790" t="s">
        <v>234</v>
      </c>
      <c r="B790" s="2">
        <v>46143</v>
      </c>
      <c r="C790" s="10" t="s">
        <v>302</v>
      </c>
    </row>
    <row r="791" spans="1:8" x14ac:dyDescent="0.3">
      <c r="A791" t="s">
        <v>122</v>
      </c>
      <c r="B791" s="2">
        <v>46174</v>
      </c>
      <c r="C791" s="10"/>
    </row>
    <row r="792" spans="1:8" x14ac:dyDescent="0.3">
      <c r="A792" t="s">
        <v>122</v>
      </c>
      <c r="B792" s="2">
        <v>46204</v>
      </c>
      <c r="C792" s="10">
        <v>31</v>
      </c>
      <c r="D792">
        <v>0</v>
      </c>
      <c r="E792" t="s">
        <v>33</v>
      </c>
      <c r="F792" t="s">
        <v>33</v>
      </c>
      <c r="G792" t="s">
        <v>1014</v>
      </c>
      <c r="H792" t="s">
        <v>36</v>
      </c>
    </row>
    <row r="793" spans="1:8" x14ac:dyDescent="0.3">
      <c r="A793" t="s">
        <v>234</v>
      </c>
      <c r="B793" s="2">
        <v>46235</v>
      </c>
      <c r="C793" s="10"/>
    </row>
    <row r="794" spans="1:8" x14ac:dyDescent="0.3">
      <c r="A794" t="s">
        <v>131</v>
      </c>
      <c r="B794" s="2">
        <v>45536</v>
      </c>
      <c r="C794" s="10"/>
    </row>
    <row r="795" spans="1:8" x14ac:dyDescent="0.3">
      <c r="A795" t="s">
        <v>131</v>
      </c>
      <c r="B795" s="2">
        <v>45566</v>
      </c>
      <c r="C795" s="10"/>
    </row>
    <row r="796" spans="1:8" x14ac:dyDescent="0.3">
      <c r="A796" t="s">
        <v>131</v>
      </c>
      <c r="B796" s="2">
        <v>45597</v>
      </c>
      <c r="C796" s="10"/>
    </row>
    <row r="797" spans="1:8" x14ac:dyDescent="0.3">
      <c r="A797" t="s">
        <v>131</v>
      </c>
      <c r="B797" s="2">
        <v>45627</v>
      </c>
      <c r="C797" s="10"/>
    </row>
    <row r="798" spans="1:8" x14ac:dyDescent="0.3">
      <c r="A798" t="s">
        <v>131</v>
      </c>
      <c r="B798" s="2">
        <v>45658</v>
      </c>
      <c r="C798" s="10"/>
    </row>
    <row r="799" spans="1:8" ht="57.6" customHeight="1" x14ac:dyDescent="0.3">
      <c r="A799" t="s">
        <v>131</v>
      </c>
      <c r="B799" s="2">
        <v>45689</v>
      </c>
      <c r="C799" s="10" t="s">
        <v>534</v>
      </c>
    </row>
    <row r="800" spans="1:8" ht="100.95" customHeight="1" x14ac:dyDescent="0.3">
      <c r="A800" t="s">
        <v>131</v>
      </c>
      <c r="B800" s="2">
        <v>45717</v>
      </c>
      <c r="C800" s="10" t="s">
        <v>535</v>
      </c>
    </row>
    <row r="801" spans="1:8" ht="72" customHeight="1" x14ac:dyDescent="0.3">
      <c r="A801" t="s">
        <v>131</v>
      </c>
      <c r="B801" s="2">
        <v>45748</v>
      </c>
      <c r="C801" s="10" t="s">
        <v>536</v>
      </c>
    </row>
    <row r="802" spans="1:8" ht="72" customHeight="1" x14ac:dyDescent="0.3">
      <c r="A802" t="s">
        <v>131</v>
      </c>
      <c r="B802" s="2">
        <v>45778</v>
      </c>
      <c r="C802" s="10" t="s">
        <v>537</v>
      </c>
    </row>
    <row r="803" spans="1:8" ht="57.6" customHeight="1" x14ac:dyDescent="0.3">
      <c r="A803" t="s">
        <v>131</v>
      </c>
      <c r="B803" s="2">
        <v>45809</v>
      </c>
      <c r="C803" s="10" t="s">
        <v>538</v>
      </c>
    </row>
    <row r="804" spans="1:8" x14ac:dyDescent="0.3">
      <c r="A804" t="s">
        <v>131</v>
      </c>
      <c r="B804" s="2">
        <v>45839</v>
      </c>
      <c r="C804" t="s">
        <v>911</v>
      </c>
      <c r="D804">
        <v>0</v>
      </c>
      <c r="E804" t="s">
        <v>33</v>
      </c>
      <c r="F804" t="s">
        <v>33</v>
      </c>
      <c r="G804" s="10" t="s">
        <v>338</v>
      </c>
      <c r="H804" t="s">
        <v>36</v>
      </c>
    </row>
    <row r="805" spans="1:8" x14ac:dyDescent="0.3">
      <c r="A805" t="s">
        <v>131</v>
      </c>
      <c r="B805" s="2">
        <v>45870</v>
      </c>
      <c r="C805" t="s">
        <v>911</v>
      </c>
      <c r="D805">
        <v>0</v>
      </c>
      <c r="E805" t="s">
        <v>33</v>
      </c>
      <c r="F805" t="s">
        <v>33</v>
      </c>
      <c r="G805" s="10" t="s">
        <v>338</v>
      </c>
      <c r="H805" t="s">
        <v>36</v>
      </c>
    </row>
    <row r="806" spans="1:8" x14ac:dyDescent="0.3">
      <c r="A806" t="s">
        <v>131</v>
      </c>
      <c r="B806" s="2">
        <v>45901</v>
      </c>
      <c r="C806" t="s">
        <v>919</v>
      </c>
      <c r="D806">
        <v>0</v>
      </c>
      <c r="E806" t="s">
        <v>33</v>
      </c>
      <c r="F806" t="s">
        <v>33</v>
      </c>
      <c r="G806" s="10" t="s">
        <v>338</v>
      </c>
      <c r="H806" t="s">
        <v>36</v>
      </c>
    </row>
    <row r="807" spans="1:8" x14ac:dyDescent="0.3">
      <c r="A807" t="s">
        <v>131</v>
      </c>
      <c r="B807" s="2">
        <v>45931</v>
      </c>
      <c r="C807" t="s">
        <v>911</v>
      </c>
      <c r="D807">
        <v>0</v>
      </c>
      <c r="E807" t="s">
        <v>33</v>
      </c>
      <c r="F807" t="s">
        <v>33</v>
      </c>
      <c r="G807" s="10" t="s">
        <v>338</v>
      </c>
      <c r="H807" t="s">
        <v>36</v>
      </c>
    </row>
    <row r="808" spans="1:8" x14ac:dyDescent="0.3">
      <c r="A808" t="s">
        <v>131</v>
      </c>
      <c r="B808" s="2">
        <v>45962</v>
      </c>
      <c r="C808" t="s">
        <v>919</v>
      </c>
      <c r="D808">
        <v>0</v>
      </c>
      <c r="E808" t="s">
        <v>33</v>
      </c>
      <c r="F808" t="s">
        <v>33</v>
      </c>
      <c r="G808" s="10" t="s">
        <v>338</v>
      </c>
      <c r="H808" t="s">
        <v>36</v>
      </c>
    </row>
    <row r="809" spans="1:8" x14ac:dyDescent="0.3">
      <c r="A809" t="s">
        <v>131</v>
      </c>
      <c r="B809" s="2">
        <v>45992</v>
      </c>
      <c r="C809" t="s">
        <v>911</v>
      </c>
      <c r="D809">
        <v>0</v>
      </c>
      <c r="E809" t="s">
        <v>33</v>
      </c>
      <c r="F809" t="s">
        <v>33</v>
      </c>
      <c r="G809" s="10" t="s">
        <v>338</v>
      </c>
      <c r="H809" t="s">
        <v>36</v>
      </c>
    </row>
    <row r="810" spans="1:8" x14ac:dyDescent="0.3">
      <c r="A810" t="s">
        <v>131</v>
      </c>
      <c r="B810" s="2">
        <v>46023</v>
      </c>
      <c r="C810" t="s">
        <v>911</v>
      </c>
      <c r="D810">
        <v>0</v>
      </c>
      <c r="E810" t="s">
        <v>33</v>
      </c>
      <c r="F810" t="s">
        <v>33</v>
      </c>
      <c r="G810" s="10" t="s">
        <v>338</v>
      </c>
      <c r="H810" t="s">
        <v>36</v>
      </c>
    </row>
    <row r="811" spans="1:8" x14ac:dyDescent="0.3">
      <c r="A811" t="s">
        <v>131</v>
      </c>
      <c r="B811" s="2">
        <v>46054</v>
      </c>
      <c r="C811" t="s">
        <v>895</v>
      </c>
      <c r="D811">
        <v>0</v>
      </c>
      <c r="E811" t="s">
        <v>33</v>
      </c>
      <c r="F811" t="s">
        <v>33</v>
      </c>
      <c r="G811" s="10" t="s">
        <v>338</v>
      </c>
      <c r="H811" t="s">
        <v>36</v>
      </c>
    </row>
    <row r="812" spans="1:8" x14ac:dyDescent="0.3">
      <c r="A812" t="s">
        <v>131</v>
      </c>
      <c r="B812" s="2">
        <v>46082</v>
      </c>
      <c r="C812" t="s">
        <v>911</v>
      </c>
      <c r="D812">
        <v>0</v>
      </c>
      <c r="E812" t="s">
        <v>33</v>
      </c>
      <c r="F812" t="s">
        <v>33</v>
      </c>
      <c r="G812" s="10" t="s">
        <v>338</v>
      </c>
      <c r="H812" t="s">
        <v>36</v>
      </c>
    </row>
    <row r="813" spans="1:8" x14ac:dyDescent="0.3">
      <c r="A813" t="s">
        <v>131</v>
      </c>
      <c r="B813" s="2">
        <v>46113</v>
      </c>
      <c r="C813" t="s">
        <v>919</v>
      </c>
      <c r="D813">
        <v>0</v>
      </c>
      <c r="E813" t="s">
        <v>33</v>
      </c>
      <c r="F813" t="s">
        <v>33</v>
      </c>
      <c r="G813" s="10" t="s">
        <v>338</v>
      </c>
      <c r="H813" t="s">
        <v>36</v>
      </c>
    </row>
    <row r="814" spans="1:8" x14ac:dyDescent="0.3">
      <c r="A814" t="s">
        <v>131</v>
      </c>
      <c r="B814" s="2">
        <v>46143</v>
      </c>
      <c r="C814" t="s">
        <v>911</v>
      </c>
      <c r="D814">
        <v>0</v>
      </c>
      <c r="E814" t="s">
        <v>33</v>
      </c>
      <c r="F814" t="s">
        <v>33</v>
      </c>
      <c r="G814" s="10" t="s">
        <v>338</v>
      </c>
      <c r="H814" t="s">
        <v>36</v>
      </c>
    </row>
    <row r="815" spans="1:8" x14ac:dyDescent="0.3">
      <c r="A815" t="s">
        <v>124</v>
      </c>
      <c r="B815" s="2">
        <v>46174</v>
      </c>
      <c r="C815" s="10"/>
    </row>
    <row r="816" spans="1:8" x14ac:dyDescent="0.3">
      <c r="A816" t="s">
        <v>124</v>
      </c>
      <c r="B816" s="2">
        <v>46204</v>
      </c>
      <c r="C816" s="10">
        <v>31</v>
      </c>
      <c r="D816">
        <v>0</v>
      </c>
      <c r="E816" t="s">
        <v>33</v>
      </c>
      <c r="F816" t="s">
        <v>33</v>
      </c>
      <c r="G816" t="s">
        <v>1014</v>
      </c>
      <c r="H816" t="s">
        <v>36</v>
      </c>
    </row>
    <row r="817" spans="1:3" x14ac:dyDescent="0.3">
      <c r="A817" t="s">
        <v>131</v>
      </c>
      <c r="B817" s="2">
        <v>46235</v>
      </c>
      <c r="C817" s="10"/>
    </row>
    <row r="818" spans="1:3" x14ac:dyDescent="0.3">
      <c r="A818" t="s">
        <v>134</v>
      </c>
      <c r="B818" s="2">
        <v>45536</v>
      </c>
      <c r="C818" s="10"/>
    </row>
    <row r="819" spans="1:3" x14ac:dyDescent="0.3">
      <c r="A819" t="s">
        <v>134</v>
      </c>
      <c r="B819" s="2">
        <v>45566</v>
      </c>
      <c r="C819" s="10"/>
    </row>
    <row r="820" spans="1:3" x14ac:dyDescent="0.3">
      <c r="A820" t="s">
        <v>134</v>
      </c>
      <c r="B820" s="2">
        <v>45597</v>
      </c>
      <c r="C820" s="10"/>
    </row>
    <row r="821" spans="1:3" x14ac:dyDescent="0.3">
      <c r="A821" t="s">
        <v>134</v>
      </c>
      <c r="B821" s="2">
        <v>45627</v>
      </c>
      <c r="C821" s="10"/>
    </row>
    <row r="822" spans="1:3" x14ac:dyDescent="0.3">
      <c r="A822" t="s">
        <v>134</v>
      </c>
      <c r="B822" s="2">
        <v>45658</v>
      </c>
      <c r="C822" s="10"/>
    </row>
    <row r="823" spans="1:3" ht="28.95" customHeight="1" x14ac:dyDescent="0.3">
      <c r="A823" t="s">
        <v>134</v>
      </c>
      <c r="B823" s="2">
        <v>45689</v>
      </c>
      <c r="C823" s="10" t="s">
        <v>539</v>
      </c>
    </row>
    <row r="824" spans="1:3" ht="57.6" customHeight="1" x14ac:dyDescent="0.3">
      <c r="A824" t="s">
        <v>134</v>
      </c>
      <c r="B824" s="2">
        <v>45717</v>
      </c>
      <c r="C824" s="10" t="s">
        <v>540</v>
      </c>
    </row>
    <row r="825" spans="1:3" ht="57.6" customHeight="1" x14ac:dyDescent="0.3">
      <c r="A825" t="s">
        <v>134</v>
      </c>
      <c r="B825" s="2">
        <v>45748</v>
      </c>
      <c r="C825" s="10" t="s">
        <v>541</v>
      </c>
    </row>
    <row r="826" spans="1:3" ht="57.6" customHeight="1" x14ac:dyDescent="0.3">
      <c r="A826" t="s">
        <v>134</v>
      </c>
      <c r="B826" s="2">
        <v>45778</v>
      </c>
      <c r="C826" s="10" t="s">
        <v>542</v>
      </c>
    </row>
    <row r="827" spans="1:3" ht="57.6" customHeight="1" x14ac:dyDescent="0.3">
      <c r="A827" t="s">
        <v>134</v>
      </c>
      <c r="B827" s="2">
        <v>45809</v>
      </c>
      <c r="C827" s="10" t="s">
        <v>543</v>
      </c>
    </row>
    <row r="828" spans="1:3" ht="57.6" customHeight="1" x14ac:dyDescent="0.3">
      <c r="A828" t="s">
        <v>134</v>
      </c>
      <c r="B828" s="2">
        <v>45839</v>
      </c>
      <c r="C828" s="10" t="s">
        <v>544</v>
      </c>
    </row>
    <row r="829" spans="1:3" ht="57.6" customHeight="1" x14ac:dyDescent="0.3">
      <c r="A829" t="s">
        <v>134</v>
      </c>
      <c r="B829" s="2">
        <v>45870</v>
      </c>
      <c r="C829" s="10" t="s">
        <v>545</v>
      </c>
    </row>
    <row r="830" spans="1:3" ht="57.6" customHeight="1" x14ac:dyDescent="0.3">
      <c r="A830" t="s">
        <v>134</v>
      </c>
      <c r="B830" s="2">
        <v>45901</v>
      </c>
      <c r="C830" s="10" t="s">
        <v>546</v>
      </c>
    </row>
    <row r="831" spans="1:3" ht="57.6" customHeight="1" x14ac:dyDescent="0.3">
      <c r="A831" t="s">
        <v>134</v>
      </c>
      <c r="B831" s="2">
        <v>45931</v>
      </c>
      <c r="C831" s="10" t="s">
        <v>547</v>
      </c>
    </row>
    <row r="832" spans="1:3" ht="57.6" customHeight="1" x14ac:dyDescent="0.3">
      <c r="A832" t="s">
        <v>134</v>
      </c>
      <c r="B832" s="2">
        <v>45962</v>
      </c>
      <c r="C832" s="10" t="s">
        <v>548</v>
      </c>
    </row>
    <row r="833" spans="1:8" x14ac:dyDescent="0.3">
      <c r="A833" t="s">
        <v>134</v>
      </c>
      <c r="B833" s="2">
        <v>45992</v>
      </c>
      <c r="C833" s="10" t="s">
        <v>455</v>
      </c>
    </row>
    <row r="834" spans="1:8" x14ac:dyDescent="0.3">
      <c r="A834" t="s">
        <v>134</v>
      </c>
      <c r="B834" s="2">
        <v>46023</v>
      </c>
      <c r="C834" s="10" t="s">
        <v>338</v>
      </c>
    </row>
    <row r="835" spans="1:8" x14ac:dyDescent="0.3">
      <c r="A835" t="s">
        <v>134</v>
      </c>
      <c r="B835" s="2">
        <v>46054</v>
      </c>
      <c r="C835" s="10" t="s">
        <v>326</v>
      </c>
    </row>
    <row r="836" spans="1:8" x14ac:dyDescent="0.3">
      <c r="A836" t="s">
        <v>134</v>
      </c>
      <c r="B836" s="2">
        <v>46082</v>
      </c>
      <c r="C836" s="10" t="s">
        <v>326</v>
      </c>
    </row>
    <row r="837" spans="1:8" x14ac:dyDescent="0.3">
      <c r="A837" t="s">
        <v>134</v>
      </c>
      <c r="B837" s="2">
        <v>46113</v>
      </c>
      <c r="C837" s="10" t="s">
        <v>532</v>
      </c>
    </row>
    <row r="838" spans="1:8" x14ac:dyDescent="0.3">
      <c r="A838" t="s">
        <v>134</v>
      </c>
      <c r="B838" s="2">
        <v>46143</v>
      </c>
      <c r="C838" s="10" t="s">
        <v>302</v>
      </c>
    </row>
    <row r="839" spans="1:8" x14ac:dyDescent="0.3">
      <c r="A839" t="s">
        <v>127</v>
      </c>
      <c r="B839" s="2">
        <v>46174</v>
      </c>
      <c r="C839" t="s">
        <v>919</v>
      </c>
      <c r="D839">
        <v>0</v>
      </c>
      <c r="E839" t="s">
        <v>33</v>
      </c>
      <c r="F839" t="s">
        <v>33</v>
      </c>
      <c r="G839" s="10" t="s">
        <v>996</v>
      </c>
      <c r="H839" t="s">
        <v>36</v>
      </c>
    </row>
    <row r="840" spans="1:8" x14ac:dyDescent="0.3">
      <c r="A840" t="s">
        <v>127</v>
      </c>
      <c r="B840" s="2">
        <v>46204</v>
      </c>
      <c r="C840" s="10">
        <v>31</v>
      </c>
      <c r="D840">
        <v>0</v>
      </c>
      <c r="E840" t="s">
        <v>33</v>
      </c>
      <c r="F840" t="s">
        <v>1036</v>
      </c>
      <c r="G840" t="s">
        <v>1035</v>
      </c>
      <c r="H840" t="s">
        <v>36</v>
      </c>
    </row>
    <row r="841" spans="1:8" x14ac:dyDescent="0.3">
      <c r="A841" t="s">
        <v>134</v>
      </c>
      <c r="B841" s="2">
        <v>46235</v>
      </c>
      <c r="C841" s="10"/>
    </row>
    <row r="842" spans="1:8" x14ac:dyDescent="0.3">
      <c r="A842" t="s">
        <v>138</v>
      </c>
      <c r="B842" s="2">
        <v>45536</v>
      </c>
      <c r="C842" s="10"/>
    </row>
    <row r="843" spans="1:8" x14ac:dyDescent="0.3">
      <c r="A843" t="s">
        <v>138</v>
      </c>
      <c r="B843" s="2">
        <v>45566</v>
      </c>
      <c r="C843" s="10"/>
    </row>
    <row r="844" spans="1:8" x14ac:dyDescent="0.3">
      <c r="A844" t="s">
        <v>138</v>
      </c>
      <c r="B844" s="2">
        <v>45597</v>
      </c>
      <c r="C844" s="10"/>
    </row>
    <row r="845" spans="1:8" x14ac:dyDescent="0.3">
      <c r="A845" t="s">
        <v>138</v>
      </c>
      <c r="B845" s="2">
        <v>45627</v>
      </c>
      <c r="C845" s="10"/>
    </row>
    <row r="846" spans="1:8" x14ac:dyDescent="0.3">
      <c r="A846" t="s">
        <v>138</v>
      </c>
      <c r="B846" s="2">
        <v>45658</v>
      </c>
      <c r="C846" s="10"/>
    </row>
    <row r="847" spans="1:8" ht="43.2" customHeight="1" x14ac:dyDescent="0.3">
      <c r="A847" t="s">
        <v>138</v>
      </c>
      <c r="B847" s="2">
        <v>45689</v>
      </c>
      <c r="C847" s="10" t="s">
        <v>549</v>
      </c>
    </row>
    <row r="848" spans="1:8" x14ac:dyDescent="0.3">
      <c r="A848" t="s">
        <v>138</v>
      </c>
      <c r="B848" s="2">
        <v>45717</v>
      </c>
      <c r="C848" s="10"/>
    </row>
    <row r="849" spans="1:8" x14ac:dyDescent="0.3">
      <c r="A849" t="s">
        <v>138</v>
      </c>
      <c r="B849" s="2">
        <v>45748</v>
      </c>
      <c r="C849" s="10"/>
    </row>
    <row r="850" spans="1:8" x14ac:dyDescent="0.3">
      <c r="A850" t="s">
        <v>138</v>
      </c>
      <c r="B850" s="2">
        <v>45778</v>
      </c>
      <c r="C850" s="10" t="s">
        <v>550</v>
      </c>
    </row>
    <row r="851" spans="1:8" x14ac:dyDescent="0.3">
      <c r="A851" t="s">
        <v>138</v>
      </c>
      <c r="B851" s="2">
        <v>45809</v>
      </c>
      <c r="C851" s="10" t="s">
        <v>550</v>
      </c>
    </row>
    <row r="852" spans="1:8" x14ac:dyDescent="0.3">
      <c r="A852" t="s">
        <v>138</v>
      </c>
      <c r="B852" s="2">
        <v>45839</v>
      </c>
      <c r="C852" s="10" t="s">
        <v>550</v>
      </c>
    </row>
    <row r="853" spans="1:8" x14ac:dyDescent="0.3">
      <c r="A853" t="s">
        <v>138</v>
      </c>
      <c r="B853" s="2">
        <v>45870</v>
      </c>
      <c r="C853" s="10" t="s">
        <v>550</v>
      </c>
    </row>
    <row r="854" spans="1:8" x14ac:dyDescent="0.3">
      <c r="A854" t="s">
        <v>138</v>
      </c>
      <c r="B854" s="2">
        <v>45901</v>
      </c>
      <c r="C854" s="10" t="s">
        <v>550</v>
      </c>
    </row>
    <row r="855" spans="1:8" x14ac:dyDescent="0.3">
      <c r="A855" t="s">
        <v>138</v>
      </c>
      <c r="B855" s="2">
        <v>45931</v>
      </c>
      <c r="C855" s="10" t="s">
        <v>550</v>
      </c>
    </row>
    <row r="856" spans="1:8" x14ac:dyDescent="0.3">
      <c r="A856" t="s">
        <v>138</v>
      </c>
      <c r="B856" s="2">
        <v>45962</v>
      </c>
      <c r="C856" s="10" t="s">
        <v>550</v>
      </c>
    </row>
    <row r="857" spans="1:8" x14ac:dyDescent="0.3">
      <c r="A857" t="s">
        <v>138</v>
      </c>
      <c r="B857" s="2">
        <v>45992</v>
      </c>
      <c r="C857" s="10" t="s">
        <v>550</v>
      </c>
    </row>
    <row r="858" spans="1:8" x14ac:dyDescent="0.3">
      <c r="A858" t="s">
        <v>138</v>
      </c>
      <c r="B858" s="2">
        <v>46023</v>
      </c>
      <c r="C858" s="10" t="s">
        <v>550</v>
      </c>
    </row>
    <row r="859" spans="1:8" x14ac:dyDescent="0.3">
      <c r="A859" t="s">
        <v>138</v>
      </c>
      <c r="B859" s="2">
        <v>46054</v>
      </c>
      <c r="C859" s="10" t="s">
        <v>326</v>
      </c>
    </row>
    <row r="860" spans="1:8" ht="28.8" x14ac:dyDescent="0.3">
      <c r="A860" t="s">
        <v>138</v>
      </c>
      <c r="B860" s="2">
        <v>46082</v>
      </c>
      <c r="C860" s="10" t="s">
        <v>551</v>
      </c>
    </row>
    <row r="861" spans="1:8" x14ac:dyDescent="0.3">
      <c r="A861" t="s">
        <v>138</v>
      </c>
      <c r="B861" s="2">
        <v>46113</v>
      </c>
      <c r="C861" s="10" t="s">
        <v>552</v>
      </c>
    </row>
    <row r="862" spans="1:8" x14ac:dyDescent="0.3">
      <c r="A862" t="s">
        <v>138</v>
      </c>
      <c r="B862" s="2">
        <v>46143</v>
      </c>
      <c r="C862" s="10" t="s">
        <v>858</v>
      </c>
    </row>
    <row r="863" spans="1:8" x14ac:dyDescent="0.3">
      <c r="A863" t="s">
        <v>234</v>
      </c>
      <c r="B863" s="2">
        <v>46174</v>
      </c>
      <c r="C863" s="10">
        <v>31</v>
      </c>
      <c r="D863">
        <v>0</v>
      </c>
      <c r="E863" t="s">
        <v>33</v>
      </c>
      <c r="F863" t="s">
        <v>33</v>
      </c>
      <c r="G863" t="s">
        <v>1014</v>
      </c>
      <c r="H863" t="s">
        <v>36</v>
      </c>
    </row>
    <row r="864" spans="1:8" x14ac:dyDescent="0.3">
      <c r="A864" t="s">
        <v>234</v>
      </c>
      <c r="B864" s="2">
        <v>46204</v>
      </c>
      <c r="C864" s="10">
        <v>31</v>
      </c>
      <c r="D864">
        <v>0</v>
      </c>
      <c r="E864" t="s">
        <v>33</v>
      </c>
      <c r="F864" t="s">
        <v>33</v>
      </c>
      <c r="G864" t="s">
        <v>1014</v>
      </c>
      <c r="H864" t="s">
        <v>36</v>
      </c>
    </row>
    <row r="865" spans="1:8" x14ac:dyDescent="0.3">
      <c r="A865" t="s">
        <v>138</v>
      </c>
      <c r="B865" s="2">
        <v>46235</v>
      </c>
      <c r="C865" s="10"/>
    </row>
    <row r="866" spans="1:8" x14ac:dyDescent="0.3">
      <c r="A866" t="s">
        <v>220</v>
      </c>
      <c r="B866" s="2">
        <v>45536</v>
      </c>
      <c r="C866" s="10"/>
    </row>
    <row r="867" spans="1:8" x14ac:dyDescent="0.3">
      <c r="A867" t="s">
        <v>220</v>
      </c>
      <c r="B867" s="2">
        <v>45566</v>
      </c>
      <c r="C867" s="10"/>
    </row>
    <row r="868" spans="1:8" x14ac:dyDescent="0.3">
      <c r="A868" t="s">
        <v>220</v>
      </c>
      <c r="B868" s="2">
        <v>45597</v>
      </c>
      <c r="C868" s="10"/>
    </row>
    <row r="869" spans="1:8" x14ac:dyDescent="0.3">
      <c r="A869" t="s">
        <v>220</v>
      </c>
      <c r="B869" s="2">
        <v>45627</v>
      </c>
      <c r="C869" s="10"/>
    </row>
    <row r="870" spans="1:8" x14ac:dyDescent="0.3">
      <c r="A870" t="s">
        <v>220</v>
      </c>
      <c r="B870" s="2">
        <v>45658</v>
      </c>
      <c r="C870" s="10"/>
    </row>
    <row r="871" spans="1:8" x14ac:dyDescent="0.3">
      <c r="A871" t="s">
        <v>220</v>
      </c>
      <c r="B871" s="2">
        <v>45689</v>
      </c>
      <c r="C871" s="10"/>
    </row>
    <row r="872" spans="1:8" x14ac:dyDescent="0.3">
      <c r="A872" t="s">
        <v>220</v>
      </c>
      <c r="B872" s="2">
        <v>45717</v>
      </c>
      <c r="C872" s="10"/>
    </row>
    <row r="873" spans="1:8" x14ac:dyDescent="0.3">
      <c r="A873" t="s">
        <v>220</v>
      </c>
      <c r="B873" s="2">
        <v>45748</v>
      </c>
      <c r="C873" s="10"/>
    </row>
    <row r="874" spans="1:8" x14ac:dyDescent="0.3">
      <c r="A874" t="s">
        <v>220</v>
      </c>
      <c r="B874" s="2">
        <v>45778</v>
      </c>
      <c r="C874" s="10"/>
    </row>
    <row r="875" spans="1:8" x14ac:dyDescent="0.3">
      <c r="A875" t="s">
        <v>220</v>
      </c>
      <c r="B875" s="2">
        <v>45809</v>
      </c>
      <c r="C875" s="10"/>
    </row>
    <row r="876" spans="1:8" x14ac:dyDescent="0.3">
      <c r="A876" t="s">
        <v>220</v>
      </c>
      <c r="B876" s="2">
        <v>45839</v>
      </c>
      <c r="C876" s="10" t="s">
        <v>36</v>
      </c>
      <c r="D876" t="s">
        <v>36</v>
      </c>
      <c r="E876" t="s">
        <v>36</v>
      </c>
      <c r="F876" t="s">
        <v>36</v>
      </c>
      <c r="G876" t="s">
        <v>36</v>
      </c>
      <c r="H876" t="s">
        <v>920</v>
      </c>
    </row>
    <row r="877" spans="1:8" x14ac:dyDescent="0.3">
      <c r="A877" t="s">
        <v>220</v>
      </c>
      <c r="B877" s="2">
        <v>45870</v>
      </c>
      <c r="C877" s="10" t="s">
        <v>36</v>
      </c>
      <c r="D877" t="s">
        <v>36</v>
      </c>
      <c r="E877" t="s">
        <v>36</v>
      </c>
      <c r="F877" t="s">
        <v>36</v>
      </c>
      <c r="G877" t="s">
        <v>36</v>
      </c>
      <c r="H877" t="s">
        <v>920</v>
      </c>
    </row>
    <row r="878" spans="1:8" x14ac:dyDescent="0.3">
      <c r="A878" t="s">
        <v>220</v>
      </c>
      <c r="B878" s="2">
        <v>45901</v>
      </c>
      <c r="C878" s="10" t="s">
        <v>921</v>
      </c>
      <c r="D878" t="s">
        <v>922</v>
      </c>
      <c r="E878" t="s">
        <v>923</v>
      </c>
      <c r="F878" t="s">
        <v>33</v>
      </c>
      <c r="G878" t="s">
        <v>912</v>
      </c>
      <c r="H878" t="s">
        <v>36</v>
      </c>
    </row>
    <row r="879" spans="1:8" ht="28.95" customHeight="1" x14ac:dyDescent="0.3">
      <c r="A879" t="s">
        <v>220</v>
      </c>
      <c r="B879" s="2">
        <v>45931</v>
      </c>
      <c r="C879" s="10" t="s">
        <v>911</v>
      </c>
      <c r="D879">
        <v>0</v>
      </c>
      <c r="E879" t="s">
        <v>33</v>
      </c>
      <c r="F879" t="s">
        <v>33</v>
      </c>
      <c r="G879" t="s">
        <v>33</v>
      </c>
      <c r="H879" t="s">
        <v>36</v>
      </c>
    </row>
    <row r="880" spans="1:8" ht="43.2" customHeight="1" x14ac:dyDescent="0.3">
      <c r="A880" t="s">
        <v>220</v>
      </c>
      <c r="B880" s="2">
        <v>45962</v>
      </c>
      <c r="C880" s="10" t="s">
        <v>896</v>
      </c>
      <c r="D880">
        <v>0</v>
      </c>
      <c r="E880" t="s">
        <v>33</v>
      </c>
      <c r="F880" t="s">
        <v>33</v>
      </c>
      <c r="G880" t="s">
        <v>33</v>
      </c>
      <c r="H880" t="s">
        <v>36</v>
      </c>
    </row>
    <row r="881" spans="1:8" x14ac:dyDescent="0.3">
      <c r="A881" t="s">
        <v>220</v>
      </c>
      <c r="B881" s="2">
        <v>45992</v>
      </c>
      <c r="C881" s="10" t="s">
        <v>925</v>
      </c>
      <c r="D881" t="s">
        <v>924</v>
      </c>
      <c r="E881" t="s">
        <v>927</v>
      </c>
      <c r="F881" t="s">
        <v>33</v>
      </c>
      <c r="G881" t="s">
        <v>926</v>
      </c>
      <c r="H881" t="s">
        <v>36</v>
      </c>
    </row>
    <row r="882" spans="1:8" x14ac:dyDescent="0.3">
      <c r="A882" t="s">
        <v>220</v>
      </c>
      <c r="B882" s="2">
        <v>46023</v>
      </c>
      <c r="C882" t="s">
        <v>892</v>
      </c>
      <c r="D882">
        <v>0</v>
      </c>
      <c r="E882" t="s">
        <v>33</v>
      </c>
      <c r="F882" t="s">
        <v>912</v>
      </c>
      <c r="G882" s="10" t="s">
        <v>338</v>
      </c>
      <c r="H882" t="s">
        <v>36</v>
      </c>
    </row>
    <row r="883" spans="1:8" x14ac:dyDescent="0.3">
      <c r="A883" t="s">
        <v>220</v>
      </c>
      <c r="B883" s="2">
        <v>46054</v>
      </c>
      <c r="C883" s="10" t="s">
        <v>903</v>
      </c>
      <c r="D883">
        <v>0</v>
      </c>
      <c r="E883" t="s">
        <v>33</v>
      </c>
      <c r="F883" t="s">
        <v>912</v>
      </c>
      <c r="G883" s="10" t="s">
        <v>314</v>
      </c>
      <c r="H883" t="s">
        <v>36</v>
      </c>
    </row>
    <row r="884" spans="1:8" x14ac:dyDescent="0.3">
      <c r="A884" t="s">
        <v>220</v>
      </c>
      <c r="B884" s="2">
        <v>46082</v>
      </c>
      <c r="C884" s="10" t="s">
        <v>892</v>
      </c>
      <c r="D884">
        <v>0</v>
      </c>
      <c r="E884" t="s">
        <v>33</v>
      </c>
      <c r="F884" t="s">
        <v>912</v>
      </c>
      <c r="G884" s="10" t="s">
        <v>314</v>
      </c>
      <c r="H884" t="s">
        <v>36</v>
      </c>
    </row>
    <row r="885" spans="1:8" x14ac:dyDescent="0.3">
      <c r="A885" t="s">
        <v>220</v>
      </c>
      <c r="B885" s="2">
        <v>46113</v>
      </c>
      <c r="C885" s="10" t="s">
        <v>896</v>
      </c>
      <c r="D885">
        <v>0</v>
      </c>
      <c r="E885" t="s">
        <v>33</v>
      </c>
      <c r="F885" t="s">
        <v>912</v>
      </c>
      <c r="G885" s="10" t="s">
        <v>314</v>
      </c>
      <c r="H885" t="s">
        <v>36</v>
      </c>
    </row>
    <row r="886" spans="1:8" x14ac:dyDescent="0.3">
      <c r="A886" t="s">
        <v>220</v>
      </c>
      <c r="B886" s="2">
        <v>46143</v>
      </c>
      <c r="C886" s="10" t="s">
        <v>911</v>
      </c>
      <c r="D886">
        <v>0</v>
      </c>
      <c r="E886" t="s">
        <v>33</v>
      </c>
      <c r="F886" t="s">
        <v>912</v>
      </c>
      <c r="G886" s="10" t="s">
        <v>302</v>
      </c>
      <c r="H886" t="s">
        <v>36</v>
      </c>
    </row>
    <row r="887" spans="1:8" x14ac:dyDescent="0.3">
      <c r="A887" t="s">
        <v>131</v>
      </c>
      <c r="B887" s="2">
        <v>46174</v>
      </c>
      <c r="C887" t="s">
        <v>919</v>
      </c>
      <c r="D887">
        <v>0</v>
      </c>
      <c r="E887" t="s">
        <v>33</v>
      </c>
      <c r="F887" t="s">
        <v>33</v>
      </c>
      <c r="G887" s="10" t="s">
        <v>338</v>
      </c>
      <c r="H887" t="s">
        <v>36</v>
      </c>
    </row>
    <row r="888" spans="1:8" x14ac:dyDescent="0.3">
      <c r="A888" t="s">
        <v>131</v>
      </c>
      <c r="B888" s="2">
        <v>46204</v>
      </c>
      <c r="C888" s="10">
        <v>31</v>
      </c>
      <c r="D888">
        <v>0</v>
      </c>
      <c r="E888" t="s">
        <v>33</v>
      </c>
      <c r="F888" t="s">
        <v>33</v>
      </c>
      <c r="G888" t="s">
        <v>1014</v>
      </c>
      <c r="H888" t="s">
        <v>36</v>
      </c>
    </row>
    <row r="889" spans="1:8" x14ac:dyDescent="0.3">
      <c r="A889" t="s">
        <v>220</v>
      </c>
      <c r="B889" s="2">
        <v>46235</v>
      </c>
      <c r="C889" s="10"/>
    </row>
    <row r="890" spans="1:8" x14ac:dyDescent="0.3">
      <c r="A890" t="s">
        <v>222</v>
      </c>
      <c r="B890" s="2">
        <v>45536</v>
      </c>
      <c r="C890" s="10"/>
    </row>
    <row r="891" spans="1:8" x14ac:dyDescent="0.3">
      <c r="A891" t="s">
        <v>222</v>
      </c>
      <c r="B891" s="2">
        <v>45566</v>
      </c>
      <c r="C891" s="10"/>
    </row>
    <row r="892" spans="1:8" x14ac:dyDescent="0.3">
      <c r="A892" t="s">
        <v>222</v>
      </c>
      <c r="B892" s="2">
        <v>45597</v>
      </c>
      <c r="C892" s="10"/>
    </row>
    <row r="893" spans="1:8" x14ac:dyDescent="0.3">
      <c r="A893" t="s">
        <v>222</v>
      </c>
      <c r="B893" s="2">
        <v>45627</v>
      </c>
      <c r="C893" s="10"/>
    </row>
    <row r="894" spans="1:8" x14ac:dyDescent="0.3">
      <c r="A894" t="s">
        <v>222</v>
      </c>
      <c r="B894" s="2">
        <v>45658</v>
      </c>
      <c r="C894" s="10"/>
    </row>
    <row r="895" spans="1:8" x14ac:dyDescent="0.3">
      <c r="A895" t="s">
        <v>222</v>
      </c>
      <c r="B895" s="2">
        <v>45689</v>
      </c>
      <c r="C895" s="10"/>
    </row>
    <row r="896" spans="1:8" x14ac:dyDescent="0.3">
      <c r="A896" t="s">
        <v>222</v>
      </c>
      <c r="B896" s="2">
        <v>45717</v>
      </c>
      <c r="C896" s="10"/>
    </row>
    <row r="897" spans="1:8" x14ac:dyDescent="0.3">
      <c r="A897" t="s">
        <v>222</v>
      </c>
      <c r="B897" s="2">
        <v>45748</v>
      </c>
      <c r="C897" s="10"/>
    </row>
    <row r="898" spans="1:8" x14ac:dyDescent="0.3">
      <c r="A898" t="s">
        <v>222</v>
      </c>
      <c r="B898" s="2">
        <v>45778</v>
      </c>
      <c r="C898" s="10"/>
    </row>
    <row r="899" spans="1:8" x14ac:dyDescent="0.3">
      <c r="A899" t="s">
        <v>222</v>
      </c>
      <c r="B899" s="2">
        <v>45809</v>
      </c>
      <c r="C899" s="10"/>
    </row>
    <row r="900" spans="1:8" x14ac:dyDescent="0.3">
      <c r="A900" t="s">
        <v>222</v>
      </c>
      <c r="B900" s="2">
        <v>45839</v>
      </c>
      <c r="C900" s="10" t="s">
        <v>36</v>
      </c>
      <c r="D900" t="s">
        <v>36</v>
      </c>
      <c r="E900" t="s">
        <v>36</v>
      </c>
      <c r="F900" t="s">
        <v>36</v>
      </c>
      <c r="H900" t="s">
        <v>920</v>
      </c>
    </row>
    <row r="901" spans="1:8" x14ac:dyDescent="0.3">
      <c r="A901" t="s">
        <v>222</v>
      </c>
      <c r="B901" s="2">
        <v>45870</v>
      </c>
      <c r="C901" s="10" t="s">
        <v>36</v>
      </c>
      <c r="D901" t="s">
        <v>36</v>
      </c>
      <c r="E901" t="s">
        <v>36</v>
      </c>
      <c r="F901" t="s">
        <v>36</v>
      </c>
      <c r="H901" t="s">
        <v>920</v>
      </c>
    </row>
    <row r="902" spans="1:8" x14ac:dyDescent="0.3">
      <c r="A902" t="s">
        <v>222</v>
      </c>
      <c r="B902" s="2">
        <v>45901</v>
      </c>
      <c r="C902" s="10" t="s">
        <v>921</v>
      </c>
      <c r="D902" t="s">
        <v>922</v>
      </c>
      <c r="E902" t="s">
        <v>923</v>
      </c>
      <c r="F902" t="s">
        <v>33</v>
      </c>
      <c r="H902" t="s">
        <v>36</v>
      </c>
    </row>
    <row r="903" spans="1:8" x14ac:dyDescent="0.3">
      <c r="A903" t="s">
        <v>222</v>
      </c>
      <c r="B903" s="2">
        <v>45931</v>
      </c>
      <c r="C903" s="10" t="s">
        <v>911</v>
      </c>
      <c r="D903">
        <v>0</v>
      </c>
      <c r="E903" t="s">
        <v>33</v>
      </c>
      <c r="F903" t="s">
        <v>33</v>
      </c>
      <c r="G903" s="10" t="s">
        <v>928</v>
      </c>
      <c r="H903" t="s">
        <v>36</v>
      </c>
    </row>
    <row r="904" spans="1:8" x14ac:dyDescent="0.3">
      <c r="A904" t="s">
        <v>222</v>
      </c>
      <c r="B904" s="2">
        <v>45962</v>
      </c>
      <c r="C904" s="10" t="s">
        <v>896</v>
      </c>
      <c r="D904">
        <v>0</v>
      </c>
      <c r="E904" t="s">
        <v>33</v>
      </c>
      <c r="F904" t="s">
        <v>33</v>
      </c>
      <c r="G904" s="10" t="s">
        <v>928</v>
      </c>
      <c r="H904" t="s">
        <v>36</v>
      </c>
    </row>
    <row r="905" spans="1:8" x14ac:dyDescent="0.3">
      <c r="A905" t="s">
        <v>222</v>
      </c>
      <c r="B905" s="2">
        <v>45992</v>
      </c>
      <c r="C905" s="10" t="s">
        <v>925</v>
      </c>
      <c r="D905" t="s">
        <v>924</v>
      </c>
      <c r="E905" t="s">
        <v>927</v>
      </c>
      <c r="F905" t="s">
        <v>33</v>
      </c>
      <c r="G905" s="10" t="s">
        <v>926</v>
      </c>
      <c r="H905" t="s">
        <v>36</v>
      </c>
    </row>
    <row r="906" spans="1:8" x14ac:dyDescent="0.3">
      <c r="A906" t="s">
        <v>222</v>
      </c>
      <c r="B906" s="2">
        <v>46023</v>
      </c>
      <c r="C906" t="s">
        <v>892</v>
      </c>
      <c r="D906">
        <v>0</v>
      </c>
      <c r="E906" t="s">
        <v>33</v>
      </c>
      <c r="F906" t="s">
        <v>912</v>
      </c>
      <c r="G906" s="10" t="s">
        <v>338</v>
      </c>
      <c r="H906" t="s">
        <v>36</v>
      </c>
    </row>
    <row r="907" spans="1:8" x14ac:dyDescent="0.3">
      <c r="A907" t="s">
        <v>222</v>
      </c>
      <c r="B907" s="2">
        <v>46054</v>
      </c>
      <c r="C907" s="10" t="s">
        <v>903</v>
      </c>
      <c r="D907">
        <v>0</v>
      </c>
      <c r="E907" t="s">
        <v>33</v>
      </c>
      <c r="F907" t="s">
        <v>912</v>
      </c>
      <c r="G907" s="10" t="s">
        <v>314</v>
      </c>
      <c r="H907" t="s">
        <v>36</v>
      </c>
    </row>
    <row r="908" spans="1:8" x14ac:dyDescent="0.3">
      <c r="A908" t="s">
        <v>222</v>
      </c>
      <c r="B908" s="2">
        <v>46082</v>
      </c>
      <c r="C908" s="10" t="s">
        <v>892</v>
      </c>
      <c r="D908">
        <v>0</v>
      </c>
      <c r="E908" t="s">
        <v>33</v>
      </c>
      <c r="F908" t="s">
        <v>912</v>
      </c>
      <c r="G908" s="10" t="s">
        <v>929</v>
      </c>
      <c r="H908" t="s">
        <v>36</v>
      </c>
    </row>
    <row r="909" spans="1:8" x14ac:dyDescent="0.3">
      <c r="A909" t="s">
        <v>222</v>
      </c>
      <c r="B909" s="2">
        <v>46113</v>
      </c>
      <c r="C909" s="10" t="s">
        <v>896</v>
      </c>
      <c r="D909">
        <v>0</v>
      </c>
      <c r="E909" t="s">
        <v>33</v>
      </c>
      <c r="F909" t="s">
        <v>912</v>
      </c>
      <c r="G909" s="10" t="s">
        <v>314</v>
      </c>
      <c r="H909" t="s">
        <v>36</v>
      </c>
    </row>
    <row r="910" spans="1:8" x14ac:dyDescent="0.3">
      <c r="A910" t="s">
        <v>222</v>
      </c>
      <c r="B910" s="2">
        <v>46143</v>
      </c>
      <c r="C910" s="10" t="s">
        <v>911</v>
      </c>
      <c r="D910">
        <v>0</v>
      </c>
      <c r="E910" t="s">
        <v>33</v>
      </c>
      <c r="F910" t="s">
        <v>912</v>
      </c>
      <c r="G910" s="10" t="s">
        <v>302</v>
      </c>
      <c r="H910" t="s">
        <v>36</v>
      </c>
    </row>
    <row r="911" spans="1:8" x14ac:dyDescent="0.3">
      <c r="A911" t="s">
        <v>134</v>
      </c>
      <c r="B911" s="2">
        <v>46174</v>
      </c>
      <c r="C911" s="10"/>
    </row>
    <row r="912" spans="1:8" x14ac:dyDescent="0.3">
      <c r="A912" t="s">
        <v>134</v>
      </c>
      <c r="B912" s="2">
        <v>46204</v>
      </c>
      <c r="C912" s="10">
        <v>31</v>
      </c>
      <c r="D912">
        <v>0</v>
      </c>
      <c r="E912" t="s">
        <v>33</v>
      </c>
      <c r="F912" t="s">
        <v>33</v>
      </c>
      <c r="G912" t="s">
        <v>1014</v>
      </c>
      <c r="H912" t="s">
        <v>36</v>
      </c>
    </row>
    <row r="913" spans="1:8" x14ac:dyDescent="0.3">
      <c r="A913" t="s">
        <v>222</v>
      </c>
      <c r="B913" s="2">
        <v>46235</v>
      </c>
      <c r="C913" s="10"/>
    </row>
    <row r="914" spans="1:8" x14ac:dyDescent="0.3">
      <c r="A914" t="s">
        <v>142</v>
      </c>
      <c r="B914" s="2">
        <v>45536</v>
      </c>
      <c r="C914" s="10"/>
    </row>
    <row r="915" spans="1:8" x14ac:dyDescent="0.3">
      <c r="A915" t="s">
        <v>142</v>
      </c>
      <c r="B915" s="2">
        <v>45566</v>
      </c>
      <c r="C915" s="10"/>
    </row>
    <row r="916" spans="1:8" x14ac:dyDescent="0.3">
      <c r="A916" t="s">
        <v>142</v>
      </c>
      <c r="B916" s="2">
        <v>45597</v>
      </c>
      <c r="C916" s="10"/>
    </row>
    <row r="917" spans="1:8" x14ac:dyDescent="0.3">
      <c r="A917" t="s">
        <v>142</v>
      </c>
      <c r="B917" s="2">
        <v>45627</v>
      </c>
      <c r="C917" s="10"/>
    </row>
    <row r="918" spans="1:8" x14ac:dyDescent="0.3">
      <c r="A918" t="s">
        <v>142</v>
      </c>
      <c r="B918" s="2">
        <v>45658</v>
      </c>
      <c r="C918" s="10"/>
    </row>
    <row r="919" spans="1:8" ht="43.2" customHeight="1" x14ac:dyDescent="0.3">
      <c r="A919" t="s">
        <v>142</v>
      </c>
      <c r="B919" s="2">
        <v>45689</v>
      </c>
      <c r="C919" s="10" t="s">
        <v>553</v>
      </c>
    </row>
    <row r="920" spans="1:8" ht="28.95" customHeight="1" x14ac:dyDescent="0.3">
      <c r="A920" t="s">
        <v>142</v>
      </c>
      <c r="B920" s="2">
        <v>45717</v>
      </c>
      <c r="C920" s="10" t="s">
        <v>554</v>
      </c>
    </row>
    <row r="921" spans="1:8" ht="57.6" customHeight="1" x14ac:dyDescent="0.3">
      <c r="A921" t="s">
        <v>142</v>
      </c>
      <c r="B921" s="2">
        <v>45748</v>
      </c>
      <c r="C921" s="10" t="s">
        <v>555</v>
      </c>
    </row>
    <row r="922" spans="1:8" ht="57.6" customHeight="1" x14ac:dyDescent="0.3">
      <c r="A922" t="s">
        <v>142</v>
      </c>
      <c r="B922" s="2">
        <v>45778</v>
      </c>
      <c r="C922" s="10" t="s">
        <v>556</v>
      </c>
    </row>
    <row r="923" spans="1:8" ht="57.6" customHeight="1" x14ac:dyDescent="0.3">
      <c r="A923" t="s">
        <v>142</v>
      </c>
      <c r="B923" s="2">
        <v>45809</v>
      </c>
      <c r="C923" s="10" t="s">
        <v>557</v>
      </c>
    </row>
    <row r="924" spans="1:8" x14ac:dyDescent="0.3">
      <c r="A924" t="s">
        <v>142</v>
      </c>
      <c r="B924" s="2">
        <v>45839</v>
      </c>
      <c r="C924" t="s">
        <v>911</v>
      </c>
      <c r="D924">
        <v>0</v>
      </c>
      <c r="E924" t="s">
        <v>33</v>
      </c>
      <c r="F924" t="s">
        <v>33</v>
      </c>
      <c r="G924" s="10" t="s">
        <v>338</v>
      </c>
      <c r="H924" t="s">
        <v>36</v>
      </c>
    </row>
    <row r="925" spans="1:8" ht="57.6" customHeight="1" x14ac:dyDescent="0.3">
      <c r="A925" t="s">
        <v>142</v>
      </c>
      <c r="B925" s="2">
        <v>45870</v>
      </c>
      <c r="C925" t="s">
        <v>911</v>
      </c>
      <c r="D925">
        <v>0</v>
      </c>
      <c r="E925" t="s">
        <v>33</v>
      </c>
      <c r="F925" t="s">
        <v>33</v>
      </c>
      <c r="G925" s="10" t="s">
        <v>338</v>
      </c>
      <c r="H925" t="s">
        <v>36</v>
      </c>
    </row>
    <row r="926" spans="1:8" ht="57.6" customHeight="1" x14ac:dyDescent="0.3">
      <c r="A926" t="s">
        <v>142</v>
      </c>
      <c r="B926" s="2">
        <v>45901</v>
      </c>
      <c r="C926" t="s">
        <v>919</v>
      </c>
      <c r="D926">
        <v>0</v>
      </c>
      <c r="E926" t="s">
        <v>33</v>
      </c>
      <c r="F926" t="s">
        <v>33</v>
      </c>
      <c r="G926" s="10" t="s">
        <v>338</v>
      </c>
      <c r="H926" t="s">
        <v>36</v>
      </c>
    </row>
    <row r="927" spans="1:8" ht="57.6" customHeight="1" x14ac:dyDescent="0.3">
      <c r="A927" t="s">
        <v>142</v>
      </c>
      <c r="B927" s="2">
        <v>45931</v>
      </c>
      <c r="C927" t="s">
        <v>911</v>
      </c>
      <c r="D927">
        <v>0</v>
      </c>
      <c r="E927" t="s">
        <v>33</v>
      </c>
      <c r="F927" t="s">
        <v>33</v>
      </c>
      <c r="G927" s="10" t="s">
        <v>338</v>
      </c>
      <c r="H927" t="s">
        <v>36</v>
      </c>
    </row>
    <row r="928" spans="1:8" ht="57.6" customHeight="1" x14ac:dyDescent="0.3">
      <c r="A928" t="s">
        <v>142</v>
      </c>
      <c r="B928" s="2">
        <v>45962</v>
      </c>
      <c r="C928" t="s">
        <v>919</v>
      </c>
      <c r="D928">
        <v>0</v>
      </c>
      <c r="E928" t="s">
        <v>33</v>
      </c>
      <c r="F928" t="s">
        <v>33</v>
      </c>
      <c r="G928" s="21" t="s">
        <v>932</v>
      </c>
      <c r="H928" t="s">
        <v>36</v>
      </c>
    </row>
    <row r="929" spans="1:8" x14ac:dyDescent="0.3">
      <c r="A929" t="s">
        <v>142</v>
      </c>
      <c r="B929" s="2">
        <v>45992</v>
      </c>
      <c r="C929" t="s">
        <v>911</v>
      </c>
      <c r="D929">
        <v>0</v>
      </c>
      <c r="E929" t="s">
        <v>33</v>
      </c>
      <c r="F929" t="s">
        <v>33</v>
      </c>
      <c r="G929" s="21" t="s">
        <v>932</v>
      </c>
      <c r="H929" t="s">
        <v>36</v>
      </c>
    </row>
    <row r="930" spans="1:8" x14ac:dyDescent="0.3">
      <c r="A930" t="s">
        <v>142</v>
      </c>
      <c r="B930" s="2">
        <v>46023</v>
      </c>
      <c r="C930" t="s">
        <v>911</v>
      </c>
      <c r="D930">
        <v>0</v>
      </c>
      <c r="E930" t="s">
        <v>33</v>
      </c>
      <c r="F930" t="s">
        <v>33</v>
      </c>
      <c r="G930" s="10" t="s">
        <v>558</v>
      </c>
      <c r="H930" t="s">
        <v>36</v>
      </c>
    </row>
    <row r="931" spans="1:8" x14ac:dyDescent="0.3">
      <c r="A931" t="s">
        <v>142</v>
      </c>
      <c r="B931" s="2">
        <v>46054</v>
      </c>
      <c r="C931" t="s">
        <v>895</v>
      </c>
      <c r="D931">
        <v>0</v>
      </c>
      <c r="E931" t="s">
        <v>33</v>
      </c>
      <c r="F931" t="s">
        <v>33</v>
      </c>
      <c r="G931" s="10" t="s">
        <v>338</v>
      </c>
      <c r="H931" t="s">
        <v>36</v>
      </c>
    </row>
    <row r="932" spans="1:8" x14ac:dyDescent="0.3">
      <c r="A932" t="s">
        <v>142</v>
      </c>
      <c r="B932" s="2">
        <v>46082</v>
      </c>
      <c r="C932" t="s">
        <v>911</v>
      </c>
      <c r="D932">
        <v>0</v>
      </c>
      <c r="E932" t="s">
        <v>33</v>
      </c>
      <c r="F932" t="s">
        <v>33</v>
      </c>
      <c r="G932" s="10" t="s">
        <v>338</v>
      </c>
      <c r="H932" t="s">
        <v>36</v>
      </c>
    </row>
    <row r="933" spans="1:8" x14ac:dyDescent="0.3">
      <c r="A933" t="s">
        <v>142</v>
      </c>
      <c r="B933" s="2">
        <v>46113</v>
      </c>
      <c r="C933" t="s">
        <v>919</v>
      </c>
      <c r="D933">
        <v>0</v>
      </c>
      <c r="E933" t="s">
        <v>33</v>
      </c>
      <c r="F933" t="s">
        <v>33</v>
      </c>
      <c r="G933" s="10" t="s">
        <v>338</v>
      </c>
      <c r="H933" t="s">
        <v>36</v>
      </c>
    </row>
    <row r="934" spans="1:8" x14ac:dyDescent="0.3">
      <c r="A934" t="s">
        <v>142</v>
      </c>
      <c r="B934" s="2">
        <v>46143</v>
      </c>
      <c r="C934" t="s">
        <v>911</v>
      </c>
      <c r="D934">
        <v>0</v>
      </c>
      <c r="E934" t="s">
        <v>33</v>
      </c>
      <c r="F934" t="s">
        <v>33</v>
      </c>
      <c r="G934" s="10" t="s">
        <v>338</v>
      </c>
      <c r="H934" t="s">
        <v>36</v>
      </c>
    </row>
    <row r="935" spans="1:8" x14ac:dyDescent="0.3">
      <c r="A935" t="s">
        <v>138</v>
      </c>
      <c r="B935" s="2">
        <v>46174</v>
      </c>
      <c r="C935" s="10"/>
    </row>
    <row r="936" spans="1:8" x14ac:dyDescent="0.3">
      <c r="A936" t="s">
        <v>138</v>
      </c>
      <c r="B936" s="2">
        <v>46204</v>
      </c>
      <c r="C936" s="10">
        <v>31</v>
      </c>
      <c r="D936">
        <v>0</v>
      </c>
      <c r="E936" t="s">
        <v>33</v>
      </c>
      <c r="F936" t="s">
        <v>1036</v>
      </c>
      <c r="G936" t="s">
        <v>1035</v>
      </c>
      <c r="H936" t="s">
        <v>36</v>
      </c>
    </row>
    <row r="937" spans="1:8" x14ac:dyDescent="0.3">
      <c r="A937" t="s">
        <v>142</v>
      </c>
      <c r="B937" s="2">
        <v>46235</v>
      </c>
      <c r="C937" s="10"/>
    </row>
    <row r="938" spans="1:8" x14ac:dyDescent="0.3">
      <c r="A938" t="s">
        <v>145</v>
      </c>
      <c r="B938" s="2">
        <v>45536</v>
      </c>
      <c r="C938" s="10"/>
    </row>
    <row r="939" spans="1:8" x14ac:dyDescent="0.3">
      <c r="A939" t="s">
        <v>145</v>
      </c>
      <c r="B939" s="2">
        <v>45566</v>
      </c>
      <c r="C939" s="10"/>
    </row>
    <row r="940" spans="1:8" x14ac:dyDescent="0.3">
      <c r="A940" t="s">
        <v>145</v>
      </c>
      <c r="B940" s="2">
        <v>45597</v>
      </c>
      <c r="C940" s="10"/>
    </row>
    <row r="941" spans="1:8" x14ac:dyDescent="0.3">
      <c r="A941" t="s">
        <v>145</v>
      </c>
      <c r="B941" s="2">
        <v>45627</v>
      </c>
      <c r="C941" s="10"/>
    </row>
    <row r="942" spans="1:8" x14ac:dyDescent="0.3">
      <c r="A942" t="s">
        <v>145</v>
      </c>
      <c r="B942" s="2">
        <v>45658</v>
      </c>
      <c r="C942" s="10"/>
    </row>
    <row r="943" spans="1:8" ht="28.95" customHeight="1" x14ac:dyDescent="0.3">
      <c r="A943" t="s">
        <v>145</v>
      </c>
      <c r="B943" s="2">
        <v>45689</v>
      </c>
      <c r="C943" s="10" t="s">
        <v>559</v>
      </c>
    </row>
    <row r="944" spans="1:8" x14ac:dyDescent="0.3">
      <c r="A944" t="s">
        <v>145</v>
      </c>
      <c r="B944" s="2">
        <v>45717</v>
      </c>
      <c r="C944" s="10" t="s">
        <v>455</v>
      </c>
    </row>
    <row r="945" spans="1:8" ht="28.8" x14ac:dyDescent="0.3">
      <c r="A945" t="s">
        <v>145</v>
      </c>
      <c r="B945" s="2">
        <v>45748</v>
      </c>
      <c r="C945" s="10" t="s">
        <v>560</v>
      </c>
    </row>
    <row r="946" spans="1:8" ht="72" customHeight="1" x14ac:dyDescent="0.3">
      <c r="A946" t="s">
        <v>145</v>
      </c>
      <c r="B946" s="2">
        <v>45778</v>
      </c>
      <c r="C946" s="10" t="s">
        <v>561</v>
      </c>
    </row>
    <row r="947" spans="1:8" ht="57.6" customHeight="1" x14ac:dyDescent="0.3">
      <c r="A947" t="s">
        <v>145</v>
      </c>
      <c r="B947" s="2">
        <v>45809</v>
      </c>
      <c r="C947" s="10" t="s">
        <v>562</v>
      </c>
    </row>
    <row r="948" spans="1:8" ht="57.6" customHeight="1" x14ac:dyDescent="0.3">
      <c r="A948" t="s">
        <v>145</v>
      </c>
      <c r="B948" s="2">
        <v>45839</v>
      </c>
      <c r="C948" s="10" t="s">
        <v>563</v>
      </c>
    </row>
    <row r="949" spans="1:8" ht="72" customHeight="1" x14ac:dyDescent="0.3">
      <c r="A949" t="s">
        <v>145</v>
      </c>
      <c r="B949" s="2">
        <v>45870</v>
      </c>
      <c r="C949" s="10" t="s">
        <v>564</v>
      </c>
    </row>
    <row r="950" spans="1:8" ht="57.6" customHeight="1" x14ac:dyDescent="0.3">
      <c r="A950" t="s">
        <v>145</v>
      </c>
      <c r="B950" s="2">
        <v>45901</v>
      </c>
      <c r="C950" s="10" t="s">
        <v>565</v>
      </c>
    </row>
    <row r="951" spans="1:8" ht="57.6" customHeight="1" x14ac:dyDescent="0.3">
      <c r="A951" t="s">
        <v>145</v>
      </c>
      <c r="B951" s="2">
        <v>45931</v>
      </c>
      <c r="C951" s="10" t="s">
        <v>566</v>
      </c>
    </row>
    <row r="952" spans="1:8" ht="57.6" customHeight="1" x14ac:dyDescent="0.3">
      <c r="A952" t="s">
        <v>145</v>
      </c>
      <c r="B952" s="2">
        <v>45962</v>
      </c>
      <c r="C952" s="10" t="s">
        <v>567</v>
      </c>
    </row>
    <row r="953" spans="1:8" ht="28.8" x14ac:dyDescent="0.3">
      <c r="A953" t="s">
        <v>145</v>
      </c>
      <c r="B953" s="2">
        <v>45992</v>
      </c>
      <c r="C953" s="10" t="s">
        <v>568</v>
      </c>
    </row>
    <row r="954" spans="1:8" x14ac:dyDescent="0.3">
      <c r="A954" t="s">
        <v>145</v>
      </c>
      <c r="B954" s="2">
        <v>46023</v>
      </c>
      <c r="C954" s="10" t="s">
        <v>338</v>
      </c>
    </row>
    <row r="955" spans="1:8" x14ac:dyDescent="0.3">
      <c r="A955" t="s">
        <v>145</v>
      </c>
      <c r="B955" s="2">
        <v>46054</v>
      </c>
      <c r="C955" s="10" t="s">
        <v>326</v>
      </c>
    </row>
    <row r="956" spans="1:8" x14ac:dyDescent="0.3">
      <c r="A956" t="s">
        <v>145</v>
      </c>
      <c r="B956" s="2">
        <v>46082</v>
      </c>
      <c r="C956" s="10" t="s">
        <v>326</v>
      </c>
    </row>
    <row r="957" spans="1:8" ht="28.8" x14ac:dyDescent="0.3">
      <c r="A957" t="s">
        <v>145</v>
      </c>
      <c r="B957" s="2">
        <v>46113</v>
      </c>
      <c r="C957" s="10" t="s">
        <v>569</v>
      </c>
    </row>
    <row r="958" spans="1:8" ht="28.8" x14ac:dyDescent="0.3">
      <c r="A958" t="s">
        <v>145</v>
      </c>
      <c r="B958" s="2">
        <v>46143</v>
      </c>
      <c r="C958" s="10" t="s">
        <v>867</v>
      </c>
    </row>
    <row r="959" spans="1:8" x14ac:dyDescent="0.3">
      <c r="A959" t="s">
        <v>220</v>
      </c>
      <c r="B959" s="2">
        <v>46174</v>
      </c>
      <c r="C959" s="10" t="s">
        <v>896</v>
      </c>
      <c r="D959">
        <v>0</v>
      </c>
      <c r="E959" t="s">
        <v>33</v>
      </c>
      <c r="F959" t="s">
        <v>912</v>
      </c>
      <c r="G959" s="10" t="s">
        <v>996</v>
      </c>
      <c r="H959" t="s">
        <v>36</v>
      </c>
    </row>
    <row r="960" spans="1:8" x14ac:dyDescent="0.3">
      <c r="A960" t="s">
        <v>220</v>
      </c>
      <c r="B960" s="2">
        <v>46204</v>
      </c>
      <c r="C960" s="10">
        <v>31</v>
      </c>
      <c r="D960">
        <v>0</v>
      </c>
      <c r="E960" t="s">
        <v>33</v>
      </c>
      <c r="F960" t="s">
        <v>1061</v>
      </c>
      <c r="G960" t="s">
        <v>1063</v>
      </c>
      <c r="H960" t="s">
        <v>1062</v>
      </c>
    </row>
    <row r="961" spans="1:3" x14ac:dyDescent="0.3">
      <c r="A961" t="s">
        <v>145</v>
      </c>
      <c r="B961" s="2">
        <v>46235</v>
      </c>
      <c r="C961" s="10"/>
    </row>
    <row r="962" spans="1:3" x14ac:dyDescent="0.3">
      <c r="A962" t="s">
        <v>152</v>
      </c>
      <c r="B962" s="2">
        <v>45536</v>
      </c>
      <c r="C962" s="10"/>
    </row>
    <row r="963" spans="1:3" x14ac:dyDescent="0.3">
      <c r="A963" t="s">
        <v>152</v>
      </c>
      <c r="B963" s="2">
        <v>45566</v>
      </c>
      <c r="C963" s="10"/>
    </row>
    <row r="964" spans="1:3" x14ac:dyDescent="0.3">
      <c r="A964" t="s">
        <v>152</v>
      </c>
      <c r="B964" s="2">
        <v>45597</v>
      </c>
      <c r="C964" s="10"/>
    </row>
    <row r="965" spans="1:3" x14ac:dyDescent="0.3">
      <c r="A965" t="s">
        <v>152</v>
      </c>
      <c r="B965" s="2">
        <v>45627</v>
      </c>
      <c r="C965" s="10"/>
    </row>
    <row r="966" spans="1:3" x14ac:dyDescent="0.3">
      <c r="A966" t="s">
        <v>152</v>
      </c>
      <c r="B966" s="2">
        <v>45658</v>
      </c>
      <c r="C966" s="10"/>
    </row>
    <row r="967" spans="1:3" ht="28.95" customHeight="1" x14ac:dyDescent="0.3">
      <c r="A967" t="s">
        <v>152</v>
      </c>
      <c r="B967" s="2">
        <v>45689</v>
      </c>
      <c r="C967" s="10" t="s">
        <v>570</v>
      </c>
    </row>
    <row r="968" spans="1:3" ht="28.95" customHeight="1" x14ac:dyDescent="0.3">
      <c r="A968" t="s">
        <v>152</v>
      </c>
      <c r="B968" s="2">
        <v>45717</v>
      </c>
      <c r="C968" s="10" t="s">
        <v>554</v>
      </c>
    </row>
    <row r="969" spans="1:3" ht="28.95" customHeight="1" x14ac:dyDescent="0.3">
      <c r="A969" t="s">
        <v>152</v>
      </c>
      <c r="B969" s="2">
        <v>45748</v>
      </c>
      <c r="C969" s="10" t="s">
        <v>554</v>
      </c>
    </row>
    <row r="970" spans="1:3" ht="72" customHeight="1" x14ac:dyDescent="0.3">
      <c r="A970" t="s">
        <v>152</v>
      </c>
      <c r="B970" s="2">
        <v>45778</v>
      </c>
      <c r="C970" s="10" t="s">
        <v>571</v>
      </c>
    </row>
    <row r="971" spans="1:3" ht="72" customHeight="1" x14ac:dyDescent="0.3">
      <c r="A971" t="s">
        <v>152</v>
      </c>
      <c r="B971" s="2">
        <v>45809</v>
      </c>
      <c r="C971" s="10" t="s">
        <v>572</v>
      </c>
    </row>
    <row r="972" spans="1:3" ht="72" customHeight="1" x14ac:dyDescent="0.3">
      <c r="A972" t="s">
        <v>152</v>
      </c>
      <c r="B972" s="2">
        <v>45839</v>
      </c>
      <c r="C972" s="10" t="s">
        <v>573</v>
      </c>
    </row>
    <row r="973" spans="1:3" ht="72" customHeight="1" x14ac:dyDescent="0.3">
      <c r="A973" t="s">
        <v>152</v>
      </c>
      <c r="B973" s="2">
        <v>45870</v>
      </c>
      <c r="C973" s="10" t="s">
        <v>574</v>
      </c>
    </row>
    <row r="974" spans="1:3" ht="57.6" customHeight="1" x14ac:dyDescent="0.3">
      <c r="A974" t="s">
        <v>152</v>
      </c>
      <c r="B974" s="2">
        <v>45901</v>
      </c>
      <c r="C974" s="10" t="s">
        <v>575</v>
      </c>
    </row>
    <row r="975" spans="1:3" ht="72" customHeight="1" x14ac:dyDescent="0.3">
      <c r="A975" t="s">
        <v>152</v>
      </c>
      <c r="B975" s="2">
        <v>45931</v>
      </c>
      <c r="C975" s="10" t="s">
        <v>576</v>
      </c>
    </row>
    <row r="976" spans="1:3" ht="72" customHeight="1" x14ac:dyDescent="0.3">
      <c r="A976" t="s">
        <v>152</v>
      </c>
      <c r="B976" s="2">
        <v>45962</v>
      </c>
      <c r="C976" s="10" t="s">
        <v>577</v>
      </c>
    </row>
    <row r="977" spans="1:8" ht="28.8" x14ac:dyDescent="0.3">
      <c r="A977" t="s">
        <v>152</v>
      </c>
      <c r="B977" s="2">
        <v>45992</v>
      </c>
      <c r="C977" s="10" t="s">
        <v>578</v>
      </c>
    </row>
    <row r="978" spans="1:8" ht="28.8" x14ac:dyDescent="0.3">
      <c r="A978" t="s">
        <v>152</v>
      </c>
      <c r="B978" s="2">
        <v>46023</v>
      </c>
      <c r="C978" s="10" t="s">
        <v>579</v>
      </c>
    </row>
    <row r="979" spans="1:8" ht="28.95" customHeight="1" x14ac:dyDescent="0.3">
      <c r="A979" t="s">
        <v>152</v>
      </c>
      <c r="B979" s="2">
        <v>46054</v>
      </c>
      <c r="C979" s="10" t="s">
        <v>580</v>
      </c>
    </row>
    <row r="980" spans="1:8" ht="28.8" x14ac:dyDescent="0.3">
      <c r="A980" t="s">
        <v>152</v>
      </c>
      <c r="B980" s="2">
        <v>46082</v>
      </c>
      <c r="C980" s="10" t="s">
        <v>581</v>
      </c>
    </row>
    <row r="981" spans="1:8" ht="28.8" x14ac:dyDescent="0.3">
      <c r="A981" t="s">
        <v>152</v>
      </c>
      <c r="B981" s="2">
        <v>46113</v>
      </c>
      <c r="C981" s="10" t="s">
        <v>581</v>
      </c>
    </row>
    <row r="982" spans="1:8" ht="28.8" x14ac:dyDescent="0.3">
      <c r="A982" t="s">
        <v>152</v>
      </c>
      <c r="B982" s="2">
        <v>46143</v>
      </c>
      <c r="C982" s="10" t="s">
        <v>865</v>
      </c>
    </row>
    <row r="983" spans="1:8" x14ac:dyDescent="0.3">
      <c r="A983" t="s">
        <v>222</v>
      </c>
      <c r="B983" s="2">
        <v>46174</v>
      </c>
      <c r="C983" s="10" t="s">
        <v>896</v>
      </c>
      <c r="D983">
        <v>0</v>
      </c>
      <c r="E983" t="s">
        <v>33</v>
      </c>
      <c r="F983" t="s">
        <v>912</v>
      </c>
      <c r="G983" s="10" t="s">
        <v>996</v>
      </c>
      <c r="H983" t="s">
        <v>36</v>
      </c>
    </row>
    <row r="984" spans="1:8" x14ac:dyDescent="0.3">
      <c r="A984" t="s">
        <v>222</v>
      </c>
      <c r="B984" s="2">
        <v>46204</v>
      </c>
      <c r="C984" s="10">
        <v>31</v>
      </c>
      <c r="D984">
        <v>0</v>
      </c>
      <c r="E984" t="s">
        <v>33</v>
      </c>
      <c r="F984" t="s">
        <v>1061</v>
      </c>
      <c r="G984" t="s">
        <v>1063</v>
      </c>
      <c r="H984" t="s">
        <v>36</v>
      </c>
    </row>
    <row r="985" spans="1:8" x14ac:dyDescent="0.3">
      <c r="A985" t="s">
        <v>152</v>
      </c>
      <c r="B985" s="2">
        <v>46235</v>
      </c>
      <c r="C985" s="10"/>
    </row>
    <row r="986" spans="1:8" x14ac:dyDescent="0.3">
      <c r="A986" t="s">
        <v>149</v>
      </c>
      <c r="B986" s="2">
        <v>45536</v>
      </c>
      <c r="C986" s="10"/>
    </row>
    <row r="987" spans="1:8" x14ac:dyDescent="0.3">
      <c r="A987" t="s">
        <v>149</v>
      </c>
      <c r="B987" s="2">
        <v>45566</v>
      </c>
      <c r="C987" s="10"/>
    </row>
    <row r="988" spans="1:8" x14ac:dyDescent="0.3">
      <c r="A988" t="s">
        <v>149</v>
      </c>
      <c r="B988" s="2">
        <v>45597</v>
      </c>
      <c r="C988" s="10"/>
    </row>
    <row r="989" spans="1:8" x14ac:dyDescent="0.3">
      <c r="A989" t="s">
        <v>149</v>
      </c>
      <c r="B989" s="2">
        <v>45627</v>
      </c>
      <c r="C989" s="10"/>
    </row>
    <row r="990" spans="1:8" x14ac:dyDescent="0.3">
      <c r="A990" t="s">
        <v>149</v>
      </c>
      <c r="B990" s="2">
        <v>45658</v>
      </c>
      <c r="C990" s="10"/>
    </row>
    <row r="991" spans="1:8" ht="43.2" customHeight="1" x14ac:dyDescent="0.3">
      <c r="A991" t="s">
        <v>149</v>
      </c>
      <c r="B991" s="2">
        <v>45689</v>
      </c>
      <c r="C991" s="10" t="s">
        <v>582</v>
      </c>
    </row>
    <row r="992" spans="1:8" ht="72" customHeight="1" x14ac:dyDescent="0.3">
      <c r="A992" t="s">
        <v>149</v>
      </c>
      <c r="B992" s="2">
        <v>45717</v>
      </c>
      <c r="C992" s="10" t="s">
        <v>583</v>
      </c>
    </row>
    <row r="993" spans="1:8" ht="43.2" customHeight="1" x14ac:dyDescent="0.3">
      <c r="A993" t="s">
        <v>149</v>
      </c>
      <c r="B993" s="2">
        <v>45748</v>
      </c>
      <c r="C993" s="10" t="s">
        <v>584</v>
      </c>
    </row>
    <row r="994" spans="1:8" ht="57.6" customHeight="1" x14ac:dyDescent="0.3">
      <c r="A994" t="s">
        <v>149</v>
      </c>
      <c r="B994" s="2">
        <v>45778</v>
      </c>
      <c r="C994" s="10" t="s">
        <v>585</v>
      </c>
    </row>
    <row r="995" spans="1:8" ht="57.6" customHeight="1" x14ac:dyDescent="0.3">
      <c r="A995" t="s">
        <v>149</v>
      </c>
      <c r="B995" s="2">
        <v>45809</v>
      </c>
      <c r="C995" s="10" t="s">
        <v>586</v>
      </c>
    </row>
    <row r="996" spans="1:8" x14ac:dyDescent="0.3">
      <c r="A996" t="s">
        <v>149</v>
      </c>
      <c r="B996" s="2">
        <v>45839</v>
      </c>
      <c r="C996" t="s">
        <v>911</v>
      </c>
      <c r="D996">
        <v>0</v>
      </c>
      <c r="E996" t="s">
        <v>33</v>
      </c>
      <c r="F996" t="s">
        <v>33</v>
      </c>
      <c r="G996" s="21" t="s">
        <v>932</v>
      </c>
      <c r="H996" t="s">
        <v>36</v>
      </c>
    </row>
    <row r="997" spans="1:8" x14ac:dyDescent="0.3">
      <c r="A997" t="s">
        <v>149</v>
      </c>
      <c r="B997" s="2">
        <v>45870</v>
      </c>
      <c r="C997" t="s">
        <v>911</v>
      </c>
      <c r="D997">
        <v>0</v>
      </c>
      <c r="E997" t="s">
        <v>33</v>
      </c>
      <c r="F997" t="s">
        <v>33</v>
      </c>
      <c r="G997" s="21" t="s">
        <v>932</v>
      </c>
      <c r="H997" t="s">
        <v>36</v>
      </c>
    </row>
    <row r="998" spans="1:8" x14ac:dyDescent="0.3">
      <c r="A998" t="s">
        <v>149</v>
      </c>
      <c r="B998" s="2">
        <v>45901</v>
      </c>
      <c r="C998" t="s">
        <v>919</v>
      </c>
      <c r="D998">
        <v>0</v>
      </c>
      <c r="E998" t="s">
        <v>33</v>
      </c>
      <c r="F998" t="s">
        <v>33</v>
      </c>
      <c r="G998" s="21" t="s">
        <v>932</v>
      </c>
      <c r="H998" t="s">
        <v>36</v>
      </c>
    </row>
    <row r="999" spans="1:8" x14ac:dyDescent="0.3">
      <c r="A999" t="s">
        <v>149</v>
      </c>
      <c r="B999" s="2">
        <v>45931</v>
      </c>
      <c r="C999" t="s">
        <v>911</v>
      </c>
      <c r="D999">
        <v>0</v>
      </c>
      <c r="E999" t="s">
        <v>33</v>
      </c>
      <c r="F999" t="s">
        <v>33</v>
      </c>
      <c r="G999" s="21" t="s">
        <v>932</v>
      </c>
      <c r="H999" t="s">
        <v>36</v>
      </c>
    </row>
    <row r="1000" spans="1:8" ht="57.6" customHeight="1" x14ac:dyDescent="0.3">
      <c r="A1000" t="s">
        <v>149</v>
      </c>
      <c r="B1000" s="2">
        <v>45962</v>
      </c>
      <c r="C1000" t="s">
        <v>919</v>
      </c>
      <c r="D1000">
        <v>0</v>
      </c>
      <c r="E1000" t="s">
        <v>33</v>
      </c>
      <c r="F1000" t="s">
        <v>33</v>
      </c>
      <c r="G1000" s="21" t="s">
        <v>932</v>
      </c>
      <c r="H1000" t="s">
        <v>36</v>
      </c>
    </row>
    <row r="1001" spans="1:8" x14ac:dyDescent="0.3">
      <c r="A1001" t="s">
        <v>149</v>
      </c>
      <c r="B1001" s="2">
        <v>45992</v>
      </c>
      <c r="C1001" t="s">
        <v>911</v>
      </c>
      <c r="D1001">
        <v>0</v>
      </c>
      <c r="E1001" t="s">
        <v>33</v>
      </c>
      <c r="F1001" t="s">
        <v>33</v>
      </c>
      <c r="G1001" s="10" t="s">
        <v>972</v>
      </c>
      <c r="H1001" t="s">
        <v>36</v>
      </c>
    </row>
    <row r="1002" spans="1:8" x14ac:dyDescent="0.3">
      <c r="A1002" t="s">
        <v>149</v>
      </c>
      <c r="B1002" s="2">
        <v>46023</v>
      </c>
      <c r="C1002" t="s">
        <v>911</v>
      </c>
      <c r="D1002">
        <v>0</v>
      </c>
      <c r="E1002" t="s">
        <v>33</v>
      </c>
      <c r="F1002" t="s">
        <v>33</v>
      </c>
      <c r="G1002" s="10" t="s">
        <v>972</v>
      </c>
      <c r="H1002" t="s">
        <v>36</v>
      </c>
    </row>
    <row r="1003" spans="1:8" x14ac:dyDescent="0.3">
      <c r="A1003" t="s">
        <v>149</v>
      </c>
      <c r="B1003" s="2">
        <v>46054</v>
      </c>
      <c r="C1003" t="s">
        <v>895</v>
      </c>
      <c r="D1003">
        <v>0</v>
      </c>
      <c r="E1003" t="s">
        <v>33</v>
      </c>
      <c r="F1003" t="s">
        <v>33</v>
      </c>
      <c r="G1003" s="10" t="s">
        <v>326</v>
      </c>
      <c r="H1003" t="s">
        <v>36</v>
      </c>
    </row>
    <row r="1004" spans="1:8" x14ac:dyDescent="0.3">
      <c r="A1004" t="s">
        <v>149</v>
      </c>
      <c r="B1004" s="2">
        <v>46082</v>
      </c>
      <c r="C1004" t="s">
        <v>911</v>
      </c>
      <c r="D1004">
        <v>0</v>
      </c>
      <c r="E1004" t="s">
        <v>33</v>
      </c>
      <c r="F1004" t="s">
        <v>33</v>
      </c>
      <c r="G1004" s="10" t="s">
        <v>326</v>
      </c>
      <c r="H1004" t="s">
        <v>36</v>
      </c>
    </row>
    <row r="1005" spans="1:8" x14ac:dyDescent="0.3">
      <c r="A1005" t="s">
        <v>149</v>
      </c>
      <c r="B1005" s="2">
        <v>46113</v>
      </c>
      <c r="C1005" t="s">
        <v>919</v>
      </c>
      <c r="D1005">
        <v>0</v>
      </c>
      <c r="E1005" t="s">
        <v>33</v>
      </c>
      <c r="F1005" t="s">
        <v>33</v>
      </c>
      <c r="G1005" s="21" t="s">
        <v>932</v>
      </c>
      <c r="H1005" t="s">
        <v>36</v>
      </c>
    </row>
    <row r="1006" spans="1:8" x14ac:dyDescent="0.3">
      <c r="A1006" t="s">
        <v>149</v>
      </c>
      <c r="B1006" s="2">
        <v>46143</v>
      </c>
      <c r="C1006" t="s">
        <v>911</v>
      </c>
      <c r="D1006">
        <v>0</v>
      </c>
      <c r="E1006" t="s">
        <v>33</v>
      </c>
      <c r="F1006" t="s">
        <v>33</v>
      </c>
      <c r="G1006" s="21" t="s">
        <v>932</v>
      </c>
      <c r="H1006" t="s">
        <v>36</v>
      </c>
    </row>
    <row r="1007" spans="1:8" x14ac:dyDescent="0.3">
      <c r="A1007" t="s">
        <v>142</v>
      </c>
      <c r="B1007" s="2">
        <v>46174</v>
      </c>
      <c r="C1007" t="s">
        <v>919</v>
      </c>
      <c r="D1007">
        <v>0</v>
      </c>
      <c r="E1007" t="s">
        <v>33</v>
      </c>
      <c r="F1007" t="s">
        <v>33</v>
      </c>
      <c r="G1007" s="10" t="s">
        <v>996</v>
      </c>
      <c r="H1007" t="s">
        <v>36</v>
      </c>
    </row>
    <row r="1008" spans="1:8" x14ac:dyDescent="0.3">
      <c r="A1008" t="s">
        <v>142</v>
      </c>
      <c r="B1008" s="2">
        <v>46204</v>
      </c>
      <c r="C1008" s="10">
        <v>31</v>
      </c>
      <c r="D1008">
        <v>0</v>
      </c>
      <c r="E1008" t="s">
        <v>33</v>
      </c>
      <c r="F1008" t="s">
        <v>33</v>
      </c>
      <c r="G1008" t="s">
        <v>1014</v>
      </c>
      <c r="H1008" t="s">
        <v>36</v>
      </c>
    </row>
    <row r="1009" spans="1:3" x14ac:dyDescent="0.3">
      <c r="A1009" t="s">
        <v>149</v>
      </c>
      <c r="B1009" s="2">
        <v>46235</v>
      </c>
      <c r="C1009" s="10"/>
    </row>
    <row r="1010" spans="1:3" x14ac:dyDescent="0.3">
      <c r="A1010" t="s">
        <v>155</v>
      </c>
      <c r="B1010" s="2">
        <v>45536</v>
      </c>
      <c r="C1010" s="10"/>
    </row>
    <row r="1011" spans="1:3" x14ac:dyDescent="0.3">
      <c r="A1011" t="s">
        <v>155</v>
      </c>
      <c r="B1011" s="2">
        <v>45566</v>
      </c>
      <c r="C1011" s="10"/>
    </row>
    <row r="1012" spans="1:3" x14ac:dyDescent="0.3">
      <c r="A1012" t="s">
        <v>155</v>
      </c>
      <c r="B1012" s="2">
        <v>45597</v>
      </c>
      <c r="C1012" s="10"/>
    </row>
    <row r="1013" spans="1:3" x14ac:dyDescent="0.3">
      <c r="A1013" t="s">
        <v>155</v>
      </c>
      <c r="B1013" s="2">
        <v>45627</v>
      </c>
      <c r="C1013" s="10"/>
    </row>
    <row r="1014" spans="1:3" x14ac:dyDescent="0.3">
      <c r="A1014" t="s">
        <v>155</v>
      </c>
      <c r="B1014" s="2">
        <v>45658</v>
      </c>
      <c r="C1014" s="10"/>
    </row>
    <row r="1015" spans="1:3" x14ac:dyDescent="0.3">
      <c r="A1015" t="s">
        <v>155</v>
      </c>
      <c r="B1015" s="2">
        <v>45689</v>
      </c>
      <c r="C1015" s="10" t="s">
        <v>587</v>
      </c>
    </row>
    <row r="1016" spans="1:3" x14ac:dyDescent="0.3">
      <c r="A1016" t="s">
        <v>155</v>
      </c>
      <c r="B1016" s="2">
        <v>45717</v>
      </c>
      <c r="C1016" s="10" t="s">
        <v>588</v>
      </c>
    </row>
    <row r="1017" spans="1:3" x14ac:dyDescent="0.3">
      <c r="A1017" t="s">
        <v>155</v>
      </c>
      <c r="B1017" s="2">
        <v>45748</v>
      </c>
      <c r="C1017" s="10" t="s">
        <v>588</v>
      </c>
    </row>
    <row r="1018" spans="1:3" ht="57.6" customHeight="1" x14ac:dyDescent="0.3">
      <c r="A1018" t="s">
        <v>155</v>
      </c>
      <c r="B1018" s="2">
        <v>45778</v>
      </c>
      <c r="C1018" s="10" t="s">
        <v>589</v>
      </c>
    </row>
    <row r="1019" spans="1:3" ht="57.6" customHeight="1" x14ac:dyDescent="0.3">
      <c r="A1019" t="s">
        <v>155</v>
      </c>
      <c r="B1019" s="2">
        <v>45809</v>
      </c>
      <c r="C1019" s="10" t="s">
        <v>590</v>
      </c>
    </row>
    <row r="1020" spans="1:3" x14ac:dyDescent="0.3">
      <c r="A1020" t="s">
        <v>155</v>
      </c>
      <c r="B1020" s="2">
        <v>45839</v>
      </c>
      <c r="C1020" s="10"/>
    </row>
    <row r="1021" spans="1:3" ht="57.6" customHeight="1" x14ac:dyDescent="0.3">
      <c r="A1021" t="s">
        <v>155</v>
      </c>
      <c r="B1021" s="2">
        <v>45870</v>
      </c>
      <c r="C1021" s="10" t="s">
        <v>591</v>
      </c>
    </row>
    <row r="1022" spans="1:3" ht="57.6" customHeight="1" x14ac:dyDescent="0.3">
      <c r="A1022" t="s">
        <v>155</v>
      </c>
      <c r="B1022" s="2">
        <v>45901</v>
      </c>
      <c r="C1022" s="10" t="s">
        <v>592</v>
      </c>
    </row>
    <row r="1023" spans="1:3" ht="57.6" customHeight="1" x14ac:dyDescent="0.3">
      <c r="A1023" t="s">
        <v>155</v>
      </c>
      <c r="B1023" s="2">
        <v>45931</v>
      </c>
      <c r="C1023" s="10" t="s">
        <v>593</v>
      </c>
    </row>
    <row r="1024" spans="1:3" ht="57.6" customHeight="1" x14ac:dyDescent="0.3">
      <c r="A1024" t="s">
        <v>155</v>
      </c>
      <c r="B1024" s="2">
        <v>45962</v>
      </c>
      <c r="C1024" s="10" t="s">
        <v>594</v>
      </c>
    </row>
    <row r="1025" spans="1:8" x14ac:dyDescent="0.3">
      <c r="A1025" t="s">
        <v>155</v>
      </c>
      <c r="B1025" s="2">
        <v>45992</v>
      </c>
      <c r="C1025" s="10" t="s">
        <v>326</v>
      </c>
    </row>
    <row r="1026" spans="1:8" x14ac:dyDescent="0.3">
      <c r="A1026" t="s">
        <v>155</v>
      </c>
      <c r="B1026" s="2">
        <v>46023</v>
      </c>
      <c r="C1026" s="10" t="s">
        <v>338</v>
      </c>
    </row>
    <row r="1027" spans="1:8" x14ac:dyDescent="0.3">
      <c r="A1027" t="s">
        <v>155</v>
      </c>
      <c r="B1027" s="2">
        <v>46054</v>
      </c>
      <c r="C1027" s="10" t="s">
        <v>326</v>
      </c>
    </row>
    <row r="1028" spans="1:8" ht="28.8" x14ac:dyDescent="0.3">
      <c r="A1028" t="s">
        <v>155</v>
      </c>
      <c r="B1028" s="2">
        <v>46082</v>
      </c>
      <c r="C1028" s="10" t="s">
        <v>595</v>
      </c>
    </row>
    <row r="1029" spans="1:8" ht="28.8" x14ac:dyDescent="0.3">
      <c r="A1029" t="s">
        <v>155</v>
      </c>
      <c r="B1029" s="2">
        <v>46113</v>
      </c>
      <c r="C1029" s="10" t="s">
        <v>596</v>
      </c>
    </row>
    <row r="1030" spans="1:8" ht="28.8" x14ac:dyDescent="0.3">
      <c r="A1030" t="s">
        <v>155</v>
      </c>
      <c r="B1030" s="2">
        <v>46143</v>
      </c>
      <c r="C1030" s="10" t="s">
        <v>864</v>
      </c>
    </row>
    <row r="1031" spans="1:8" x14ac:dyDescent="0.3">
      <c r="A1031" t="s">
        <v>145</v>
      </c>
      <c r="B1031" s="2">
        <v>46174</v>
      </c>
      <c r="C1031" s="10"/>
    </row>
    <row r="1032" spans="1:8" x14ac:dyDescent="0.3">
      <c r="A1032" t="s">
        <v>145</v>
      </c>
      <c r="B1032" s="2">
        <v>46204</v>
      </c>
      <c r="C1032" s="10">
        <v>31</v>
      </c>
      <c r="E1032" t="s">
        <v>33</v>
      </c>
      <c r="F1032" t="s">
        <v>33</v>
      </c>
      <c r="G1032" t="s">
        <v>1037</v>
      </c>
      <c r="H1032" t="s">
        <v>1038</v>
      </c>
    </row>
    <row r="1033" spans="1:8" x14ac:dyDescent="0.3">
      <c r="A1033" t="s">
        <v>155</v>
      </c>
      <c r="B1033" s="2">
        <v>46235</v>
      </c>
      <c r="C1033" s="10"/>
    </row>
    <row r="1034" spans="1:8" x14ac:dyDescent="0.3">
      <c r="A1034" t="s">
        <v>157</v>
      </c>
      <c r="B1034" s="2">
        <v>45536</v>
      </c>
      <c r="C1034" s="10"/>
    </row>
    <row r="1035" spans="1:8" x14ac:dyDescent="0.3">
      <c r="A1035" t="s">
        <v>157</v>
      </c>
      <c r="B1035" s="2">
        <v>45566</v>
      </c>
      <c r="C1035" s="10"/>
    </row>
    <row r="1036" spans="1:8" x14ac:dyDescent="0.3">
      <c r="A1036" t="s">
        <v>157</v>
      </c>
      <c r="B1036" s="2">
        <v>45597</v>
      </c>
      <c r="C1036" s="10"/>
    </row>
    <row r="1037" spans="1:8" x14ac:dyDescent="0.3">
      <c r="A1037" t="s">
        <v>157</v>
      </c>
      <c r="B1037" s="2">
        <v>45627</v>
      </c>
      <c r="C1037" s="10"/>
    </row>
    <row r="1038" spans="1:8" x14ac:dyDescent="0.3">
      <c r="A1038" t="s">
        <v>157</v>
      </c>
      <c r="B1038" s="2">
        <v>45658</v>
      </c>
      <c r="C1038" s="10"/>
    </row>
    <row r="1039" spans="1:8" x14ac:dyDescent="0.3">
      <c r="A1039" t="s">
        <v>157</v>
      </c>
      <c r="B1039" s="2">
        <v>45689</v>
      </c>
      <c r="C1039" s="10"/>
    </row>
    <row r="1040" spans="1:8" x14ac:dyDescent="0.3">
      <c r="A1040" t="s">
        <v>157</v>
      </c>
      <c r="B1040" s="2">
        <v>45717</v>
      </c>
      <c r="C1040" s="10"/>
    </row>
    <row r="1041" spans="1:8" x14ac:dyDescent="0.3">
      <c r="A1041" t="s">
        <v>157</v>
      </c>
      <c r="B1041" s="2">
        <v>45748</v>
      </c>
      <c r="C1041" s="10"/>
    </row>
    <row r="1042" spans="1:8" x14ac:dyDescent="0.3">
      <c r="A1042" t="s">
        <v>157</v>
      </c>
      <c r="B1042" s="2">
        <v>45778</v>
      </c>
      <c r="C1042" s="10"/>
    </row>
    <row r="1043" spans="1:8" x14ac:dyDescent="0.3">
      <c r="A1043" t="s">
        <v>157</v>
      </c>
      <c r="B1043" s="2">
        <v>45809</v>
      </c>
      <c r="C1043" s="10"/>
    </row>
    <row r="1044" spans="1:8" x14ac:dyDescent="0.3">
      <c r="A1044" t="s">
        <v>157</v>
      </c>
      <c r="B1044" s="2">
        <v>45839</v>
      </c>
      <c r="C1044" s="10"/>
    </row>
    <row r="1045" spans="1:8" x14ac:dyDescent="0.3">
      <c r="A1045" t="s">
        <v>157</v>
      </c>
      <c r="B1045" s="2">
        <v>45870</v>
      </c>
      <c r="C1045" s="10"/>
    </row>
    <row r="1046" spans="1:8" x14ac:dyDescent="0.3">
      <c r="A1046" t="s">
        <v>157</v>
      </c>
      <c r="B1046" s="2">
        <v>45901</v>
      </c>
      <c r="C1046" s="10"/>
    </row>
    <row r="1047" spans="1:8" ht="57.6" customHeight="1" x14ac:dyDescent="0.3">
      <c r="A1047" t="s">
        <v>157</v>
      </c>
      <c r="B1047" s="2">
        <v>45931</v>
      </c>
      <c r="C1047" s="10" t="s">
        <v>597</v>
      </c>
    </row>
    <row r="1048" spans="1:8" ht="57.6" customHeight="1" x14ac:dyDescent="0.3">
      <c r="A1048" t="s">
        <v>157</v>
      </c>
      <c r="B1048" s="2">
        <v>45962</v>
      </c>
      <c r="C1048" s="10" t="s">
        <v>597</v>
      </c>
    </row>
    <row r="1049" spans="1:8" x14ac:dyDescent="0.3">
      <c r="A1049" t="s">
        <v>157</v>
      </c>
      <c r="B1049" s="2">
        <v>45992</v>
      </c>
      <c r="C1049" s="10" t="s">
        <v>598</v>
      </c>
    </row>
    <row r="1050" spans="1:8" x14ac:dyDescent="0.3">
      <c r="A1050" t="s">
        <v>157</v>
      </c>
      <c r="B1050" s="2">
        <v>46023</v>
      </c>
      <c r="C1050" s="10" t="s">
        <v>338</v>
      </c>
    </row>
    <row r="1051" spans="1:8" x14ac:dyDescent="0.3">
      <c r="A1051" t="s">
        <v>157</v>
      </c>
      <c r="B1051" s="2">
        <v>46054</v>
      </c>
      <c r="C1051" s="10" t="s">
        <v>326</v>
      </c>
    </row>
    <row r="1052" spans="1:8" x14ac:dyDescent="0.3">
      <c r="A1052" t="s">
        <v>157</v>
      </c>
      <c r="B1052" s="2">
        <v>46082</v>
      </c>
      <c r="C1052" s="10" t="s">
        <v>326</v>
      </c>
    </row>
    <row r="1053" spans="1:8" ht="28.8" x14ac:dyDescent="0.3">
      <c r="A1053" t="s">
        <v>157</v>
      </c>
      <c r="B1053" s="2">
        <v>46113</v>
      </c>
      <c r="C1053" s="10" t="s">
        <v>595</v>
      </c>
    </row>
    <row r="1054" spans="1:8" ht="28.8" x14ac:dyDescent="0.3">
      <c r="A1054" t="s">
        <v>157</v>
      </c>
      <c r="B1054" s="2">
        <v>46143</v>
      </c>
      <c r="C1054" s="10" t="s">
        <v>867</v>
      </c>
    </row>
    <row r="1055" spans="1:8" x14ac:dyDescent="0.3">
      <c r="A1055" t="s">
        <v>149</v>
      </c>
      <c r="B1055" s="2">
        <v>46204</v>
      </c>
      <c r="C1055" s="10">
        <v>31</v>
      </c>
      <c r="D1055">
        <v>0</v>
      </c>
      <c r="E1055" t="s">
        <v>33</v>
      </c>
      <c r="F1055" t="s">
        <v>33</v>
      </c>
      <c r="G1055" t="s">
        <v>1014</v>
      </c>
      <c r="H1055" t="s">
        <v>36</v>
      </c>
    </row>
    <row r="1056" spans="1:8" x14ac:dyDescent="0.3">
      <c r="A1056" t="s">
        <v>149</v>
      </c>
      <c r="B1056" s="2">
        <v>46174</v>
      </c>
      <c r="C1056" t="s">
        <v>919</v>
      </c>
      <c r="D1056">
        <v>0</v>
      </c>
      <c r="E1056" t="s">
        <v>33</v>
      </c>
      <c r="F1056" t="s">
        <v>33</v>
      </c>
      <c r="G1056" s="10" t="s">
        <v>338</v>
      </c>
      <c r="H1056" t="s">
        <v>36</v>
      </c>
    </row>
    <row r="1057" spans="1:8" x14ac:dyDescent="0.3">
      <c r="A1057" t="s">
        <v>157</v>
      </c>
      <c r="B1057" s="2">
        <v>46235</v>
      </c>
      <c r="C1057" s="10"/>
    </row>
    <row r="1058" spans="1:8" x14ac:dyDescent="0.3">
      <c r="A1058" t="s">
        <v>160</v>
      </c>
      <c r="B1058" s="2">
        <v>45536</v>
      </c>
      <c r="C1058" s="10"/>
    </row>
    <row r="1059" spans="1:8" ht="28.8" x14ac:dyDescent="0.3">
      <c r="A1059" t="s">
        <v>160</v>
      </c>
      <c r="B1059" s="2">
        <v>45566</v>
      </c>
      <c r="C1059" s="10" t="s">
        <v>599</v>
      </c>
    </row>
    <row r="1060" spans="1:8" x14ac:dyDescent="0.3">
      <c r="A1060" t="s">
        <v>160</v>
      </c>
      <c r="B1060" s="2">
        <v>45597</v>
      </c>
      <c r="C1060" s="10"/>
    </row>
    <row r="1061" spans="1:8" x14ac:dyDescent="0.3">
      <c r="A1061" t="s">
        <v>160</v>
      </c>
      <c r="B1061" s="2">
        <v>45627</v>
      </c>
      <c r="C1061" s="10"/>
    </row>
    <row r="1062" spans="1:8" x14ac:dyDescent="0.3">
      <c r="A1062" t="s">
        <v>160</v>
      </c>
      <c r="B1062" s="2">
        <v>45658</v>
      </c>
      <c r="C1062" s="10"/>
    </row>
    <row r="1063" spans="1:8" ht="28.8" x14ac:dyDescent="0.3">
      <c r="A1063" t="s">
        <v>160</v>
      </c>
      <c r="B1063" s="2">
        <v>45689</v>
      </c>
      <c r="C1063" s="10" t="s">
        <v>600</v>
      </c>
    </row>
    <row r="1064" spans="1:8" ht="43.2" customHeight="1" x14ac:dyDescent="0.3">
      <c r="A1064" t="s">
        <v>160</v>
      </c>
      <c r="B1064" s="2">
        <v>45717</v>
      </c>
      <c r="C1064" s="10" t="s">
        <v>601</v>
      </c>
    </row>
    <row r="1065" spans="1:8" ht="57.6" customHeight="1" x14ac:dyDescent="0.3">
      <c r="A1065" t="s">
        <v>160</v>
      </c>
      <c r="B1065" s="2">
        <v>45748</v>
      </c>
      <c r="C1065" s="10" t="s">
        <v>602</v>
      </c>
    </row>
    <row r="1066" spans="1:8" ht="57.6" customHeight="1" x14ac:dyDescent="0.3">
      <c r="A1066" t="s">
        <v>160</v>
      </c>
      <c r="B1066" s="2">
        <v>45778</v>
      </c>
      <c r="C1066" s="10" t="s">
        <v>603</v>
      </c>
    </row>
    <row r="1067" spans="1:8" ht="57.6" customHeight="1" x14ac:dyDescent="0.3">
      <c r="A1067" t="s">
        <v>160</v>
      </c>
      <c r="B1067" s="2">
        <v>45809</v>
      </c>
      <c r="C1067" s="10" t="s">
        <v>604</v>
      </c>
    </row>
    <row r="1068" spans="1:8" x14ac:dyDescent="0.3">
      <c r="A1068" t="s">
        <v>160</v>
      </c>
      <c r="B1068" s="2">
        <v>45839</v>
      </c>
      <c r="C1068" t="s">
        <v>911</v>
      </c>
      <c r="D1068">
        <v>0</v>
      </c>
      <c r="E1068" t="s">
        <v>33</v>
      </c>
      <c r="F1068" t="s">
        <v>33</v>
      </c>
      <c r="G1068" s="10" t="s">
        <v>338</v>
      </c>
      <c r="H1068" t="s">
        <v>36</v>
      </c>
    </row>
    <row r="1069" spans="1:8" x14ac:dyDescent="0.3">
      <c r="A1069" t="s">
        <v>160</v>
      </c>
      <c r="B1069" s="2">
        <v>45870</v>
      </c>
      <c r="C1069" t="s">
        <v>911</v>
      </c>
      <c r="D1069">
        <v>0</v>
      </c>
      <c r="E1069" t="s">
        <v>33</v>
      </c>
      <c r="F1069" t="s">
        <v>33</v>
      </c>
      <c r="G1069" s="10" t="s">
        <v>338</v>
      </c>
      <c r="H1069" t="s">
        <v>36</v>
      </c>
    </row>
    <row r="1070" spans="1:8" x14ac:dyDescent="0.3">
      <c r="A1070" t="s">
        <v>160</v>
      </c>
      <c r="B1070" s="2">
        <v>45901</v>
      </c>
      <c r="C1070" t="s">
        <v>919</v>
      </c>
      <c r="D1070">
        <v>0</v>
      </c>
      <c r="E1070" t="s">
        <v>33</v>
      </c>
      <c r="F1070" t="s">
        <v>33</v>
      </c>
      <c r="G1070" s="10" t="s">
        <v>338</v>
      </c>
      <c r="H1070" t="s">
        <v>36</v>
      </c>
    </row>
    <row r="1071" spans="1:8" x14ac:dyDescent="0.3">
      <c r="A1071" t="s">
        <v>160</v>
      </c>
      <c r="B1071" s="2">
        <v>45931</v>
      </c>
      <c r="C1071" t="s">
        <v>911</v>
      </c>
      <c r="D1071">
        <v>0</v>
      </c>
      <c r="E1071" t="s">
        <v>33</v>
      </c>
      <c r="F1071" t="s">
        <v>33</v>
      </c>
      <c r="G1071" s="10" t="s">
        <v>338</v>
      </c>
      <c r="H1071" t="s">
        <v>36</v>
      </c>
    </row>
    <row r="1072" spans="1:8" x14ac:dyDescent="0.3">
      <c r="A1072" t="s">
        <v>160</v>
      </c>
      <c r="B1072" s="2">
        <v>45962</v>
      </c>
      <c r="C1072" t="s">
        <v>919</v>
      </c>
      <c r="D1072">
        <v>0</v>
      </c>
      <c r="E1072" t="s">
        <v>33</v>
      </c>
      <c r="F1072" t="s">
        <v>33</v>
      </c>
      <c r="G1072" s="21" t="s">
        <v>932</v>
      </c>
      <c r="H1072" t="s">
        <v>36</v>
      </c>
    </row>
    <row r="1073" spans="1:8" x14ac:dyDescent="0.3">
      <c r="A1073" t="s">
        <v>160</v>
      </c>
      <c r="B1073" s="2">
        <v>45992</v>
      </c>
      <c r="C1073" t="s">
        <v>911</v>
      </c>
      <c r="D1073">
        <v>0</v>
      </c>
      <c r="E1073" t="s">
        <v>33</v>
      </c>
      <c r="F1073" t="s">
        <v>33</v>
      </c>
      <c r="G1073" s="21" t="s">
        <v>932</v>
      </c>
      <c r="H1073" t="s">
        <v>36</v>
      </c>
    </row>
    <row r="1074" spans="1:8" x14ac:dyDescent="0.3">
      <c r="A1074" t="s">
        <v>160</v>
      </c>
      <c r="B1074" s="2">
        <v>46023</v>
      </c>
      <c r="C1074" t="s">
        <v>911</v>
      </c>
      <c r="D1074">
        <v>0</v>
      </c>
      <c r="E1074" t="s">
        <v>33</v>
      </c>
      <c r="F1074" t="s">
        <v>33</v>
      </c>
      <c r="G1074" s="21" t="s">
        <v>932</v>
      </c>
      <c r="H1074" t="s">
        <v>36</v>
      </c>
    </row>
    <row r="1075" spans="1:8" x14ac:dyDescent="0.3">
      <c r="A1075" t="s">
        <v>160</v>
      </c>
      <c r="B1075" s="2">
        <v>46054</v>
      </c>
      <c r="C1075" t="s">
        <v>895</v>
      </c>
      <c r="D1075">
        <v>0</v>
      </c>
      <c r="E1075" t="s">
        <v>33</v>
      </c>
      <c r="F1075" t="s">
        <v>33</v>
      </c>
      <c r="G1075" s="10" t="s">
        <v>338</v>
      </c>
      <c r="H1075" t="s">
        <v>36</v>
      </c>
    </row>
    <row r="1076" spans="1:8" x14ac:dyDescent="0.3">
      <c r="A1076" t="s">
        <v>160</v>
      </c>
      <c r="B1076" s="2">
        <v>46082</v>
      </c>
      <c r="C1076" t="s">
        <v>911</v>
      </c>
      <c r="D1076">
        <v>0</v>
      </c>
      <c r="E1076" t="s">
        <v>33</v>
      </c>
      <c r="F1076" t="s">
        <v>33</v>
      </c>
      <c r="G1076" s="10" t="s">
        <v>338</v>
      </c>
      <c r="H1076" t="s">
        <v>36</v>
      </c>
    </row>
    <row r="1077" spans="1:8" x14ac:dyDescent="0.3">
      <c r="A1077" t="s">
        <v>160</v>
      </c>
      <c r="B1077" s="2">
        <v>46113</v>
      </c>
      <c r="C1077" t="s">
        <v>919</v>
      </c>
      <c r="D1077">
        <v>0</v>
      </c>
      <c r="E1077" t="s">
        <v>33</v>
      </c>
      <c r="F1077" t="s">
        <v>33</v>
      </c>
      <c r="G1077" s="10" t="s">
        <v>338</v>
      </c>
      <c r="H1077" t="s">
        <v>36</v>
      </c>
    </row>
    <row r="1078" spans="1:8" x14ac:dyDescent="0.3">
      <c r="A1078" t="s">
        <v>160</v>
      </c>
      <c r="B1078" s="2">
        <v>46143</v>
      </c>
      <c r="C1078" t="s">
        <v>911</v>
      </c>
      <c r="D1078">
        <v>0</v>
      </c>
      <c r="E1078" t="s">
        <v>33</v>
      </c>
      <c r="F1078" t="s">
        <v>33</v>
      </c>
      <c r="G1078" s="10" t="s">
        <v>338</v>
      </c>
      <c r="H1078" t="s">
        <v>36</v>
      </c>
    </row>
    <row r="1079" spans="1:8" x14ac:dyDescent="0.3">
      <c r="A1079" t="s">
        <v>152</v>
      </c>
      <c r="B1079" s="2">
        <v>46174</v>
      </c>
      <c r="C1079" s="10"/>
    </row>
    <row r="1080" spans="1:8" x14ac:dyDescent="0.3">
      <c r="A1080" t="s">
        <v>152</v>
      </c>
      <c r="B1080" s="2">
        <v>46204</v>
      </c>
      <c r="C1080" s="10">
        <v>31</v>
      </c>
      <c r="D1080">
        <v>0</v>
      </c>
      <c r="E1080" t="s">
        <v>33</v>
      </c>
      <c r="F1080" t="s">
        <v>33</v>
      </c>
      <c r="G1080" t="s">
        <v>1039</v>
      </c>
      <c r="H1080" t="s">
        <v>36</v>
      </c>
    </row>
    <row r="1081" spans="1:8" x14ac:dyDescent="0.3">
      <c r="A1081" t="s">
        <v>160</v>
      </c>
      <c r="B1081" s="2">
        <v>46235</v>
      </c>
      <c r="C1081" s="10"/>
    </row>
    <row r="1082" spans="1:8" x14ac:dyDescent="0.3">
      <c r="A1082" t="s">
        <v>244</v>
      </c>
      <c r="B1082" s="2">
        <v>45536</v>
      </c>
      <c r="C1082" s="10"/>
    </row>
    <row r="1083" spans="1:8" x14ac:dyDescent="0.3">
      <c r="A1083" t="s">
        <v>244</v>
      </c>
      <c r="B1083" s="2">
        <v>45566</v>
      </c>
      <c r="C1083" s="10"/>
    </row>
    <row r="1084" spans="1:8" x14ac:dyDescent="0.3">
      <c r="A1084" t="s">
        <v>244</v>
      </c>
      <c r="B1084" s="2">
        <v>45597</v>
      </c>
      <c r="C1084" s="10"/>
    </row>
    <row r="1085" spans="1:8" x14ac:dyDescent="0.3">
      <c r="A1085" t="s">
        <v>244</v>
      </c>
      <c r="B1085" s="2">
        <v>45627</v>
      </c>
      <c r="C1085" s="10"/>
    </row>
    <row r="1086" spans="1:8" x14ac:dyDescent="0.3">
      <c r="A1086" t="s">
        <v>244</v>
      </c>
      <c r="B1086" s="2">
        <v>45658</v>
      </c>
      <c r="C1086" s="10"/>
    </row>
    <row r="1087" spans="1:8" x14ac:dyDescent="0.3">
      <c r="A1087" t="s">
        <v>244</v>
      </c>
      <c r="B1087" s="2">
        <v>45689</v>
      </c>
      <c r="C1087" s="10"/>
    </row>
    <row r="1088" spans="1:8" x14ac:dyDescent="0.3">
      <c r="A1088" t="s">
        <v>244</v>
      </c>
      <c r="B1088" s="2">
        <v>45717</v>
      </c>
      <c r="C1088" s="10"/>
    </row>
    <row r="1089" spans="1:8" x14ac:dyDescent="0.3">
      <c r="A1089" t="s">
        <v>244</v>
      </c>
      <c r="B1089" s="2">
        <v>45748</v>
      </c>
      <c r="C1089" s="10"/>
    </row>
    <row r="1090" spans="1:8" x14ac:dyDescent="0.3">
      <c r="A1090" t="s">
        <v>244</v>
      </c>
      <c r="B1090" s="2">
        <v>45778</v>
      </c>
      <c r="C1090" s="10"/>
    </row>
    <row r="1091" spans="1:8" x14ac:dyDescent="0.3">
      <c r="A1091" t="s">
        <v>244</v>
      </c>
      <c r="B1091" s="2">
        <v>45809</v>
      </c>
      <c r="C1091" s="10"/>
    </row>
    <row r="1092" spans="1:8" x14ac:dyDescent="0.3">
      <c r="A1092" t="s">
        <v>244</v>
      </c>
      <c r="B1092" s="2">
        <v>45839</v>
      </c>
      <c r="C1092" s="10"/>
    </row>
    <row r="1093" spans="1:8" x14ac:dyDescent="0.3">
      <c r="A1093" t="s">
        <v>244</v>
      </c>
      <c r="B1093" s="2">
        <v>45870</v>
      </c>
      <c r="C1093" s="10"/>
    </row>
    <row r="1094" spans="1:8" x14ac:dyDescent="0.3">
      <c r="A1094" t="s">
        <v>244</v>
      </c>
      <c r="B1094" s="2">
        <v>45901</v>
      </c>
      <c r="C1094" s="10"/>
    </row>
    <row r="1095" spans="1:8" x14ac:dyDescent="0.3">
      <c r="A1095" t="s">
        <v>244</v>
      </c>
      <c r="B1095" s="2">
        <v>45931</v>
      </c>
      <c r="C1095" s="10"/>
    </row>
    <row r="1096" spans="1:8" x14ac:dyDescent="0.3">
      <c r="A1096" t="s">
        <v>244</v>
      </c>
      <c r="B1096" s="2">
        <v>45962</v>
      </c>
      <c r="C1096" s="10"/>
    </row>
    <row r="1097" spans="1:8" x14ac:dyDescent="0.3">
      <c r="A1097" t="s">
        <v>244</v>
      </c>
      <c r="B1097" s="2">
        <v>45992</v>
      </c>
      <c r="C1097" s="10"/>
    </row>
    <row r="1098" spans="1:8" x14ac:dyDescent="0.3">
      <c r="A1098" t="s">
        <v>244</v>
      </c>
      <c r="B1098" s="2">
        <v>46023</v>
      </c>
      <c r="C1098" s="10"/>
    </row>
    <row r="1099" spans="1:8" x14ac:dyDescent="0.3">
      <c r="A1099" t="s">
        <v>244</v>
      </c>
      <c r="B1099" s="2">
        <v>46054</v>
      </c>
      <c r="C1099" s="10"/>
    </row>
    <row r="1100" spans="1:8" x14ac:dyDescent="0.3">
      <c r="A1100" t="s">
        <v>244</v>
      </c>
      <c r="B1100" s="2">
        <v>46082</v>
      </c>
      <c r="C1100" s="10"/>
    </row>
    <row r="1101" spans="1:8" x14ac:dyDescent="0.3">
      <c r="A1101" t="s">
        <v>244</v>
      </c>
      <c r="B1101" s="2">
        <v>46113</v>
      </c>
      <c r="C1101" s="10" t="s">
        <v>605</v>
      </c>
    </row>
    <row r="1102" spans="1:8" x14ac:dyDescent="0.3">
      <c r="A1102" t="s">
        <v>244</v>
      </c>
      <c r="B1102" s="2">
        <v>46143</v>
      </c>
      <c r="C1102" s="10" t="s">
        <v>852</v>
      </c>
    </row>
    <row r="1103" spans="1:8" x14ac:dyDescent="0.3">
      <c r="A1103" t="s">
        <v>155</v>
      </c>
      <c r="B1103" s="2">
        <v>46174</v>
      </c>
      <c r="C1103" s="10"/>
    </row>
    <row r="1104" spans="1:8" x14ac:dyDescent="0.3">
      <c r="A1104" t="s">
        <v>155</v>
      </c>
      <c r="B1104" s="2">
        <v>46204</v>
      </c>
      <c r="C1104" s="10" t="s">
        <v>36</v>
      </c>
      <c r="D1104" t="s">
        <v>36</v>
      </c>
      <c r="E1104" t="s">
        <v>1041</v>
      </c>
      <c r="F1104" t="s">
        <v>36</v>
      </c>
      <c r="G1104" t="s">
        <v>36</v>
      </c>
      <c r="H1104" t="s">
        <v>36</v>
      </c>
    </row>
    <row r="1105" spans="1:8" x14ac:dyDescent="0.3">
      <c r="A1105" t="s">
        <v>244</v>
      </c>
      <c r="B1105" s="2">
        <v>46235</v>
      </c>
      <c r="C1105" s="10"/>
    </row>
    <row r="1106" spans="1:8" x14ac:dyDescent="0.3">
      <c r="A1106" t="s">
        <v>213</v>
      </c>
      <c r="B1106" s="2">
        <v>45536</v>
      </c>
      <c r="C1106" s="10"/>
    </row>
    <row r="1107" spans="1:8" x14ac:dyDescent="0.3">
      <c r="A1107" t="s">
        <v>213</v>
      </c>
      <c r="B1107" s="2">
        <v>45566</v>
      </c>
      <c r="C1107" s="10"/>
    </row>
    <row r="1108" spans="1:8" x14ac:dyDescent="0.3">
      <c r="A1108" t="s">
        <v>213</v>
      </c>
      <c r="B1108" s="2">
        <v>45597</v>
      </c>
      <c r="C1108" s="10"/>
    </row>
    <row r="1109" spans="1:8" x14ac:dyDescent="0.3">
      <c r="A1109" t="s">
        <v>213</v>
      </c>
      <c r="B1109" s="2">
        <v>45627</v>
      </c>
      <c r="C1109" s="10"/>
    </row>
    <row r="1110" spans="1:8" x14ac:dyDescent="0.3">
      <c r="A1110" t="s">
        <v>213</v>
      </c>
      <c r="B1110" s="2">
        <v>45658</v>
      </c>
      <c r="C1110" s="10"/>
    </row>
    <row r="1111" spans="1:8" x14ac:dyDescent="0.3">
      <c r="A1111" t="s">
        <v>213</v>
      </c>
      <c r="B1111" s="2">
        <v>45689</v>
      </c>
      <c r="C1111" s="10"/>
    </row>
    <row r="1112" spans="1:8" x14ac:dyDescent="0.3">
      <c r="A1112" t="s">
        <v>213</v>
      </c>
      <c r="B1112" s="2">
        <v>45717</v>
      </c>
      <c r="C1112" s="10"/>
    </row>
    <row r="1113" spans="1:8" x14ac:dyDescent="0.3">
      <c r="A1113" t="s">
        <v>213</v>
      </c>
      <c r="B1113" s="2">
        <v>45748</v>
      </c>
      <c r="C1113" s="10"/>
    </row>
    <row r="1114" spans="1:8" x14ac:dyDescent="0.3">
      <c r="A1114" t="s">
        <v>213</v>
      </c>
      <c r="B1114" s="2">
        <v>45778</v>
      </c>
      <c r="C1114" s="10"/>
    </row>
    <row r="1115" spans="1:8" x14ac:dyDescent="0.3">
      <c r="A1115" t="s">
        <v>213</v>
      </c>
      <c r="B1115" s="2">
        <v>45809</v>
      </c>
      <c r="C1115" s="10"/>
    </row>
    <row r="1116" spans="1:8" x14ac:dyDescent="0.3">
      <c r="A1116" t="s">
        <v>213</v>
      </c>
      <c r="B1116" s="2">
        <v>45839</v>
      </c>
      <c r="C1116" s="10"/>
    </row>
    <row r="1117" spans="1:8" x14ac:dyDescent="0.3">
      <c r="A1117" t="s">
        <v>213</v>
      </c>
      <c r="B1117" s="2">
        <v>45870</v>
      </c>
      <c r="C1117" t="s">
        <v>968</v>
      </c>
      <c r="D1117" t="s">
        <v>969</v>
      </c>
      <c r="E1117" t="s">
        <v>970</v>
      </c>
      <c r="F1117" t="s">
        <v>33</v>
      </c>
      <c r="G1117" t="s">
        <v>33</v>
      </c>
      <c r="H1117" t="s">
        <v>36</v>
      </c>
    </row>
    <row r="1118" spans="1:8" x14ac:dyDescent="0.3">
      <c r="A1118" t="s">
        <v>213</v>
      </c>
      <c r="B1118" s="2">
        <v>45901</v>
      </c>
      <c r="C1118" t="s">
        <v>919</v>
      </c>
      <c r="D1118">
        <v>0</v>
      </c>
      <c r="E1118" t="s">
        <v>33</v>
      </c>
      <c r="F1118" t="s">
        <v>33</v>
      </c>
      <c r="G1118" s="10" t="s">
        <v>338</v>
      </c>
      <c r="H1118" t="s">
        <v>36</v>
      </c>
    </row>
    <row r="1119" spans="1:8" x14ac:dyDescent="0.3">
      <c r="A1119" t="s">
        <v>213</v>
      </c>
      <c r="B1119" s="2">
        <v>45931</v>
      </c>
      <c r="C1119" t="s">
        <v>911</v>
      </c>
      <c r="D1119">
        <v>0</v>
      </c>
      <c r="E1119" t="s">
        <v>33</v>
      </c>
      <c r="F1119" t="s">
        <v>33</v>
      </c>
      <c r="G1119" s="10" t="s">
        <v>338</v>
      </c>
      <c r="H1119" t="s">
        <v>36</v>
      </c>
    </row>
    <row r="1120" spans="1:8" ht="43.2" customHeight="1" x14ac:dyDescent="0.3">
      <c r="A1120" t="s">
        <v>213</v>
      </c>
      <c r="B1120" s="2">
        <v>45962</v>
      </c>
      <c r="C1120" t="s">
        <v>919</v>
      </c>
      <c r="D1120">
        <v>0</v>
      </c>
      <c r="E1120" t="s">
        <v>33</v>
      </c>
      <c r="F1120" t="s">
        <v>33</v>
      </c>
      <c r="G1120" s="10" t="s">
        <v>338</v>
      </c>
      <c r="H1120" t="s">
        <v>36</v>
      </c>
    </row>
    <row r="1121" spans="1:8" x14ac:dyDescent="0.3">
      <c r="A1121" t="s">
        <v>213</v>
      </c>
      <c r="B1121" s="2">
        <v>45992</v>
      </c>
      <c r="C1121" t="s">
        <v>911</v>
      </c>
      <c r="D1121">
        <v>0</v>
      </c>
      <c r="E1121" t="s">
        <v>33</v>
      </c>
      <c r="F1121" t="s">
        <v>33</v>
      </c>
      <c r="G1121" s="10" t="s">
        <v>338</v>
      </c>
      <c r="H1121" t="s">
        <v>36</v>
      </c>
    </row>
    <row r="1122" spans="1:8" x14ac:dyDescent="0.3">
      <c r="A1122" t="s">
        <v>213</v>
      </c>
      <c r="B1122" s="2">
        <v>46023</v>
      </c>
      <c r="C1122" t="s">
        <v>911</v>
      </c>
      <c r="D1122">
        <v>0</v>
      </c>
      <c r="E1122" t="s">
        <v>33</v>
      </c>
      <c r="F1122" t="s">
        <v>33</v>
      </c>
      <c r="G1122" s="10" t="s">
        <v>338</v>
      </c>
      <c r="H1122" t="s">
        <v>36</v>
      </c>
    </row>
    <row r="1123" spans="1:8" x14ac:dyDescent="0.3">
      <c r="A1123" t="s">
        <v>213</v>
      </c>
      <c r="B1123" s="2">
        <v>46054</v>
      </c>
      <c r="C1123" t="s">
        <v>895</v>
      </c>
      <c r="D1123">
        <v>0</v>
      </c>
      <c r="E1123" t="s">
        <v>33</v>
      </c>
      <c r="F1123" t="s">
        <v>33</v>
      </c>
      <c r="G1123" s="10" t="s">
        <v>338</v>
      </c>
      <c r="H1123" t="s">
        <v>36</v>
      </c>
    </row>
    <row r="1124" spans="1:8" x14ac:dyDescent="0.3">
      <c r="A1124" t="s">
        <v>213</v>
      </c>
      <c r="B1124" s="2">
        <v>46082</v>
      </c>
      <c r="C1124" t="s">
        <v>911</v>
      </c>
      <c r="D1124">
        <v>0</v>
      </c>
      <c r="E1124" t="s">
        <v>33</v>
      </c>
      <c r="F1124" t="s">
        <v>33</v>
      </c>
      <c r="G1124" s="10" t="s">
        <v>606</v>
      </c>
      <c r="H1124" t="s">
        <v>36</v>
      </c>
    </row>
    <row r="1125" spans="1:8" x14ac:dyDescent="0.3">
      <c r="A1125" t="s">
        <v>213</v>
      </c>
      <c r="B1125" s="2">
        <v>46113</v>
      </c>
      <c r="C1125" t="s">
        <v>919</v>
      </c>
      <c r="D1125">
        <v>0</v>
      </c>
      <c r="E1125" t="s">
        <v>33</v>
      </c>
      <c r="F1125" t="s">
        <v>33</v>
      </c>
      <c r="G1125" s="10" t="s">
        <v>606</v>
      </c>
      <c r="H1125" t="s">
        <v>36</v>
      </c>
    </row>
    <row r="1126" spans="1:8" x14ac:dyDescent="0.3">
      <c r="A1126" t="s">
        <v>213</v>
      </c>
      <c r="B1126" s="2">
        <v>46143</v>
      </c>
      <c r="C1126" t="s">
        <v>911</v>
      </c>
      <c r="D1126">
        <v>0</v>
      </c>
      <c r="E1126" t="s">
        <v>33</v>
      </c>
      <c r="F1126" t="s">
        <v>33</v>
      </c>
      <c r="G1126" s="10" t="s">
        <v>338</v>
      </c>
      <c r="H1126" t="s">
        <v>36</v>
      </c>
    </row>
    <row r="1127" spans="1:8" x14ac:dyDescent="0.3">
      <c r="A1127" t="s">
        <v>157</v>
      </c>
      <c r="B1127" s="2">
        <v>46174</v>
      </c>
      <c r="C1127" s="10"/>
    </row>
    <row r="1128" spans="1:8" x14ac:dyDescent="0.3">
      <c r="A1128" t="s">
        <v>157</v>
      </c>
      <c r="B1128" s="2">
        <v>46204</v>
      </c>
      <c r="C1128" s="10">
        <v>31</v>
      </c>
      <c r="D1128">
        <v>0</v>
      </c>
      <c r="E1128" t="s">
        <v>33</v>
      </c>
      <c r="F1128" t="s">
        <v>33</v>
      </c>
      <c r="G1128" t="s">
        <v>932</v>
      </c>
      <c r="H1128" t="s">
        <v>36</v>
      </c>
    </row>
    <row r="1129" spans="1:8" x14ac:dyDescent="0.3">
      <c r="A1129" t="s">
        <v>213</v>
      </c>
      <c r="B1129" s="2">
        <v>46235</v>
      </c>
      <c r="C1129" s="10"/>
    </row>
    <row r="1130" spans="1:8" x14ac:dyDescent="0.3">
      <c r="A1130" t="s">
        <v>216</v>
      </c>
      <c r="B1130" s="2">
        <v>45536</v>
      </c>
      <c r="C1130" s="10"/>
    </row>
    <row r="1131" spans="1:8" x14ac:dyDescent="0.3">
      <c r="A1131" t="s">
        <v>216</v>
      </c>
      <c r="B1131" s="2">
        <v>45566</v>
      </c>
      <c r="C1131" s="10"/>
    </row>
    <row r="1132" spans="1:8" x14ac:dyDescent="0.3">
      <c r="A1132" t="s">
        <v>216</v>
      </c>
      <c r="B1132" s="2">
        <v>45597</v>
      </c>
      <c r="C1132" s="10"/>
    </row>
    <row r="1133" spans="1:8" x14ac:dyDescent="0.3">
      <c r="A1133" t="s">
        <v>216</v>
      </c>
      <c r="B1133" s="2">
        <v>45627</v>
      </c>
      <c r="C1133" s="10"/>
    </row>
    <row r="1134" spans="1:8" x14ac:dyDescent="0.3">
      <c r="A1134" t="s">
        <v>216</v>
      </c>
      <c r="B1134" s="2">
        <v>45658</v>
      </c>
      <c r="C1134" s="10"/>
    </row>
    <row r="1135" spans="1:8" x14ac:dyDescent="0.3">
      <c r="A1135" t="s">
        <v>216</v>
      </c>
      <c r="B1135" s="2">
        <v>45689</v>
      </c>
      <c r="C1135" s="10"/>
    </row>
    <row r="1136" spans="1:8" x14ac:dyDescent="0.3">
      <c r="A1136" t="s">
        <v>216</v>
      </c>
      <c r="B1136" s="2">
        <v>45717</v>
      </c>
      <c r="C1136" s="10"/>
    </row>
    <row r="1137" spans="1:8" x14ac:dyDescent="0.3">
      <c r="A1137" t="s">
        <v>216</v>
      </c>
      <c r="B1137" s="2">
        <v>45748</v>
      </c>
      <c r="C1137" s="10"/>
    </row>
    <row r="1138" spans="1:8" x14ac:dyDescent="0.3">
      <c r="A1138" t="s">
        <v>216</v>
      </c>
      <c r="B1138" s="2">
        <v>45778</v>
      </c>
      <c r="C1138" s="10"/>
    </row>
    <row r="1139" spans="1:8" x14ac:dyDescent="0.3">
      <c r="A1139" t="s">
        <v>216</v>
      </c>
      <c r="B1139" s="2">
        <v>45809</v>
      </c>
      <c r="C1139" s="10"/>
    </row>
    <row r="1140" spans="1:8" x14ac:dyDescent="0.3">
      <c r="A1140" t="s">
        <v>216</v>
      </c>
      <c r="B1140" s="2">
        <v>45839</v>
      </c>
      <c r="C1140" s="10"/>
    </row>
    <row r="1141" spans="1:8" x14ac:dyDescent="0.3">
      <c r="A1141" t="s">
        <v>216</v>
      </c>
      <c r="B1141" s="2">
        <v>45870</v>
      </c>
      <c r="C1141" s="10"/>
    </row>
    <row r="1142" spans="1:8" ht="43.2" customHeight="1" x14ac:dyDescent="0.3">
      <c r="A1142" t="s">
        <v>216</v>
      </c>
      <c r="B1142" s="2">
        <v>45901</v>
      </c>
      <c r="C1142" s="10" t="s">
        <v>607</v>
      </c>
    </row>
    <row r="1143" spans="1:8" ht="43.2" customHeight="1" x14ac:dyDescent="0.3">
      <c r="A1143" t="s">
        <v>216</v>
      </c>
      <c r="B1143" s="2">
        <v>45931</v>
      </c>
      <c r="C1143" s="10" t="s">
        <v>608</v>
      </c>
    </row>
    <row r="1144" spans="1:8" ht="43.2" customHeight="1" x14ac:dyDescent="0.3">
      <c r="A1144" t="s">
        <v>216</v>
      </c>
      <c r="B1144" s="2">
        <v>45962</v>
      </c>
      <c r="C1144" s="10" t="s">
        <v>609</v>
      </c>
    </row>
    <row r="1145" spans="1:8" x14ac:dyDescent="0.3">
      <c r="A1145" t="s">
        <v>216</v>
      </c>
      <c r="B1145" s="2">
        <v>45992</v>
      </c>
      <c r="C1145" s="10" t="s">
        <v>326</v>
      </c>
    </row>
    <row r="1146" spans="1:8" x14ac:dyDescent="0.3">
      <c r="A1146" t="s">
        <v>216</v>
      </c>
      <c r="B1146" s="2">
        <v>46023</v>
      </c>
      <c r="C1146" s="10" t="s">
        <v>338</v>
      </c>
    </row>
    <row r="1147" spans="1:8" x14ac:dyDescent="0.3">
      <c r="A1147" t="s">
        <v>216</v>
      </c>
      <c r="B1147" s="2">
        <v>46054</v>
      </c>
      <c r="C1147" s="10" t="s">
        <v>326</v>
      </c>
    </row>
    <row r="1148" spans="1:8" ht="28.8" x14ac:dyDescent="0.3">
      <c r="A1148" t="s">
        <v>216</v>
      </c>
      <c r="B1148" s="2">
        <v>46082</v>
      </c>
      <c r="C1148" s="10" t="s">
        <v>606</v>
      </c>
    </row>
    <row r="1149" spans="1:8" ht="28.8" x14ac:dyDescent="0.3">
      <c r="A1149" t="s">
        <v>216</v>
      </c>
      <c r="B1149" s="2">
        <v>46113</v>
      </c>
      <c r="C1149" s="10" t="s">
        <v>606</v>
      </c>
    </row>
    <row r="1150" spans="1:8" x14ac:dyDescent="0.3">
      <c r="A1150" t="s">
        <v>216</v>
      </c>
      <c r="B1150" s="2">
        <v>46143</v>
      </c>
      <c r="C1150" s="10" t="s">
        <v>302</v>
      </c>
    </row>
    <row r="1151" spans="1:8" x14ac:dyDescent="0.3">
      <c r="A1151" t="s">
        <v>160</v>
      </c>
      <c r="B1151" s="2">
        <v>46174</v>
      </c>
      <c r="C1151" t="s">
        <v>919</v>
      </c>
      <c r="D1151">
        <v>0</v>
      </c>
      <c r="E1151" t="s">
        <v>33</v>
      </c>
      <c r="F1151" t="s">
        <v>33</v>
      </c>
      <c r="G1151" s="10" t="s">
        <v>338</v>
      </c>
      <c r="H1151" t="s">
        <v>36</v>
      </c>
    </row>
    <row r="1152" spans="1:8" x14ac:dyDescent="0.3">
      <c r="A1152" t="s">
        <v>160</v>
      </c>
      <c r="B1152" s="2">
        <v>46204</v>
      </c>
      <c r="C1152" s="10">
        <v>31</v>
      </c>
      <c r="D1152">
        <v>0</v>
      </c>
      <c r="E1152" t="s">
        <v>33</v>
      </c>
      <c r="F1152" t="s">
        <v>33</v>
      </c>
      <c r="G1152" t="s">
        <v>1014</v>
      </c>
      <c r="H1152" t="s">
        <v>36</v>
      </c>
    </row>
    <row r="1153" spans="1:8" x14ac:dyDescent="0.3">
      <c r="A1153" t="s">
        <v>216</v>
      </c>
      <c r="B1153" s="2">
        <v>46235</v>
      </c>
      <c r="C1153" s="10"/>
    </row>
    <row r="1154" spans="1:8" x14ac:dyDescent="0.3">
      <c r="A1154" t="s">
        <v>218</v>
      </c>
      <c r="B1154" s="2">
        <v>45536</v>
      </c>
      <c r="C1154" s="10"/>
    </row>
    <row r="1155" spans="1:8" x14ac:dyDescent="0.3">
      <c r="A1155" t="s">
        <v>218</v>
      </c>
      <c r="B1155" s="2">
        <v>45566</v>
      </c>
      <c r="C1155" s="10"/>
    </row>
    <row r="1156" spans="1:8" x14ac:dyDescent="0.3">
      <c r="A1156" t="s">
        <v>218</v>
      </c>
      <c r="B1156" s="2">
        <v>45597</v>
      </c>
      <c r="C1156" s="10"/>
    </row>
    <row r="1157" spans="1:8" x14ac:dyDescent="0.3">
      <c r="A1157" t="s">
        <v>218</v>
      </c>
      <c r="B1157" s="2">
        <v>45627</v>
      </c>
      <c r="C1157" s="10"/>
    </row>
    <row r="1158" spans="1:8" x14ac:dyDescent="0.3">
      <c r="A1158" t="s">
        <v>218</v>
      </c>
      <c r="B1158" s="2">
        <v>45658</v>
      </c>
      <c r="C1158" s="10"/>
    </row>
    <row r="1159" spans="1:8" x14ac:dyDescent="0.3">
      <c r="A1159" t="s">
        <v>218</v>
      </c>
      <c r="B1159" s="2">
        <v>45689</v>
      </c>
      <c r="C1159" s="10"/>
    </row>
    <row r="1160" spans="1:8" x14ac:dyDescent="0.3">
      <c r="A1160" t="s">
        <v>218</v>
      </c>
      <c r="B1160" s="2">
        <v>45717</v>
      </c>
      <c r="C1160" s="10"/>
    </row>
    <row r="1161" spans="1:8" x14ac:dyDescent="0.3">
      <c r="A1161" t="s">
        <v>218</v>
      </c>
      <c r="B1161" s="2">
        <v>45748</v>
      </c>
      <c r="C1161" s="10"/>
    </row>
    <row r="1162" spans="1:8" x14ac:dyDescent="0.3">
      <c r="A1162" t="s">
        <v>218</v>
      </c>
      <c r="B1162" s="2">
        <v>45778</v>
      </c>
      <c r="C1162" s="10"/>
    </row>
    <row r="1163" spans="1:8" x14ac:dyDescent="0.3">
      <c r="A1163" t="s">
        <v>218</v>
      </c>
      <c r="B1163" s="2">
        <v>45809</v>
      </c>
      <c r="C1163" s="10"/>
    </row>
    <row r="1164" spans="1:8" x14ac:dyDescent="0.3">
      <c r="A1164" t="s">
        <v>218</v>
      </c>
      <c r="B1164" s="2">
        <v>45839</v>
      </c>
      <c r="C1164" s="10"/>
    </row>
    <row r="1165" spans="1:8" x14ac:dyDescent="0.3">
      <c r="A1165" t="s">
        <v>218</v>
      </c>
      <c r="B1165" s="2">
        <v>45870</v>
      </c>
      <c r="C1165" t="s">
        <v>968</v>
      </c>
      <c r="D1165" t="s">
        <v>969</v>
      </c>
      <c r="E1165" t="s">
        <v>970</v>
      </c>
      <c r="F1165" t="s">
        <v>33</v>
      </c>
      <c r="G1165" t="s">
        <v>33</v>
      </c>
      <c r="H1165" t="s">
        <v>36</v>
      </c>
    </row>
    <row r="1166" spans="1:8" ht="43.2" customHeight="1" x14ac:dyDescent="0.3">
      <c r="A1166" t="s">
        <v>218</v>
      </c>
      <c r="B1166" s="2">
        <v>45901</v>
      </c>
      <c r="C1166" t="s">
        <v>919</v>
      </c>
      <c r="D1166">
        <v>0</v>
      </c>
      <c r="E1166" t="s">
        <v>33</v>
      </c>
      <c r="F1166" t="s">
        <v>33</v>
      </c>
      <c r="G1166" s="10" t="s">
        <v>338</v>
      </c>
      <c r="H1166" t="s">
        <v>36</v>
      </c>
    </row>
    <row r="1167" spans="1:8" ht="43.2" customHeight="1" x14ac:dyDescent="0.3">
      <c r="A1167" t="s">
        <v>218</v>
      </c>
      <c r="B1167" s="2">
        <v>45931</v>
      </c>
      <c r="C1167" t="s">
        <v>911</v>
      </c>
      <c r="D1167">
        <v>0</v>
      </c>
      <c r="E1167" t="s">
        <v>33</v>
      </c>
      <c r="F1167" t="s">
        <v>33</v>
      </c>
      <c r="G1167" s="10" t="s">
        <v>338</v>
      </c>
      <c r="H1167" t="s">
        <v>36</v>
      </c>
    </row>
    <row r="1168" spans="1:8" ht="43.2" customHeight="1" x14ac:dyDescent="0.3">
      <c r="A1168" t="s">
        <v>218</v>
      </c>
      <c r="B1168" s="2">
        <v>45962</v>
      </c>
      <c r="C1168" t="s">
        <v>919</v>
      </c>
      <c r="D1168">
        <v>0</v>
      </c>
      <c r="E1168" t="s">
        <v>33</v>
      </c>
      <c r="F1168" t="s">
        <v>33</v>
      </c>
      <c r="G1168" s="10" t="s">
        <v>338</v>
      </c>
      <c r="H1168" t="s">
        <v>36</v>
      </c>
    </row>
    <row r="1169" spans="1:8" x14ac:dyDescent="0.3">
      <c r="A1169" t="s">
        <v>218</v>
      </c>
      <c r="B1169" s="2">
        <v>45992</v>
      </c>
      <c r="C1169" t="s">
        <v>911</v>
      </c>
      <c r="D1169">
        <v>0</v>
      </c>
      <c r="E1169" t="s">
        <v>33</v>
      </c>
      <c r="F1169" t="s">
        <v>33</v>
      </c>
      <c r="G1169" s="10" t="s">
        <v>338</v>
      </c>
      <c r="H1169" t="s">
        <v>36</v>
      </c>
    </row>
    <row r="1170" spans="1:8" x14ac:dyDescent="0.3">
      <c r="A1170" t="s">
        <v>218</v>
      </c>
      <c r="B1170" s="2">
        <v>46023</v>
      </c>
      <c r="C1170" t="s">
        <v>911</v>
      </c>
      <c r="D1170">
        <v>0</v>
      </c>
      <c r="E1170" t="s">
        <v>33</v>
      </c>
      <c r="F1170" t="s">
        <v>33</v>
      </c>
      <c r="G1170" s="10" t="s">
        <v>338</v>
      </c>
      <c r="H1170" t="s">
        <v>36</v>
      </c>
    </row>
    <row r="1171" spans="1:8" x14ac:dyDescent="0.3">
      <c r="A1171" t="s">
        <v>218</v>
      </c>
      <c r="B1171" s="2">
        <v>46054</v>
      </c>
      <c r="C1171" t="s">
        <v>895</v>
      </c>
      <c r="D1171">
        <v>0</v>
      </c>
      <c r="E1171" t="s">
        <v>33</v>
      </c>
      <c r="F1171" t="s">
        <v>33</v>
      </c>
      <c r="G1171" s="10" t="s">
        <v>338</v>
      </c>
      <c r="H1171" t="s">
        <v>36</v>
      </c>
    </row>
    <row r="1172" spans="1:8" x14ac:dyDescent="0.3">
      <c r="A1172" t="s">
        <v>218</v>
      </c>
      <c r="B1172" s="2">
        <v>46082</v>
      </c>
      <c r="C1172" t="s">
        <v>911</v>
      </c>
      <c r="D1172">
        <v>0</v>
      </c>
      <c r="E1172" t="s">
        <v>33</v>
      </c>
      <c r="F1172" t="s">
        <v>33</v>
      </c>
      <c r="G1172" s="10" t="s">
        <v>606</v>
      </c>
      <c r="H1172" t="s">
        <v>36</v>
      </c>
    </row>
    <row r="1173" spans="1:8" x14ac:dyDescent="0.3">
      <c r="A1173" t="s">
        <v>218</v>
      </c>
      <c r="B1173" s="2">
        <v>46113</v>
      </c>
      <c r="C1173" t="s">
        <v>919</v>
      </c>
      <c r="D1173">
        <v>0</v>
      </c>
      <c r="E1173" t="s">
        <v>33</v>
      </c>
      <c r="F1173" t="s">
        <v>33</v>
      </c>
      <c r="G1173" s="10" t="s">
        <v>606</v>
      </c>
      <c r="H1173" t="s">
        <v>36</v>
      </c>
    </row>
    <row r="1174" spans="1:8" x14ac:dyDescent="0.3">
      <c r="A1174" t="s">
        <v>218</v>
      </c>
      <c r="B1174" s="2">
        <v>46143</v>
      </c>
      <c r="C1174" t="s">
        <v>911</v>
      </c>
      <c r="D1174">
        <v>0</v>
      </c>
      <c r="E1174" t="s">
        <v>33</v>
      </c>
      <c r="F1174" t="s">
        <v>33</v>
      </c>
      <c r="G1174" s="10" t="s">
        <v>338</v>
      </c>
      <c r="H1174" t="s">
        <v>36</v>
      </c>
    </row>
    <row r="1175" spans="1:8" x14ac:dyDescent="0.3">
      <c r="A1175" t="s">
        <v>244</v>
      </c>
      <c r="B1175" s="2">
        <v>46174</v>
      </c>
      <c r="C1175" s="10"/>
    </row>
    <row r="1176" spans="1:8" x14ac:dyDescent="0.3">
      <c r="A1176" t="s">
        <v>244</v>
      </c>
      <c r="B1176" s="2">
        <v>46204</v>
      </c>
      <c r="C1176" s="10">
        <v>31</v>
      </c>
      <c r="D1176">
        <v>0</v>
      </c>
      <c r="E1176" t="s">
        <v>33</v>
      </c>
      <c r="F1176" t="s">
        <v>33</v>
      </c>
      <c r="G1176" t="s">
        <v>932</v>
      </c>
      <c r="H1176" t="s">
        <v>36</v>
      </c>
    </row>
    <row r="1177" spans="1:8" x14ac:dyDescent="0.3">
      <c r="A1177" t="s">
        <v>218</v>
      </c>
      <c r="B1177" s="2">
        <v>46235</v>
      </c>
      <c r="C1177" s="10"/>
    </row>
    <row r="1178" spans="1:8" x14ac:dyDescent="0.3">
      <c r="A1178" t="s">
        <v>163</v>
      </c>
      <c r="B1178" s="2">
        <v>45536</v>
      </c>
      <c r="C1178" s="10"/>
    </row>
    <row r="1179" spans="1:8" x14ac:dyDescent="0.3">
      <c r="A1179" t="s">
        <v>163</v>
      </c>
      <c r="B1179" s="2">
        <v>45566</v>
      </c>
      <c r="C1179" s="10"/>
    </row>
    <row r="1180" spans="1:8" x14ac:dyDescent="0.3">
      <c r="A1180" t="s">
        <v>163</v>
      </c>
      <c r="B1180" s="2">
        <v>45597</v>
      </c>
      <c r="C1180" s="10"/>
    </row>
    <row r="1181" spans="1:8" x14ac:dyDescent="0.3">
      <c r="A1181" t="s">
        <v>163</v>
      </c>
      <c r="B1181" s="2">
        <v>45627</v>
      </c>
      <c r="C1181" s="10"/>
    </row>
    <row r="1182" spans="1:8" x14ac:dyDescent="0.3">
      <c r="A1182" t="s">
        <v>163</v>
      </c>
      <c r="B1182" s="2">
        <v>45658</v>
      </c>
      <c r="C1182" s="10"/>
    </row>
    <row r="1183" spans="1:8" x14ac:dyDescent="0.3">
      <c r="A1183" t="s">
        <v>163</v>
      </c>
      <c r="B1183" s="2">
        <v>45689</v>
      </c>
      <c r="C1183" s="10" t="s">
        <v>610</v>
      </c>
    </row>
    <row r="1184" spans="1:8" ht="28.95" customHeight="1" x14ac:dyDescent="0.3">
      <c r="A1184" t="s">
        <v>163</v>
      </c>
      <c r="B1184" s="2">
        <v>45717</v>
      </c>
      <c r="C1184" s="10" t="s">
        <v>611</v>
      </c>
    </row>
    <row r="1185" spans="1:8" ht="28.95" customHeight="1" x14ac:dyDescent="0.3">
      <c r="A1185" t="s">
        <v>163</v>
      </c>
      <c r="B1185" s="2">
        <v>45748</v>
      </c>
      <c r="C1185" s="10" t="s">
        <v>612</v>
      </c>
    </row>
    <row r="1186" spans="1:8" ht="72" customHeight="1" x14ac:dyDescent="0.3">
      <c r="A1186" t="s">
        <v>163</v>
      </c>
      <c r="B1186" s="2">
        <v>45778</v>
      </c>
      <c r="C1186" s="10" t="s">
        <v>613</v>
      </c>
    </row>
    <row r="1187" spans="1:8" ht="72" customHeight="1" x14ac:dyDescent="0.3">
      <c r="A1187" t="s">
        <v>163</v>
      </c>
      <c r="B1187" s="2">
        <v>45809</v>
      </c>
      <c r="C1187" s="10" t="s">
        <v>614</v>
      </c>
    </row>
    <row r="1188" spans="1:8" ht="72" customHeight="1" x14ac:dyDescent="0.3">
      <c r="A1188" t="s">
        <v>163</v>
      </c>
      <c r="B1188" s="2">
        <v>45839</v>
      </c>
      <c r="C1188" s="10" t="s">
        <v>615</v>
      </c>
    </row>
    <row r="1189" spans="1:8" ht="72" customHeight="1" x14ac:dyDescent="0.3">
      <c r="A1189" t="s">
        <v>163</v>
      </c>
      <c r="B1189" s="2">
        <v>45870</v>
      </c>
      <c r="C1189" s="10" t="s">
        <v>616</v>
      </c>
    </row>
    <row r="1190" spans="1:8" ht="72" customHeight="1" x14ac:dyDescent="0.3">
      <c r="A1190" t="s">
        <v>163</v>
      </c>
      <c r="B1190" s="2">
        <v>45901</v>
      </c>
      <c r="C1190" s="10" t="s">
        <v>617</v>
      </c>
    </row>
    <row r="1191" spans="1:8" ht="57.6" customHeight="1" x14ac:dyDescent="0.3">
      <c r="A1191" t="s">
        <v>163</v>
      </c>
      <c r="B1191" s="2">
        <v>45931</v>
      </c>
      <c r="C1191" s="10" t="s">
        <v>618</v>
      </c>
    </row>
    <row r="1192" spans="1:8" x14ac:dyDescent="0.3">
      <c r="A1192" t="s">
        <v>163</v>
      </c>
      <c r="B1192" s="2">
        <v>45962</v>
      </c>
      <c r="C1192" s="10" t="s">
        <v>619</v>
      </c>
    </row>
    <row r="1193" spans="1:8" x14ac:dyDescent="0.3">
      <c r="A1193" t="s">
        <v>163</v>
      </c>
      <c r="B1193" s="2">
        <v>45992</v>
      </c>
      <c r="C1193" s="10" t="s">
        <v>619</v>
      </c>
    </row>
    <row r="1194" spans="1:8" x14ac:dyDescent="0.3">
      <c r="A1194" t="s">
        <v>163</v>
      </c>
      <c r="B1194" s="2">
        <v>46023</v>
      </c>
      <c r="C1194" s="10" t="s">
        <v>619</v>
      </c>
    </row>
    <row r="1195" spans="1:8" x14ac:dyDescent="0.3">
      <c r="A1195" t="s">
        <v>163</v>
      </c>
      <c r="B1195" s="2">
        <v>46054</v>
      </c>
      <c r="C1195" s="10" t="s">
        <v>619</v>
      </c>
    </row>
    <row r="1196" spans="1:8" x14ac:dyDescent="0.3">
      <c r="A1196" t="s">
        <v>163</v>
      </c>
      <c r="B1196" s="2">
        <v>46082</v>
      </c>
      <c r="C1196" s="10" t="s">
        <v>619</v>
      </c>
    </row>
    <row r="1197" spans="1:8" x14ac:dyDescent="0.3">
      <c r="A1197" t="s">
        <v>163</v>
      </c>
      <c r="B1197" s="2">
        <v>46113</v>
      </c>
      <c r="C1197" s="10" t="s">
        <v>619</v>
      </c>
    </row>
    <row r="1198" spans="1:8" x14ac:dyDescent="0.3">
      <c r="A1198" t="s">
        <v>163</v>
      </c>
      <c r="B1198" s="2">
        <v>46143</v>
      </c>
      <c r="C1198" s="10" t="s">
        <v>859</v>
      </c>
    </row>
    <row r="1199" spans="1:8" x14ac:dyDescent="0.3">
      <c r="A1199" t="s">
        <v>163</v>
      </c>
      <c r="B1199" s="2">
        <v>46174</v>
      </c>
      <c r="C1199" s="10"/>
    </row>
    <row r="1200" spans="1:8" x14ac:dyDescent="0.3">
      <c r="A1200" t="s">
        <v>163</v>
      </c>
      <c r="B1200" s="2">
        <v>46204</v>
      </c>
      <c r="C1200" s="10" t="s">
        <v>36</v>
      </c>
      <c r="D1200" t="s">
        <v>36</v>
      </c>
      <c r="E1200" t="s">
        <v>1040</v>
      </c>
      <c r="F1200" t="s">
        <v>36</v>
      </c>
      <c r="G1200" t="s">
        <v>36</v>
      </c>
      <c r="H1200" t="s">
        <v>36</v>
      </c>
    </row>
    <row r="1201" spans="1:3" x14ac:dyDescent="0.3">
      <c r="A1201" t="s">
        <v>163</v>
      </c>
      <c r="B1201" s="2">
        <v>46235</v>
      </c>
      <c r="C1201" s="10"/>
    </row>
    <row r="1202" spans="1:3" ht="28.8" x14ac:dyDescent="0.3">
      <c r="A1202" t="s">
        <v>166</v>
      </c>
      <c r="B1202" s="2">
        <v>45536</v>
      </c>
      <c r="C1202" s="10" t="s">
        <v>620</v>
      </c>
    </row>
    <row r="1203" spans="1:3" x14ac:dyDescent="0.3">
      <c r="A1203" t="s">
        <v>166</v>
      </c>
      <c r="B1203" s="2">
        <v>45566</v>
      </c>
      <c r="C1203" s="10"/>
    </row>
    <row r="1204" spans="1:3" x14ac:dyDescent="0.3">
      <c r="A1204" t="s">
        <v>166</v>
      </c>
      <c r="B1204" s="2">
        <v>45597</v>
      </c>
      <c r="C1204" s="10"/>
    </row>
    <row r="1205" spans="1:3" x14ac:dyDescent="0.3">
      <c r="A1205" t="s">
        <v>166</v>
      </c>
      <c r="B1205" s="2">
        <v>45627</v>
      </c>
      <c r="C1205" s="10"/>
    </row>
    <row r="1206" spans="1:3" x14ac:dyDescent="0.3">
      <c r="A1206" t="s">
        <v>166</v>
      </c>
      <c r="B1206" s="2">
        <v>45658</v>
      </c>
      <c r="C1206" s="10"/>
    </row>
    <row r="1207" spans="1:3" ht="28.8" x14ac:dyDescent="0.3">
      <c r="A1207" t="s">
        <v>166</v>
      </c>
      <c r="B1207" s="2">
        <v>45689</v>
      </c>
      <c r="C1207" s="10" t="s">
        <v>621</v>
      </c>
    </row>
    <row r="1208" spans="1:3" ht="28.95" customHeight="1" x14ac:dyDescent="0.3">
      <c r="A1208" t="s">
        <v>166</v>
      </c>
      <c r="B1208" s="2">
        <v>45717</v>
      </c>
      <c r="C1208" s="10" t="s">
        <v>622</v>
      </c>
    </row>
    <row r="1209" spans="1:3" ht="72" customHeight="1" x14ac:dyDescent="0.3">
      <c r="A1209" t="s">
        <v>166</v>
      </c>
      <c r="B1209" s="2">
        <v>45748</v>
      </c>
      <c r="C1209" s="10" t="s">
        <v>623</v>
      </c>
    </row>
    <row r="1210" spans="1:3" ht="72" customHeight="1" x14ac:dyDescent="0.3">
      <c r="A1210" t="s">
        <v>166</v>
      </c>
      <c r="B1210" s="2">
        <v>45778</v>
      </c>
      <c r="C1210" s="10" t="s">
        <v>624</v>
      </c>
    </row>
    <row r="1211" spans="1:3" ht="72" customHeight="1" x14ac:dyDescent="0.3">
      <c r="A1211" t="s">
        <v>166</v>
      </c>
      <c r="B1211" s="2">
        <v>45809</v>
      </c>
      <c r="C1211" s="10" t="s">
        <v>625</v>
      </c>
    </row>
    <row r="1212" spans="1:3" ht="72" customHeight="1" x14ac:dyDescent="0.3">
      <c r="A1212" t="s">
        <v>166</v>
      </c>
      <c r="B1212" s="2">
        <v>45839</v>
      </c>
      <c r="C1212" s="10" t="s">
        <v>626</v>
      </c>
    </row>
    <row r="1213" spans="1:3" ht="57.6" customHeight="1" x14ac:dyDescent="0.3">
      <c r="A1213" t="s">
        <v>166</v>
      </c>
      <c r="B1213" s="2">
        <v>45870</v>
      </c>
      <c r="C1213" s="10" t="s">
        <v>627</v>
      </c>
    </row>
    <row r="1214" spans="1:3" ht="57.6" customHeight="1" x14ac:dyDescent="0.3">
      <c r="A1214" t="s">
        <v>166</v>
      </c>
      <c r="B1214" s="2">
        <v>45901</v>
      </c>
      <c r="C1214" s="10" t="s">
        <v>628</v>
      </c>
    </row>
    <row r="1215" spans="1:3" ht="57.6" customHeight="1" x14ac:dyDescent="0.3">
      <c r="A1215" t="s">
        <v>166</v>
      </c>
      <c r="B1215" s="2">
        <v>45931</v>
      </c>
      <c r="C1215" s="10" t="s">
        <v>629</v>
      </c>
    </row>
    <row r="1216" spans="1:3" ht="57.6" customHeight="1" x14ac:dyDescent="0.3">
      <c r="A1216" t="s">
        <v>166</v>
      </c>
      <c r="B1216" s="2">
        <v>45962</v>
      </c>
      <c r="C1216" s="10" t="s">
        <v>630</v>
      </c>
    </row>
    <row r="1217" spans="1:8" ht="28.8" x14ac:dyDescent="0.3">
      <c r="A1217" t="s">
        <v>166</v>
      </c>
      <c r="B1217" s="2">
        <v>45992</v>
      </c>
      <c r="C1217" s="10" t="s">
        <v>631</v>
      </c>
    </row>
    <row r="1218" spans="1:8" x14ac:dyDescent="0.3">
      <c r="A1218" t="s">
        <v>166</v>
      </c>
      <c r="B1218" s="2">
        <v>46023</v>
      </c>
      <c r="C1218" s="10" t="s">
        <v>632</v>
      </c>
    </row>
    <row r="1219" spans="1:8" ht="43.2" x14ac:dyDescent="0.3">
      <c r="A1219" t="s">
        <v>166</v>
      </c>
      <c r="B1219" s="2">
        <v>46054</v>
      </c>
      <c r="C1219" s="10" t="s">
        <v>314</v>
      </c>
    </row>
    <row r="1220" spans="1:8" x14ac:dyDescent="0.3">
      <c r="A1220" t="s">
        <v>166</v>
      </c>
      <c r="B1220" s="2">
        <v>46082</v>
      </c>
      <c r="C1220" s="10" t="s">
        <v>632</v>
      </c>
    </row>
    <row r="1221" spans="1:8" x14ac:dyDescent="0.3">
      <c r="A1221" t="s">
        <v>166</v>
      </c>
      <c r="B1221" s="2">
        <v>46113</v>
      </c>
      <c r="C1221" s="10" t="s">
        <v>632</v>
      </c>
    </row>
    <row r="1222" spans="1:8" x14ac:dyDescent="0.3">
      <c r="A1222" t="s">
        <v>166</v>
      </c>
      <c r="B1222" s="2">
        <v>46143</v>
      </c>
      <c r="C1222" s="10" t="s">
        <v>852</v>
      </c>
    </row>
    <row r="1223" spans="1:8" x14ac:dyDescent="0.3">
      <c r="A1223" t="s">
        <v>166</v>
      </c>
      <c r="B1223" s="2">
        <v>46174</v>
      </c>
      <c r="C1223" s="10"/>
    </row>
    <row r="1224" spans="1:8" x14ac:dyDescent="0.3">
      <c r="A1224" t="s">
        <v>166</v>
      </c>
      <c r="B1224" s="2">
        <v>46204</v>
      </c>
      <c r="C1224" s="10">
        <v>31</v>
      </c>
      <c r="D1224">
        <v>0</v>
      </c>
      <c r="E1224" t="s">
        <v>33</v>
      </c>
      <c r="F1224" t="s">
        <v>1042</v>
      </c>
      <c r="G1224" t="s">
        <v>932</v>
      </c>
      <c r="H1224" t="s">
        <v>36</v>
      </c>
    </row>
    <row r="1225" spans="1:8" x14ac:dyDescent="0.3">
      <c r="A1225" t="s">
        <v>166</v>
      </c>
      <c r="B1225" s="2">
        <v>46235</v>
      </c>
      <c r="C1225" s="10"/>
    </row>
    <row r="1226" spans="1:8" x14ac:dyDescent="0.3">
      <c r="A1226" t="s">
        <v>169</v>
      </c>
      <c r="B1226" s="2">
        <v>45536</v>
      </c>
      <c r="C1226" s="10" t="s">
        <v>633</v>
      </c>
    </row>
    <row r="1227" spans="1:8" x14ac:dyDescent="0.3">
      <c r="A1227" t="s">
        <v>169</v>
      </c>
      <c r="B1227" s="2">
        <v>45566</v>
      </c>
      <c r="C1227" s="10"/>
    </row>
    <row r="1228" spans="1:8" x14ac:dyDescent="0.3">
      <c r="A1228" t="s">
        <v>169</v>
      </c>
      <c r="B1228" s="2">
        <v>45597</v>
      </c>
      <c r="C1228" s="10"/>
    </row>
    <row r="1229" spans="1:8" x14ac:dyDescent="0.3">
      <c r="A1229" t="s">
        <v>169</v>
      </c>
      <c r="B1229" s="2">
        <v>45627</v>
      </c>
      <c r="C1229" s="10"/>
    </row>
    <row r="1230" spans="1:8" x14ac:dyDescent="0.3">
      <c r="A1230" t="s">
        <v>169</v>
      </c>
      <c r="B1230" s="2">
        <v>45658</v>
      </c>
      <c r="C1230" s="10"/>
    </row>
    <row r="1231" spans="1:8" x14ac:dyDescent="0.3">
      <c r="A1231" t="s">
        <v>169</v>
      </c>
      <c r="B1231" s="2">
        <v>45689</v>
      </c>
      <c r="C1231" s="10" t="s">
        <v>634</v>
      </c>
    </row>
    <row r="1232" spans="1:8" x14ac:dyDescent="0.3">
      <c r="A1232" t="s">
        <v>169</v>
      </c>
      <c r="B1232" s="2">
        <v>45717</v>
      </c>
      <c r="C1232" s="10" t="s">
        <v>634</v>
      </c>
    </row>
    <row r="1233" spans="1:8" x14ac:dyDescent="0.3">
      <c r="A1233" t="s">
        <v>169</v>
      </c>
      <c r="B1233" s="2">
        <v>45748</v>
      </c>
      <c r="C1233" s="10" t="s">
        <v>634</v>
      </c>
    </row>
    <row r="1234" spans="1:8" ht="57.6" customHeight="1" x14ac:dyDescent="0.3">
      <c r="A1234" t="s">
        <v>169</v>
      </c>
      <c r="B1234" s="2">
        <v>45778</v>
      </c>
      <c r="C1234" s="10" t="s">
        <v>635</v>
      </c>
    </row>
    <row r="1235" spans="1:8" ht="57.6" customHeight="1" x14ac:dyDescent="0.3">
      <c r="A1235" t="s">
        <v>169</v>
      </c>
      <c r="B1235" s="2">
        <v>45809</v>
      </c>
      <c r="C1235" s="10" t="s">
        <v>636</v>
      </c>
    </row>
    <row r="1236" spans="1:8" ht="57.6" customHeight="1" x14ac:dyDescent="0.3">
      <c r="A1236" t="s">
        <v>169</v>
      </c>
      <c r="B1236" s="2">
        <v>45839</v>
      </c>
      <c r="C1236" s="10" t="s">
        <v>637</v>
      </c>
    </row>
    <row r="1237" spans="1:8" ht="57.6" customHeight="1" x14ac:dyDescent="0.3">
      <c r="A1237" t="s">
        <v>169</v>
      </c>
      <c r="B1237" s="2">
        <v>45870</v>
      </c>
      <c r="C1237" s="10" t="s">
        <v>638</v>
      </c>
    </row>
    <row r="1238" spans="1:8" ht="57.6" customHeight="1" x14ac:dyDescent="0.3">
      <c r="A1238" t="s">
        <v>169</v>
      </c>
      <c r="B1238" s="2">
        <v>45901</v>
      </c>
      <c r="C1238" s="10" t="s">
        <v>639</v>
      </c>
    </row>
    <row r="1239" spans="1:8" ht="57.6" customHeight="1" x14ac:dyDescent="0.3">
      <c r="A1239" t="s">
        <v>169</v>
      </c>
      <c r="B1239" s="2">
        <v>45931</v>
      </c>
      <c r="C1239" s="10" t="s">
        <v>640</v>
      </c>
    </row>
    <row r="1240" spans="1:8" ht="57.6" customHeight="1" x14ac:dyDescent="0.3">
      <c r="A1240" t="s">
        <v>169</v>
      </c>
      <c r="B1240" s="2">
        <v>45962</v>
      </c>
      <c r="C1240" s="10" t="s">
        <v>641</v>
      </c>
    </row>
    <row r="1241" spans="1:8" ht="28.8" x14ac:dyDescent="0.3">
      <c r="A1241" t="s">
        <v>169</v>
      </c>
      <c r="B1241" s="2">
        <v>45992</v>
      </c>
      <c r="C1241" s="10" t="s">
        <v>642</v>
      </c>
    </row>
    <row r="1242" spans="1:8" ht="28.8" x14ac:dyDescent="0.3">
      <c r="A1242" t="s">
        <v>169</v>
      </c>
      <c r="B1242" s="2">
        <v>46023</v>
      </c>
      <c r="C1242" s="10" t="s">
        <v>642</v>
      </c>
    </row>
    <row r="1243" spans="1:8" ht="28.8" x14ac:dyDescent="0.3">
      <c r="A1243" t="s">
        <v>169</v>
      </c>
      <c r="B1243" s="2">
        <v>46054</v>
      </c>
      <c r="C1243" s="10" t="s">
        <v>642</v>
      </c>
    </row>
    <row r="1244" spans="1:8" x14ac:dyDescent="0.3">
      <c r="A1244" t="s">
        <v>169</v>
      </c>
      <c r="B1244" s="2">
        <v>46082</v>
      </c>
      <c r="C1244" s="10" t="s">
        <v>632</v>
      </c>
    </row>
    <row r="1245" spans="1:8" x14ac:dyDescent="0.3">
      <c r="A1245" t="s">
        <v>169</v>
      </c>
      <c r="B1245" s="2">
        <v>46113</v>
      </c>
      <c r="C1245" s="10" t="s">
        <v>632</v>
      </c>
    </row>
    <row r="1246" spans="1:8" x14ac:dyDescent="0.3">
      <c r="A1246" t="s">
        <v>169</v>
      </c>
      <c r="B1246" s="2">
        <v>46143</v>
      </c>
      <c r="C1246" s="10" t="s">
        <v>852</v>
      </c>
    </row>
    <row r="1247" spans="1:8" x14ac:dyDescent="0.3">
      <c r="A1247" t="s">
        <v>169</v>
      </c>
      <c r="B1247" s="2">
        <v>46174</v>
      </c>
      <c r="C1247" s="10"/>
    </row>
    <row r="1248" spans="1:8" x14ac:dyDescent="0.3">
      <c r="A1248" t="s">
        <v>169</v>
      </c>
      <c r="B1248" s="2">
        <v>46204</v>
      </c>
      <c r="C1248" s="10">
        <v>31</v>
      </c>
      <c r="D1248">
        <v>0</v>
      </c>
      <c r="E1248" t="s">
        <v>33</v>
      </c>
      <c r="F1248" t="s">
        <v>1042</v>
      </c>
      <c r="G1248" t="s">
        <v>932</v>
      </c>
      <c r="H1248" t="s">
        <v>36</v>
      </c>
    </row>
    <row r="1249" spans="1:3" x14ac:dyDescent="0.3">
      <c r="A1249" t="s">
        <v>169</v>
      </c>
      <c r="B1249" s="2">
        <v>46235</v>
      </c>
      <c r="C1249" s="10"/>
    </row>
    <row r="1250" spans="1:3" x14ac:dyDescent="0.3">
      <c r="A1250" t="s">
        <v>171</v>
      </c>
      <c r="B1250" s="2">
        <v>45536</v>
      </c>
      <c r="C1250" s="10"/>
    </row>
    <row r="1251" spans="1:3" ht="28.8" x14ac:dyDescent="0.3">
      <c r="A1251" t="s">
        <v>171</v>
      </c>
      <c r="B1251" s="2">
        <v>45566</v>
      </c>
      <c r="C1251" s="10" t="s">
        <v>643</v>
      </c>
    </row>
    <row r="1252" spans="1:3" x14ac:dyDescent="0.3">
      <c r="A1252" t="s">
        <v>171</v>
      </c>
      <c r="B1252" s="2">
        <v>45597</v>
      </c>
      <c r="C1252" s="10"/>
    </row>
    <row r="1253" spans="1:3" x14ac:dyDescent="0.3">
      <c r="A1253" t="s">
        <v>171</v>
      </c>
      <c r="B1253" s="2">
        <v>45627</v>
      </c>
      <c r="C1253" s="10"/>
    </row>
    <row r="1254" spans="1:3" x14ac:dyDescent="0.3">
      <c r="A1254" t="s">
        <v>171</v>
      </c>
      <c r="B1254" s="2">
        <v>45658</v>
      </c>
      <c r="C1254" s="10"/>
    </row>
    <row r="1255" spans="1:3" x14ac:dyDescent="0.3">
      <c r="A1255" t="s">
        <v>171</v>
      </c>
      <c r="B1255" s="2">
        <v>45689</v>
      </c>
      <c r="C1255" s="10" t="s">
        <v>644</v>
      </c>
    </row>
    <row r="1256" spans="1:3" x14ac:dyDescent="0.3">
      <c r="A1256" t="s">
        <v>171</v>
      </c>
      <c r="B1256" s="2">
        <v>45717</v>
      </c>
      <c r="C1256" s="10" t="s">
        <v>644</v>
      </c>
    </row>
    <row r="1257" spans="1:3" ht="57.6" customHeight="1" x14ac:dyDescent="0.3">
      <c r="A1257" t="s">
        <v>171</v>
      </c>
      <c r="B1257" s="2">
        <v>45748</v>
      </c>
      <c r="C1257" s="10" t="s">
        <v>645</v>
      </c>
    </row>
    <row r="1258" spans="1:3" ht="57.6" customHeight="1" x14ac:dyDescent="0.3">
      <c r="A1258" t="s">
        <v>171</v>
      </c>
      <c r="B1258" s="2">
        <v>45778</v>
      </c>
      <c r="C1258" s="10" t="s">
        <v>646</v>
      </c>
    </row>
    <row r="1259" spans="1:3" ht="57.6" customHeight="1" x14ac:dyDescent="0.3">
      <c r="A1259" t="s">
        <v>171</v>
      </c>
      <c r="B1259" s="2">
        <v>45809</v>
      </c>
      <c r="C1259" s="10" t="s">
        <v>647</v>
      </c>
    </row>
    <row r="1260" spans="1:3" ht="57.6" customHeight="1" x14ac:dyDescent="0.3">
      <c r="A1260" t="s">
        <v>171</v>
      </c>
      <c r="B1260" s="2">
        <v>45839</v>
      </c>
      <c r="C1260" s="10" t="s">
        <v>648</v>
      </c>
    </row>
    <row r="1261" spans="1:3" ht="57.6" customHeight="1" x14ac:dyDescent="0.3">
      <c r="A1261" t="s">
        <v>171</v>
      </c>
      <c r="B1261" s="2">
        <v>45870</v>
      </c>
      <c r="C1261" s="10" t="s">
        <v>649</v>
      </c>
    </row>
    <row r="1262" spans="1:3" ht="57.6" customHeight="1" x14ac:dyDescent="0.3">
      <c r="A1262" t="s">
        <v>171</v>
      </c>
      <c r="B1262" s="2">
        <v>45901</v>
      </c>
      <c r="C1262" s="10" t="s">
        <v>650</v>
      </c>
    </row>
    <row r="1263" spans="1:3" ht="57.6" customHeight="1" x14ac:dyDescent="0.3">
      <c r="A1263" t="s">
        <v>171</v>
      </c>
      <c r="B1263" s="2">
        <v>45931</v>
      </c>
      <c r="C1263" s="10" t="s">
        <v>651</v>
      </c>
    </row>
    <row r="1264" spans="1:3" ht="57.6" customHeight="1" x14ac:dyDescent="0.3">
      <c r="A1264" t="s">
        <v>171</v>
      </c>
      <c r="B1264" s="2">
        <v>45962</v>
      </c>
      <c r="C1264" s="10" t="s">
        <v>652</v>
      </c>
    </row>
    <row r="1265" spans="1:8" x14ac:dyDescent="0.3">
      <c r="A1265" t="s">
        <v>171</v>
      </c>
      <c r="B1265" s="2">
        <v>45992</v>
      </c>
      <c r="C1265" s="10" t="s">
        <v>598</v>
      </c>
    </row>
    <row r="1266" spans="1:8" x14ac:dyDescent="0.3">
      <c r="A1266" t="s">
        <v>171</v>
      </c>
      <c r="B1266" s="2">
        <v>46023</v>
      </c>
      <c r="C1266" s="10" t="s">
        <v>338</v>
      </c>
    </row>
    <row r="1267" spans="1:8" x14ac:dyDescent="0.3">
      <c r="A1267" t="s">
        <v>171</v>
      </c>
      <c r="B1267" s="2">
        <v>46054</v>
      </c>
      <c r="C1267" s="10" t="s">
        <v>326</v>
      </c>
    </row>
    <row r="1268" spans="1:8" x14ac:dyDescent="0.3">
      <c r="A1268" t="s">
        <v>171</v>
      </c>
      <c r="B1268" s="2">
        <v>46082</v>
      </c>
      <c r="C1268" s="10" t="s">
        <v>326</v>
      </c>
    </row>
    <row r="1269" spans="1:8" x14ac:dyDescent="0.3">
      <c r="A1269" t="s">
        <v>171</v>
      </c>
      <c r="B1269" s="2">
        <v>46113</v>
      </c>
      <c r="C1269" s="10" t="s">
        <v>302</v>
      </c>
    </row>
    <row r="1270" spans="1:8" x14ac:dyDescent="0.3">
      <c r="A1270" t="s">
        <v>171</v>
      </c>
      <c r="B1270" s="2">
        <v>46143</v>
      </c>
      <c r="C1270" s="10" t="s">
        <v>302</v>
      </c>
    </row>
    <row r="1271" spans="1:8" x14ac:dyDescent="0.3">
      <c r="A1271" t="s">
        <v>171</v>
      </c>
      <c r="B1271" s="2">
        <v>46174</v>
      </c>
      <c r="C1271" s="10"/>
    </row>
    <row r="1272" spans="1:8" x14ac:dyDescent="0.3">
      <c r="A1272" t="s">
        <v>171</v>
      </c>
      <c r="B1272" s="2">
        <v>46204</v>
      </c>
      <c r="C1272" s="10">
        <v>31</v>
      </c>
      <c r="D1272">
        <v>0</v>
      </c>
      <c r="E1272" t="s">
        <v>33</v>
      </c>
      <c r="F1272" t="s">
        <v>33</v>
      </c>
      <c r="G1272" t="s">
        <v>1014</v>
      </c>
      <c r="H1272" t="s">
        <v>36</v>
      </c>
    </row>
    <row r="1273" spans="1:8" x14ac:dyDescent="0.3">
      <c r="A1273" t="s">
        <v>171</v>
      </c>
      <c r="B1273" s="2">
        <v>46235</v>
      </c>
      <c r="C1273" s="10"/>
    </row>
    <row r="1274" spans="1:8" x14ac:dyDescent="0.3">
      <c r="A1274" t="s">
        <v>172</v>
      </c>
      <c r="B1274" s="2">
        <v>45536</v>
      </c>
      <c r="C1274" s="10"/>
    </row>
    <row r="1275" spans="1:8" x14ac:dyDescent="0.3">
      <c r="A1275" t="s">
        <v>172</v>
      </c>
      <c r="B1275" s="2">
        <v>45566</v>
      </c>
      <c r="C1275" s="10"/>
    </row>
    <row r="1276" spans="1:8" x14ac:dyDescent="0.3">
      <c r="A1276" t="s">
        <v>172</v>
      </c>
      <c r="B1276" s="2">
        <v>45597</v>
      </c>
      <c r="C1276" s="10"/>
    </row>
    <row r="1277" spans="1:8" x14ac:dyDescent="0.3">
      <c r="A1277" t="s">
        <v>172</v>
      </c>
      <c r="B1277" s="2">
        <v>45627</v>
      </c>
      <c r="C1277" s="10"/>
    </row>
    <row r="1278" spans="1:8" x14ac:dyDescent="0.3">
      <c r="A1278" t="s">
        <v>172</v>
      </c>
      <c r="B1278" s="2">
        <v>45658</v>
      </c>
      <c r="C1278" s="10"/>
    </row>
    <row r="1279" spans="1:8" x14ac:dyDescent="0.3">
      <c r="A1279" t="s">
        <v>172</v>
      </c>
      <c r="B1279" s="2">
        <v>45689</v>
      </c>
      <c r="C1279" s="10" t="s">
        <v>653</v>
      </c>
    </row>
    <row r="1280" spans="1:8" ht="28.95" customHeight="1" x14ac:dyDescent="0.3">
      <c r="A1280" t="s">
        <v>172</v>
      </c>
      <c r="B1280" s="2">
        <v>45717</v>
      </c>
      <c r="C1280" s="10" t="s">
        <v>654</v>
      </c>
    </row>
    <row r="1281" spans="1:8" ht="28.95" customHeight="1" x14ac:dyDescent="0.3">
      <c r="A1281" t="s">
        <v>172</v>
      </c>
      <c r="B1281" s="2">
        <v>45748</v>
      </c>
      <c r="C1281" s="10" t="s">
        <v>654</v>
      </c>
    </row>
    <row r="1282" spans="1:8" ht="57.6" customHeight="1" x14ac:dyDescent="0.3">
      <c r="A1282" t="s">
        <v>172</v>
      </c>
      <c r="B1282" s="2">
        <v>45778</v>
      </c>
      <c r="C1282" s="10" t="s">
        <v>655</v>
      </c>
    </row>
    <row r="1283" spans="1:8" ht="57.6" customHeight="1" x14ac:dyDescent="0.3">
      <c r="A1283" t="s">
        <v>172</v>
      </c>
      <c r="B1283" s="2">
        <v>45809</v>
      </c>
      <c r="C1283" s="10" t="s">
        <v>656</v>
      </c>
    </row>
    <row r="1284" spans="1:8" ht="57.6" customHeight="1" x14ac:dyDescent="0.3">
      <c r="A1284" t="s">
        <v>172</v>
      </c>
      <c r="B1284" s="2">
        <v>45839</v>
      </c>
      <c r="C1284" s="10" t="s">
        <v>657</v>
      </c>
    </row>
    <row r="1285" spans="1:8" ht="57.6" customHeight="1" x14ac:dyDescent="0.3">
      <c r="A1285" t="s">
        <v>172</v>
      </c>
      <c r="B1285" s="2">
        <v>45870</v>
      </c>
      <c r="C1285" s="10" t="s">
        <v>658</v>
      </c>
    </row>
    <row r="1286" spans="1:8" ht="57.6" customHeight="1" x14ac:dyDescent="0.3">
      <c r="A1286" t="s">
        <v>172</v>
      </c>
      <c r="B1286" s="2">
        <v>45901</v>
      </c>
      <c r="C1286" s="10" t="s">
        <v>659</v>
      </c>
    </row>
    <row r="1287" spans="1:8" ht="57.6" customHeight="1" x14ac:dyDescent="0.3">
      <c r="A1287" t="s">
        <v>172</v>
      </c>
      <c r="B1287" s="2">
        <v>45931</v>
      </c>
      <c r="C1287" s="10" t="s">
        <v>660</v>
      </c>
    </row>
    <row r="1288" spans="1:8" ht="57.6" customHeight="1" x14ac:dyDescent="0.3">
      <c r="A1288" t="s">
        <v>172</v>
      </c>
      <c r="B1288" s="2">
        <v>45962</v>
      </c>
      <c r="C1288" s="10" t="s">
        <v>661</v>
      </c>
    </row>
    <row r="1289" spans="1:8" x14ac:dyDescent="0.3">
      <c r="A1289" t="s">
        <v>172</v>
      </c>
      <c r="B1289" s="2">
        <v>45992</v>
      </c>
      <c r="C1289" s="10" t="s">
        <v>598</v>
      </c>
    </row>
    <row r="1290" spans="1:8" ht="28.8" x14ac:dyDescent="0.3">
      <c r="A1290" t="s">
        <v>172</v>
      </c>
      <c r="B1290" s="2">
        <v>46023</v>
      </c>
      <c r="C1290" s="10" t="s">
        <v>662</v>
      </c>
    </row>
    <row r="1291" spans="1:8" ht="28.8" x14ac:dyDescent="0.3">
      <c r="A1291" t="s">
        <v>172</v>
      </c>
      <c r="B1291" s="2">
        <v>46054</v>
      </c>
      <c r="C1291" s="10" t="s">
        <v>662</v>
      </c>
    </row>
    <row r="1292" spans="1:8" ht="43.2" x14ac:dyDescent="0.3">
      <c r="A1292" t="s">
        <v>172</v>
      </c>
      <c r="B1292" s="2">
        <v>46082</v>
      </c>
      <c r="C1292" s="10" t="s">
        <v>663</v>
      </c>
    </row>
    <row r="1293" spans="1:8" ht="28.8" x14ac:dyDescent="0.3">
      <c r="A1293" t="s">
        <v>172</v>
      </c>
      <c r="B1293" s="2">
        <v>46113</v>
      </c>
      <c r="C1293" s="10" t="s">
        <v>664</v>
      </c>
    </row>
    <row r="1294" spans="1:8" ht="28.8" x14ac:dyDescent="0.3">
      <c r="A1294" t="s">
        <v>172</v>
      </c>
      <c r="B1294" s="2">
        <v>46143</v>
      </c>
      <c r="C1294" s="10" t="s">
        <v>867</v>
      </c>
    </row>
    <row r="1295" spans="1:8" x14ac:dyDescent="0.3">
      <c r="A1295" t="s">
        <v>172</v>
      </c>
      <c r="B1295" s="2">
        <v>46174</v>
      </c>
      <c r="C1295" s="10"/>
    </row>
    <row r="1296" spans="1:8" x14ac:dyDescent="0.3">
      <c r="A1296" t="s">
        <v>172</v>
      </c>
      <c r="B1296" s="2">
        <v>46204</v>
      </c>
      <c r="C1296" s="10">
        <v>31</v>
      </c>
      <c r="D1296">
        <v>0</v>
      </c>
      <c r="E1296" t="s">
        <v>33</v>
      </c>
      <c r="F1296" t="s">
        <v>1042</v>
      </c>
      <c r="G1296" t="s">
        <v>932</v>
      </c>
      <c r="H1296" t="s">
        <v>36</v>
      </c>
    </row>
    <row r="1297" spans="1:3" x14ac:dyDescent="0.3">
      <c r="A1297" t="s">
        <v>172</v>
      </c>
      <c r="B1297" s="2">
        <v>46235</v>
      </c>
      <c r="C1297" s="10"/>
    </row>
    <row r="1298" spans="1:3" x14ac:dyDescent="0.3">
      <c r="A1298" t="s">
        <v>177</v>
      </c>
      <c r="B1298" s="2">
        <v>45536</v>
      </c>
      <c r="C1298" s="10"/>
    </row>
    <row r="1299" spans="1:3" x14ac:dyDescent="0.3">
      <c r="A1299" t="s">
        <v>177</v>
      </c>
      <c r="B1299" s="2">
        <v>45566</v>
      </c>
      <c r="C1299" s="10"/>
    </row>
    <row r="1300" spans="1:3" x14ac:dyDescent="0.3">
      <c r="A1300" t="s">
        <v>177</v>
      </c>
      <c r="B1300" s="2">
        <v>45597</v>
      </c>
      <c r="C1300" s="10"/>
    </row>
    <row r="1301" spans="1:3" x14ac:dyDescent="0.3">
      <c r="A1301" t="s">
        <v>177</v>
      </c>
      <c r="B1301" s="2">
        <v>45627</v>
      </c>
      <c r="C1301" s="10"/>
    </row>
    <row r="1302" spans="1:3" x14ac:dyDescent="0.3">
      <c r="A1302" t="s">
        <v>177</v>
      </c>
      <c r="B1302" s="2">
        <v>45658</v>
      </c>
      <c r="C1302" s="10"/>
    </row>
    <row r="1303" spans="1:3" x14ac:dyDescent="0.3">
      <c r="A1303" t="s">
        <v>177</v>
      </c>
      <c r="B1303" s="2">
        <v>45689</v>
      </c>
      <c r="C1303" s="10" t="s">
        <v>665</v>
      </c>
    </row>
    <row r="1304" spans="1:3" x14ac:dyDescent="0.3">
      <c r="A1304" t="s">
        <v>177</v>
      </c>
      <c r="B1304" s="2">
        <v>45717</v>
      </c>
      <c r="C1304" s="10" t="s">
        <v>665</v>
      </c>
    </row>
    <row r="1305" spans="1:3" x14ac:dyDescent="0.3">
      <c r="A1305" t="s">
        <v>177</v>
      </c>
      <c r="B1305" s="2">
        <v>45748</v>
      </c>
      <c r="C1305" s="10" t="s">
        <v>665</v>
      </c>
    </row>
    <row r="1306" spans="1:3" ht="57.6" customHeight="1" x14ac:dyDescent="0.3">
      <c r="A1306" t="s">
        <v>177</v>
      </c>
      <c r="B1306" s="2">
        <v>45778</v>
      </c>
      <c r="C1306" s="10" t="s">
        <v>666</v>
      </c>
    </row>
    <row r="1307" spans="1:3" ht="57.6" customHeight="1" x14ac:dyDescent="0.3">
      <c r="A1307" t="s">
        <v>177</v>
      </c>
      <c r="B1307" s="2">
        <v>45809</v>
      </c>
      <c r="C1307" s="10" t="s">
        <v>667</v>
      </c>
    </row>
    <row r="1308" spans="1:3" ht="57.6" customHeight="1" x14ac:dyDescent="0.3">
      <c r="A1308" t="s">
        <v>177</v>
      </c>
      <c r="B1308" s="2">
        <v>45839</v>
      </c>
      <c r="C1308" s="10" t="s">
        <v>668</v>
      </c>
    </row>
    <row r="1309" spans="1:3" ht="57.6" customHeight="1" x14ac:dyDescent="0.3">
      <c r="A1309" t="s">
        <v>177</v>
      </c>
      <c r="B1309" s="2">
        <v>45870</v>
      </c>
      <c r="C1309" s="10" t="s">
        <v>669</v>
      </c>
    </row>
    <row r="1310" spans="1:3" ht="57.6" customHeight="1" x14ac:dyDescent="0.3">
      <c r="A1310" t="s">
        <v>177</v>
      </c>
      <c r="B1310" s="2">
        <v>45901</v>
      </c>
      <c r="C1310" s="10" t="s">
        <v>670</v>
      </c>
    </row>
    <row r="1311" spans="1:3" ht="57.6" customHeight="1" x14ac:dyDescent="0.3">
      <c r="A1311" t="s">
        <v>177</v>
      </c>
      <c r="B1311" s="2">
        <v>45931</v>
      </c>
      <c r="C1311" s="10" t="s">
        <v>671</v>
      </c>
    </row>
    <row r="1312" spans="1:3" ht="57.6" customHeight="1" x14ac:dyDescent="0.3">
      <c r="A1312" t="s">
        <v>177</v>
      </c>
      <c r="B1312" s="2">
        <v>45962</v>
      </c>
      <c r="C1312" s="10" t="s">
        <v>672</v>
      </c>
    </row>
    <row r="1313" spans="1:8" ht="28.8" x14ac:dyDescent="0.3">
      <c r="A1313" t="s">
        <v>177</v>
      </c>
      <c r="B1313" s="2">
        <v>45992</v>
      </c>
      <c r="C1313" s="10" t="s">
        <v>673</v>
      </c>
    </row>
    <row r="1314" spans="1:8" x14ac:dyDescent="0.3">
      <c r="A1314" t="s">
        <v>177</v>
      </c>
      <c r="B1314" s="2">
        <v>46023</v>
      </c>
      <c r="C1314" s="10" t="s">
        <v>674</v>
      </c>
    </row>
    <row r="1315" spans="1:8" x14ac:dyDescent="0.3">
      <c r="A1315" t="s">
        <v>177</v>
      </c>
      <c r="B1315" s="2">
        <v>46054</v>
      </c>
      <c r="C1315" s="10" t="s">
        <v>326</v>
      </c>
    </row>
    <row r="1316" spans="1:8" x14ac:dyDescent="0.3">
      <c r="A1316" t="s">
        <v>177</v>
      </c>
      <c r="B1316" s="2">
        <v>46082</v>
      </c>
      <c r="C1316" s="10" t="s">
        <v>326</v>
      </c>
    </row>
    <row r="1317" spans="1:8" x14ac:dyDescent="0.3">
      <c r="A1317" t="s">
        <v>177</v>
      </c>
      <c r="B1317" s="2">
        <v>46113</v>
      </c>
      <c r="C1317" s="10" t="s">
        <v>302</v>
      </c>
    </row>
    <row r="1318" spans="1:8" x14ac:dyDescent="0.3">
      <c r="A1318" t="s">
        <v>177</v>
      </c>
      <c r="B1318" s="2">
        <v>46143</v>
      </c>
      <c r="C1318" s="10" t="s">
        <v>302</v>
      </c>
    </row>
    <row r="1319" spans="1:8" x14ac:dyDescent="0.3">
      <c r="A1319" t="s">
        <v>265</v>
      </c>
      <c r="B1319" s="2">
        <v>46204</v>
      </c>
      <c r="C1319" s="10">
        <v>0</v>
      </c>
      <c r="D1319">
        <v>31</v>
      </c>
      <c r="E1319" t="s">
        <v>1043</v>
      </c>
      <c r="F1319" t="s">
        <v>33</v>
      </c>
      <c r="G1319" t="s">
        <v>1044</v>
      </c>
      <c r="H1319" t="s">
        <v>1045</v>
      </c>
    </row>
    <row r="1320" spans="1:8" x14ac:dyDescent="0.3">
      <c r="A1320" t="s">
        <v>265</v>
      </c>
      <c r="B1320" s="2">
        <v>46174</v>
      </c>
      <c r="C1320" s="10"/>
    </row>
    <row r="1321" spans="1:8" x14ac:dyDescent="0.3">
      <c r="A1321" t="s">
        <v>177</v>
      </c>
      <c r="B1321" s="2">
        <v>46235</v>
      </c>
      <c r="C1321" s="10"/>
    </row>
    <row r="1322" spans="1:8" x14ac:dyDescent="0.3">
      <c r="A1322" t="s">
        <v>265</v>
      </c>
      <c r="B1322" s="2">
        <v>45536</v>
      </c>
      <c r="C1322" s="10"/>
    </row>
    <row r="1323" spans="1:8" x14ac:dyDescent="0.3">
      <c r="A1323" t="s">
        <v>265</v>
      </c>
      <c r="B1323" s="2">
        <v>45566</v>
      </c>
      <c r="C1323" s="10" t="s">
        <v>675</v>
      </c>
    </row>
    <row r="1324" spans="1:8" x14ac:dyDescent="0.3">
      <c r="A1324" t="s">
        <v>265</v>
      </c>
      <c r="B1324" s="2">
        <v>45597</v>
      </c>
      <c r="C1324" s="10"/>
    </row>
    <row r="1325" spans="1:8" x14ac:dyDescent="0.3">
      <c r="A1325" t="s">
        <v>265</v>
      </c>
      <c r="B1325" s="2">
        <v>45627</v>
      </c>
      <c r="C1325" s="10"/>
    </row>
    <row r="1326" spans="1:8" x14ac:dyDescent="0.3">
      <c r="A1326" t="s">
        <v>265</v>
      </c>
      <c r="B1326" s="2">
        <v>45658</v>
      </c>
      <c r="C1326" s="10"/>
    </row>
    <row r="1327" spans="1:8" x14ac:dyDescent="0.3">
      <c r="A1327" t="s">
        <v>265</v>
      </c>
      <c r="B1327" s="2">
        <v>45689</v>
      </c>
      <c r="C1327" s="10" t="s">
        <v>676</v>
      </c>
    </row>
    <row r="1328" spans="1:8" ht="28.95" customHeight="1" x14ac:dyDescent="0.3">
      <c r="A1328" t="s">
        <v>265</v>
      </c>
      <c r="B1328" s="2">
        <v>45717</v>
      </c>
      <c r="C1328" s="10" t="s">
        <v>677</v>
      </c>
    </row>
    <row r="1329" spans="1:8" ht="28.95" customHeight="1" x14ac:dyDescent="0.3">
      <c r="A1329" t="s">
        <v>265</v>
      </c>
      <c r="B1329" s="2">
        <v>45748</v>
      </c>
      <c r="C1329" s="10" t="s">
        <v>677</v>
      </c>
    </row>
    <row r="1330" spans="1:8" ht="72" customHeight="1" x14ac:dyDescent="0.3">
      <c r="A1330" t="s">
        <v>265</v>
      </c>
      <c r="B1330" s="2">
        <v>45778</v>
      </c>
      <c r="C1330" s="10" t="s">
        <v>678</v>
      </c>
    </row>
    <row r="1331" spans="1:8" ht="57.6" customHeight="1" x14ac:dyDescent="0.3">
      <c r="A1331" t="s">
        <v>265</v>
      </c>
      <c r="B1331" s="2">
        <v>45809</v>
      </c>
      <c r="C1331" s="10" t="s">
        <v>679</v>
      </c>
    </row>
    <row r="1332" spans="1:8" ht="57.6" customHeight="1" x14ac:dyDescent="0.3">
      <c r="A1332" t="s">
        <v>265</v>
      </c>
      <c r="B1332" s="2">
        <v>45839</v>
      </c>
      <c r="C1332" s="10" t="s">
        <v>680</v>
      </c>
    </row>
    <row r="1333" spans="1:8" ht="57.6" customHeight="1" x14ac:dyDescent="0.3">
      <c r="A1333" t="s">
        <v>265</v>
      </c>
      <c r="B1333" s="2">
        <v>45870</v>
      </c>
      <c r="C1333" s="10" t="s">
        <v>681</v>
      </c>
    </row>
    <row r="1334" spans="1:8" ht="57.6" customHeight="1" x14ac:dyDescent="0.3">
      <c r="A1334" t="s">
        <v>265</v>
      </c>
      <c r="B1334" s="2">
        <v>45901</v>
      </c>
      <c r="C1334" s="10" t="s">
        <v>682</v>
      </c>
    </row>
    <row r="1335" spans="1:8" ht="57.6" customHeight="1" x14ac:dyDescent="0.3">
      <c r="A1335" t="s">
        <v>265</v>
      </c>
      <c r="B1335" s="2">
        <v>45931</v>
      </c>
      <c r="C1335" s="10" t="s">
        <v>683</v>
      </c>
    </row>
    <row r="1336" spans="1:8" ht="57.6" customHeight="1" x14ac:dyDescent="0.3">
      <c r="A1336" t="s">
        <v>265</v>
      </c>
      <c r="B1336" s="2">
        <v>45962</v>
      </c>
      <c r="C1336" s="10" t="s">
        <v>684</v>
      </c>
    </row>
    <row r="1337" spans="1:8" ht="28.8" x14ac:dyDescent="0.3">
      <c r="A1337" t="s">
        <v>265</v>
      </c>
      <c r="B1337" s="2">
        <v>45992</v>
      </c>
      <c r="C1337" s="10" t="s">
        <v>685</v>
      </c>
    </row>
    <row r="1338" spans="1:8" ht="28.8" x14ac:dyDescent="0.3">
      <c r="A1338" t="s">
        <v>265</v>
      </c>
      <c r="B1338" s="2">
        <v>46023</v>
      </c>
      <c r="C1338" s="10" t="s">
        <v>686</v>
      </c>
    </row>
    <row r="1339" spans="1:8" ht="28.8" x14ac:dyDescent="0.3">
      <c r="A1339" t="s">
        <v>265</v>
      </c>
      <c r="B1339" s="2">
        <v>46054</v>
      </c>
      <c r="C1339" s="10" t="s">
        <v>686</v>
      </c>
    </row>
    <row r="1340" spans="1:8" ht="28.8" x14ac:dyDescent="0.3">
      <c r="A1340" t="s">
        <v>265</v>
      </c>
      <c r="B1340" s="2">
        <v>46082</v>
      </c>
      <c r="C1340" s="10" t="s">
        <v>687</v>
      </c>
    </row>
    <row r="1341" spans="1:8" ht="28.8" x14ac:dyDescent="0.3">
      <c r="A1341" t="s">
        <v>265</v>
      </c>
      <c r="B1341" s="2">
        <v>46113</v>
      </c>
      <c r="C1341" s="10" t="s">
        <v>687</v>
      </c>
    </row>
    <row r="1342" spans="1:8" ht="28.8" x14ac:dyDescent="0.3">
      <c r="A1342" t="s">
        <v>265</v>
      </c>
      <c r="B1342" s="2">
        <v>46143</v>
      </c>
      <c r="C1342" s="10" t="s">
        <v>860</v>
      </c>
    </row>
    <row r="1343" spans="1:8" x14ac:dyDescent="0.3">
      <c r="A1343" t="s">
        <v>177</v>
      </c>
      <c r="B1343" s="2">
        <v>46174</v>
      </c>
      <c r="C1343" s="10"/>
    </row>
    <row r="1344" spans="1:8" x14ac:dyDescent="0.3">
      <c r="A1344" t="s">
        <v>177</v>
      </c>
      <c r="B1344" s="2">
        <v>46204</v>
      </c>
      <c r="C1344" s="10">
        <v>31</v>
      </c>
      <c r="D1344">
        <v>0</v>
      </c>
      <c r="E1344" t="s">
        <v>33</v>
      </c>
      <c r="F1344" t="s">
        <v>33</v>
      </c>
      <c r="G1344" t="s">
        <v>932</v>
      </c>
      <c r="H1344" t="s">
        <v>36</v>
      </c>
    </row>
    <row r="1345" spans="1:3" x14ac:dyDescent="0.3">
      <c r="A1345" t="s">
        <v>265</v>
      </c>
      <c r="B1345" s="2">
        <v>46235</v>
      </c>
      <c r="C1345" s="10"/>
    </row>
    <row r="1346" spans="1:3" x14ac:dyDescent="0.3">
      <c r="A1346" t="s">
        <v>180</v>
      </c>
      <c r="B1346" s="2">
        <v>45536</v>
      </c>
      <c r="C1346" s="10"/>
    </row>
    <row r="1347" spans="1:3" x14ac:dyDescent="0.3">
      <c r="A1347" t="s">
        <v>180</v>
      </c>
      <c r="B1347" s="2">
        <v>45566</v>
      </c>
      <c r="C1347" s="10"/>
    </row>
    <row r="1348" spans="1:3" x14ac:dyDescent="0.3">
      <c r="A1348" t="s">
        <v>180</v>
      </c>
      <c r="B1348" s="2">
        <v>45597</v>
      </c>
      <c r="C1348" s="10"/>
    </row>
    <row r="1349" spans="1:3" x14ac:dyDescent="0.3">
      <c r="A1349" t="s">
        <v>180</v>
      </c>
      <c r="B1349" s="2">
        <v>45627</v>
      </c>
      <c r="C1349" s="10"/>
    </row>
    <row r="1350" spans="1:3" x14ac:dyDescent="0.3">
      <c r="A1350" t="s">
        <v>180</v>
      </c>
      <c r="B1350" s="2">
        <v>45658</v>
      </c>
      <c r="C1350" s="10"/>
    </row>
    <row r="1351" spans="1:3" ht="28.8" x14ac:dyDescent="0.3">
      <c r="A1351" t="s">
        <v>180</v>
      </c>
      <c r="B1351" s="2">
        <v>45689</v>
      </c>
      <c r="C1351" s="10" t="s">
        <v>688</v>
      </c>
    </row>
    <row r="1352" spans="1:3" ht="28.8" x14ac:dyDescent="0.3">
      <c r="A1352" t="s">
        <v>180</v>
      </c>
      <c r="B1352" s="2">
        <v>45717</v>
      </c>
      <c r="C1352" s="10" t="s">
        <v>689</v>
      </c>
    </row>
    <row r="1353" spans="1:3" ht="28.8" x14ac:dyDescent="0.3">
      <c r="A1353" t="s">
        <v>180</v>
      </c>
      <c r="B1353" s="2">
        <v>45748</v>
      </c>
      <c r="C1353" s="10" t="s">
        <v>689</v>
      </c>
    </row>
    <row r="1354" spans="1:3" ht="57.6" customHeight="1" x14ac:dyDescent="0.3">
      <c r="A1354" t="s">
        <v>180</v>
      </c>
      <c r="B1354" s="2">
        <v>45778</v>
      </c>
      <c r="C1354" s="10" t="s">
        <v>690</v>
      </c>
    </row>
    <row r="1355" spans="1:3" ht="43.2" customHeight="1" x14ac:dyDescent="0.3">
      <c r="A1355" t="s">
        <v>180</v>
      </c>
      <c r="B1355" s="2">
        <v>45809</v>
      </c>
      <c r="C1355" s="10" t="s">
        <v>691</v>
      </c>
    </row>
    <row r="1356" spans="1:3" ht="57.6" customHeight="1" x14ac:dyDescent="0.3">
      <c r="A1356" t="s">
        <v>180</v>
      </c>
      <c r="B1356" s="2">
        <v>45839</v>
      </c>
      <c r="C1356" s="10" t="s">
        <v>692</v>
      </c>
    </row>
    <row r="1357" spans="1:3" ht="43.2" customHeight="1" x14ac:dyDescent="0.3">
      <c r="A1357" t="s">
        <v>180</v>
      </c>
      <c r="B1357" s="2">
        <v>45870</v>
      </c>
      <c r="C1357" s="10" t="s">
        <v>693</v>
      </c>
    </row>
    <row r="1358" spans="1:3" ht="43.2" customHeight="1" x14ac:dyDescent="0.3">
      <c r="A1358" t="s">
        <v>180</v>
      </c>
      <c r="B1358" s="2">
        <v>45901</v>
      </c>
      <c r="C1358" s="10" t="s">
        <v>694</v>
      </c>
    </row>
    <row r="1359" spans="1:3" ht="43.2" customHeight="1" x14ac:dyDescent="0.3">
      <c r="A1359" t="s">
        <v>180</v>
      </c>
      <c r="B1359" s="2">
        <v>45931</v>
      </c>
      <c r="C1359" s="10" t="s">
        <v>695</v>
      </c>
    </row>
    <row r="1360" spans="1:3" ht="43.2" customHeight="1" x14ac:dyDescent="0.3">
      <c r="A1360" t="s">
        <v>180</v>
      </c>
      <c r="B1360" s="2">
        <v>45962</v>
      </c>
      <c r="C1360" s="10" t="s">
        <v>696</v>
      </c>
    </row>
    <row r="1361" spans="1:8" x14ac:dyDescent="0.3">
      <c r="A1361" t="s">
        <v>180</v>
      </c>
      <c r="B1361" s="2">
        <v>45992</v>
      </c>
      <c r="C1361" s="10" t="s">
        <v>598</v>
      </c>
    </row>
    <row r="1362" spans="1:8" x14ac:dyDescent="0.3">
      <c r="A1362" t="s">
        <v>180</v>
      </c>
      <c r="B1362" s="2">
        <v>46023</v>
      </c>
      <c r="C1362" s="10" t="s">
        <v>338</v>
      </c>
    </row>
    <row r="1363" spans="1:8" x14ac:dyDescent="0.3">
      <c r="A1363" t="s">
        <v>180</v>
      </c>
      <c r="B1363" s="2">
        <v>46054</v>
      </c>
      <c r="C1363" s="10" t="s">
        <v>326</v>
      </c>
    </row>
    <row r="1364" spans="1:8" x14ac:dyDescent="0.3">
      <c r="A1364" t="s">
        <v>180</v>
      </c>
      <c r="B1364" s="2">
        <v>46082</v>
      </c>
      <c r="C1364" s="10" t="s">
        <v>326</v>
      </c>
    </row>
    <row r="1365" spans="1:8" x14ac:dyDescent="0.3">
      <c r="A1365" t="s">
        <v>180</v>
      </c>
      <c r="B1365" s="2">
        <v>46113</v>
      </c>
      <c r="C1365" s="10" t="s">
        <v>326</v>
      </c>
    </row>
    <row r="1366" spans="1:8" x14ac:dyDescent="0.3">
      <c r="A1366" t="s">
        <v>180</v>
      </c>
      <c r="B1366" s="2">
        <v>46143</v>
      </c>
      <c r="C1366" s="10" t="s">
        <v>302</v>
      </c>
    </row>
    <row r="1367" spans="1:8" x14ac:dyDescent="0.3">
      <c r="A1367" t="s">
        <v>180</v>
      </c>
      <c r="B1367" s="2">
        <v>46174</v>
      </c>
      <c r="C1367" s="10"/>
    </row>
    <row r="1368" spans="1:8" x14ac:dyDescent="0.3">
      <c r="A1368" t="s">
        <v>180</v>
      </c>
      <c r="B1368" s="2">
        <v>46204</v>
      </c>
      <c r="C1368" s="10">
        <v>31</v>
      </c>
      <c r="D1368">
        <v>0</v>
      </c>
      <c r="E1368" t="s">
        <v>33</v>
      </c>
      <c r="F1368" t="s">
        <v>33</v>
      </c>
      <c r="G1368" t="s">
        <v>1014</v>
      </c>
      <c r="H1368" t="s">
        <v>36</v>
      </c>
    </row>
    <row r="1369" spans="1:8" x14ac:dyDescent="0.3">
      <c r="A1369" t="s">
        <v>180</v>
      </c>
      <c r="B1369" s="2">
        <v>46235</v>
      </c>
      <c r="C1369" s="10"/>
    </row>
    <row r="1370" spans="1:8" x14ac:dyDescent="0.3">
      <c r="A1370" t="s">
        <v>241</v>
      </c>
      <c r="B1370" s="2">
        <v>45536</v>
      </c>
      <c r="C1370" s="10"/>
    </row>
    <row r="1371" spans="1:8" x14ac:dyDescent="0.3">
      <c r="A1371" t="s">
        <v>241</v>
      </c>
      <c r="B1371" s="2">
        <v>45566</v>
      </c>
      <c r="C1371" s="10"/>
    </row>
    <row r="1372" spans="1:8" x14ac:dyDescent="0.3">
      <c r="A1372" t="s">
        <v>241</v>
      </c>
      <c r="B1372" s="2">
        <v>45597</v>
      </c>
      <c r="C1372" s="10"/>
    </row>
    <row r="1373" spans="1:8" x14ac:dyDescent="0.3">
      <c r="A1373" t="s">
        <v>241</v>
      </c>
      <c r="B1373" s="2">
        <v>45627</v>
      </c>
      <c r="C1373" s="10"/>
    </row>
    <row r="1374" spans="1:8" x14ac:dyDescent="0.3">
      <c r="A1374" t="s">
        <v>241</v>
      </c>
      <c r="B1374" s="2">
        <v>45658</v>
      </c>
      <c r="C1374" s="10"/>
    </row>
    <row r="1375" spans="1:8" x14ac:dyDescent="0.3">
      <c r="A1375" t="s">
        <v>241</v>
      </c>
      <c r="B1375" s="2">
        <v>45689</v>
      </c>
      <c r="C1375" s="10"/>
    </row>
    <row r="1376" spans="1:8" x14ac:dyDescent="0.3">
      <c r="A1376" t="s">
        <v>241</v>
      </c>
      <c r="B1376" s="2">
        <v>45717</v>
      </c>
      <c r="C1376" s="10"/>
    </row>
    <row r="1377" spans="1:8" x14ac:dyDescent="0.3">
      <c r="A1377" t="s">
        <v>241</v>
      </c>
      <c r="B1377" s="2">
        <v>45748</v>
      </c>
      <c r="C1377" s="10"/>
    </row>
    <row r="1378" spans="1:8" x14ac:dyDescent="0.3">
      <c r="A1378" t="s">
        <v>241</v>
      </c>
      <c r="B1378" s="2">
        <v>45778</v>
      </c>
      <c r="C1378" s="10"/>
    </row>
    <row r="1379" spans="1:8" x14ac:dyDescent="0.3">
      <c r="A1379" t="s">
        <v>241</v>
      </c>
      <c r="B1379" s="2">
        <v>45809</v>
      </c>
      <c r="C1379" s="10"/>
    </row>
    <row r="1380" spans="1:8" x14ac:dyDescent="0.3">
      <c r="A1380" t="s">
        <v>241</v>
      </c>
      <c r="B1380" s="2">
        <v>45839</v>
      </c>
      <c r="C1380" s="10"/>
    </row>
    <row r="1381" spans="1:8" x14ac:dyDescent="0.3">
      <c r="A1381" t="s">
        <v>241</v>
      </c>
      <c r="B1381" s="2">
        <v>45870</v>
      </c>
      <c r="C1381" s="10"/>
    </row>
    <row r="1382" spans="1:8" x14ac:dyDescent="0.3">
      <c r="A1382" t="s">
        <v>241</v>
      </c>
      <c r="B1382" s="2">
        <v>45901</v>
      </c>
      <c r="C1382" s="10"/>
    </row>
    <row r="1383" spans="1:8" x14ac:dyDescent="0.3">
      <c r="A1383" t="s">
        <v>241</v>
      </c>
      <c r="B1383" s="2">
        <v>45931</v>
      </c>
      <c r="C1383" s="10"/>
    </row>
    <row r="1384" spans="1:8" x14ac:dyDescent="0.3">
      <c r="A1384" t="s">
        <v>241</v>
      </c>
      <c r="B1384" s="2">
        <v>45962</v>
      </c>
      <c r="C1384" s="10"/>
    </row>
    <row r="1385" spans="1:8" x14ac:dyDescent="0.3">
      <c r="A1385" t="s">
        <v>241</v>
      </c>
      <c r="B1385" s="2">
        <v>45992</v>
      </c>
      <c r="C1385" s="10"/>
    </row>
    <row r="1386" spans="1:8" x14ac:dyDescent="0.3">
      <c r="A1386" t="s">
        <v>241</v>
      </c>
      <c r="B1386" s="2">
        <v>46023</v>
      </c>
      <c r="C1386" s="10"/>
    </row>
    <row r="1387" spans="1:8" x14ac:dyDescent="0.3">
      <c r="A1387" t="s">
        <v>241</v>
      </c>
      <c r="B1387" s="2">
        <v>46054</v>
      </c>
      <c r="C1387" s="10"/>
    </row>
    <row r="1388" spans="1:8" x14ac:dyDescent="0.3">
      <c r="A1388" t="s">
        <v>241</v>
      </c>
      <c r="B1388" s="2">
        <v>46082</v>
      </c>
      <c r="C1388" s="10"/>
    </row>
    <row r="1389" spans="1:8" x14ac:dyDescent="0.3">
      <c r="A1389" t="s">
        <v>241</v>
      </c>
      <c r="B1389" s="2">
        <v>46113</v>
      </c>
      <c r="C1389" s="10" t="s">
        <v>459</v>
      </c>
    </row>
    <row r="1390" spans="1:8" ht="28.8" x14ac:dyDescent="0.3">
      <c r="A1390" t="s">
        <v>241</v>
      </c>
      <c r="B1390" s="2">
        <v>46143</v>
      </c>
      <c r="C1390" s="10" t="s">
        <v>866</v>
      </c>
    </row>
    <row r="1391" spans="1:8" x14ac:dyDescent="0.3">
      <c r="A1391" t="s">
        <v>241</v>
      </c>
      <c r="B1391" s="2">
        <v>46174</v>
      </c>
      <c r="C1391" s="10"/>
    </row>
    <row r="1392" spans="1:8" x14ac:dyDescent="0.3">
      <c r="A1392" t="s">
        <v>241</v>
      </c>
      <c r="B1392" s="2">
        <v>46204</v>
      </c>
      <c r="C1392" s="10">
        <v>31</v>
      </c>
      <c r="D1392">
        <v>0</v>
      </c>
      <c r="E1392" t="s">
        <v>33</v>
      </c>
      <c r="F1392" t="s">
        <v>33</v>
      </c>
      <c r="G1392" t="s">
        <v>1046</v>
      </c>
      <c r="H1392" t="s">
        <v>36</v>
      </c>
    </row>
    <row r="1393" spans="1:3" x14ac:dyDescent="0.3">
      <c r="A1393" t="s">
        <v>241</v>
      </c>
      <c r="B1393" s="2">
        <v>46235</v>
      </c>
      <c r="C1393" s="10"/>
    </row>
    <row r="1394" spans="1:3" x14ac:dyDescent="0.3">
      <c r="A1394" t="s">
        <v>182</v>
      </c>
      <c r="B1394" s="2">
        <v>45536</v>
      </c>
      <c r="C1394" s="10"/>
    </row>
    <row r="1395" spans="1:3" x14ac:dyDescent="0.3">
      <c r="A1395" t="s">
        <v>182</v>
      </c>
      <c r="B1395" s="2">
        <v>45566</v>
      </c>
      <c r="C1395" s="10"/>
    </row>
    <row r="1396" spans="1:3" x14ac:dyDescent="0.3">
      <c r="A1396" t="s">
        <v>182</v>
      </c>
      <c r="B1396" s="2">
        <v>45597</v>
      </c>
      <c r="C1396" s="10"/>
    </row>
    <row r="1397" spans="1:3" x14ac:dyDescent="0.3">
      <c r="A1397" t="s">
        <v>182</v>
      </c>
      <c r="B1397" s="2">
        <v>45627</v>
      </c>
      <c r="C1397" s="10"/>
    </row>
    <row r="1398" spans="1:3" x14ac:dyDescent="0.3">
      <c r="A1398" t="s">
        <v>182</v>
      </c>
      <c r="B1398" s="2">
        <v>45658</v>
      </c>
      <c r="C1398" s="10"/>
    </row>
    <row r="1399" spans="1:3" x14ac:dyDescent="0.3">
      <c r="A1399" t="s">
        <v>182</v>
      </c>
      <c r="B1399" s="2">
        <v>45689</v>
      </c>
      <c r="C1399" s="10"/>
    </row>
    <row r="1400" spans="1:3" x14ac:dyDescent="0.3">
      <c r="A1400" t="s">
        <v>182</v>
      </c>
      <c r="B1400" s="2">
        <v>45717</v>
      </c>
      <c r="C1400" s="10"/>
    </row>
    <row r="1401" spans="1:3" x14ac:dyDescent="0.3">
      <c r="A1401" t="s">
        <v>182</v>
      </c>
      <c r="B1401" s="2">
        <v>45748</v>
      </c>
      <c r="C1401" s="10"/>
    </row>
    <row r="1402" spans="1:3" x14ac:dyDescent="0.3">
      <c r="A1402" t="s">
        <v>182</v>
      </c>
      <c r="B1402" s="2">
        <v>45778</v>
      </c>
      <c r="C1402" s="10"/>
    </row>
    <row r="1403" spans="1:3" x14ac:dyDescent="0.3">
      <c r="A1403" t="s">
        <v>182</v>
      </c>
      <c r="B1403" s="2">
        <v>45809</v>
      </c>
      <c r="C1403" s="10"/>
    </row>
    <row r="1404" spans="1:3" ht="43.2" customHeight="1" x14ac:dyDescent="0.3">
      <c r="A1404" t="s">
        <v>182</v>
      </c>
      <c r="B1404" s="2">
        <v>45839</v>
      </c>
      <c r="C1404" s="10" t="s">
        <v>697</v>
      </c>
    </row>
    <row r="1405" spans="1:3" ht="57.6" customHeight="1" x14ac:dyDescent="0.3">
      <c r="A1405" t="s">
        <v>182</v>
      </c>
      <c r="B1405" s="2">
        <v>45870</v>
      </c>
      <c r="C1405" s="10" t="s">
        <v>698</v>
      </c>
    </row>
    <row r="1406" spans="1:3" ht="43.2" customHeight="1" x14ac:dyDescent="0.3">
      <c r="A1406" t="s">
        <v>182</v>
      </c>
      <c r="B1406" s="2">
        <v>45901</v>
      </c>
      <c r="C1406" s="10" t="s">
        <v>699</v>
      </c>
    </row>
    <row r="1407" spans="1:3" ht="43.2" customHeight="1" x14ac:dyDescent="0.3">
      <c r="A1407" t="s">
        <v>182</v>
      </c>
      <c r="B1407" s="2">
        <v>45931</v>
      </c>
      <c r="C1407" s="10" t="s">
        <v>700</v>
      </c>
    </row>
    <row r="1408" spans="1:3" ht="57.6" customHeight="1" x14ac:dyDescent="0.3">
      <c r="A1408" t="s">
        <v>182</v>
      </c>
      <c r="B1408" s="2">
        <v>45962</v>
      </c>
      <c r="C1408" s="10" t="s">
        <v>701</v>
      </c>
    </row>
    <row r="1409" spans="1:8" x14ac:dyDescent="0.3">
      <c r="A1409" t="s">
        <v>182</v>
      </c>
      <c r="B1409" s="2">
        <v>45992</v>
      </c>
      <c r="C1409" s="10" t="s">
        <v>702</v>
      </c>
    </row>
    <row r="1410" spans="1:8" x14ac:dyDescent="0.3">
      <c r="A1410" t="s">
        <v>182</v>
      </c>
      <c r="B1410" s="2">
        <v>46023</v>
      </c>
      <c r="C1410" s="10" t="s">
        <v>338</v>
      </c>
    </row>
    <row r="1411" spans="1:8" ht="43.2" x14ac:dyDescent="0.3">
      <c r="A1411" t="s">
        <v>182</v>
      </c>
      <c r="B1411" s="2">
        <v>46054</v>
      </c>
      <c r="C1411" s="10" t="s">
        <v>314</v>
      </c>
    </row>
    <row r="1412" spans="1:8" ht="28.8" x14ac:dyDescent="0.3">
      <c r="A1412" t="s">
        <v>182</v>
      </c>
      <c r="B1412" s="2">
        <v>46082</v>
      </c>
      <c r="C1412" s="10" t="s">
        <v>703</v>
      </c>
    </row>
    <row r="1413" spans="1:8" ht="28.8" x14ac:dyDescent="0.3">
      <c r="A1413" t="s">
        <v>182</v>
      </c>
      <c r="B1413" s="2">
        <v>46113</v>
      </c>
      <c r="C1413" s="10" t="s">
        <v>703</v>
      </c>
    </row>
    <row r="1414" spans="1:8" ht="28.8" x14ac:dyDescent="0.3">
      <c r="A1414" t="s">
        <v>182</v>
      </c>
      <c r="B1414" s="2">
        <v>46143</v>
      </c>
      <c r="C1414" s="10" t="s">
        <v>861</v>
      </c>
    </row>
    <row r="1415" spans="1:8" x14ac:dyDescent="0.3">
      <c r="A1415" t="s">
        <v>182</v>
      </c>
      <c r="B1415" s="2">
        <v>46174</v>
      </c>
      <c r="C1415" s="10"/>
    </row>
    <row r="1416" spans="1:8" x14ac:dyDescent="0.3">
      <c r="A1416" t="s">
        <v>182</v>
      </c>
      <c r="B1416" s="2">
        <v>46204</v>
      </c>
      <c r="C1416" s="10">
        <v>31</v>
      </c>
      <c r="D1416">
        <v>0</v>
      </c>
      <c r="E1416" t="s">
        <v>33</v>
      </c>
      <c r="F1416" t="s">
        <v>33</v>
      </c>
      <c r="G1416" t="s">
        <v>1048</v>
      </c>
      <c r="H1416" t="s">
        <v>36</v>
      </c>
    </row>
    <row r="1417" spans="1:8" x14ac:dyDescent="0.3">
      <c r="A1417" t="s">
        <v>182</v>
      </c>
      <c r="B1417" s="2">
        <v>46235</v>
      </c>
      <c r="C1417" s="10"/>
    </row>
    <row r="1418" spans="1:8" x14ac:dyDescent="0.3">
      <c r="A1418" t="s">
        <v>184</v>
      </c>
      <c r="B1418" s="2">
        <v>45536</v>
      </c>
      <c r="C1418" s="10"/>
    </row>
    <row r="1419" spans="1:8" ht="28.95" customHeight="1" x14ac:dyDescent="0.3">
      <c r="A1419" t="s">
        <v>184</v>
      </c>
      <c r="B1419" s="2">
        <v>45566</v>
      </c>
      <c r="C1419" s="10" t="s">
        <v>704</v>
      </c>
    </row>
    <row r="1420" spans="1:8" x14ac:dyDescent="0.3">
      <c r="A1420" t="s">
        <v>184</v>
      </c>
      <c r="B1420" s="2">
        <v>45597</v>
      </c>
      <c r="C1420" s="10"/>
    </row>
    <row r="1421" spans="1:8" x14ac:dyDescent="0.3">
      <c r="A1421" t="s">
        <v>184</v>
      </c>
      <c r="B1421" s="2">
        <v>45627</v>
      </c>
      <c r="C1421" s="10"/>
    </row>
    <row r="1422" spans="1:8" x14ac:dyDescent="0.3">
      <c r="A1422" t="s">
        <v>184</v>
      </c>
      <c r="B1422" s="2">
        <v>45658</v>
      </c>
      <c r="C1422" s="10"/>
    </row>
    <row r="1423" spans="1:8" x14ac:dyDescent="0.3">
      <c r="A1423" t="s">
        <v>184</v>
      </c>
      <c r="B1423" s="2">
        <v>45689</v>
      </c>
      <c r="C1423" s="10" t="s">
        <v>705</v>
      </c>
    </row>
    <row r="1424" spans="1:8" x14ac:dyDescent="0.3">
      <c r="A1424" t="s">
        <v>184</v>
      </c>
      <c r="B1424" s="2">
        <v>45717</v>
      </c>
      <c r="C1424" s="10" t="s">
        <v>706</v>
      </c>
    </row>
    <row r="1425" spans="1:8" x14ac:dyDescent="0.3">
      <c r="A1425" t="s">
        <v>184</v>
      </c>
      <c r="B1425" s="2">
        <v>45748</v>
      </c>
      <c r="C1425" s="10" t="s">
        <v>707</v>
      </c>
    </row>
    <row r="1426" spans="1:8" ht="43.2" customHeight="1" x14ac:dyDescent="0.3">
      <c r="A1426" t="s">
        <v>184</v>
      </c>
      <c r="B1426" s="2">
        <v>45778</v>
      </c>
      <c r="C1426" s="10" t="s">
        <v>708</v>
      </c>
    </row>
    <row r="1427" spans="1:8" ht="43.2" customHeight="1" x14ac:dyDescent="0.3">
      <c r="A1427" t="s">
        <v>184</v>
      </c>
      <c r="B1427" s="2">
        <v>45809</v>
      </c>
      <c r="C1427" s="10" t="s">
        <v>709</v>
      </c>
    </row>
    <row r="1428" spans="1:8" ht="57.6" customHeight="1" x14ac:dyDescent="0.3">
      <c r="A1428" t="s">
        <v>184</v>
      </c>
      <c r="B1428" s="2">
        <v>45839</v>
      </c>
      <c r="C1428" s="10" t="s">
        <v>710</v>
      </c>
    </row>
    <row r="1429" spans="1:8" ht="43.2" customHeight="1" x14ac:dyDescent="0.3">
      <c r="A1429" t="s">
        <v>184</v>
      </c>
      <c r="B1429" s="2">
        <v>45870</v>
      </c>
      <c r="C1429" s="10" t="s">
        <v>711</v>
      </c>
    </row>
    <row r="1430" spans="1:8" ht="43.2" customHeight="1" x14ac:dyDescent="0.3">
      <c r="A1430" t="s">
        <v>184</v>
      </c>
      <c r="B1430" s="2">
        <v>45901</v>
      </c>
      <c r="C1430" s="10" t="s">
        <v>712</v>
      </c>
    </row>
    <row r="1431" spans="1:8" ht="57.6" customHeight="1" x14ac:dyDescent="0.3">
      <c r="A1431" t="s">
        <v>184</v>
      </c>
      <c r="B1431" s="2">
        <v>45931</v>
      </c>
      <c r="C1431" s="10" t="s">
        <v>713</v>
      </c>
    </row>
    <row r="1432" spans="1:8" ht="57.6" customHeight="1" x14ac:dyDescent="0.3">
      <c r="A1432" t="s">
        <v>184</v>
      </c>
      <c r="B1432" s="2">
        <v>45962</v>
      </c>
      <c r="C1432" s="10" t="s">
        <v>714</v>
      </c>
    </row>
    <row r="1433" spans="1:8" ht="43.2" x14ac:dyDescent="0.3">
      <c r="A1433" t="s">
        <v>184</v>
      </c>
      <c r="B1433" s="2">
        <v>45992</v>
      </c>
      <c r="C1433" s="10" t="s">
        <v>314</v>
      </c>
    </row>
    <row r="1434" spans="1:8" x14ac:dyDescent="0.3">
      <c r="A1434" t="s">
        <v>184</v>
      </c>
      <c r="B1434" s="2">
        <v>46023</v>
      </c>
      <c r="C1434" s="10" t="s">
        <v>338</v>
      </c>
    </row>
    <row r="1435" spans="1:8" ht="28.8" x14ac:dyDescent="0.3">
      <c r="A1435" t="s">
        <v>184</v>
      </c>
      <c r="B1435" s="2">
        <v>46054</v>
      </c>
      <c r="C1435" s="10" t="s">
        <v>715</v>
      </c>
    </row>
    <row r="1436" spans="1:8" ht="28.8" x14ac:dyDescent="0.3">
      <c r="A1436" t="s">
        <v>184</v>
      </c>
      <c r="B1436" s="2">
        <v>46082</v>
      </c>
      <c r="C1436" s="10" t="s">
        <v>716</v>
      </c>
    </row>
    <row r="1437" spans="1:8" x14ac:dyDescent="0.3">
      <c r="A1437" t="s">
        <v>184</v>
      </c>
      <c r="B1437" s="2">
        <v>46113</v>
      </c>
      <c r="C1437" s="10" t="s">
        <v>717</v>
      </c>
    </row>
    <row r="1438" spans="1:8" ht="28.8" x14ac:dyDescent="0.3">
      <c r="A1438" t="s">
        <v>184</v>
      </c>
      <c r="B1438" s="2">
        <v>46143</v>
      </c>
      <c r="C1438" s="10" t="s">
        <v>867</v>
      </c>
    </row>
    <row r="1439" spans="1:8" x14ac:dyDescent="0.3">
      <c r="A1439" t="s">
        <v>184</v>
      </c>
      <c r="B1439" s="2">
        <v>46174</v>
      </c>
      <c r="C1439" s="10"/>
    </row>
    <row r="1440" spans="1:8" x14ac:dyDescent="0.3">
      <c r="A1440" t="s">
        <v>184</v>
      </c>
      <c r="B1440" s="2">
        <v>46204</v>
      </c>
      <c r="C1440" s="10">
        <v>31</v>
      </c>
      <c r="D1440">
        <v>0</v>
      </c>
      <c r="E1440" t="s">
        <v>33</v>
      </c>
      <c r="F1440" t="s">
        <v>33</v>
      </c>
      <c r="G1440" t="s">
        <v>1047</v>
      </c>
      <c r="H1440" t="s">
        <v>36</v>
      </c>
    </row>
    <row r="1441" spans="1:3" x14ac:dyDescent="0.3">
      <c r="A1441" t="s">
        <v>184</v>
      </c>
      <c r="B1441" s="2">
        <v>46235</v>
      </c>
      <c r="C1441" s="10"/>
    </row>
    <row r="1442" spans="1:3" x14ac:dyDescent="0.3">
      <c r="A1442" t="s">
        <v>186</v>
      </c>
      <c r="B1442" s="2">
        <v>45536</v>
      </c>
      <c r="C1442" s="10"/>
    </row>
    <row r="1443" spans="1:3" x14ac:dyDescent="0.3">
      <c r="A1443" t="s">
        <v>186</v>
      </c>
      <c r="B1443" s="2">
        <v>45566</v>
      </c>
      <c r="C1443" s="10" t="s">
        <v>718</v>
      </c>
    </row>
    <row r="1444" spans="1:3" x14ac:dyDescent="0.3">
      <c r="A1444" t="s">
        <v>186</v>
      </c>
      <c r="B1444" s="2">
        <v>45597</v>
      </c>
      <c r="C1444" s="10"/>
    </row>
    <row r="1445" spans="1:3" x14ac:dyDescent="0.3">
      <c r="A1445" t="s">
        <v>186</v>
      </c>
      <c r="B1445" s="2">
        <v>45627</v>
      </c>
      <c r="C1445" s="10"/>
    </row>
    <row r="1446" spans="1:3" x14ac:dyDescent="0.3">
      <c r="A1446" t="s">
        <v>186</v>
      </c>
      <c r="B1446" s="2">
        <v>45658</v>
      </c>
      <c r="C1446" s="10"/>
    </row>
    <row r="1447" spans="1:3" x14ac:dyDescent="0.3">
      <c r="A1447" t="s">
        <v>186</v>
      </c>
      <c r="B1447" s="2">
        <v>45689</v>
      </c>
      <c r="C1447" s="10" t="s">
        <v>587</v>
      </c>
    </row>
    <row r="1448" spans="1:3" x14ac:dyDescent="0.3">
      <c r="A1448" t="s">
        <v>186</v>
      </c>
      <c r="B1448" s="2">
        <v>45717</v>
      </c>
      <c r="C1448" s="10" t="s">
        <v>706</v>
      </c>
    </row>
    <row r="1449" spans="1:3" x14ac:dyDescent="0.3">
      <c r="A1449" t="s">
        <v>186</v>
      </c>
      <c r="B1449" s="2">
        <v>45748</v>
      </c>
      <c r="C1449" s="10"/>
    </row>
    <row r="1450" spans="1:3" ht="43.2" customHeight="1" x14ac:dyDescent="0.3">
      <c r="A1450" t="s">
        <v>186</v>
      </c>
      <c r="B1450" s="2">
        <v>45778</v>
      </c>
      <c r="C1450" s="10" t="s">
        <v>719</v>
      </c>
    </row>
    <row r="1451" spans="1:3" ht="43.2" customHeight="1" x14ac:dyDescent="0.3">
      <c r="A1451" t="s">
        <v>186</v>
      </c>
      <c r="B1451" s="2">
        <v>45809</v>
      </c>
      <c r="C1451" s="10" t="s">
        <v>720</v>
      </c>
    </row>
    <row r="1452" spans="1:3" ht="43.2" customHeight="1" x14ac:dyDescent="0.3">
      <c r="A1452" t="s">
        <v>186</v>
      </c>
      <c r="B1452" s="2">
        <v>45839</v>
      </c>
      <c r="C1452" s="10" t="s">
        <v>721</v>
      </c>
    </row>
    <row r="1453" spans="1:3" ht="43.2" customHeight="1" x14ac:dyDescent="0.3">
      <c r="A1453" t="s">
        <v>186</v>
      </c>
      <c r="B1453" s="2">
        <v>45870</v>
      </c>
      <c r="C1453" s="10" t="s">
        <v>722</v>
      </c>
    </row>
    <row r="1454" spans="1:3" ht="57.6" customHeight="1" x14ac:dyDescent="0.3">
      <c r="A1454" t="s">
        <v>186</v>
      </c>
      <c r="B1454" s="2">
        <v>45901</v>
      </c>
      <c r="C1454" s="10" t="s">
        <v>723</v>
      </c>
    </row>
    <row r="1455" spans="1:3" ht="57.6" customHeight="1" x14ac:dyDescent="0.3">
      <c r="A1455" t="s">
        <v>186</v>
      </c>
      <c r="B1455" s="2">
        <v>45931</v>
      </c>
      <c r="C1455" s="10" t="s">
        <v>724</v>
      </c>
    </row>
    <row r="1456" spans="1:3" ht="57.6" customHeight="1" x14ac:dyDescent="0.3">
      <c r="A1456" t="s">
        <v>186</v>
      </c>
      <c r="B1456" s="2">
        <v>45962</v>
      </c>
      <c r="C1456" s="10" t="s">
        <v>725</v>
      </c>
    </row>
    <row r="1457" spans="1:8" ht="43.2" x14ac:dyDescent="0.3">
      <c r="A1457" t="s">
        <v>186</v>
      </c>
      <c r="B1457" s="2">
        <v>45992</v>
      </c>
      <c r="C1457" s="10" t="s">
        <v>314</v>
      </c>
    </row>
    <row r="1458" spans="1:8" ht="43.2" x14ac:dyDescent="0.3">
      <c r="A1458" t="s">
        <v>186</v>
      </c>
      <c r="B1458" s="2">
        <v>46023</v>
      </c>
      <c r="C1458" s="10" t="s">
        <v>314</v>
      </c>
    </row>
    <row r="1459" spans="1:8" ht="43.2" x14ac:dyDescent="0.3">
      <c r="A1459" t="s">
        <v>186</v>
      </c>
      <c r="B1459" s="2">
        <v>46054</v>
      </c>
      <c r="C1459" s="10" t="s">
        <v>314</v>
      </c>
    </row>
    <row r="1460" spans="1:8" ht="43.2" x14ac:dyDescent="0.3">
      <c r="A1460" t="s">
        <v>186</v>
      </c>
      <c r="B1460" s="2">
        <v>46082</v>
      </c>
      <c r="C1460" s="10" t="s">
        <v>314</v>
      </c>
    </row>
    <row r="1461" spans="1:8" ht="43.2" x14ac:dyDescent="0.3">
      <c r="A1461" t="s">
        <v>186</v>
      </c>
      <c r="B1461" s="2">
        <v>46113</v>
      </c>
      <c r="C1461" s="10" t="s">
        <v>314</v>
      </c>
    </row>
    <row r="1462" spans="1:8" ht="28.8" x14ac:dyDescent="0.3">
      <c r="A1462" t="s">
        <v>186</v>
      </c>
      <c r="B1462" s="2">
        <v>46143</v>
      </c>
      <c r="C1462" s="10" t="s">
        <v>867</v>
      </c>
    </row>
    <row r="1463" spans="1:8" x14ac:dyDescent="0.3">
      <c r="A1463" t="s">
        <v>186</v>
      </c>
      <c r="B1463" s="2">
        <v>46174</v>
      </c>
      <c r="C1463" s="10"/>
    </row>
    <row r="1464" spans="1:8" x14ac:dyDescent="0.3">
      <c r="A1464" t="s">
        <v>186</v>
      </c>
      <c r="B1464" s="2">
        <v>46204</v>
      </c>
      <c r="C1464" s="10">
        <v>31</v>
      </c>
      <c r="D1464">
        <v>0</v>
      </c>
      <c r="E1464" t="s">
        <v>33</v>
      </c>
      <c r="F1464" t="s">
        <v>33</v>
      </c>
      <c r="G1464" t="s">
        <v>1047</v>
      </c>
      <c r="H1464" t="s">
        <v>36</v>
      </c>
    </row>
    <row r="1465" spans="1:8" x14ac:dyDescent="0.3">
      <c r="A1465" t="s">
        <v>186</v>
      </c>
      <c r="B1465" s="2">
        <v>46235</v>
      </c>
      <c r="C1465" s="10"/>
    </row>
    <row r="1466" spans="1:8" x14ac:dyDescent="0.3">
      <c r="A1466" t="s">
        <v>188</v>
      </c>
      <c r="B1466" s="2">
        <v>45536</v>
      </c>
      <c r="C1466" s="10"/>
    </row>
    <row r="1467" spans="1:8" ht="28.8" x14ac:dyDescent="0.3">
      <c r="A1467" t="s">
        <v>188</v>
      </c>
      <c r="B1467" s="2">
        <v>45566</v>
      </c>
      <c r="C1467" s="10" t="s">
        <v>726</v>
      </c>
    </row>
    <row r="1468" spans="1:8" x14ac:dyDescent="0.3">
      <c r="A1468" t="s">
        <v>188</v>
      </c>
      <c r="B1468" s="2">
        <v>45597</v>
      </c>
      <c r="C1468" s="10"/>
    </row>
    <row r="1469" spans="1:8" x14ac:dyDescent="0.3">
      <c r="A1469" t="s">
        <v>188</v>
      </c>
      <c r="B1469" s="2">
        <v>45627</v>
      </c>
      <c r="C1469" s="10"/>
    </row>
    <row r="1470" spans="1:8" x14ac:dyDescent="0.3">
      <c r="A1470" t="s">
        <v>188</v>
      </c>
      <c r="B1470" s="2">
        <v>45658</v>
      </c>
      <c r="C1470" s="10"/>
    </row>
    <row r="1471" spans="1:8" ht="28.8" x14ac:dyDescent="0.3">
      <c r="A1471" t="s">
        <v>188</v>
      </c>
      <c r="B1471" s="2">
        <v>45689</v>
      </c>
      <c r="C1471" s="10" t="s">
        <v>726</v>
      </c>
    </row>
    <row r="1472" spans="1:8" ht="28.8" x14ac:dyDescent="0.3">
      <c r="A1472" t="s">
        <v>188</v>
      </c>
      <c r="B1472" s="2">
        <v>45717</v>
      </c>
      <c r="C1472" s="10" t="s">
        <v>727</v>
      </c>
    </row>
    <row r="1473" spans="1:8" ht="28.8" x14ac:dyDescent="0.3">
      <c r="A1473" t="s">
        <v>188</v>
      </c>
      <c r="B1473" s="2">
        <v>45748</v>
      </c>
      <c r="C1473" s="10" t="s">
        <v>727</v>
      </c>
    </row>
    <row r="1474" spans="1:8" ht="57.6" customHeight="1" x14ac:dyDescent="0.3">
      <c r="A1474" t="s">
        <v>188</v>
      </c>
      <c r="B1474" s="2">
        <v>45778</v>
      </c>
      <c r="C1474" s="10" t="s">
        <v>728</v>
      </c>
    </row>
    <row r="1475" spans="1:8" ht="57.6" customHeight="1" x14ac:dyDescent="0.3">
      <c r="A1475" t="s">
        <v>188</v>
      </c>
      <c r="B1475" s="2">
        <v>45809</v>
      </c>
      <c r="C1475" s="10" t="s">
        <v>729</v>
      </c>
    </row>
    <row r="1476" spans="1:8" ht="43.2" customHeight="1" x14ac:dyDescent="0.3">
      <c r="A1476" t="s">
        <v>188</v>
      </c>
      <c r="B1476" s="2">
        <v>45839</v>
      </c>
      <c r="C1476" s="10" t="s">
        <v>730</v>
      </c>
    </row>
    <row r="1477" spans="1:8" ht="43.2" customHeight="1" x14ac:dyDescent="0.3">
      <c r="A1477" t="s">
        <v>188</v>
      </c>
      <c r="B1477" s="2">
        <v>45870</v>
      </c>
      <c r="C1477" s="10" t="s">
        <v>731</v>
      </c>
    </row>
    <row r="1478" spans="1:8" ht="57.6" customHeight="1" x14ac:dyDescent="0.3">
      <c r="A1478" t="s">
        <v>188</v>
      </c>
      <c r="B1478" s="2">
        <v>45901</v>
      </c>
      <c r="C1478" s="10" t="s">
        <v>732</v>
      </c>
    </row>
    <row r="1479" spans="1:8" ht="57.6" customHeight="1" x14ac:dyDescent="0.3">
      <c r="A1479" t="s">
        <v>188</v>
      </c>
      <c r="B1479" s="2">
        <v>45931</v>
      </c>
      <c r="C1479" s="10" t="s">
        <v>733</v>
      </c>
    </row>
    <row r="1480" spans="1:8" ht="57.6" customHeight="1" x14ac:dyDescent="0.3">
      <c r="A1480" t="s">
        <v>188</v>
      </c>
      <c r="B1480" s="2">
        <v>45962</v>
      </c>
      <c r="C1480" s="10" t="s">
        <v>734</v>
      </c>
    </row>
    <row r="1481" spans="1:8" x14ac:dyDescent="0.3">
      <c r="A1481" t="s">
        <v>188</v>
      </c>
      <c r="B1481" s="2">
        <v>45992</v>
      </c>
      <c r="C1481" s="10" t="s">
        <v>598</v>
      </c>
    </row>
    <row r="1482" spans="1:8" x14ac:dyDescent="0.3">
      <c r="A1482" t="s">
        <v>188</v>
      </c>
      <c r="B1482" s="2">
        <v>46023</v>
      </c>
      <c r="C1482" s="10" t="s">
        <v>338</v>
      </c>
    </row>
    <row r="1483" spans="1:8" x14ac:dyDescent="0.3">
      <c r="A1483" t="s">
        <v>188</v>
      </c>
      <c r="B1483" s="2">
        <v>46054</v>
      </c>
      <c r="C1483" s="10" t="s">
        <v>326</v>
      </c>
    </row>
    <row r="1484" spans="1:8" x14ac:dyDescent="0.3">
      <c r="A1484" t="s">
        <v>188</v>
      </c>
      <c r="B1484" s="2">
        <v>46082</v>
      </c>
      <c r="C1484" s="10" t="s">
        <v>326</v>
      </c>
    </row>
    <row r="1485" spans="1:8" x14ac:dyDescent="0.3">
      <c r="A1485" t="s">
        <v>188</v>
      </c>
      <c r="B1485" s="2">
        <v>46113</v>
      </c>
      <c r="C1485" s="10" t="s">
        <v>302</v>
      </c>
    </row>
    <row r="1486" spans="1:8" x14ac:dyDescent="0.3">
      <c r="A1486" t="s">
        <v>188</v>
      </c>
      <c r="B1486" s="2">
        <v>46143</v>
      </c>
      <c r="C1486" s="10" t="s">
        <v>302</v>
      </c>
    </row>
    <row r="1487" spans="1:8" x14ac:dyDescent="0.3">
      <c r="A1487" t="s">
        <v>188</v>
      </c>
      <c r="B1487" s="2">
        <v>46174</v>
      </c>
      <c r="C1487" s="10"/>
    </row>
    <row r="1488" spans="1:8" x14ac:dyDescent="0.3">
      <c r="A1488" t="s">
        <v>188</v>
      </c>
      <c r="B1488" s="2">
        <v>46204</v>
      </c>
      <c r="C1488" s="10">
        <v>31</v>
      </c>
      <c r="D1488">
        <v>0</v>
      </c>
      <c r="E1488" t="s">
        <v>33</v>
      </c>
      <c r="F1488" t="s">
        <v>1049</v>
      </c>
      <c r="G1488" t="s">
        <v>1050</v>
      </c>
      <c r="H1488" t="s">
        <v>36</v>
      </c>
    </row>
    <row r="1489" spans="1:3" x14ac:dyDescent="0.3">
      <c r="A1489" t="s">
        <v>188</v>
      </c>
      <c r="B1489" s="2">
        <v>46235</v>
      </c>
      <c r="C1489" s="10"/>
    </row>
    <row r="1490" spans="1:3" x14ac:dyDescent="0.3">
      <c r="A1490" t="s">
        <v>226</v>
      </c>
      <c r="B1490" s="2">
        <v>45536</v>
      </c>
      <c r="C1490" s="10"/>
    </row>
    <row r="1491" spans="1:3" x14ac:dyDescent="0.3">
      <c r="A1491" t="s">
        <v>226</v>
      </c>
      <c r="B1491" s="2">
        <v>45566</v>
      </c>
      <c r="C1491" s="10"/>
    </row>
    <row r="1492" spans="1:3" x14ac:dyDescent="0.3">
      <c r="A1492" t="s">
        <v>226</v>
      </c>
      <c r="B1492" s="2">
        <v>45597</v>
      </c>
      <c r="C1492" s="10"/>
    </row>
    <row r="1493" spans="1:3" x14ac:dyDescent="0.3">
      <c r="A1493" t="s">
        <v>226</v>
      </c>
      <c r="B1493" s="2">
        <v>45627</v>
      </c>
      <c r="C1493" s="10"/>
    </row>
    <row r="1494" spans="1:3" x14ac:dyDescent="0.3">
      <c r="A1494" t="s">
        <v>226</v>
      </c>
      <c r="B1494" s="2">
        <v>45658</v>
      </c>
      <c r="C1494" s="10"/>
    </row>
    <row r="1495" spans="1:3" x14ac:dyDescent="0.3">
      <c r="A1495" t="s">
        <v>226</v>
      </c>
      <c r="B1495" s="2">
        <v>45689</v>
      </c>
      <c r="C1495" s="10"/>
    </row>
    <row r="1496" spans="1:3" x14ac:dyDescent="0.3">
      <c r="A1496" t="s">
        <v>226</v>
      </c>
      <c r="B1496" s="2">
        <v>45717</v>
      </c>
      <c r="C1496" s="10"/>
    </row>
    <row r="1497" spans="1:3" x14ac:dyDescent="0.3">
      <c r="A1497" t="s">
        <v>226</v>
      </c>
      <c r="B1497" s="2">
        <v>45748</v>
      </c>
      <c r="C1497" s="10"/>
    </row>
    <row r="1498" spans="1:3" x14ac:dyDescent="0.3">
      <c r="A1498" t="s">
        <v>226</v>
      </c>
      <c r="B1498" s="2">
        <v>45778</v>
      </c>
      <c r="C1498" s="10"/>
    </row>
    <row r="1499" spans="1:3" x14ac:dyDescent="0.3">
      <c r="A1499" t="s">
        <v>226</v>
      </c>
      <c r="B1499" s="2">
        <v>45809</v>
      </c>
      <c r="C1499" s="10"/>
    </row>
    <row r="1500" spans="1:3" x14ac:dyDescent="0.3">
      <c r="A1500" t="s">
        <v>226</v>
      </c>
      <c r="B1500" s="2">
        <v>45839</v>
      </c>
      <c r="C1500" s="10"/>
    </row>
    <row r="1501" spans="1:3" x14ac:dyDescent="0.3">
      <c r="A1501" t="s">
        <v>226</v>
      </c>
      <c r="B1501" s="2">
        <v>45870</v>
      </c>
      <c r="C1501" s="10"/>
    </row>
    <row r="1502" spans="1:3" x14ac:dyDescent="0.3">
      <c r="A1502" t="s">
        <v>226</v>
      </c>
      <c r="B1502" s="2">
        <v>45901</v>
      </c>
      <c r="C1502" s="10"/>
    </row>
    <row r="1503" spans="1:3" x14ac:dyDescent="0.3">
      <c r="A1503" t="s">
        <v>226</v>
      </c>
      <c r="B1503" s="2">
        <v>45931</v>
      </c>
      <c r="C1503" s="10"/>
    </row>
    <row r="1504" spans="1:3" x14ac:dyDescent="0.3">
      <c r="A1504" t="s">
        <v>226</v>
      </c>
      <c r="B1504" s="2">
        <v>45962</v>
      </c>
      <c r="C1504" s="10"/>
    </row>
    <row r="1505" spans="1:8" x14ac:dyDescent="0.3">
      <c r="A1505" t="s">
        <v>226</v>
      </c>
      <c r="B1505" s="2">
        <v>45992</v>
      </c>
      <c r="C1505" s="10" t="s">
        <v>493</v>
      </c>
    </row>
    <row r="1506" spans="1:8" x14ac:dyDescent="0.3">
      <c r="A1506" t="s">
        <v>226</v>
      </c>
      <c r="B1506" s="2">
        <v>46023</v>
      </c>
      <c r="C1506" s="10" t="s">
        <v>338</v>
      </c>
    </row>
    <row r="1507" spans="1:8" x14ac:dyDescent="0.3">
      <c r="A1507" t="s">
        <v>226</v>
      </c>
      <c r="B1507" s="2">
        <v>46054</v>
      </c>
      <c r="C1507" s="10" t="s">
        <v>326</v>
      </c>
    </row>
    <row r="1508" spans="1:8" x14ac:dyDescent="0.3">
      <c r="A1508" t="s">
        <v>226</v>
      </c>
      <c r="B1508" s="2">
        <v>46082</v>
      </c>
      <c r="C1508" s="10" t="s">
        <v>326</v>
      </c>
    </row>
    <row r="1509" spans="1:8" x14ac:dyDescent="0.3">
      <c r="A1509" t="s">
        <v>226</v>
      </c>
      <c r="B1509" s="2">
        <v>46113</v>
      </c>
      <c r="C1509" s="10" t="s">
        <v>302</v>
      </c>
    </row>
    <row r="1510" spans="1:8" x14ac:dyDescent="0.3">
      <c r="A1510" t="s">
        <v>226</v>
      </c>
      <c r="B1510" s="2">
        <v>46143</v>
      </c>
      <c r="C1510" s="10" t="s">
        <v>302</v>
      </c>
    </row>
    <row r="1511" spans="1:8" x14ac:dyDescent="0.3">
      <c r="A1511" t="s">
        <v>226</v>
      </c>
      <c r="B1511" s="2">
        <v>46174</v>
      </c>
      <c r="C1511" s="10"/>
    </row>
    <row r="1512" spans="1:8" x14ac:dyDescent="0.3">
      <c r="A1512" t="s">
        <v>226</v>
      </c>
      <c r="B1512" s="2">
        <v>46204</v>
      </c>
      <c r="C1512" s="10">
        <v>31</v>
      </c>
      <c r="D1512">
        <v>0</v>
      </c>
      <c r="E1512" t="s">
        <v>33</v>
      </c>
      <c r="F1512" t="s">
        <v>33</v>
      </c>
      <c r="G1512" t="s">
        <v>1014</v>
      </c>
      <c r="H1512" t="s">
        <v>36</v>
      </c>
    </row>
    <row r="1513" spans="1:8" x14ac:dyDescent="0.3">
      <c r="A1513" t="s">
        <v>226</v>
      </c>
      <c r="B1513" s="2">
        <v>46235</v>
      </c>
      <c r="C1513" s="10"/>
    </row>
    <row r="1514" spans="1:8" x14ac:dyDescent="0.3">
      <c r="A1514" t="s">
        <v>208</v>
      </c>
      <c r="B1514" s="2">
        <v>45536</v>
      </c>
      <c r="C1514" s="10"/>
    </row>
    <row r="1515" spans="1:8" x14ac:dyDescent="0.3">
      <c r="A1515" t="s">
        <v>208</v>
      </c>
      <c r="B1515" s="2">
        <v>45566</v>
      </c>
      <c r="C1515" s="10"/>
    </row>
    <row r="1516" spans="1:8" x14ac:dyDescent="0.3">
      <c r="A1516" t="s">
        <v>208</v>
      </c>
      <c r="B1516" s="2">
        <v>45597</v>
      </c>
      <c r="C1516" s="10"/>
    </row>
    <row r="1517" spans="1:8" x14ac:dyDescent="0.3">
      <c r="A1517" t="s">
        <v>208</v>
      </c>
      <c r="B1517" s="2">
        <v>45627</v>
      </c>
      <c r="C1517" s="10"/>
    </row>
    <row r="1518" spans="1:8" x14ac:dyDescent="0.3">
      <c r="A1518" t="s">
        <v>208</v>
      </c>
      <c r="B1518" s="2">
        <v>45658</v>
      </c>
      <c r="C1518" s="10"/>
    </row>
    <row r="1519" spans="1:8" x14ac:dyDescent="0.3">
      <c r="A1519" t="s">
        <v>208</v>
      </c>
      <c r="B1519" s="2">
        <v>45689</v>
      </c>
      <c r="C1519" s="10"/>
    </row>
    <row r="1520" spans="1:8" x14ac:dyDescent="0.3">
      <c r="A1520" t="s">
        <v>208</v>
      </c>
      <c r="B1520" s="2">
        <v>45717</v>
      </c>
      <c r="C1520" s="10"/>
    </row>
    <row r="1521" spans="1:8" x14ac:dyDescent="0.3">
      <c r="A1521" t="s">
        <v>208</v>
      </c>
      <c r="B1521" s="2">
        <v>45748</v>
      </c>
      <c r="C1521" s="10"/>
    </row>
    <row r="1522" spans="1:8" x14ac:dyDescent="0.3">
      <c r="A1522" t="s">
        <v>208</v>
      </c>
      <c r="B1522" s="2">
        <v>45778</v>
      </c>
      <c r="C1522" s="10"/>
    </row>
    <row r="1523" spans="1:8" x14ac:dyDescent="0.3">
      <c r="A1523" t="s">
        <v>208</v>
      </c>
      <c r="B1523" s="2">
        <v>45809</v>
      </c>
      <c r="C1523" s="10"/>
    </row>
    <row r="1524" spans="1:8" ht="57.6" customHeight="1" x14ac:dyDescent="0.3">
      <c r="A1524" t="s">
        <v>208</v>
      </c>
      <c r="B1524" s="2">
        <v>45839</v>
      </c>
      <c r="C1524" s="10" t="s">
        <v>735</v>
      </c>
    </row>
    <row r="1525" spans="1:8" ht="43.2" customHeight="1" x14ac:dyDescent="0.3">
      <c r="A1525" t="s">
        <v>208</v>
      </c>
      <c r="B1525" s="2">
        <v>45870</v>
      </c>
      <c r="C1525" s="10" t="s">
        <v>736</v>
      </c>
    </row>
    <row r="1526" spans="1:8" ht="43.2" customHeight="1" x14ac:dyDescent="0.3">
      <c r="A1526" t="s">
        <v>208</v>
      </c>
      <c r="B1526" s="2">
        <v>45901</v>
      </c>
      <c r="C1526" s="10" t="s">
        <v>737</v>
      </c>
    </row>
    <row r="1527" spans="1:8" ht="43.2" customHeight="1" x14ac:dyDescent="0.3">
      <c r="A1527" t="s">
        <v>208</v>
      </c>
      <c r="B1527" s="2">
        <v>45931</v>
      </c>
      <c r="C1527" s="10" t="s">
        <v>738</v>
      </c>
    </row>
    <row r="1528" spans="1:8" ht="43.2" customHeight="1" x14ac:dyDescent="0.3">
      <c r="A1528" t="s">
        <v>208</v>
      </c>
      <c r="B1528" s="2">
        <v>45962</v>
      </c>
      <c r="C1528" s="10" t="s">
        <v>739</v>
      </c>
    </row>
    <row r="1529" spans="1:8" ht="28.8" x14ac:dyDescent="0.3">
      <c r="A1529" t="s">
        <v>208</v>
      </c>
      <c r="B1529" s="2">
        <v>45992</v>
      </c>
      <c r="C1529" s="10" t="s">
        <v>740</v>
      </c>
    </row>
    <row r="1530" spans="1:8" x14ac:dyDescent="0.3">
      <c r="A1530" t="s">
        <v>208</v>
      </c>
      <c r="B1530" s="2">
        <v>46023</v>
      </c>
      <c r="C1530" s="10" t="s">
        <v>338</v>
      </c>
    </row>
    <row r="1531" spans="1:8" x14ac:dyDescent="0.3">
      <c r="A1531" t="s">
        <v>208</v>
      </c>
      <c r="B1531" s="2">
        <v>46054</v>
      </c>
      <c r="C1531" s="10" t="s">
        <v>326</v>
      </c>
    </row>
    <row r="1532" spans="1:8" x14ac:dyDescent="0.3">
      <c r="A1532" t="s">
        <v>208</v>
      </c>
      <c r="B1532" s="2">
        <v>46082</v>
      </c>
      <c r="C1532" s="10" t="s">
        <v>326</v>
      </c>
    </row>
    <row r="1533" spans="1:8" x14ac:dyDescent="0.3">
      <c r="A1533" t="s">
        <v>208</v>
      </c>
      <c r="B1533" s="2">
        <v>46113</v>
      </c>
      <c r="C1533" s="10" t="s">
        <v>302</v>
      </c>
    </row>
    <row r="1534" spans="1:8" x14ac:dyDescent="0.3">
      <c r="A1534" t="s">
        <v>208</v>
      </c>
      <c r="B1534" s="2">
        <v>46143</v>
      </c>
      <c r="C1534" s="10" t="s">
        <v>302</v>
      </c>
    </row>
    <row r="1535" spans="1:8" x14ac:dyDescent="0.3">
      <c r="A1535" t="s">
        <v>208</v>
      </c>
      <c r="B1535" s="2">
        <v>46174</v>
      </c>
      <c r="C1535" s="10"/>
    </row>
    <row r="1536" spans="1:8" x14ac:dyDescent="0.3">
      <c r="A1536" t="s">
        <v>208</v>
      </c>
      <c r="B1536" s="2">
        <v>46204</v>
      </c>
      <c r="C1536" s="10">
        <v>31</v>
      </c>
      <c r="D1536">
        <v>0</v>
      </c>
      <c r="E1536" t="s">
        <v>33</v>
      </c>
      <c r="F1536" t="s">
        <v>1049</v>
      </c>
      <c r="G1536" t="s">
        <v>1050</v>
      </c>
      <c r="H1536" t="s">
        <v>36</v>
      </c>
    </row>
    <row r="1537" spans="1:3" x14ac:dyDescent="0.3">
      <c r="A1537" t="s">
        <v>208</v>
      </c>
      <c r="B1537" s="2">
        <v>46235</v>
      </c>
      <c r="C1537" s="10"/>
    </row>
    <row r="1538" spans="1:3" x14ac:dyDescent="0.3">
      <c r="A1538" t="s">
        <v>190</v>
      </c>
      <c r="B1538" s="2">
        <v>45536</v>
      </c>
      <c r="C1538" s="10" t="s">
        <v>741</v>
      </c>
    </row>
    <row r="1539" spans="1:3" x14ac:dyDescent="0.3">
      <c r="A1539" t="s">
        <v>190</v>
      </c>
      <c r="B1539" s="2">
        <v>45566</v>
      </c>
      <c r="C1539" s="10"/>
    </row>
    <row r="1540" spans="1:3" x14ac:dyDescent="0.3">
      <c r="A1540" t="s">
        <v>190</v>
      </c>
      <c r="B1540" s="2">
        <v>45597</v>
      </c>
      <c r="C1540" s="10"/>
    </row>
    <row r="1541" spans="1:3" x14ac:dyDescent="0.3">
      <c r="A1541" t="s">
        <v>190</v>
      </c>
      <c r="B1541" s="2">
        <v>45627</v>
      </c>
      <c r="C1541" s="10"/>
    </row>
    <row r="1542" spans="1:3" x14ac:dyDescent="0.3">
      <c r="A1542" t="s">
        <v>190</v>
      </c>
      <c r="B1542" s="2">
        <v>45658</v>
      </c>
      <c r="C1542" s="10"/>
    </row>
    <row r="1543" spans="1:3" ht="28.8" x14ac:dyDescent="0.3">
      <c r="A1543" t="s">
        <v>190</v>
      </c>
      <c r="B1543" s="2">
        <v>45689</v>
      </c>
      <c r="C1543" s="10" t="s">
        <v>742</v>
      </c>
    </row>
    <row r="1544" spans="1:3" ht="28.8" x14ac:dyDescent="0.3">
      <c r="A1544" t="s">
        <v>190</v>
      </c>
      <c r="B1544" s="2">
        <v>45717</v>
      </c>
      <c r="C1544" s="10" t="s">
        <v>743</v>
      </c>
    </row>
    <row r="1545" spans="1:3" ht="28.8" x14ac:dyDescent="0.3">
      <c r="A1545" t="s">
        <v>190</v>
      </c>
      <c r="B1545" s="2">
        <v>45748</v>
      </c>
      <c r="C1545" s="10" t="s">
        <v>743</v>
      </c>
    </row>
    <row r="1546" spans="1:3" ht="72" customHeight="1" x14ac:dyDescent="0.3">
      <c r="A1546" t="s">
        <v>190</v>
      </c>
      <c r="B1546" s="2">
        <v>45778</v>
      </c>
      <c r="C1546" s="10" t="s">
        <v>744</v>
      </c>
    </row>
    <row r="1547" spans="1:3" ht="72" customHeight="1" x14ac:dyDescent="0.3">
      <c r="A1547" t="s">
        <v>190</v>
      </c>
      <c r="B1547" s="2">
        <v>45809</v>
      </c>
      <c r="C1547" s="10" t="s">
        <v>745</v>
      </c>
    </row>
    <row r="1548" spans="1:3" ht="72" customHeight="1" x14ac:dyDescent="0.3">
      <c r="A1548" t="s">
        <v>190</v>
      </c>
      <c r="B1548" s="2">
        <v>45839</v>
      </c>
      <c r="C1548" s="10" t="s">
        <v>746</v>
      </c>
    </row>
    <row r="1549" spans="1:3" ht="72" customHeight="1" x14ac:dyDescent="0.3">
      <c r="A1549" t="s">
        <v>190</v>
      </c>
      <c r="B1549" s="2">
        <v>45870</v>
      </c>
      <c r="C1549" s="10" t="s">
        <v>747</v>
      </c>
    </row>
    <row r="1550" spans="1:3" ht="72" customHeight="1" x14ac:dyDescent="0.3">
      <c r="A1550" t="s">
        <v>190</v>
      </c>
      <c r="B1550" s="2">
        <v>45901</v>
      </c>
      <c r="C1550" s="10" t="s">
        <v>748</v>
      </c>
    </row>
    <row r="1551" spans="1:3" ht="57.6" customHeight="1" x14ac:dyDescent="0.3">
      <c r="A1551" t="s">
        <v>190</v>
      </c>
      <c r="B1551" s="2">
        <v>45931</v>
      </c>
      <c r="C1551" s="10" t="s">
        <v>749</v>
      </c>
    </row>
    <row r="1552" spans="1:3" ht="72" customHeight="1" x14ac:dyDescent="0.3">
      <c r="A1552" t="s">
        <v>190</v>
      </c>
      <c r="B1552" s="2">
        <v>45962</v>
      </c>
      <c r="C1552" s="10" t="s">
        <v>750</v>
      </c>
    </row>
    <row r="1553" spans="1:8" ht="43.2" x14ac:dyDescent="0.3">
      <c r="A1553" t="s">
        <v>190</v>
      </c>
      <c r="B1553" s="2">
        <v>45992</v>
      </c>
      <c r="C1553" s="10" t="s">
        <v>751</v>
      </c>
    </row>
    <row r="1554" spans="1:8" ht="43.2" x14ac:dyDescent="0.3">
      <c r="A1554" t="s">
        <v>190</v>
      </c>
      <c r="B1554" s="2">
        <v>46023</v>
      </c>
      <c r="C1554" s="10" t="s">
        <v>751</v>
      </c>
    </row>
    <row r="1555" spans="1:8" ht="43.2" x14ac:dyDescent="0.3">
      <c r="A1555" t="s">
        <v>190</v>
      </c>
      <c r="B1555" s="2">
        <v>46054</v>
      </c>
      <c r="C1555" s="10" t="s">
        <v>751</v>
      </c>
    </row>
    <row r="1556" spans="1:8" ht="28.8" x14ac:dyDescent="0.3">
      <c r="A1556" t="s">
        <v>190</v>
      </c>
      <c r="B1556" s="2">
        <v>46082</v>
      </c>
      <c r="C1556" s="10" t="s">
        <v>752</v>
      </c>
    </row>
    <row r="1557" spans="1:8" ht="28.8" x14ac:dyDescent="0.3">
      <c r="A1557" t="s">
        <v>190</v>
      </c>
      <c r="B1557" s="2">
        <v>46113</v>
      </c>
      <c r="C1557" s="10" t="s">
        <v>752</v>
      </c>
    </row>
    <row r="1558" spans="1:8" ht="28.8" x14ac:dyDescent="0.3">
      <c r="A1558" t="s">
        <v>190</v>
      </c>
      <c r="B1558" s="2">
        <v>46143</v>
      </c>
      <c r="C1558" s="10" t="s">
        <v>867</v>
      </c>
    </row>
    <row r="1559" spans="1:8" x14ac:dyDescent="0.3">
      <c r="A1559" t="s">
        <v>190</v>
      </c>
      <c r="B1559" s="2">
        <v>46174</v>
      </c>
      <c r="C1559" s="10"/>
    </row>
    <row r="1560" spans="1:8" x14ac:dyDescent="0.3">
      <c r="A1560" t="s">
        <v>190</v>
      </c>
      <c r="B1560" s="2">
        <v>46204</v>
      </c>
      <c r="C1560" s="10">
        <v>31</v>
      </c>
      <c r="D1560">
        <v>0</v>
      </c>
      <c r="E1560" t="s">
        <v>33</v>
      </c>
      <c r="F1560" t="s">
        <v>33</v>
      </c>
      <c r="G1560" t="s">
        <v>932</v>
      </c>
      <c r="H1560" t="s">
        <v>36</v>
      </c>
    </row>
    <row r="1561" spans="1:8" x14ac:dyDescent="0.3">
      <c r="A1561" t="s">
        <v>190</v>
      </c>
      <c r="B1561" s="2">
        <v>46235</v>
      </c>
      <c r="C1561" s="10"/>
    </row>
    <row r="1562" spans="1:8" x14ac:dyDescent="0.3">
      <c r="A1562" t="s">
        <v>199</v>
      </c>
      <c r="B1562" s="2">
        <v>45536</v>
      </c>
      <c r="C1562" s="10"/>
    </row>
    <row r="1563" spans="1:8" x14ac:dyDescent="0.3">
      <c r="A1563" t="s">
        <v>199</v>
      </c>
      <c r="B1563" s="2">
        <v>45566</v>
      </c>
      <c r="C1563" s="10"/>
    </row>
    <row r="1564" spans="1:8" x14ac:dyDescent="0.3">
      <c r="A1564" t="s">
        <v>199</v>
      </c>
      <c r="B1564" s="2">
        <v>45597</v>
      </c>
      <c r="C1564" s="10"/>
    </row>
    <row r="1565" spans="1:8" x14ac:dyDescent="0.3">
      <c r="A1565" t="s">
        <v>199</v>
      </c>
      <c r="B1565" s="2">
        <v>45627</v>
      </c>
      <c r="C1565" s="10"/>
    </row>
    <row r="1566" spans="1:8" x14ac:dyDescent="0.3">
      <c r="A1566" t="s">
        <v>199</v>
      </c>
      <c r="B1566" s="2">
        <v>45658</v>
      </c>
      <c r="C1566" s="10"/>
    </row>
    <row r="1567" spans="1:8" ht="28.95" customHeight="1" x14ac:dyDescent="0.3">
      <c r="A1567" t="s">
        <v>199</v>
      </c>
      <c r="B1567" s="2">
        <v>45689</v>
      </c>
      <c r="C1567" s="10" t="s">
        <v>753</v>
      </c>
    </row>
    <row r="1568" spans="1:8" x14ac:dyDescent="0.3">
      <c r="A1568" t="s">
        <v>199</v>
      </c>
      <c r="B1568" s="2">
        <v>45717</v>
      </c>
      <c r="C1568" s="10" t="s">
        <v>706</v>
      </c>
    </row>
    <row r="1569" spans="1:8" ht="28.8" x14ac:dyDescent="0.3">
      <c r="A1569" t="s">
        <v>199</v>
      </c>
      <c r="B1569" s="2">
        <v>45748</v>
      </c>
      <c r="C1569" s="10" t="s">
        <v>754</v>
      </c>
    </row>
    <row r="1570" spans="1:8" ht="57.6" customHeight="1" x14ac:dyDescent="0.3">
      <c r="A1570" t="s">
        <v>199</v>
      </c>
      <c r="B1570" s="2">
        <v>45778</v>
      </c>
      <c r="C1570" s="10" t="s">
        <v>755</v>
      </c>
    </row>
    <row r="1571" spans="1:8" ht="57.6" customHeight="1" x14ac:dyDescent="0.3">
      <c r="A1571" t="s">
        <v>199</v>
      </c>
      <c r="B1571" s="2">
        <v>45809</v>
      </c>
      <c r="C1571" s="10" t="s">
        <v>756</v>
      </c>
    </row>
    <row r="1572" spans="1:8" ht="57.6" customHeight="1" x14ac:dyDescent="0.3">
      <c r="A1572" t="s">
        <v>199</v>
      </c>
      <c r="B1572" s="2">
        <v>45839</v>
      </c>
      <c r="C1572" s="10" t="s">
        <v>757</v>
      </c>
    </row>
    <row r="1573" spans="1:8" ht="57.6" customHeight="1" x14ac:dyDescent="0.3">
      <c r="A1573" t="s">
        <v>199</v>
      </c>
      <c r="B1573" s="2">
        <v>45870</v>
      </c>
      <c r="C1573" s="10" t="s">
        <v>758</v>
      </c>
    </row>
    <row r="1574" spans="1:8" ht="57.6" customHeight="1" x14ac:dyDescent="0.3">
      <c r="A1574" t="s">
        <v>199</v>
      </c>
      <c r="B1574" s="2">
        <v>45901</v>
      </c>
      <c r="C1574" s="10" t="s">
        <v>759</v>
      </c>
    </row>
    <row r="1575" spans="1:8" ht="57.6" customHeight="1" x14ac:dyDescent="0.3">
      <c r="A1575" t="s">
        <v>199</v>
      </c>
      <c r="B1575" s="2">
        <v>45931</v>
      </c>
      <c r="C1575" s="10" t="s">
        <v>760</v>
      </c>
    </row>
    <row r="1576" spans="1:8" ht="57.6" customHeight="1" x14ac:dyDescent="0.3">
      <c r="A1576" t="s">
        <v>199</v>
      </c>
      <c r="B1576" s="2">
        <v>45962</v>
      </c>
      <c r="C1576" s="10" t="s">
        <v>761</v>
      </c>
    </row>
    <row r="1577" spans="1:8" x14ac:dyDescent="0.3">
      <c r="A1577" t="s">
        <v>199</v>
      </c>
      <c r="B1577" s="2">
        <v>45992</v>
      </c>
      <c r="C1577" s="10" t="s">
        <v>598</v>
      </c>
    </row>
    <row r="1578" spans="1:8" x14ac:dyDescent="0.3">
      <c r="A1578" t="s">
        <v>199</v>
      </c>
      <c r="B1578" s="2">
        <v>46023</v>
      </c>
      <c r="C1578" s="10" t="s">
        <v>338</v>
      </c>
    </row>
    <row r="1579" spans="1:8" x14ac:dyDescent="0.3">
      <c r="A1579" t="s">
        <v>199</v>
      </c>
      <c r="B1579" s="2">
        <v>46054</v>
      </c>
      <c r="C1579" s="10" t="s">
        <v>326</v>
      </c>
    </row>
    <row r="1580" spans="1:8" ht="28.8" x14ac:dyDescent="0.3">
      <c r="A1580" t="s">
        <v>199</v>
      </c>
      <c r="B1580" s="2">
        <v>46082</v>
      </c>
      <c r="C1580" s="10" t="s">
        <v>762</v>
      </c>
    </row>
    <row r="1581" spans="1:8" ht="28.8" x14ac:dyDescent="0.3">
      <c r="A1581" t="s">
        <v>199</v>
      </c>
      <c r="B1581" s="2">
        <v>46113</v>
      </c>
      <c r="C1581" s="10" t="s">
        <v>752</v>
      </c>
    </row>
    <row r="1582" spans="1:8" ht="28.8" x14ac:dyDescent="0.3">
      <c r="A1582" t="s">
        <v>199</v>
      </c>
      <c r="B1582" s="2">
        <v>46143</v>
      </c>
      <c r="C1582" s="10" t="s">
        <v>867</v>
      </c>
    </row>
    <row r="1583" spans="1:8" x14ac:dyDescent="0.3">
      <c r="A1583" t="s">
        <v>213</v>
      </c>
      <c r="B1583" s="2">
        <v>46174</v>
      </c>
      <c r="C1583" t="s">
        <v>919</v>
      </c>
      <c r="D1583">
        <v>0</v>
      </c>
      <c r="E1583" t="s">
        <v>33</v>
      </c>
      <c r="F1583" t="s">
        <v>33</v>
      </c>
      <c r="G1583" s="10" t="s">
        <v>338</v>
      </c>
      <c r="H1583" t="s">
        <v>36</v>
      </c>
    </row>
    <row r="1584" spans="1:8" x14ac:dyDescent="0.3">
      <c r="A1584" t="s">
        <v>213</v>
      </c>
      <c r="B1584" s="2">
        <v>46204</v>
      </c>
      <c r="C1584" s="10">
        <v>20</v>
      </c>
      <c r="D1584" t="s">
        <v>1051</v>
      </c>
      <c r="E1584" t="s">
        <v>1052</v>
      </c>
      <c r="F1584" t="s">
        <v>33</v>
      </c>
      <c r="G1584" t="s">
        <v>1053</v>
      </c>
      <c r="H1584" t="s">
        <v>1054</v>
      </c>
    </row>
    <row r="1585" spans="1:3" x14ac:dyDescent="0.3">
      <c r="A1585" t="s">
        <v>199</v>
      </c>
      <c r="B1585" s="2">
        <v>46235</v>
      </c>
      <c r="C1585" s="10"/>
    </row>
    <row r="1586" spans="1:3" x14ac:dyDescent="0.3">
      <c r="A1586" t="s">
        <v>192</v>
      </c>
      <c r="B1586" s="2">
        <v>45536</v>
      </c>
      <c r="C1586" s="10"/>
    </row>
    <row r="1587" spans="1:3" x14ac:dyDescent="0.3">
      <c r="A1587" t="s">
        <v>192</v>
      </c>
      <c r="B1587" s="2">
        <v>45566</v>
      </c>
      <c r="C1587" s="10"/>
    </row>
    <row r="1588" spans="1:3" x14ac:dyDescent="0.3">
      <c r="A1588" t="s">
        <v>192</v>
      </c>
      <c r="B1588" s="2">
        <v>45597</v>
      </c>
      <c r="C1588" s="10"/>
    </row>
    <row r="1589" spans="1:3" x14ac:dyDescent="0.3">
      <c r="A1589" t="s">
        <v>192</v>
      </c>
      <c r="B1589" s="2">
        <v>45627</v>
      </c>
      <c r="C1589" s="10"/>
    </row>
    <row r="1590" spans="1:3" x14ac:dyDescent="0.3">
      <c r="A1590" t="s">
        <v>192</v>
      </c>
      <c r="B1590" s="2">
        <v>45658</v>
      </c>
      <c r="C1590" s="10"/>
    </row>
    <row r="1591" spans="1:3" x14ac:dyDescent="0.3">
      <c r="A1591" t="s">
        <v>192</v>
      </c>
      <c r="B1591" s="2">
        <v>45689</v>
      </c>
      <c r="C1591" s="10"/>
    </row>
    <row r="1592" spans="1:3" x14ac:dyDescent="0.3">
      <c r="A1592" t="s">
        <v>192</v>
      </c>
      <c r="B1592" s="2">
        <v>45717</v>
      </c>
      <c r="C1592" s="10"/>
    </row>
    <row r="1593" spans="1:3" x14ac:dyDescent="0.3">
      <c r="A1593" t="s">
        <v>192</v>
      </c>
      <c r="B1593" s="2">
        <v>45748</v>
      </c>
      <c r="C1593" s="10"/>
    </row>
    <row r="1594" spans="1:3" x14ac:dyDescent="0.3">
      <c r="A1594" t="s">
        <v>192</v>
      </c>
      <c r="B1594" s="2">
        <v>45778</v>
      </c>
      <c r="C1594" s="10"/>
    </row>
    <row r="1595" spans="1:3" x14ac:dyDescent="0.3">
      <c r="A1595" t="s">
        <v>192</v>
      </c>
      <c r="B1595" s="2">
        <v>45809</v>
      </c>
      <c r="C1595" s="10"/>
    </row>
    <row r="1596" spans="1:3" x14ac:dyDescent="0.3">
      <c r="A1596" t="s">
        <v>192</v>
      </c>
      <c r="B1596" s="2">
        <v>45839</v>
      </c>
      <c r="C1596" s="10"/>
    </row>
    <row r="1597" spans="1:3" x14ac:dyDescent="0.3">
      <c r="A1597" t="s">
        <v>192</v>
      </c>
      <c r="B1597" s="2">
        <v>45870</v>
      </c>
      <c r="C1597" s="10"/>
    </row>
    <row r="1598" spans="1:3" x14ac:dyDescent="0.3">
      <c r="A1598" t="s">
        <v>192</v>
      </c>
      <c r="B1598" s="2">
        <v>45901</v>
      </c>
      <c r="C1598" s="10"/>
    </row>
    <row r="1599" spans="1:3" x14ac:dyDescent="0.3">
      <c r="A1599" t="s">
        <v>192</v>
      </c>
      <c r="B1599" s="2">
        <v>45931</v>
      </c>
      <c r="C1599" s="10"/>
    </row>
    <row r="1600" spans="1:3" x14ac:dyDescent="0.3">
      <c r="A1600" t="s">
        <v>192</v>
      </c>
      <c r="B1600" s="2">
        <v>45962</v>
      </c>
      <c r="C1600" s="10"/>
    </row>
    <row r="1601" spans="1:8" x14ac:dyDescent="0.3">
      <c r="A1601" t="s">
        <v>192</v>
      </c>
      <c r="B1601" s="2">
        <v>45992</v>
      </c>
      <c r="C1601" s="10"/>
    </row>
    <row r="1602" spans="1:8" x14ac:dyDescent="0.3">
      <c r="A1602" t="s">
        <v>192</v>
      </c>
      <c r="B1602" s="2">
        <v>46023</v>
      </c>
      <c r="C1602" s="10"/>
    </row>
    <row r="1603" spans="1:8" x14ac:dyDescent="0.3">
      <c r="A1603" t="s">
        <v>192</v>
      </c>
      <c r="B1603" s="2">
        <v>46054</v>
      </c>
      <c r="C1603" s="10"/>
    </row>
    <row r="1604" spans="1:8" x14ac:dyDescent="0.3">
      <c r="A1604" t="s">
        <v>192</v>
      </c>
      <c r="B1604" s="2">
        <v>46082</v>
      </c>
      <c r="C1604" s="10"/>
    </row>
    <row r="1605" spans="1:8" x14ac:dyDescent="0.3">
      <c r="A1605" t="s">
        <v>192</v>
      </c>
      <c r="B1605" s="2">
        <v>46113</v>
      </c>
      <c r="C1605" s="10"/>
    </row>
    <row r="1606" spans="1:8" x14ac:dyDescent="0.3">
      <c r="A1606" t="s">
        <v>192</v>
      </c>
      <c r="B1606" s="2">
        <v>46143</v>
      </c>
      <c r="C1606" s="10" t="s">
        <v>862</v>
      </c>
    </row>
    <row r="1607" spans="1:8" x14ac:dyDescent="0.3">
      <c r="A1607" t="s">
        <v>216</v>
      </c>
      <c r="B1607" s="2">
        <v>46174</v>
      </c>
      <c r="C1607" s="10"/>
    </row>
    <row r="1608" spans="1:8" x14ac:dyDescent="0.3">
      <c r="A1608" t="s">
        <v>216</v>
      </c>
      <c r="B1608" s="2">
        <v>46204</v>
      </c>
      <c r="C1608" s="10">
        <v>20</v>
      </c>
      <c r="D1608" t="s">
        <v>1051</v>
      </c>
      <c r="E1608" t="s">
        <v>1052</v>
      </c>
      <c r="F1608" t="s">
        <v>33</v>
      </c>
      <c r="G1608" t="s">
        <v>1053</v>
      </c>
      <c r="H1608" t="s">
        <v>36</v>
      </c>
    </row>
    <row r="1609" spans="1:8" x14ac:dyDescent="0.3">
      <c r="A1609" t="s">
        <v>192</v>
      </c>
      <c r="B1609" s="2">
        <v>46235</v>
      </c>
      <c r="C1609" s="10"/>
    </row>
    <row r="1610" spans="1:8" x14ac:dyDescent="0.3">
      <c r="A1610" t="s">
        <v>194</v>
      </c>
      <c r="B1610" s="2">
        <v>45536</v>
      </c>
      <c r="C1610" s="10"/>
    </row>
    <row r="1611" spans="1:8" x14ac:dyDescent="0.3">
      <c r="A1611" t="s">
        <v>194</v>
      </c>
      <c r="B1611" s="2">
        <v>45566</v>
      </c>
      <c r="C1611" s="10"/>
    </row>
    <row r="1612" spans="1:8" x14ac:dyDescent="0.3">
      <c r="A1612" t="s">
        <v>194</v>
      </c>
      <c r="B1612" s="2">
        <v>45597</v>
      </c>
      <c r="C1612" s="10"/>
    </row>
    <row r="1613" spans="1:8" x14ac:dyDescent="0.3">
      <c r="A1613" t="s">
        <v>194</v>
      </c>
      <c r="B1613" s="2">
        <v>45627</v>
      </c>
      <c r="C1613" s="10"/>
    </row>
    <row r="1614" spans="1:8" x14ac:dyDescent="0.3">
      <c r="A1614" t="s">
        <v>194</v>
      </c>
      <c r="B1614" s="2">
        <v>45658</v>
      </c>
      <c r="C1614" s="10"/>
    </row>
    <row r="1615" spans="1:8" ht="28.8" x14ac:dyDescent="0.3">
      <c r="A1615" t="s">
        <v>194</v>
      </c>
      <c r="B1615" s="2">
        <v>45689</v>
      </c>
      <c r="C1615" s="10" t="s">
        <v>763</v>
      </c>
    </row>
    <row r="1616" spans="1:8" ht="57.6" customHeight="1" x14ac:dyDescent="0.3">
      <c r="A1616" t="s">
        <v>194</v>
      </c>
      <c r="B1616" s="2">
        <v>45717</v>
      </c>
      <c r="C1616" s="10" t="s">
        <v>764</v>
      </c>
    </row>
    <row r="1617" spans="1:8" ht="57.6" customHeight="1" x14ac:dyDescent="0.3">
      <c r="A1617" t="s">
        <v>194</v>
      </c>
      <c r="B1617" s="2">
        <v>45748</v>
      </c>
      <c r="C1617" s="10" t="s">
        <v>765</v>
      </c>
    </row>
    <row r="1618" spans="1:8" ht="72" customHeight="1" x14ac:dyDescent="0.3">
      <c r="A1618" t="s">
        <v>194</v>
      </c>
      <c r="B1618" s="2">
        <v>45778</v>
      </c>
      <c r="C1618" s="10" t="s">
        <v>766</v>
      </c>
    </row>
    <row r="1619" spans="1:8" ht="72" customHeight="1" x14ac:dyDescent="0.3">
      <c r="A1619" t="s">
        <v>194</v>
      </c>
      <c r="B1619" s="2">
        <v>45809</v>
      </c>
      <c r="C1619" s="10" t="s">
        <v>767</v>
      </c>
    </row>
    <row r="1620" spans="1:8" x14ac:dyDescent="0.3">
      <c r="A1620" t="s">
        <v>194</v>
      </c>
      <c r="B1620" s="2">
        <v>45839</v>
      </c>
      <c r="C1620" t="s">
        <v>911</v>
      </c>
      <c r="D1620">
        <v>0</v>
      </c>
      <c r="E1620" t="s">
        <v>33</v>
      </c>
      <c r="F1620" t="s">
        <v>33</v>
      </c>
      <c r="G1620" s="21" t="s">
        <v>932</v>
      </c>
      <c r="H1620" t="s">
        <v>36</v>
      </c>
    </row>
    <row r="1621" spans="1:8" x14ac:dyDescent="0.3">
      <c r="A1621" t="s">
        <v>194</v>
      </c>
      <c r="B1621" s="2">
        <v>45870</v>
      </c>
      <c r="C1621" t="s">
        <v>911</v>
      </c>
      <c r="D1621">
        <v>0</v>
      </c>
      <c r="E1621" t="s">
        <v>33</v>
      </c>
      <c r="F1621" t="s">
        <v>33</v>
      </c>
      <c r="G1621" s="21" t="s">
        <v>932</v>
      </c>
      <c r="H1621" t="s">
        <v>36</v>
      </c>
    </row>
    <row r="1622" spans="1:8" x14ac:dyDescent="0.3">
      <c r="A1622" t="s">
        <v>194</v>
      </c>
      <c r="B1622" s="2">
        <v>45901</v>
      </c>
      <c r="C1622" t="s">
        <v>919</v>
      </c>
      <c r="D1622">
        <v>0</v>
      </c>
      <c r="E1622" t="s">
        <v>33</v>
      </c>
      <c r="F1622" t="s">
        <v>33</v>
      </c>
      <c r="G1622" s="21" t="s">
        <v>932</v>
      </c>
      <c r="H1622" t="s">
        <v>36</v>
      </c>
    </row>
    <row r="1623" spans="1:8" x14ac:dyDescent="0.3">
      <c r="A1623" t="s">
        <v>194</v>
      </c>
      <c r="B1623" s="2">
        <v>45931</v>
      </c>
      <c r="C1623" t="s">
        <v>911</v>
      </c>
      <c r="D1623">
        <v>0</v>
      </c>
      <c r="E1623" t="s">
        <v>33</v>
      </c>
      <c r="F1623" t="s">
        <v>33</v>
      </c>
      <c r="G1623" s="21" t="s">
        <v>932</v>
      </c>
      <c r="H1623" t="s">
        <v>36</v>
      </c>
    </row>
    <row r="1624" spans="1:8" x14ac:dyDescent="0.3">
      <c r="A1624" t="s">
        <v>194</v>
      </c>
      <c r="B1624" s="2">
        <v>45962</v>
      </c>
      <c r="C1624" t="s">
        <v>919</v>
      </c>
      <c r="D1624">
        <v>0</v>
      </c>
      <c r="E1624" t="s">
        <v>33</v>
      </c>
      <c r="F1624" t="s">
        <v>33</v>
      </c>
      <c r="G1624" s="21" t="s">
        <v>932</v>
      </c>
      <c r="H1624" t="s">
        <v>36</v>
      </c>
    </row>
    <row r="1625" spans="1:8" x14ac:dyDescent="0.3">
      <c r="A1625" t="s">
        <v>194</v>
      </c>
      <c r="B1625" s="2">
        <v>45992</v>
      </c>
      <c r="C1625" t="s">
        <v>911</v>
      </c>
      <c r="D1625">
        <v>0</v>
      </c>
      <c r="E1625" t="s">
        <v>33</v>
      </c>
      <c r="F1625" t="s">
        <v>33</v>
      </c>
      <c r="G1625" s="10" t="s">
        <v>338</v>
      </c>
      <c r="H1625" t="s">
        <v>36</v>
      </c>
    </row>
    <row r="1626" spans="1:8" x14ac:dyDescent="0.3">
      <c r="A1626" t="s">
        <v>194</v>
      </c>
      <c r="B1626" s="2">
        <v>46023</v>
      </c>
      <c r="C1626" t="s">
        <v>911</v>
      </c>
      <c r="D1626">
        <v>0</v>
      </c>
      <c r="E1626" t="s">
        <v>33</v>
      </c>
      <c r="F1626" t="s">
        <v>33</v>
      </c>
      <c r="G1626" s="10" t="s">
        <v>338</v>
      </c>
      <c r="H1626" t="s">
        <v>36</v>
      </c>
    </row>
    <row r="1627" spans="1:8" x14ac:dyDescent="0.3">
      <c r="A1627" t="s">
        <v>194</v>
      </c>
      <c r="B1627" s="2">
        <v>46054</v>
      </c>
      <c r="C1627" t="s">
        <v>895</v>
      </c>
      <c r="D1627">
        <v>0</v>
      </c>
      <c r="E1627" t="s">
        <v>33</v>
      </c>
      <c r="F1627" t="s">
        <v>33</v>
      </c>
      <c r="G1627" s="10" t="s">
        <v>338</v>
      </c>
      <c r="H1627" t="s">
        <v>36</v>
      </c>
    </row>
    <row r="1628" spans="1:8" x14ac:dyDescent="0.3">
      <c r="A1628" t="s">
        <v>194</v>
      </c>
      <c r="B1628" s="2">
        <v>46082</v>
      </c>
      <c r="C1628" t="s">
        <v>911</v>
      </c>
      <c r="D1628">
        <v>0</v>
      </c>
      <c r="E1628" t="s">
        <v>33</v>
      </c>
      <c r="F1628" t="s">
        <v>33</v>
      </c>
      <c r="G1628" s="21" t="s">
        <v>932</v>
      </c>
      <c r="H1628" t="s">
        <v>36</v>
      </c>
    </row>
    <row r="1629" spans="1:8" x14ac:dyDescent="0.3">
      <c r="A1629" t="s">
        <v>194</v>
      </c>
      <c r="B1629" s="2">
        <v>46113</v>
      </c>
      <c r="C1629" t="s">
        <v>919</v>
      </c>
      <c r="D1629">
        <v>0</v>
      </c>
      <c r="E1629" t="s">
        <v>33</v>
      </c>
      <c r="F1629" t="s">
        <v>33</v>
      </c>
      <c r="G1629" s="21" t="s">
        <v>932</v>
      </c>
      <c r="H1629" t="s">
        <v>36</v>
      </c>
    </row>
    <row r="1630" spans="1:8" x14ac:dyDescent="0.3">
      <c r="A1630" t="s">
        <v>194</v>
      </c>
      <c r="B1630" s="2">
        <v>46143</v>
      </c>
      <c r="C1630" t="s">
        <v>911</v>
      </c>
      <c r="D1630">
        <v>0</v>
      </c>
      <c r="E1630" t="s">
        <v>33</v>
      </c>
      <c r="F1630" t="s">
        <v>33</v>
      </c>
      <c r="G1630" s="21" t="s">
        <v>932</v>
      </c>
      <c r="H1630" t="s">
        <v>36</v>
      </c>
    </row>
    <row r="1631" spans="1:8" x14ac:dyDescent="0.3">
      <c r="A1631" t="s">
        <v>218</v>
      </c>
      <c r="B1631" s="2">
        <v>46174</v>
      </c>
      <c r="C1631" t="s">
        <v>919</v>
      </c>
      <c r="D1631">
        <v>0</v>
      </c>
      <c r="E1631" t="s">
        <v>33</v>
      </c>
      <c r="F1631" t="s">
        <v>33</v>
      </c>
      <c r="G1631" s="10" t="s">
        <v>338</v>
      </c>
      <c r="H1631" t="s">
        <v>36</v>
      </c>
    </row>
    <row r="1632" spans="1:8" x14ac:dyDescent="0.3">
      <c r="A1632" t="s">
        <v>218</v>
      </c>
      <c r="B1632" s="2">
        <v>46204</v>
      </c>
      <c r="C1632" s="10">
        <v>31</v>
      </c>
      <c r="D1632">
        <v>0</v>
      </c>
      <c r="E1632" t="s">
        <v>33</v>
      </c>
      <c r="F1632" t="s">
        <v>33</v>
      </c>
      <c r="G1632" t="s">
        <v>1050</v>
      </c>
      <c r="H1632" t="s">
        <v>36</v>
      </c>
    </row>
    <row r="1633" spans="1:3" x14ac:dyDescent="0.3">
      <c r="A1633" t="s">
        <v>194</v>
      </c>
      <c r="B1633" s="2">
        <v>46235</v>
      </c>
      <c r="C1633" s="10"/>
    </row>
    <row r="1634" spans="1:3" x14ac:dyDescent="0.3">
      <c r="A1634" t="s">
        <v>196</v>
      </c>
      <c r="B1634" s="2">
        <v>45536</v>
      </c>
      <c r="C1634" s="10"/>
    </row>
    <row r="1635" spans="1:3" x14ac:dyDescent="0.3">
      <c r="A1635" t="s">
        <v>196</v>
      </c>
      <c r="B1635" s="2">
        <v>45566</v>
      </c>
      <c r="C1635" s="10"/>
    </row>
    <row r="1636" spans="1:3" x14ac:dyDescent="0.3">
      <c r="A1636" t="s">
        <v>196</v>
      </c>
      <c r="B1636" s="2">
        <v>45597</v>
      </c>
      <c r="C1636" s="10"/>
    </row>
    <row r="1637" spans="1:3" x14ac:dyDescent="0.3">
      <c r="A1637" t="s">
        <v>196</v>
      </c>
      <c r="B1637" s="2">
        <v>45627</v>
      </c>
      <c r="C1637" s="10"/>
    </row>
    <row r="1638" spans="1:3" x14ac:dyDescent="0.3">
      <c r="A1638" t="s">
        <v>196</v>
      </c>
      <c r="B1638" s="2">
        <v>45658</v>
      </c>
      <c r="C1638" s="10"/>
    </row>
    <row r="1639" spans="1:3" x14ac:dyDescent="0.3">
      <c r="A1639" t="s">
        <v>196</v>
      </c>
      <c r="B1639" s="2">
        <v>45689</v>
      </c>
      <c r="C1639" s="10" t="s">
        <v>768</v>
      </c>
    </row>
    <row r="1640" spans="1:3" ht="57.6" customHeight="1" x14ac:dyDescent="0.3">
      <c r="A1640" t="s">
        <v>196</v>
      </c>
      <c r="B1640" s="2">
        <v>45717</v>
      </c>
      <c r="C1640" s="10" t="s">
        <v>769</v>
      </c>
    </row>
    <row r="1641" spans="1:3" ht="43.2" customHeight="1" x14ac:dyDescent="0.3">
      <c r="A1641" t="s">
        <v>196</v>
      </c>
      <c r="B1641" s="2">
        <v>45748</v>
      </c>
      <c r="C1641" s="10" t="s">
        <v>770</v>
      </c>
    </row>
    <row r="1642" spans="1:3" ht="57.6" customHeight="1" x14ac:dyDescent="0.3">
      <c r="A1642" t="s">
        <v>196</v>
      </c>
      <c r="B1642" s="2">
        <v>45778</v>
      </c>
      <c r="C1642" s="10" t="s">
        <v>771</v>
      </c>
    </row>
    <row r="1643" spans="1:3" ht="57.6" customHeight="1" x14ac:dyDescent="0.3">
      <c r="A1643" t="s">
        <v>196</v>
      </c>
      <c r="B1643" s="2">
        <v>45809</v>
      </c>
      <c r="C1643" s="10" t="s">
        <v>772</v>
      </c>
    </row>
    <row r="1644" spans="1:3" ht="57.6" customHeight="1" x14ac:dyDescent="0.3">
      <c r="A1644" t="s">
        <v>196</v>
      </c>
      <c r="B1644" s="2">
        <v>45839</v>
      </c>
      <c r="C1644" s="10" t="s">
        <v>773</v>
      </c>
    </row>
    <row r="1645" spans="1:3" ht="57.6" customHeight="1" x14ac:dyDescent="0.3">
      <c r="A1645" t="s">
        <v>196</v>
      </c>
      <c r="B1645" s="2">
        <v>45870</v>
      </c>
      <c r="C1645" s="10" t="s">
        <v>774</v>
      </c>
    </row>
    <row r="1646" spans="1:3" ht="57.6" customHeight="1" x14ac:dyDescent="0.3">
      <c r="A1646" t="s">
        <v>196</v>
      </c>
      <c r="B1646" s="2">
        <v>45901</v>
      </c>
      <c r="C1646" s="10" t="s">
        <v>775</v>
      </c>
    </row>
    <row r="1647" spans="1:3" ht="57.6" customHeight="1" x14ac:dyDescent="0.3">
      <c r="A1647" t="s">
        <v>196</v>
      </c>
      <c r="B1647" s="2">
        <v>45931</v>
      </c>
      <c r="C1647" s="10" t="s">
        <v>776</v>
      </c>
    </row>
    <row r="1648" spans="1:3" ht="57.6" customHeight="1" x14ac:dyDescent="0.3">
      <c r="A1648" t="s">
        <v>196</v>
      </c>
      <c r="B1648" s="2">
        <v>45962</v>
      </c>
      <c r="C1648" s="10" t="s">
        <v>777</v>
      </c>
    </row>
    <row r="1649" spans="1:8" x14ac:dyDescent="0.3">
      <c r="A1649" t="s">
        <v>196</v>
      </c>
      <c r="B1649" s="2">
        <v>45992</v>
      </c>
      <c r="C1649" s="10" t="s">
        <v>598</v>
      </c>
    </row>
    <row r="1650" spans="1:8" x14ac:dyDescent="0.3">
      <c r="A1650" t="s">
        <v>196</v>
      </c>
      <c r="B1650" s="2">
        <v>46023</v>
      </c>
      <c r="C1650" s="10" t="s">
        <v>338</v>
      </c>
    </row>
    <row r="1651" spans="1:8" x14ac:dyDescent="0.3">
      <c r="A1651" t="s">
        <v>196</v>
      </c>
      <c r="B1651" s="2">
        <v>46054</v>
      </c>
      <c r="C1651" s="10" t="s">
        <v>326</v>
      </c>
    </row>
    <row r="1652" spans="1:8" x14ac:dyDescent="0.3">
      <c r="A1652" t="s">
        <v>196</v>
      </c>
      <c r="B1652" s="2">
        <v>46082</v>
      </c>
      <c r="C1652" s="10" t="s">
        <v>326</v>
      </c>
    </row>
    <row r="1653" spans="1:8" x14ac:dyDescent="0.3">
      <c r="A1653" t="s">
        <v>196</v>
      </c>
      <c r="B1653" s="2">
        <v>46113</v>
      </c>
      <c r="C1653" s="10" t="s">
        <v>302</v>
      </c>
    </row>
    <row r="1654" spans="1:8" x14ac:dyDescent="0.3">
      <c r="A1654" t="s">
        <v>196</v>
      </c>
      <c r="B1654" s="2">
        <v>46143</v>
      </c>
      <c r="C1654" s="10" t="s">
        <v>302</v>
      </c>
    </row>
    <row r="1655" spans="1:8" x14ac:dyDescent="0.3">
      <c r="A1655" t="s">
        <v>192</v>
      </c>
      <c r="B1655" s="2">
        <v>46174</v>
      </c>
      <c r="C1655" s="10"/>
    </row>
    <row r="1656" spans="1:8" x14ac:dyDescent="0.3">
      <c r="A1656" t="s">
        <v>192</v>
      </c>
      <c r="B1656" s="2">
        <v>46204</v>
      </c>
      <c r="C1656" s="10" t="s">
        <v>36</v>
      </c>
      <c r="D1656" s="10" t="s">
        <v>36</v>
      </c>
      <c r="E1656" s="10" t="s">
        <v>36</v>
      </c>
      <c r="F1656" t="s">
        <v>1055</v>
      </c>
      <c r="G1656" t="s">
        <v>36</v>
      </c>
      <c r="H1656" t="s">
        <v>36</v>
      </c>
    </row>
    <row r="1657" spans="1:8" x14ac:dyDescent="0.3">
      <c r="A1657" t="s">
        <v>196</v>
      </c>
      <c r="B1657" s="2">
        <v>46235</v>
      </c>
      <c r="C1657" s="10"/>
    </row>
    <row r="1658" spans="1:8" x14ac:dyDescent="0.3">
      <c r="A1658" t="s">
        <v>201</v>
      </c>
      <c r="B1658" s="2">
        <v>45536</v>
      </c>
      <c r="C1658" s="10"/>
    </row>
    <row r="1659" spans="1:8" x14ac:dyDescent="0.3">
      <c r="A1659" t="s">
        <v>201</v>
      </c>
      <c r="B1659" s="2">
        <v>45566</v>
      </c>
      <c r="C1659" s="10"/>
    </row>
    <row r="1660" spans="1:8" x14ac:dyDescent="0.3">
      <c r="A1660" t="s">
        <v>201</v>
      </c>
      <c r="B1660" s="2">
        <v>45597</v>
      </c>
      <c r="C1660" s="10"/>
    </row>
    <row r="1661" spans="1:8" x14ac:dyDescent="0.3">
      <c r="A1661" t="s">
        <v>201</v>
      </c>
      <c r="B1661" s="2">
        <v>45627</v>
      </c>
      <c r="C1661" s="10"/>
    </row>
    <row r="1662" spans="1:8" x14ac:dyDescent="0.3">
      <c r="A1662" t="s">
        <v>201</v>
      </c>
      <c r="B1662" s="2">
        <v>45658</v>
      </c>
      <c r="C1662" s="10"/>
    </row>
    <row r="1663" spans="1:8" ht="28.95" customHeight="1" x14ac:dyDescent="0.3">
      <c r="A1663" t="s">
        <v>201</v>
      </c>
      <c r="B1663" s="2">
        <v>45689</v>
      </c>
      <c r="C1663" s="10" t="s">
        <v>778</v>
      </c>
    </row>
    <row r="1664" spans="1:8" x14ac:dyDescent="0.3">
      <c r="A1664" t="s">
        <v>201</v>
      </c>
      <c r="B1664" s="2">
        <v>45717</v>
      </c>
      <c r="C1664" s="10" t="s">
        <v>455</v>
      </c>
    </row>
    <row r="1665" spans="1:8" ht="28.8" x14ac:dyDescent="0.3">
      <c r="A1665" t="s">
        <v>201</v>
      </c>
      <c r="B1665" s="2">
        <v>45748</v>
      </c>
      <c r="C1665" s="10" t="s">
        <v>779</v>
      </c>
    </row>
    <row r="1666" spans="1:8" ht="57.6" customHeight="1" x14ac:dyDescent="0.3">
      <c r="A1666" t="s">
        <v>201</v>
      </c>
      <c r="B1666" s="2">
        <v>45778</v>
      </c>
      <c r="C1666" s="10" t="s">
        <v>780</v>
      </c>
    </row>
    <row r="1667" spans="1:8" ht="57.6" customHeight="1" x14ac:dyDescent="0.3">
      <c r="A1667" t="s">
        <v>201</v>
      </c>
      <c r="B1667" s="2">
        <v>45809</v>
      </c>
      <c r="C1667" s="10" t="s">
        <v>781</v>
      </c>
    </row>
    <row r="1668" spans="1:8" ht="57.6" customHeight="1" x14ac:dyDescent="0.3">
      <c r="A1668" t="s">
        <v>201</v>
      </c>
      <c r="B1668" s="2">
        <v>45839</v>
      </c>
      <c r="C1668" s="10" t="s">
        <v>782</v>
      </c>
    </row>
    <row r="1669" spans="1:8" ht="72" customHeight="1" x14ac:dyDescent="0.3">
      <c r="A1669" t="s">
        <v>201</v>
      </c>
      <c r="B1669" s="2">
        <v>45870</v>
      </c>
      <c r="C1669" s="10" t="s">
        <v>783</v>
      </c>
    </row>
    <row r="1670" spans="1:8" ht="57.6" customHeight="1" x14ac:dyDescent="0.3">
      <c r="A1670" t="s">
        <v>201</v>
      </c>
      <c r="B1670" s="2">
        <v>45901</v>
      </c>
      <c r="C1670" s="10" t="s">
        <v>784</v>
      </c>
    </row>
    <row r="1671" spans="1:8" ht="57.6" customHeight="1" x14ac:dyDescent="0.3">
      <c r="A1671" t="s">
        <v>201</v>
      </c>
      <c r="B1671" s="2">
        <v>45931</v>
      </c>
      <c r="C1671" s="10" t="s">
        <v>785</v>
      </c>
    </row>
    <row r="1672" spans="1:8" ht="57.6" customHeight="1" x14ac:dyDescent="0.3">
      <c r="A1672" t="s">
        <v>201</v>
      </c>
      <c r="B1672" s="2">
        <v>45962</v>
      </c>
      <c r="C1672" s="10" t="s">
        <v>786</v>
      </c>
    </row>
    <row r="1673" spans="1:8" ht="28.8" x14ac:dyDescent="0.3">
      <c r="A1673" t="s">
        <v>201</v>
      </c>
      <c r="B1673" s="2">
        <v>45992</v>
      </c>
      <c r="C1673" s="10" t="s">
        <v>787</v>
      </c>
    </row>
    <row r="1674" spans="1:8" x14ac:dyDescent="0.3">
      <c r="A1674" t="s">
        <v>201</v>
      </c>
      <c r="B1674" s="2">
        <v>46023</v>
      </c>
      <c r="C1674" s="10" t="s">
        <v>338</v>
      </c>
    </row>
    <row r="1675" spans="1:8" x14ac:dyDescent="0.3">
      <c r="A1675" t="s">
        <v>201</v>
      </c>
      <c r="B1675" s="2">
        <v>46054</v>
      </c>
      <c r="C1675" s="10" t="s">
        <v>326</v>
      </c>
    </row>
    <row r="1676" spans="1:8" ht="28.8" x14ac:dyDescent="0.3">
      <c r="A1676" t="s">
        <v>201</v>
      </c>
      <c r="B1676" s="2">
        <v>46082</v>
      </c>
      <c r="C1676" s="10" t="s">
        <v>788</v>
      </c>
    </row>
    <row r="1677" spans="1:8" ht="28.8" x14ac:dyDescent="0.3">
      <c r="A1677" t="s">
        <v>201</v>
      </c>
      <c r="B1677" s="2">
        <v>46113</v>
      </c>
      <c r="C1677" s="10" t="s">
        <v>664</v>
      </c>
    </row>
    <row r="1678" spans="1:8" ht="28.8" x14ac:dyDescent="0.3">
      <c r="A1678" t="s">
        <v>201</v>
      </c>
      <c r="B1678" s="2">
        <v>46143</v>
      </c>
      <c r="C1678" s="10" t="s">
        <v>867</v>
      </c>
    </row>
    <row r="1679" spans="1:8" x14ac:dyDescent="0.3">
      <c r="A1679" t="s">
        <v>194</v>
      </c>
      <c r="B1679" s="2">
        <v>46204</v>
      </c>
      <c r="C1679" s="10">
        <v>28</v>
      </c>
      <c r="D1679" t="s">
        <v>1056</v>
      </c>
      <c r="E1679" t="s">
        <v>1057</v>
      </c>
      <c r="F1679" t="s">
        <v>33</v>
      </c>
      <c r="G1679" t="s">
        <v>1058</v>
      </c>
      <c r="H1679" t="s">
        <v>36</v>
      </c>
    </row>
    <row r="1680" spans="1:8" x14ac:dyDescent="0.3">
      <c r="A1680" t="s">
        <v>194</v>
      </c>
      <c r="B1680" s="2">
        <v>46174</v>
      </c>
      <c r="C1680" t="s">
        <v>919</v>
      </c>
      <c r="D1680">
        <v>0</v>
      </c>
      <c r="E1680" t="s">
        <v>33</v>
      </c>
      <c r="F1680" t="s">
        <v>33</v>
      </c>
      <c r="G1680" s="10" t="s">
        <v>996</v>
      </c>
      <c r="H1680" t="s">
        <v>36</v>
      </c>
    </row>
    <row r="1681" spans="1:3" x14ac:dyDescent="0.3">
      <c r="A1681" t="s">
        <v>201</v>
      </c>
      <c r="B1681" s="2">
        <v>46235</v>
      </c>
      <c r="C1681" s="10"/>
    </row>
    <row r="1682" spans="1:3" x14ac:dyDescent="0.3">
      <c r="A1682" t="s">
        <v>211</v>
      </c>
      <c r="B1682" s="2">
        <v>45536</v>
      </c>
      <c r="C1682" s="10"/>
    </row>
    <row r="1683" spans="1:3" x14ac:dyDescent="0.3">
      <c r="A1683" t="s">
        <v>211</v>
      </c>
      <c r="B1683" s="2">
        <v>45566</v>
      </c>
      <c r="C1683" s="10"/>
    </row>
    <row r="1684" spans="1:3" x14ac:dyDescent="0.3">
      <c r="A1684" t="s">
        <v>211</v>
      </c>
      <c r="B1684" s="2">
        <v>45597</v>
      </c>
      <c r="C1684" s="10"/>
    </row>
    <row r="1685" spans="1:3" x14ac:dyDescent="0.3">
      <c r="A1685" t="s">
        <v>211</v>
      </c>
      <c r="B1685" s="2">
        <v>45627</v>
      </c>
      <c r="C1685" s="10"/>
    </row>
    <row r="1686" spans="1:3" x14ac:dyDescent="0.3">
      <c r="A1686" t="s">
        <v>211</v>
      </c>
      <c r="B1686" s="2">
        <v>45658</v>
      </c>
      <c r="C1686" s="10"/>
    </row>
    <row r="1687" spans="1:3" x14ac:dyDescent="0.3">
      <c r="A1687" t="s">
        <v>211</v>
      </c>
      <c r="B1687" s="2">
        <v>45689</v>
      </c>
      <c r="C1687" s="10"/>
    </row>
    <row r="1688" spans="1:3" x14ac:dyDescent="0.3">
      <c r="A1688" t="s">
        <v>211</v>
      </c>
      <c r="B1688" s="2">
        <v>45717</v>
      </c>
      <c r="C1688" s="10"/>
    </row>
    <row r="1689" spans="1:3" x14ac:dyDescent="0.3">
      <c r="A1689" t="s">
        <v>211</v>
      </c>
      <c r="B1689" s="2">
        <v>45748</v>
      </c>
      <c r="C1689" s="10"/>
    </row>
    <row r="1690" spans="1:3" x14ac:dyDescent="0.3">
      <c r="A1690" t="s">
        <v>211</v>
      </c>
      <c r="B1690" s="2">
        <v>45778</v>
      </c>
      <c r="C1690" s="10"/>
    </row>
    <row r="1691" spans="1:3" x14ac:dyDescent="0.3">
      <c r="A1691" t="s">
        <v>211</v>
      </c>
      <c r="B1691" s="2">
        <v>45809</v>
      </c>
      <c r="C1691" s="10"/>
    </row>
    <row r="1692" spans="1:3" x14ac:dyDescent="0.3">
      <c r="A1692" t="s">
        <v>211</v>
      </c>
      <c r="B1692" s="2">
        <v>45839</v>
      </c>
      <c r="C1692" s="10"/>
    </row>
    <row r="1693" spans="1:3" x14ac:dyDescent="0.3">
      <c r="A1693" t="s">
        <v>211</v>
      </c>
      <c r="B1693" s="2">
        <v>45870</v>
      </c>
      <c r="C1693" s="10"/>
    </row>
    <row r="1694" spans="1:3" ht="43.2" customHeight="1" x14ac:dyDescent="0.3">
      <c r="A1694" t="s">
        <v>211</v>
      </c>
      <c r="B1694" s="2">
        <v>45901</v>
      </c>
      <c r="C1694" s="10" t="s">
        <v>789</v>
      </c>
    </row>
    <row r="1695" spans="1:3" ht="43.2" customHeight="1" x14ac:dyDescent="0.3">
      <c r="A1695" t="s">
        <v>211</v>
      </c>
      <c r="B1695" s="2">
        <v>45931</v>
      </c>
      <c r="C1695" s="10" t="s">
        <v>790</v>
      </c>
    </row>
    <row r="1696" spans="1:3" ht="43.2" customHeight="1" x14ac:dyDescent="0.3">
      <c r="A1696" t="s">
        <v>211</v>
      </c>
      <c r="B1696" s="2">
        <v>45962</v>
      </c>
      <c r="C1696" s="10" t="s">
        <v>791</v>
      </c>
    </row>
    <row r="1697" spans="1:8" ht="28.8" x14ac:dyDescent="0.3">
      <c r="A1697" t="s">
        <v>211</v>
      </c>
      <c r="B1697" s="2">
        <v>45992</v>
      </c>
      <c r="C1697" s="10" t="s">
        <v>792</v>
      </c>
    </row>
    <row r="1698" spans="1:8" x14ac:dyDescent="0.3">
      <c r="A1698" t="s">
        <v>211</v>
      </c>
      <c r="B1698" s="2">
        <v>46023</v>
      </c>
      <c r="C1698" s="10" t="s">
        <v>338</v>
      </c>
    </row>
    <row r="1699" spans="1:8" ht="28.8" x14ac:dyDescent="0.3">
      <c r="A1699" t="s">
        <v>211</v>
      </c>
      <c r="B1699" s="2">
        <v>46054</v>
      </c>
      <c r="C1699" s="10" t="s">
        <v>301</v>
      </c>
    </row>
    <row r="1700" spans="1:8" x14ac:dyDescent="0.3">
      <c r="A1700" t="s">
        <v>211</v>
      </c>
      <c r="B1700" s="2">
        <v>46082</v>
      </c>
      <c r="C1700" s="10" t="s">
        <v>598</v>
      </c>
    </row>
    <row r="1701" spans="1:8" ht="28.8" x14ac:dyDescent="0.3">
      <c r="A1701" t="s">
        <v>211</v>
      </c>
      <c r="B1701" s="2">
        <v>46113</v>
      </c>
      <c r="C1701" s="10" t="s">
        <v>793</v>
      </c>
    </row>
    <row r="1702" spans="1:8" x14ac:dyDescent="0.3">
      <c r="A1702" t="s">
        <v>211</v>
      </c>
      <c r="B1702" s="2">
        <v>46143</v>
      </c>
      <c r="C1702" s="10" t="s">
        <v>852</v>
      </c>
    </row>
    <row r="1703" spans="1:8" x14ac:dyDescent="0.3">
      <c r="A1703" t="s">
        <v>196</v>
      </c>
      <c r="B1703" s="2">
        <v>46174</v>
      </c>
      <c r="C1703" s="10"/>
    </row>
    <row r="1704" spans="1:8" x14ac:dyDescent="0.3">
      <c r="A1704" t="s">
        <v>196</v>
      </c>
      <c r="B1704" s="2">
        <v>46204</v>
      </c>
      <c r="C1704" s="10">
        <v>31</v>
      </c>
      <c r="D1704">
        <v>0</v>
      </c>
      <c r="E1704" t="s">
        <v>33</v>
      </c>
      <c r="F1704" t="s">
        <v>33</v>
      </c>
      <c r="G1704" t="s">
        <v>1014</v>
      </c>
      <c r="H1704" t="s">
        <v>36</v>
      </c>
    </row>
    <row r="1705" spans="1:8" x14ac:dyDescent="0.3">
      <c r="A1705" t="s">
        <v>211</v>
      </c>
      <c r="B1705" s="2">
        <v>46235</v>
      </c>
      <c r="C1705" s="10"/>
    </row>
    <row r="1706" spans="1:8" x14ac:dyDescent="0.3">
      <c r="A1706" t="s">
        <v>202</v>
      </c>
      <c r="B1706" s="2">
        <v>45536</v>
      </c>
      <c r="C1706" s="10"/>
    </row>
    <row r="1707" spans="1:8" x14ac:dyDescent="0.3">
      <c r="A1707" t="s">
        <v>202</v>
      </c>
      <c r="B1707" s="2">
        <v>45566</v>
      </c>
      <c r="C1707" s="10"/>
    </row>
    <row r="1708" spans="1:8" x14ac:dyDescent="0.3">
      <c r="A1708" t="s">
        <v>202</v>
      </c>
      <c r="B1708" s="2">
        <v>45597</v>
      </c>
      <c r="C1708" s="10"/>
    </row>
    <row r="1709" spans="1:8" x14ac:dyDescent="0.3">
      <c r="A1709" t="s">
        <v>202</v>
      </c>
      <c r="B1709" s="2">
        <v>45627</v>
      </c>
      <c r="C1709" s="10"/>
    </row>
    <row r="1710" spans="1:8" x14ac:dyDescent="0.3">
      <c r="A1710" t="s">
        <v>202</v>
      </c>
      <c r="B1710" s="2">
        <v>45658</v>
      </c>
      <c r="C1710" s="10"/>
    </row>
    <row r="1711" spans="1:8" ht="57.6" customHeight="1" x14ac:dyDescent="0.3">
      <c r="A1711" t="s">
        <v>202</v>
      </c>
      <c r="B1711" s="2">
        <v>45689</v>
      </c>
      <c r="C1711" s="10" t="s">
        <v>794</v>
      </c>
    </row>
    <row r="1712" spans="1:8" ht="86.4" customHeight="1" x14ac:dyDescent="0.3">
      <c r="A1712" t="s">
        <v>202</v>
      </c>
      <c r="B1712" s="2">
        <v>45717</v>
      </c>
      <c r="C1712" s="10" t="s">
        <v>795</v>
      </c>
    </row>
    <row r="1713" spans="1:8" ht="57.6" customHeight="1" x14ac:dyDescent="0.3">
      <c r="A1713" t="s">
        <v>202</v>
      </c>
      <c r="B1713" s="2">
        <v>45748</v>
      </c>
      <c r="C1713" s="10" t="s">
        <v>796</v>
      </c>
    </row>
    <row r="1714" spans="1:8" ht="57.6" customHeight="1" x14ac:dyDescent="0.3">
      <c r="A1714" t="s">
        <v>202</v>
      </c>
      <c r="B1714" s="2">
        <v>45778</v>
      </c>
      <c r="C1714" s="10" t="s">
        <v>797</v>
      </c>
    </row>
    <row r="1715" spans="1:8" ht="57.6" customHeight="1" x14ac:dyDescent="0.3">
      <c r="A1715" t="s">
        <v>202</v>
      </c>
      <c r="B1715" s="2">
        <v>45809</v>
      </c>
      <c r="C1715" s="10" t="s">
        <v>798</v>
      </c>
    </row>
    <row r="1716" spans="1:8" x14ac:dyDescent="0.3">
      <c r="A1716" t="s">
        <v>202</v>
      </c>
      <c r="B1716" s="2">
        <v>45839</v>
      </c>
      <c r="C1716" t="s">
        <v>911</v>
      </c>
      <c r="D1716">
        <v>0</v>
      </c>
      <c r="E1716" t="s">
        <v>33</v>
      </c>
      <c r="F1716" t="s">
        <v>33</v>
      </c>
      <c r="G1716" s="10" t="s">
        <v>943</v>
      </c>
      <c r="H1716" t="s">
        <v>36</v>
      </c>
    </row>
    <row r="1717" spans="1:8" x14ac:dyDescent="0.3">
      <c r="A1717" t="s">
        <v>202</v>
      </c>
      <c r="B1717" s="2">
        <v>45870</v>
      </c>
      <c r="C1717" t="s">
        <v>911</v>
      </c>
      <c r="D1717">
        <v>0</v>
      </c>
      <c r="E1717" t="s">
        <v>33</v>
      </c>
      <c r="F1717" t="s">
        <v>33</v>
      </c>
      <c r="G1717" s="10" t="s">
        <v>943</v>
      </c>
      <c r="H1717" t="s">
        <v>36</v>
      </c>
    </row>
    <row r="1718" spans="1:8" x14ac:dyDescent="0.3">
      <c r="A1718" t="s">
        <v>202</v>
      </c>
      <c r="B1718" s="2">
        <v>45901</v>
      </c>
      <c r="C1718" t="s">
        <v>919</v>
      </c>
      <c r="D1718">
        <v>0</v>
      </c>
      <c r="E1718" t="s">
        <v>33</v>
      </c>
      <c r="F1718" t="s">
        <v>944</v>
      </c>
      <c r="G1718" s="10" t="s">
        <v>943</v>
      </c>
      <c r="H1718" t="s">
        <v>36</v>
      </c>
    </row>
    <row r="1719" spans="1:8" x14ac:dyDescent="0.3">
      <c r="A1719" t="s">
        <v>202</v>
      </c>
      <c r="B1719" s="2">
        <v>45931</v>
      </c>
      <c r="C1719" t="s">
        <v>911</v>
      </c>
      <c r="D1719">
        <v>0</v>
      </c>
      <c r="E1719" t="s">
        <v>33</v>
      </c>
      <c r="F1719" t="s">
        <v>33</v>
      </c>
      <c r="G1719" s="10" t="s">
        <v>932</v>
      </c>
      <c r="H1719" t="s">
        <v>36</v>
      </c>
    </row>
    <row r="1720" spans="1:8" x14ac:dyDescent="0.3">
      <c r="A1720" t="s">
        <v>202</v>
      </c>
      <c r="B1720" s="2">
        <v>45962</v>
      </c>
      <c r="C1720" t="s">
        <v>919</v>
      </c>
      <c r="D1720">
        <v>0</v>
      </c>
      <c r="E1720" t="s">
        <v>33</v>
      </c>
      <c r="F1720" t="s">
        <v>33</v>
      </c>
      <c r="G1720" s="10" t="s">
        <v>943</v>
      </c>
      <c r="H1720" t="s">
        <v>36</v>
      </c>
    </row>
    <row r="1721" spans="1:8" x14ac:dyDescent="0.3">
      <c r="A1721" t="s">
        <v>202</v>
      </c>
      <c r="B1721" s="2">
        <v>45992</v>
      </c>
      <c r="C1721" t="s">
        <v>946</v>
      </c>
      <c r="D1721" t="s">
        <v>945</v>
      </c>
      <c r="E1721" t="s">
        <v>936</v>
      </c>
      <c r="F1721" t="s">
        <v>33</v>
      </c>
      <c r="G1721" s="10" t="s">
        <v>932</v>
      </c>
      <c r="H1721" t="s">
        <v>36</v>
      </c>
    </row>
    <row r="1722" spans="1:8" x14ac:dyDescent="0.3">
      <c r="A1722" t="s">
        <v>202</v>
      </c>
      <c r="B1722" s="2">
        <v>46023</v>
      </c>
      <c r="C1722" t="s">
        <v>895</v>
      </c>
      <c r="D1722" t="s">
        <v>947</v>
      </c>
      <c r="E1722" t="s">
        <v>936</v>
      </c>
      <c r="F1722" t="s">
        <v>33</v>
      </c>
      <c r="G1722" s="10" t="s">
        <v>932</v>
      </c>
      <c r="H1722" t="s">
        <v>36</v>
      </c>
    </row>
    <row r="1723" spans="1:8" x14ac:dyDescent="0.3">
      <c r="A1723" t="s">
        <v>202</v>
      </c>
      <c r="B1723" s="2">
        <v>46054</v>
      </c>
      <c r="C1723" t="s">
        <v>895</v>
      </c>
      <c r="D1723">
        <v>0</v>
      </c>
      <c r="E1723" t="s">
        <v>33</v>
      </c>
      <c r="F1723" t="s">
        <v>33</v>
      </c>
      <c r="G1723" s="10" t="s">
        <v>943</v>
      </c>
      <c r="H1723" t="s">
        <v>36</v>
      </c>
    </row>
    <row r="1724" spans="1:8" x14ac:dyDescent="0.3">
      <c r="A1724" t="s">
        <v>202</v>
      </c>
      <c r="B1724" s="2">
        <v>46082</v>
      </c>
      <c r="C1724" t="s">
        <v>911</v>
      </c>
      <c r="D1724">
        <v>0</v>
      </c>
      <c r="E1724" t="s">
        <v>33</v>
      </c>
      <c r="F1724" t="s">
        <v>33</v>
      </c>
      <c r="G1724" s="10" t="s">
        <v>932</v>
      </c>
      <c r="H1724" t="s">
        <v>36</v>
      </c>
    </row>
    <row r="1725" spans="1:8" x14ac:dyDescent="0.3">
      <c r="A1725" t="s">
        <v>202</v>
      </c>
      <c r="B1725" s="2">
        <v>46113</v>
      </c>
      <c r="C1725" t="s">
        <v>919</v>
      </c>
      <c r="D1725">
        <v>0</v>
      </c>
      <c r="E1725" t="s">
        <v>33</v>
      </c>
      <c r="F1725" t="s">
        <v>33</v>
      </c>
      <c r="G1725" s="10" t="s">
        <v>932</v>
      </c>
      <c r="H1725" t="s">
        <v>36</v>
      </c>
    </row>
    <row r="1726" spans="1:8" x14ac:dyDescent="0.3">
      <c r="A1726" t="s">
        <v>202</v>
      </c>
      <c r="B1726" s="2">
        <v>46143</v>
      </c>
      <c r="C1726" t="s">
        <v>911</v>
      </c>
      <c r="D1726">
        <v>0</v>
      </c>
      <c r="E1726" t="s">
        <v>33</v>
      </c>
      <c r="F1726" t="s">
        <v>33</v>
      </c>
      <c r="G1726" s="10" t="s">
        <v>943</v>
      </c>
      <c r="H1726" t="s">
        <v>36</v>
      </c>
    </row>
    <row r="1727" spans="1:8" x14ac:dyDescent="0.3">
      <c r="A1727" t="s">
        <v>199</v>
      </c>
      <c r="B1727" s="2">
        <v>46174</v>
      </c>
      <c r="C1727" s="10"/>
    </row>
    <row r="1728" spans="1:8" x14ac:dyDescent="0.3">
      <c r="A1728" t="s">
        <v>199</v>
      </c>
      <c r="B1728" s="2">
        <v>46204</v>
      </c>
      <c r="C1728" s="10">
        <v>31</v>
      </c>
      <c r="D1728">
        <v>0</v>
      </c>
      <c r="E1728" t="s">
        <v>33</v>
      </c>
      <c r="F1728" t="s">
        <v>33</v>
      </c>
      <c r="G1728" t="s">
        <v>932</v>
      </c>
      <c r="H1728" t="s">
        <v>36</v>
      </c>
    </row>
    <row r="1729" spans="1:3" x14ac:dyDescent="0.3">
      <c r="A1729" t="s">
        <v>202</v>
      </c>
      <c r="B1729" s="2">
        <v>46235</v>
      </c>
      <c r="C1729" s="10"/>
    </row>
    <row r="1730" spans="1:3" x14ac:dyDescent="0.3">
      <c r="A1730" t="s">
        <v>206</v>
      </c>
      <c r="B1730" s="2">
        <v>45536</v>
      </c>
      <c r="C1730" s="10"/>
    </row>
    <row r="1731" spans="1:3" x14ac:dyDescent="0.3">
      <c r="A1731" t="s">
        <v>206</v>
      </c>
      <c r="B1731" s="2">
        <v>45566</v>
      </c>
      <c r="C1731" s="10"/>
    </row>
    <row r="1732" spans="1:3" x14ac:dyDescent="0.3">
      <c r="A1732" t="s">
        <v>206</v>
      </c>
      <c r="B1732" s="2">
        <v>45597</v>
      </c>
      <c r="C1732" s="10"/>
    </row>
    <row r="1733" spans="1:3" x14ac:dyDescent="0.3">
      <c r="A1733" t="s">
        <v>206</v>
      </c>
      <c r="B1733" s="2">
        <v>45627</v>
      </c>
      <c r="C1733" s="10"/>
    </row>
    <row r="1734" spans="1:3" x14ac:dyDescent="0.3">
      <c r="A1734" t="s">
        <v>206</v>
      </c>
      <c r="B1734" s="2">
        <v>45658</v>
      </c>
      <c r="C1734" s="10"/>
    </row>
    <row r="1735" spans="1:3" x14ac:dyDescent="0.3">
      <c r="A1735" t="s">
        <v>206</v>
      </c>
      <c r="B1735" s="2">
        <v>45689</v>
      </c>
      <c r="C1735" s="10" t="s">
        <v>799</v>
      </c>
    </row>
    <row r="1736" spans="1:3" x14ac:dyDescent="0.3">
      <c r="A1736" t="s">
        <v>206</v>
      </c>
      <c r="B1736" s="2">
        <v>45717</v>
      </c>
      <c r="C1736" s="10" t="s">
        <v>799</v>
      </c>
    </row>
    <row r="1737" spans="1:3" x14ac:dyDescent="0.3">
      <c r="A1737" t="s">
        <v>206</v>
      </c>
      <c r="B1737" s="2">
        <v>45748</v>
      </c>
      <c r="C1737" s="10" t="s">
        <v>799</v>
      </c>
    </row>
    <row r="1738" spans="1:3" x14ac:dyDescent="0.3">
      <c r="A1738" t="s">
        <v>206</v>
      </c>
      <c r="B1738" s="2">
        <v>45778</v>
      </c>
      <c r="C1738" s="10" t="s">
        <v>799</v>
      </c>
    </row>
    <row r="1739" spans="1:3" x14ac:dyDescent="0.3">
      <c r="A1739" t="s">
        <v>206</v>
      </c>
      <c r="B1739" s="2">
        <v>45809</v>
      </c>
      <c r="C1739" s="10" t="s">
        <v>799</v>
      </c>
    </row>
    <row r="1740" spans="1:3" x14ac:dyDescent="0.3">
      <c r="A1740" t="s">
        <v>206</v>
      </c>
      <c r="B1740" s="2">
        <v>45839</v>
      </c>
      <c r="C1740" s="10" t="s">
        <v>799</v>
      </c>
    </row>
    <row r="1741" spans="1:3" x14ac:dyDescent="0.3">
      <c r="A1741" t="s">
        <v>206</v>
      </c>
      <c r="B1741" s="2">
        <v>45870</v>
      </c>
      <c r="C1741" s="10"/>
    </row>
    <row r="1742" spans="1:3" x14ac:dyDescent="0.3">
      <c r="A1742" t="s">
        <v>206</v>
      </c>
      <c r="B1742" s="2">
        <v>45901</v>
      </c>
      <c r="C1742" s="10"/>
    </row>
    <row r="1743" spans="1:3" x14ac:dyDescent="0.3">
      <c r="A1743" t="s">
        <v>206</v>
      </c>
      <c r="B1743" s="2">
        <v>45931</v>
      </c>
      <c r="C1743" s="10"/>
    </row>
    <row r="1744" spans="1:3" x14ac:dyDescent="0.3">
      <c r="A1744" t="s">
        <v>206</v>
      </c>
      <c r="B1744" s="2">
        <v>45962</v>
      </c>
      <c r="C1744" s="10"/>
    </row>
    <row r="1745" spans="1:8" x14ac:dyDescent="0.3">
      <c r="A1745" t="s">
        <v>206</v>
      </c>
      <c r="B1745" s="2">
        <v>45992</v>
      </c>
      <c r="C1745" s="10"/>
    </row>
    <row r="1746" spans="1:8" x14ac:dyDescent="0.3">
      <c r="A1746" t="s">
        <v>206</v>
      </c>
      <c r="B1746" s="2">
        <v>46023</v>
      </c>
      <c r="C1746" s="10"/>
    </row>
    <row r="1747" spans="1:8" x14ac:dyDescent="0.3">
      <c r="A1747" t="s">
        <v>206</v>
      </c>
      <c r="B1747" s="2">
        <v>46054</v>
      </c>
      <c r="C1747" s="10"/>
    </row>
    <row r="1748" spans="1:8" x14ac:dyDescent="0.3">
      <c r="A1748" t="s">
        <v>206</v>
      </c>
      <c r="B1748" s="2">
        <v>46082</v>
      </c>
      <c r="C1748" s="10" t="s">
        <v>36</v>
      </c>
    </row>
    <row r="1749" spans="1:8" x14ac:dyDescent="0.3">
      <c r="A1749" t="s">
        <v>206</v>
      </c>
      <c r="B1749" s="2">
        <v>46113</v>
      </c>
      <c r="C1749" s="10" t="s">
        <v>36</v>
      </c>
    </row>
    <row r="1750" spans="1:8" x14ac:dyDescent="0.3">
      <c r="A1750" t="s">
        <v>206</v>
      </c>
      <c r="B1750" s="2">
        <v>46143</v>
      </c>
      <c r="C1750" s="10" t="s">
        <v>863</v>
      </c>
    </row>
    <row r="1751" spans="1:8" x14ac:dyDescent="0.3">
      <c r="A1751" t="s">
        <v>201</v>
      </c>
      <c r="B1751" s="2">
        <v>46174</v>
      </c>
      <c r="C1751" s="10"/>
    </row>
    <row r="1752" spans="1:8" x14ac:dyDescent="0.3">
      <c r="A1752" t="s">
        <v>201</v>
      </c>
      <c r="B1752" s="2">
        <v>46204</v>
      </c>
      <c r="C1752" s="10">
        <v>31</v>
      </c>
      <c r="D1752">
        <v>0</v>
      </c>
      <c r="E1752" t="s">
        <v>33</v>
      </c>
      <c r="F1752" t="s">
        <v>33</v>
      </c>
      <c r="G1752" t="s">
        <v>932</v>
      </c>
      <c r="H1752" t="s">
        <v>36</v>
      </c>
    </row>
    <row r="1753" spans="1:8" x14ac:dyDescent="0.3">
      <c r="A1753" t="s">
        <v>206</v>
      </c>
      <c r="B1753" s="2">
        <v>46235</v>
      </c>
      <c r="C1753" s="10"/>
    </row>
    <row r="1754" spans="1:8" x14ac:dyDescent="0.3">
      <c r="A1754" t="s">
        <v>251</v>
      </c>
      <c r="B1754" s="2">
        <v>46143</v>
      </c>
      <c r="C1754" t="s">
        <v>302</v>
      </c>
    </row>
    <row r="1755" spans="1:8" x14ac:dyDescent="0.3">
      <c r="A1755" t="s">
        <v>271</v>
      </c>
      <c r="B1755" s="2">
        <v>45536</v>
      </c>
    </row>
    <row r="1756" spans="1:8" x14ac:dyDescent="0.3">
      <c r="A1756" t="s">
        <v>271</v>
      </c>
      <c r="B1756" s="2">
        <v>45566</v>
      </c>
    </row>
    <row r="1757" spans="1:8" x14ac:dyDescent="0.3">
      <c r="A1757" t="s">
        <v>271</v>
      </c>
      <c r="B1757" s="2">
        <v>45597</v>
      </c>
    </row>
    <row r="1758" spans="1:8" x14ac:dyDescent="0.3">
      <c r="A1758" t="s">
        <v>271</v>
      </c>
      <c r="B1758" s="2">
        <v>45627</v>
      </c>
    </row>
    <row r="1759" spans="1:8" x14ac:dyDescent="0.3">
      <c r="A1759" t="s">
        <v>271</v>
      </c>
      <c r="B1759" s="2">
        <v>45658</v>
      </c>
    </row>
    <row r="1760" spans="1:8" x14ac:dyDescent="0.3">
      <c r="A1760" t="s">
        <v>271</v>
      </c>
      <c r="B1760" s="2">
        <v>45689</v>
      </c>
    </row>
    <row r="1761" spans="1:8" x14ac:dyDescent="0.3">
      <c r="A1761" t="s">
        <v>271</v>
      </c>
      <c r="B1761" s="2">
        <v>45717</v>
      </c>
    </row>
    <row r="1762" spans="1:8" x14ac:dyDescent="0.3">
      <c r="A1762" t="s">
        <v>271</v>
      </c>
      <c r="B1762" s="2">
        <v>45748</v>
      </c>
    </row>
    <row r="1763" spans="1:8" x14ac:dyDescent="0.3">
      <c r="A1763" t="s">
        <v>271</v>
      </c>
      <c r="B1763" s="2">
        <v>45778</v>
      </c>
    </row>
    <row r="1764" spans="1:8" x14ac:dyDescent="0.3">
      <c r="A1764" t="s">
        <v>271</v>
      </c>
      <c r="B1764" s="2">
        <v>45809</v>
      </c>
    </row>
    <row r="1765" spans="1:8" x14ac:dyDescent="0.3">
      <c r="A1765" t="s">
        <v>271</v>
      </c>
      <c r="B1765" s="2">
        <v>45839</v>
      </c>
      <c r="C1765" t="s">
        <v>36</v>
      </c>
      <c r="D1765" t="s">
        <v>36</v>
      </c>
      <c r="E1765" t="s">
        <v>36</v>
      </c>
      <c r="F1765" t="s">
        <v>36</v>
      </c>
      <c r="G1765" t="s">
        <v>36</v>
      </c>
      <c r="H1765" t="s">
        <v>916</v>
      </c>
    </row>
    <row r="1766" spans="1:8" x14ac:dyDescent="0.3">
      <c r="A1766" t="s">
        <v>271</v>
      </c>
      <c r="B1766" s="2">
        <v>45870</v>
      </c>
      <c r="C1766" t="s">
        <v>36</v>
      </c>
      <c r="D1766" t="s">
        <v>36</v>
      </c>
      <c r="E1766" t="s">
        <v>36</v>
      </c>
      <c r="F1766" t="s">
        <v>36</v>
      </c>
      <c r="G1766" t="s">
        <v>36</v>
      </c>
      <c r="H1766" t="s">
        <v>916</v>
      </c>
    </row>
    <row r="1767" spans="1:8" x14ac:dyDescent="0.3">
      <c r="A1767" t="s">
        <v>271</v>
      </c>
      <c r="B1767" s="2">
        <v>45901</v>
      </c>
      <c r="C1767" t="s">
        <v>36</v>
      </c>
      <c r="D1767" t="s">
        <v>36</v>
      </c>
      <c r="E1767" t="s">
        <v>36</v>
      </c>
      <c r="F1767" t="s">
        <v>36</v>
      </c>
      <c r="G1767" t="s">
        <v>36</v>
      </c>
      <c r="H1767" t="s">
        <v>916</v>
      </c>
    </row>
    <row r="1768" spans="1:8" x14ac:dyDescent="0.3">
      <c r="A1768" t="s">
        <v>271</v>
      </c>
      <c r="B1768" s="2">
        <v>45931</v>
      </c>
      <c r="C1768" t="s">
        <v>36</v>
      </c>
      <c r="D1768" t="s">
        <v>36</v>
      </c>
      <c r="E1768" t="s">
        <v>36</v>
      </c>
      <c r="F1768" t="s">
        <v>36</v>
      </c>
      <c r="G1768" t="s">
        <v>36</v>
      </c>
      <c r="H1768" t="s">
        <v>916</v>
      </c>
    </row>
    <row r="1769" spans="1:8" x14ac:dyDescent="0.3">
      <c r="A1769" t="s">
        <v>271</v>
      </c>
      <c r="B1769" s="2">
        <v>45962</v>
      </c>
      <c r="C1769" t="s">
        <v>36</v>
      </c>
      <c r="D1769" t="s">
        <v>36</v>
      </c>
      <c r="E1769" t="s">
        <v>36</v>
      </c>
      <c r="F1769" t="s">
        <v>36</v>
      </c>
      <c r="G1769" t="s">
        <v>36</v>
      </c>
      <c r="H1769" t="s">
        <v>916</v>
      </c>
    </row>
    <row r="1770" spans="1:8" x14ac:dyDescent="0.3">
      <c r="A1770" t="s">
        <v>271</v>
      </c>
      <c r="B1770" s="2">
        <v>45992</v>
      </c>
      <c r="C1770" t="s">
        <v>36</v>
      </c>
      <c r="D1770" t="s">
        <v>36</v>
      </c>
      <c r="E1770" t="s">
        <v>36</v>
      </c>
      <c r="F1770" t="s">
        <v>36</v>
      </c>
      <c r="G1770" t="s">
        <v>36</v>
      </c>
      <c r="H1770" t="s">
        <v>916</v>
      </c>
    </row>
    <row r="1771" spans="1:8" x14ac:dyDescent="0.3">
      <c r="A1771" t="s">
        <v>271</v>
      </c>
      <c r="B1771" s="2">
        <v>46023</v>
      </c>
      <c r="C1771" t="s">
        <v>36</v>
      </c>
      <c r="D1771" t="s">
        <v>36</v>
      </c>
      <c r="E1771" t="s">
        <v>36</v>
      </c>
      <c r="F1771" t="s">
        <v>36</v>
      </c>
      <c r="G1771" t="s">
        <v>36</v>
      </c>
      <c r="H1771" t="s">
        <v>916</v>
      </c>
    </row>
    <row r="1772" spans="1:8" x14ac:dyDescent="0.3">
      <c r="A1772" t="s">
        <v>271</v>
      </c>
      <c r="B1772" s="2">
        <v>46054</v>
      </c>
      <c r="C1772" t="s">
        <v>36</v>
      </c>
      <c r="D1772" t="s">
        <v>36</v>
      </c>
      <c r="E1772" t="s">
        <v>36</v>
      </c>
      <c r="F1772" t="s">
        <v>36</v>
      </c>
      <c r="G1772" t="s">
        <v>36</v>
      </c>
      <c r="H1772" t="s">
        <v>916</v>
      </c>
    </row>
    <row r="1773" spans="1:8" x14ac:dyDescent="0.3">
      <c r="A1773" t="s">
        <v>271</v>
      </c>
      <c r="B1773" s="2">
        <v>46082</v>
      </c>
      <c r="C1773" t="s">
        <v>36</v>
      </c>
      <c r="D1773" t="s">
        <v>36</v>
      </c>
      <c r="E1773" t="s">
        <v>36</v>
      </c>
      <c r="F1773" t="s">
        <v>36</v>
      </c>
      <c r="G1773" t="s">
        <v>36</v>
      </c>
      <c r="H1773" t="s">
        <v>916</v>
      </c>
    </row>
    <row r="1774" spans="1:8" x14ac:dyDescent="0.3">
      <c r="A1774" t="s">
        <v>271</v>
      </c>
      <c r="B1774" s="2">
        <v>46113</v>
      </c>
      <c r="C1774" t="s">
        <v>36</v>
      </c>
      <c r="D1774" t="s">
        <v>36</v>
      </c>
      <c r="E1774" t="s">
        <v>36</v>
      </c>
      <c r="F1774" t="s">
        <v>36</v>
      </c>
      <c r="G1774" t="s">
        <v>36</v>
      </c>
      <c r="H1774" t="s">
        <v>916</v>
      </c>
    </row>
    <row r="1775" spans="1:8" x14ac:dyDescent="0.3">
      <c r="A1775" t="s">
        <v>271</v>
      </c>
      <c r="B1775" s="2">
        <v>46143</v>
      </c>
      <c r="C1775" t="s">
        <v>917</v>
      </c>
      <c r="D1775" t="s">
        <v>918</v>
      </c>
      <c r="E1775" t="s">
        <v>916</v>
      </c>
      <c r="F1775" t="s">
        <v>36</v>
      </c>
      <c r="G1775" t="s">
        <v>36</v>
      </c>
    </row>
    <row r="1776" spans="1:8" x14ac:dyDescent="0.3">
      <c r="A1776" t="s">
        <v>211</v>
      </c>
      <c r="B1776" s="2">
        <v>46174</v>
      </c>
      <c r="C1776" s="10"/>
    </row>
    <row r="1777" spans="1:8" x14ac:dyDescent="0.3">
      <c r="A1777" t="s">
        <v>211</v>
      </c>
      <c r="B1777" s="2">
        <v>46204</v>
      </c>
      <c r="C1777" s="10">
        <v>23</v>
      </c>
      <c r="D1777" t="s">
        <v>1059</v>
      </c>
      <c r="E1777" t="s">
        <v>1008</v>
      </c>
      <c r="F1777" t="s">
        <v>33</v>
      </c>
      <c r="G1777" t="s">
        <v>1060</v>
      </c>
      <c r="H1777" t="s">
        <v>36</v>
      </c>
    </row>
    <row r="1778" spans="1:8" x14ac:dyDescent="0.3">
      <c r="A1778" t="s">
        <v>271</v>
      </c>
      <c r="B1778" s="2">
        <v>46235</v>
      </c>
    </row>
    <row r="1779" spans="1:8" x14ac:dyDescent="0.3">
      <c r="A1779" t="s">
        <v>250</v>
      </c>
      <c r="B1779" s="2">
        <v>45536</v>
      </c>
    </row>
    <row r="1780" spans="1:8" x14ac:dyDescent="0.3">
      <c r="A1780" t="s">
        <v>250</v>
      </c>
      <c r="B1780" s="2">
        <v>45566</v>
      </c>
    </row>
    <row r="1781" spans="1:8" x14ac:dyDescent="0.3">
      <c r="A1781" t="s">
        <v>250</v>
      </c>
      <c r="B1781" s="2">
        <v>45597</v>
      </c>
    </row>
    <row r="1782" spans="1:8" x14ac:dyDescent="0.3">
      <c r="A1782" t="s">
        <v>250</v>
      </c>
      <c r="B1782" s="2">
        <v>45627</v>
      </c>
    </row>
    <row r="1783" spans="1:8" x14ac:dyDescent="0.3">
      <c r="A1783" t="s">
        <v>250</v>
      </c>
      <c r="B1783" s="2">
        <v>45658</v>
      </c>
    </row>
    <row r="1784" spans="1:8" x14ac:dyDescent="0.3">
      <c r="A1784" t="s">
        <v>250</v>
      </c>
      <c r="B1784" s="2">
        <v>45689</v>
      </c>
    </row>
    <row r="1785" spans="1:8" x14ac:dyDescent="0.3">
      <c r="A1785" t="s">
        <v>250</v>
      </c>
      <c r="B1785" s="2">
        <v>45717</v>
      </c>
    </row>
    <row r="1786" spans="1:8" x14ac:dyDescent="0.3">
      <c r="A1786" t="s">
        <v>250</v>
      </c>
      <c r="B1786" s="2">
        <v>45748</v>
      </c>
    </row>
    <row r="1787" spans="1:8" x14ac:dyDescent="0.3">
      <c r="A1787" t="s">
        <v>250</v>
      </c>
      <c r="B1787" s="2">
        <v>45778</v>
      </c>
    </row>
    <row r="1788" spans="1:8" x14ac:dyDescent="0.3">
      <c r="A1788" t="s">
        <v>250</v>
      </c>
      <c r="B1788" s="2">
        <v>45809</v>
      </c>
    </row>
    <row r="1789" spans="1:8" x14ac:dyDescent="0.3">
      <c r="A1789" t="s">
        <v>250</v>
      </c>
      <c r="B1789" s="2">
        <v>45839</v>
      </c>
      <c r="C1789" t="s">
        <v>911</v>
      </c>
      <c r="D1789" t="s">
        <v>36</v>
      </c>
      <c r="E1789" t="s">
        <v>36</v>
      </c>
      <c r="F1789" t="s">
        <v>36</v>
      </c>
      <c r="G1789" t="s">
        <v>36</v>
      </c>
      <c r="H1789" t="s">
        <v>916</v>
      </c>
    </row>
    <row r="1790" spans="1:8" x14ac:dyDescent="0.3">
      <c r="A1790" t="s">
        <v>250</v>
      </c>
      <c r="B1790" s="2">
        <v>45870</v>
      </c>
      <c r="C1790" t="s">
        <v>911</v>
      </c>
      <c r="D1790" t="s">
        <v>36</v>
      </c>
      <c r="E1790" t="s">
        <v>36</v>
      </c>
      <c r="F1790" t="s">
        <v>36</v>
      </c>
      <c r="G1790" t="s">
        <v>36</v>
      </c>
      <c r="H1790" t="s">
        <v>916</v>
      </c>
    </row>
    <row r="1791" spans="1:8" x14ac:dyDescent="0.3">
      <c r="A1791" t="s">
        <v>250</v>
      </c>
      <c r="B1791" s="2">
        <v>45901</v>
      </c>
      <c r="C1791" t="s">
        <v>919</v>
      </c>
      <c r="D1791" t="s">
        <v>36</v>
      </c>
      <c r="E1791" t="s">
        <v>36</v>
      </c>
      <c r="F1791" t="s">
        <v>36</v>
      </c>
      <c r="G1791" t="s">
        <v>36</v>
      </c>
      <c r="H1791" t="s">
        <v>916</v>
      </c>
    </row>
    <row r="1792" spans="1:8" x14ac:dyDescent="0.3">
      <c r="A1792" t="s">
        <v>250</v>
      </c>
      <c r="B1792" s="2">
        <v>45931</v>
      </c>
      <c r="C1792" t="s">
        <v>911</v>
      </c>
      <c r="D1792" t="s">
        <v>36</v>
      </c>
      <c r="E1792" t="s">
        <v>36</v>
      </c>
      <c r="F1792" t="s">
        <v>36</v>
      </c>
      <c r="G1792" t="s">
        <v>36</v>
      </c>
      <c r="H1792" t="s">
        <v>916</v>
      </c>
    </row>
    <row r="1793" spans="1:8" x14ac:dyDescent="0.3">
      <c r="A1793" t="s">
        <v>250</v>
      </c>
      <c r="B1793" s="2">
        <v>45962</v>
      </c>
      <c r="C1793" t="s">
        <v>919</v>
      </c>
      <c r="D1793" t="s">
        <v>36</v>
      </c>
      <c r="E1793" t="s">
        <v>36</v>
      </c>
      <c r="F1793" t="s">
        <v>36</v>
      </c>
      <c r="G1793" t="s">
        <v>36</v>
      </c>
      <c r="H1793" t="s">
        <v>916</v>
      </c>
    </row>
    <row r="1794" spans="1:8" x14ac:dyDescent="0.3">
      <c r="A1794" t="s">
        <v>250</v>
      </c>
      <c r="B1794" s="2">
        <v>45992</v>
      </c>
      <c r="C1794" t="s">
        <v>911</v>
      </c>
      <c r="D1794" t="s">
        <v>36</v>
      </c>
      <c r="E1794" t="s">
        <v>36</v>
      </c>
      <c r="F1794" t="s">
        <v>36</v>
      </c>
      <c r="G1794" t="s">
        <v>36</v>
      </c>
      <c r="H1794" t="s">
        <v>916</v>
      </c>
    </row>
    <row r="1795" spans="1:8" x14ac:dyDescent="0.3">
      <c r="A1795" t="s">
        <v>250</v>
      </c>
      <c r="B1795" s="2">
        <v>46023</v>
      </c>
      <c r="C1795" t="s">
        <v>911</v>
      </c>
      <c r="D1795" t="s">
        <v>36</v>
      </c>
      <c r="E1795" t="s">
        <v>36</v>
      </c>
      <c r="F1795" t="s">
        <v>36</v>
      </c>
      <c r="G1795" t="s">
        <v>36</v>
      </c>
      <c r="H1795" t="s">
        <v>916</v>
      </c>
    </row>
    <row r="1796" spans="1:8" x14ac:dyDescent="0.3">
      <c r="A1796" t="s">
        <v>250</v>
      </c>
      <c r="B1796" s="2">
        <v>46054</v>
      </c>
      <c r="C1796" t="s">
        <v>895</v>
      </c>
      <c r="D1796" t="s">
        <v>36</v>
      </c>
      <c r="E1796" t="s">
        <v>36</v>
      </c>
      <c r="F1796" t="s">
        <v>36</v>
      </c>
      <c r="G1796" t="s">
        <v>36</v>
      </c>
      <c r="H1796" t="s">
        <v>916</v>
      </c>
    </row>
    <row r="1797" spans="1:8" x14ac:dyDescent="0.3">
      <c r="A1797" t="s">
        <v>250</v>
      </c>
      <c r="B1797" s="2">
        <v>46082</v>
      </c>
      <c r="C1797" t="s">
        <v>911</v>
      </c>
      <c r="D1797" t="s">
        <v>36</v>
      </c>
      <c r="E1797" t="s">
        <v>36</v>
      </c>
      <c r="F1797" t="s">
        <v>36</v>
      </c>
      <c r="G1797" t="s">
        <v>36</v>
      </c>
      <c r="H1797" t="s">
        <v>916</v>
      </c>
    </row>
    <row r="1798" spans="1:8" x14ac:dyDescent="0.3">
      <c r="A1798" t="s">
        <v>250</v>
      </c>
      <c r="B1798" s="2">
        <v>46113</v>
      </c>
      <c r="C1798" t="s">
        <v>963</v>
      </c>
      <c r="D1798" t="s">
        <v>962</v>
      </c>
      <c r="E1798" t="s">
        <v>916</v>
      </c>
      <c r="F1798" t="s">
        <v>33</v>
      </c>
      <c r="G1798" t="s">
        <v>33</v>
      </c>
      <c r="H1798" t="s">
        <v>36</v>
      </c>
    </row>
    <row r="1799" spans="1:8" x14ac:dyDescent="0.3">
      <c r="A1799" t="s">
        <v>250</v>
      </c>
      <c r="B1799" s="2">
        <v>46143</v>
      </c>
      <c r="C1799" t="s">
        <v>911</v>
      </c>
      <c r="D1799" t="s">
        <v>33</v>
      </c>
      <c r="E1799" t="s">
        <v>33</v>
      </c>
      <c r="F1799" t="s">
        <v>33</v>
      </c>
      <c r="G1799" t="s">
        <v>943</v>
      </c>
      <c r="H1799" t="s">
        <v>36</v>
      </c>
    </row>
    <row r="1800" spans="1:8" x14ac:dyDescent="0.3">
      <c r="A1800" t="s">
        <v>1004</v>
      </c>
      <c r="B1800" s="2">
        <v>46204</v>
      </c>
      <c r="C1800">
        <v>31</v>
      </c>
      <c r="D1800">
        <v>0</v>
      </c>
      <c r="E1800" t="s">
        <v>33</v>
      </c>
      <c r="F1800" t="s">
        <v>33</v>
      </c>
      <c r="G1800" t="s">
        <v>993</v>
      </c>
      <c r="H1800" t="s">
        <v>36</v>
      </c>
    </row>
    <row r="1801" spans="1:8" x14ac:dyDescent="0.3">
      <c r="A1801" t="s">
        <v>202</v>
      </c>
      <c r="B1801" s="2">
        <v>46174</v>
      </c>
      <c r="C1801" t="s">
        <v>919</v>
      </c>
      <c r="D1801">
        <v>0</v>
      </c>
      <c r="E1801" t="s">
        <v>33</v>
      </c>
      <c r="F1801" t="s">
        <v>33</v>
      </c>
      <c r="G1801" s="10" t="s">
        <v>943</v>
      </c>
      <c r="H1801" t="s">
        <v>36</v>
      </c>
    </row>
    <row r="1802" spans="1:8" x14ac:dyDescent="0.3">
      <c r="A1802" t="s">
        <v>250</v>
      </c>
      <c r="B1802" s="2">
        <v>46235</v>
      </c>
    </row>
    <row r="1803" spans="1:8" x14ac:dyDescent="0.3">
      <c r="A1803" t="s">
        <v>202</v>
      </c>
      <c r="B1803" s="2">
        <v>46204</v>
      </c>
      <c r="C1803" s="10">
        <v>31</v>
      </c>
      <c r="D1803">
        <v>0</v>
      </c>
      <c r="E1803" t="s">
        <v>33</v>
      </c>
      <c r="F1803" t="s">
        <v>33</v>
      </c>
      <c r="G1803" t="s">
        <v>932</v>
      </c>
      <c r="H1803" t="s">
        <v>36</v>
      </c>
    </row>
    <row r="1804" spans="1:8" x14ac:dyDescent="0.3">
      <c r="A1804" t="s">
        <v>206</v>
      </c>
      <c r="B1804" s="2">
        <v>46174</v>
      </c>
      <c r="C1804" s="10" t="s">
        <v>36</v>
      </c>
      <c r="D1804" s="10" t="s">
        <v>36</v>
      </c>
      <c r="E1804" s="10" t="s">
        <v>36</v>
      </c>
      <c r="F1804" s="10" t="s">
        <v>36</v>
      </c>
      <c r="G1804" s="10" t="s">
        <v>36</v>
      </c>
      <c r="H1804" s="10" t="s">
        <v>36</v>
      </c>
    </row>
    <row r="1805" spans="1:8" x14ac:dyDescent="0.3">
      <c r="A1805" t="s">
        <v>251</v>
      </c>
      <c r="B1805" s="2">
        <v>46235</v>
      </c>
    </row>
    <row r="1806" spans="1:8" x14ac:dyDescent="0.3">
      <c r="A1806" t="s">
        <v>251</v>
      </c>
      <c r="B1806" s="2">
        <v>46266</v>
      </c>
    </row>
    <row r="1807" spans="1:8" x14ac:dyDescent="0.3">
      <c r="A1807" t="s">
        <v>251</v>
      </c>
      <c r="B1807" s="2">
        <v>46296</v>
      </c>
    </row>
    <row r="1808" spans="1:8" x14ac:dyDescent="0.3">
      <c r="A1808" t="s">
        <v>251</v>
      </c>
      <c r="B1808" s="2">
        <v>46327</v>
      </c>
    </row>
    <row r="1809" spans="1:8" x14ac:dyDescent="0.3">
      <c r="A1809" t="s">
        <v>251</v>
      </c>
      <c r="B1809" s="2">
        <v>46357</v>
      </c>
    </row>
    <row r="1810" spans="1:8"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topLeftCell="A176" zoomScaleNormal="100" workbookViewId="0">
      <selection activeCell="H1040" sqref="H1040"/>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6" ht="15" hidden="1" customHeight="1" x14ac:dyDescent="0.3">
      <c r="A33" t="s">
        <v>31</v>
      </c>
      <c r="B33" s="2">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t="str">
        <f t="shared" si="2"/>
        <v/>
      </c>
      <c r="F33" t="str">
        <f t="shared" si="3"/>
        <v/>
      </c>
    </row>
    <row r="34" spans="1:6"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6"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6"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6"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6"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6"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6"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6"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6"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6"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6"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6"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6"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6"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6"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hidden="1" customHeight="1" x14ac:dyDescent="0.3">
      <c r="A69" t="s">
        <v>43</v>
      </c>
      <c r="B69" s="2">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t="str">
        <f t="shared" si="2"/>
        <v/>
      </c>
      <c r="F69" t="str">
        <f t="shared" si="3"/>
        <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hidden="1" customHeight="1" x14ac:dyDescent="0.3">
      <c r="A105" t="s">
        <v>49</v>
      </c>
      <c r="B105" s="2">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t="str">
        <f t="shared" si="4"/>
        <v/>
      </c>
      <c r="F105" t="str">
        <f t="shared" si="5"/>
        <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hidden="1" customHeight="1" x14ac:dyDescent="0.3">
      <c r="A141" t="s">
        <v>64</v>
      </c>
      <c r="B141" s="2">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t="str">
        <f t="shared" si="4"/>
        <v/>
      </c>
      <c r="F141" t="str">
        <f t="shared" si="5"/>
        <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6" ht="15" hidden="1" customHeight="1" x14ac:dyDescent="0.3">
      <c r="A177" t="s">
        <v>55</v>
      </c>
      <c r="B177" s="2">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t="str">
        <f t="shared" si="6"/>
        <v/>
      </c>
      <c r="F177" t="str">
        <f t="shared" si="7"/>
        <v/>
      </c>
    </row>
    <row r="178" spans="1:6"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6"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6"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6"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6"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6"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6"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6"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6"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6"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6"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6"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6"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6"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6"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hidden="1" customHeight="1" x14ac:dyDescent="0.3">
      <c r="A213" t="s">
        <v>60</v>
      </c>
      <c r="B213" s="2">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t="str">
        <f t="shared" si="6"/>
        <v/>
      </c>
      <c r="F213" t="str">
        <f t="shared" si="7"/>
        <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hidden="1" customHeight="1" x14ac:dyDescent="0.3">
      <c r="A249" t="s">
        <v>61</v>
      </c>
      <c r="B249" s="2">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t="str">
        <f t="shared" si="8"/>
        <v/>
      </c>
      <c r="F249" t="str">
        <f t="shared" si="9"/>
        <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hidden="1" customHeight="1" x14ac:dyDescent="0.3">
      <c r="A285" t="s">
        <v>66</v>
      </c>
      <c r="B285" s="2">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t="str">
        <f t="shared" si="8"/>
        <v/>
      </c>
      <c r="F285" t="str">
        <f t="shared" si="9"/>
        <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6" ht="15" hidden="1" customHeight="1" x14ac:dyDescent="0.3">
      <c r="A321" t="s">
        <v>71</v>
      </c>
      <c r="B321" s="2">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t="str">
        <f t="shared" si="10"/>
        <v/>
      </c>
      <c r="F321" t="str">
        <f t="shared" si="11"/>
        <v/>
      </c>
    </row>
    <row r="322" spans="1:6"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6"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6"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6"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6"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6"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6"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6"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6"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6"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6"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6"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6"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6"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6"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hidden="1" customHeight="1" x14ac:dyDescent="0.3">
      <c r="A357" t="s">
        <v>77</v>
      </c>
      <c r="B357" s="2">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t="str">
        <f t="shared" si="12"/>
        <v/>
      </c>
      <c r="F357" t="str">
        <f t="shared" si="13"/>
        <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hidden="1" customHeight="1" x14ac:dyDescent="0.3">
      <c r="A393" t="s">
        <v>80</v>
      </c>
      <c r="B393" s="2">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t="str">
        <f t="shared" si="12"/>
        <v/>
      </c>
      <c r="F393" t="str">
        <f t="shared" si="13"/>
        <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hidden="1" customHeight="1" x14ac:dyDescent="0.3">
      <c r="A429" t="s">
        <v>81</v>
      </c>
      <c r="B429" s="2">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t="str">
        <f t="shared" si="14"/>
        <v/>
      </c>
      <c r="F429" t="str">
        <f t="shared" si="15"/>
        <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6" ht="15" hidden="1" customHeight="1" x14ac:dyDescent="0.3">
      <c r="A465" t="s">
        <v>85</v>
      </c>
      <c r="B465" s="2">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t="str">
        <f t="shared" si="14"/>
        <v/>
      </c>
      <c r="F465" t="str">
        <f t="shared" si="15"/>
        <v/>
      </c>
    </row>
    <row r="466" spans="1:6"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6"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6"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6"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6"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6"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6"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6"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6"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6"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6"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6"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6"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6"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6"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hidden="1" customHeight="1" x14ac:dyDescent="0.3">
      <c r="A501" t="s">
        <v>90</v>
      </c>
      <c r="B501" s="2">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t="str">
        <f t="shared" si="16"/>
        <v/>
      </c>
      <c r="F501" t="str">
        <f t="shared" si="17"/>
        <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hidden="1" customHeight="1" x14ac:dyDescent="0.3">
      <c r="A573" t="s">
        <v>95</v>
      </c>
      <c r="B573" s="2">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t="str">
        <f t="shared" si="18"/>
        <v/>
      </c>
      <c r="F573" t="str">
        <f t="shared" si="19"/>
        <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6" ht="15" hidden="1" customHeight="1" x14ac:dyDescent="0.3">
      <c r="A609" t="s">
        <v>239</v>
      </c>
      <c r="B609" s="2">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t="str">
        <f t="shared" si="20"/>
        <v/>
      </c>
      <c r="F609" t="str">
        <f t="shared" si="21"/>
        <v/>
      </c>
    </row>
    <row r="610" spans="1:6"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6"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6"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6"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6"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6"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6"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6"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6"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6"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6"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6"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6"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6"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6"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hidden="1" customHeight="1" x14ac:dyDescent="0.3">
      <c r="A645" t="s">
        <v>98</v>
      </c>
      <c r="B645" s="2">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t="str">
        <f t="shared" si="20"/>
        <v/>
      </c>
      <c r="F645" t="str">
        <f t="shared" si="21"/>
        <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hidden="1" customHeight="1" x14ac:dyDescent="0.3">
      <c r="A681" t="s">
        <v>102</v>
      </c>
      <c r="B681" s="2">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t="str">
        <f t="shared" si="22"/>
        <v/>
      </c>
      <c r="F681" t="str">
        <f t="shared" si="23"/>
        <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hidden="1" customHeight="1" x14ac:dyDescent="0.3">
      <c r="A717" t="s">
        <v>104</v>
      </c>
      <c r="B717" s="2">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t="str">
        <f t="shared" si="22"/>
        <v/>
      </c>
      <c r="F717" t="str">
        <f t="shared" si="23"/>
        <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6"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row>
    <row r="754" spans="1:6"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6"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6"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6"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6"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6"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6"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6"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6"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6"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6"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6"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6"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6"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6"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hidden="1" customHeight="1" x14ac:dyDescent="0.3">
      <c r="A790" t="s">
        <v>228</v>
      </c>
      <c r="B790" s="2">
        <v>46235</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t="str">
        <f t="shared" si="26"/>
        <v/>
      </c>
      <c r="F790" t="str">
        <f t="shared" si="27"/>
        <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hidden="1" customHeight="1" x14ac:dyDescent="0.3">
      <c r="A826" t="s">
        <v>109</v>
      </c>
      <c r="B826" s="2">
        <v>46235</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t="str">
        <f t="shared" si="26"/>
        <v/>
      </c>
      <c r="F826" t="str">
        <f t="shared" si="27"/>
        <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hidden="1" customHeight="1" x14ac:dyDescent="0.3">
      <c r="A862" t="s">
        <v>113</v>
      </c>
      <c r="B862" s="2">
        <v>46235</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t="str">
        <f t="shared" si="28"/>
        <v/>
      </c>
      <c r="F862" t="str">
        <f t="shared" si="29"/>
        <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6" ht="15" hidden="1" customHeight="1" x14ac:dyDescent="0.3">
      <c r="A897" t="s">
        <v>114</v>
      </c>
      <c r="B897" s="2">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t="str">
        <f t="shared" si="30"/>
        <v/>
      </c>
      <c r="F897" t="str">
        <f t="shared" si="31"/>
        <v/>
      </c>
    </row>
    <row r="898" spans="1:6"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6"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6"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6"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6"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6"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6"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6"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6"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6"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6"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6"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6"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6"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6"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hidden="1" customHeight="1" x14ac:dyDescent="0.3">
      <c r="A933" t="s">
        <v>117</v>
      </c>
      <c r="B933" s="2">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t="str">
        <f t="shared" si="30"/>
        <v/>
      </c>
      <c r="F933" t="str">
        <f t="shared" si="31"/>
        <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hidden="1" customHeight="1" x14ac:dyDescent="0.3">
      <c r="A969" t="s">
        <v>225</v>
      </c>
      <c r="B969" s="2">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t="str">
        <f t="shared" si="32"/>
        <v/>
      </c>
      <c r="F969" t="str">
        <f t="shared" si="33"/>
        <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hidden="1" customHeight="1" x14ac:dyDescent="0.3">
      <c r="A1005" t="s">
        <v>223</v>
      </c>
      <c r="B1005" s="2">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t="str">
        <f t="shared" si="32"/>
        <v/>
      </c>
      <c r="F1005" t="str">
        <f t="shared" si="33"/>
        <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6" ht="15" hidden="1" customHeight="1" x14ac:dyDescent="0.3">
      <c r="A1041" t="s">
        <v>120</v>
      </c>
      <c r="B1041" s="2">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t="str">
        <f t="shared" si="34"/>
        <v/>
      </c>
      <c r="F1041" t="str">
        <f t="shared" si="35"/>
        <v/>
      </c>
    </row>
    <row r="1042" spans="1:6"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6"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6"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6"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6"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6"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6"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6"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6"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6"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6"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6"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6"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6"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6"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hidden="1" customHeight="1" x14ac:dyDescent="0.3">
      <c r="A1077" t="s">
        <v>236</v>
      </c>
      <c r="B1077" s="2">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hidden="1" customHeight="1" x14ac:dyDescent="0.3">
      <c r="A1113" t="s">
        <v>122</v>
      </c>
      <c r="B1113" s="2">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t="str">
        <f t="shared" si="36"/>
        <v/>
      </c>
      <c r="F1113" t="str">
        <f t="shared" si="37"/>
        <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hidden="1" customHeight="1" x14ac:dyDescent="0.3">
      <c r="A1149" t="s">
        <v>124</v>
      </c>
      <c r="B1149" s="2">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t="str">
        <f t="shared" si="38"/>
        <v/>
      </c>
      <c r="F1149" t="str">
        <f t="shared" si="39"/>
        <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6" ht="15" hidden="1" customHeight="1" x14ac:dyDescent="0.3">
      <c r="A1185" t="s">
        <v>127</v>
      </c>
      <c r="B1185" s="2">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t="str">
        <f t="shared" si="38"/>
        <v/>
      </c>
      <c r="F1185" t="str">
        <f t="shared" si="39"/>
        <v/>
      </c>
    </row>
    <row r="1186" spans="1:6"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6"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6"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6"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6"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6"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6"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6"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6"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6"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6"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6"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6"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6"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6"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hidden="1" customHeight="1" x14ac:dyDescent="0.3">
      <c r="A1221" t="s">
        <v>234</v>
      </c>
      <c r="B1221" s="2">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t="str">
        <f t="shared" si="40"/>
        <v/>
      </c>
      <c r="F1221" t="str">
        <f t="shared" si="41"/>
        <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hidden="1" customHeight="1" x14ac:dyDescent="0.3">
      <c r="A1257" t="s">
        <v>131</v>
      </c>
      <c r="B1257" s="2">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t="str">
        <f t="shared" si="40"/>
        <v/>
      </c>
      <c r="F1257" t="str">
        <f t="shared" si="41"/>
        <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hidden="1" customHeight="1" x14ac:dyDescent="0.3">
      <c r="A1293" t="s">
        <v>134</v>
      </c>
      <c r="B1293" s="2">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t="str">
        <f t="shared" si="42"/>
        <v/>
      </c>
      <c r="F1293" t="str">
        <f t="shared" si="43"/>
        <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6" ht="15" hidden="1"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row>
    <row r="1330" spans="1:6"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6"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6"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6"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6"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6"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6"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6"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6"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6"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6"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6"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6"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6"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6"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hidden="1" customHeight="1" x14ac:dyDescent="0.3">
      <c r="A1365" t="s">
        <v>220</v>
      </c>
      <c r="B1365" s="2">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t="str">
        <f t="shared" si="44"/>
        <v/>
      </c>
      <c r="F1365" t="str">
        <f t="shared" si="45"/>
        <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hidden="1" customHeight="1" x14ac:dyDescent="0.3">
      <c r="A1401" t="s">
        <v>222</v>
      </c>
      <c r="B1401" s="2">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t="str">
        <f t="shared" si="44"/>
        <v/>
      </c>
      <c r="F1401" t="str">
        <f t="shared" si="45"/>
        <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hidden="1" customHeight="1" x14ac:dyDescent="0.3">
      <c r="A1437" t="s">
        <v>142</v>
      </c>
      <c r="B1437" s="2">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t="str">
        <f t="shared" si="46"/>
        <v/>
      </c>
      <c r="F1437" t="str">
        <f t="shared" si="47"/>
        <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6" ht="15" hidden="1" customHeight="1" x14ac:dyDescent="0.3">
      <c r="A1473" t="s">
        <v>145</v>
      </c>
      <c r="B1473" s="2">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t="str">
        <f t="shared" si="48"/>
        <v/>
      </c>
      <c r="F1473" t="str">
        <f t="shared" si="49"/>
        <v/>
      </c>
    </row>
    <row r="1474" spans="1:6"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6"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6"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6"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6"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6"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6"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6"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6"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6"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6"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6"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6"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6"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6"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hidden="1" customHeight="1" x14ac:dyDescent="0.3">
      <c r="A1509" t="s">
        <v>152</v>
      </c>
      <c r="B1509" s="2">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t="str">
        <f t="shared" si="48"/>
        <v/>
      </c>
      <c r="F1509" t="str">
        <f t="shared" si="49"/>
        <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hidden="1" customHeight="1" x14ac:dyDescent="0.3">
      <c r="A1545" t="s">
        <v>149</v>
      </c>
      <c r="B1545" s="2">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t="str">
        <f t="shared" si="50"/>
        <v/>
      </c>
      <c r="F1545" t="str">
        <f t="shared" si="51"/>
        <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customHeight="1" x14ac:dyDescent="0.3">
      <c r="A1580" s="12" t="s">
        <v>145</v>
      </c>
      <c r="B1580" s="43">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4">
        <f t="shared" si="50"/>
        <v>0.79839152870397345</v>
      </c>
      <c r="F1580" s="12" t="str">
        <f t="shared" si="51"/>
        <v>Moderate</v>
      </c>
      <c r="G1580" s="12" t="s">
        <v>875</v>
      </c>
    </row>
    <row r="1581" spans="1:7" ht="15" hidden="1"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6" ht="15" hidden="1" customHeight="1" x14ac:dyDescent="0.3">
      <c r="A1617" t="s">
        <v>157</v>
      </c>
      <c r="B1617" s="2">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t="str">
        <f t="shared" si="52"/>
        <v/>
      </c>
      <c r="F1617" t="str">
        <f t="shared" si="53"/>
        <v/>
      </c>
    </row>
    <row r="1618" spans="1:6"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6"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6"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6"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6"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6"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6"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6"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6"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6"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6"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6"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6"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6"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6"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hidden="1" customHeight="1" x14ac:dyDescent="0.3">
      <c r="A1653" t="s">
        <v>160</v>
      </c>
      <c r="B1653" s="2">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t="str">
        <f t="shared" si="52"/>
        <v/>
      </c>
      <c r="F1653" t="str">
        <f t="shared" si="53"/>
        <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hidden="1" customHeight="1" x14ac:dyDescent="0.3">
      <c r="A1689" t="s">
        <v>244</v>
      </c>
      <c r="B1689" s="2">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t="str">
        <f t="shared" si="54"/>
        <v/>
      </c>
      <c r="F1689" t="str">
        <f t="shared" si="55"/>
        <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hidden="1" customHeight="1" x14ac:dyDescent="0.3">
      <c r="A1725" t="s">
        <v>213</v>
      </c>
      <c r="B1725" s="2">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2298.1935483870998</v>
      </c>
      <c r="E1725" s="9" t="str">
        <f t="shared" si="56"/>
        <v/>
      </c>
      <c r="F1725" t="str">
        <f t="shared" si="57"/>
        <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6" ht="15" hidden="1" customHeight="1" x14ac:dyDescent="0.3">
      <c r="A1761" t="s">
        <v>216</v>
      </c>
      <c r="B1761" s="2">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7231.3548387096798</v>
      </c>
      <c r="E1761" s="9" t="str">
        <f t="shared" si="56"/>
        <v/>
      </c>
      <c r="F1761" t="str">
        <f t="shared" si="57"/>
        <v/>
      </c>
    </row>
    <row r="1762" spans="1:6"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6"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6"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6"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6"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6"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6"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6"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6"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6"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6"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6"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6"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6"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6"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hidden="1" customHeight="1" x14ac:dyDescent="0.3">
      <c r="A1797" t="s">
        <v>218</v>
      </c>
      <c r="B1797" s="2">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2367.7838709677399</v>
      </c>
      <c r="E1797" s="9" t="str">
        <f t="shared" si="58"/>
        <v/>
      </c>
      <c r="F1797" t="str">
        <f t="shared" si="59"/>
        <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hidden="1"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hidden="1" customHeight="1" x14ac:dyDescent="0.3">
      <c r="A1869" t="s">
        <v>166</v>
      </c>
      <c r="B1869" s="2">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t="str">
        <f t="shared" si="60"/>
        <v/>
      </c>
      <c r="F1869" t="str">
        <f t="shared" si="61"/>
        <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6" ht="15" hidden="1" customHeight="1" x14ac:dyDescent="0.3">
      <c r="A1905" t="s">
        <v>169</v>
      </c>
      <c r="B1905" s="2">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t="str">
        <f t="shared" si="60"/>
        <v/>
      </c>
      <c r="F1905" t="str">
        <f t="shared" si="61"/>
        <v/>
      </c>
    </row>
    <row r="1906" spans="1:6"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6"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6"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6"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6"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6"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6"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6"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6"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6"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6"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6"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6"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6"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6"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hidden="1" customHeight="1" x14ac:dyDescent="0.3">
      <c r="A1941" t="s">
        <v>171</v>
      </c>
      <c r="B1941" s="2">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t="str">
        <f t="shared" si="62"/>
        <v/>
      </c>
      <c r="F1941" t="str">
        <f t="shared" si="63"/>
        <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hidden="1" customHeight="1" x14ac:dyDescent="0.3">
      <c r="A1977" t="s">
        <v>172</v>
      </c>
      <c r="B1977" s="2">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t="str">
        <f t="shared" si="62"/>
        <v/>
      </c>
      <c r="F1977" t="str">
        <f t="shared" si="63"/>
        <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hidden="1" customHeight="1" x14ac:dyDescent="0.3">
      <c r="A2013" t="s">
        <v>177</v>
      </c>
      <c r="B2013" s="2">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t="str">
        <f t="shared" si="64"/>
        <v/>
      </c>
      <c r="F2013" t="str">
        <f t="shared" si="65"/>
        <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6" ht="15" hidden="1"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row>
    <row r="2050" spans="1:6"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6"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6"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6"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6"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6"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6"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6"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6"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6"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6"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6"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6"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6"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6"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hidden="1" customHeight="1" x14ac:dyDescent="0.3">
      <c r="A2085" t="s">
        <v>180</v>
      </c>
      <c r="B2085" s="2">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t="str">
        <f t="shared" si="66"/>
        <v/>
      </c>
      <c r="F2085" t="str">
        <f t="shared" si="67"/>
        <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hidden="1" customHeight="1" x14ac:dyDescent="0.3">
      <c r="A2121" t="s">
        <v>241</v>
      </c>
      <c r="B2121" s="2">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t="str">
        <f t="shared" si="68"/>
        <v/>
      </c>
      <c r="F2121" t="str">
        <f t="shared" si="69"/>
        <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hidden="1" customHeight="1" x14ac:dyDescent="0.3">
      <c r="A2157" t="s">
        <v>182</v>
      </c>
      <c r="B2157" s="2">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t="str">
        <f t="shared" si="68"/>
        <v/>
      </c>
      <c r="F2157" t="str">
        <f t="shared" si="69"/>
        <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6" ht="15" hidden="1" customHeight="1" x14ac:dyDescent="0.3">
      <c r="A2193" t="s">
        <v>184</v>
      </c>
      <c r="B2193" s="2">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t="str">
        <f t="shared" si="70"/>
        <v/>
      </c>
      <c r="F2193" t="str">
        <f t="shared" si="71"/>
        <v/>
      </c>
    </row>
    <row r="2194" spans="1:6"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6"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6"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6"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6"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6"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6"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6"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6"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6"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6"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6"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6"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6"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6"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hidden="1" customHeight="1" x14ac:dyDescent="0.3">
      <c r="A2229" t="s">
        <v>186</v>
      </c>
      <c r="B2229" s="2">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t="str">
        <f t="shared" si="70"/>
        <v/>
      </c>
      <c r="F2229" t="str">
        <f t="shared" si="71"/>
        <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hidden="1" customHeight="1" x14ac:dyDescent="0.3">
      <c r="A2265" t="s">
        <v>188</v>
      </c>
      <c r="B2265" s="2">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t="str">
        <f t="shared" si="72"/>
        <v/>
      </c>
      <c r="F2265" t="str">
        <f t="shared" si="73"/>
        <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hidden="1" customHeight="1" x14ac:dyDescent="0.3">
      <c r="A2301" t="s">
        <v>226</v>
      </c>
      <c r="B2301" s="2">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t="str">
        <f t="shared" si="74"/>
        <v/>
      </c>
      <c r="F2301" t="str">
        <f t="shared" si="75"/>
        <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6" ht="15" hidden="1" customHeight="1" x14ac:dyDescent="0.3">
      <c r="A2337" t="s">
        <v>208</v>
      </c>
      <c r="B2337" s="2">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9" t="str">
        <f t="shared" si="74"/>
        <v/>
      </c>
      <c r="F2337" t="str">
        <f t="shared" si="75"/>
        <v/>
      </c>
    </row>
    <row r="2338" spans="1:6"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6"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6"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6"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6"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6"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6"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6"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6"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6"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6"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6"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6"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6"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6"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hidden="1" customHeight="1" x14ac:dyDescent="0.3">
      <c r="A2373" t="s">
        <v>190</v>
      </c>
      <c r="B2373" s="2">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t="str">
        <f t="shared" si="76"/>
        <v/>
      </c>
      <c r="F2373" t="str">
        <f t="shared" si="77"/>
        <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hidden="1" customHeight="1" x14ac:dyDescent="0.3">
      <c r="A2409" t="s">
        <v>199</v>
      </c>
      <c r="B2409" s="2">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t="str">
        <f t="shared" si="76"/>
        <v/>
      </c>
      <c r="F2409" t="str">
        <f t="shared" si="77"/>
        <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hidden="1"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6" ht="15" hidden="1" customHeight="1" x14ac:dyDescent="0.3">
      <c r="A2481" t="s">
        <v>194</v>
      </c>
      <c r="B2481" s="2">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t="str">
        <f t="shared" si="78"/>
        <v/>
      </c>
      <c r="F2481" t="str">
        <f t="shared" si="79"/>
        <v/>
      </c>
    </row>
    <row r="2482" spans="1:6"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6"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6"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6"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6"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6"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6"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6"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6"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6"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6"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6"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6"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6"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6"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hidden="1" customHeight="1" x14ac:dyDescent="0.3">
      <c r="A2517" t="s">
        <v>196</v>
      </c>
      <c r="B2517" s="2">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t="str">
        <f t="shared" si="80"/>
        <v/>
      </c>
      <c r="F2517" t="str">
        <f t="shared" si="81"/>
        <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hidden="1" customHeight="1" x14ac:dyDescent="0.3">
      <c r="A2553" t="s">
        <v>201</v>
      </c>
      <c r="B2553" s="2">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t="str">
        <f t="shared" si="80"/>
        <v/>
      </c>
      <c r="F2553" t="str">
        <f t="shared" si="81"/>
        <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hidden="1" customHeight="1" x14ac:dyDescent="0.3">
      <c r="A2589" t="s">
        <v>211</v>
      </c>
      <c r="B2589" s="2">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t="str">
        <f t="shared" si="82"/>
        <v/>
      </c>
      <c r="F2589" t="str">
        <f t="shared" si="83"/>
        <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6" ht="15" hidden="1" customHeight="1" x14ac:dyDescent="0.3">
      <c r="A2625" t="s">
        <v>202</v>
      </c>
      <c r="B2625" s="2">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9" t="str">
        <f t="shared" si="84"/>
        <v/>
      </c>
      <c r="F2625" t="str">
        <f t="shared" si="85"/>
        <v/>
      </c>
    </row>
    <row r="2626" spans="1:6"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6"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6"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6"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6"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6"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6"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6"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6"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6"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6"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6"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6"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6"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6"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hidden="1"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hidden="1" x14ac:dyDescent="0.3">
      <c r="A2697" t="s">
        <v>251</v>
      </c>
      <c r="B2697" s="2">
        <v>46235</v>
      </c>
      <c r="C2697" t="str" cm="1">
        <f t="array" ref="C2697">IFERROR(IF(SUMPRODUCT((measured[Site Name]=A2697)*(measured[Date]=B2697)*ISNUMBER(measured[Measured Value (kWh)]))=0,"",SUMIFS(measured[Measured Value (kWh)],measured[Site Name],A2697,measured[Date],B2697)),"")</f>
        <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t="str">
        <f t="shared" si="86"/>
        <v/>
      </c>
      <c r="F2697" t="str">
        <f t="shared" si="87"/>
        <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hidden="1" x14ac:dyDescent="0.3">
      <c r="A2733" t="s">
        <v>250</v>
      </c>
      <c r="B2733" s="2">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t="str">
        <f t="shared" si="86"/>
        <v/>
      </c>
      <c r="F2733" t="str">
        <f t="shared" si="87"/>
        <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hidden="1" x14ac:dyDescent="0.3">
      <c r="A2769" t="s">
        <v>271</v>
      </c>
      <c r="B2769" s="2">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t="str">
        <f t="shared" ref="E2769:E2772" si="90">IF(OR(C2769="",D2769="",D2769=0),"",C2769/D2769)</f>
        <v/>
      </c>
      <c r="F2769" t="str">
        <f t="shared" ref="F2769:F2772" si="91">IF(E2769="","",IF(E2769&gt;=0.9,"Expected",IF(E2769&gt;=0.7,"Moderate","Poor")))</f>
        <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hidden="1" x14ac:dyDescent="0.3">
      <c r="A2775" t="s">
        <v>1004</v>
      </c>
      <c r="B2775" s="2">
        <v>46235</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t="str">
        <f t="shared" si="92"/>
        <v/>
      </c>
      <c r="F2775" t="str">
        <f t="shared" si="93"/>
        <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2026-08-20T10:22:33Z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