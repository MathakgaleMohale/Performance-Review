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05. Performance Report/"/>
    </mc:Choice>
  </mc:AlternateContent>
  <xr:revisionPtr revIDLastSave="4077" documentId="13_ncr:1_{8CCFD1E3-719E-4C10-96BD-950107C648A6}" xr6:coauthVersionLast="47" xr6:coauthVersionMax="47" xr10:uidLastSave="{B57DB7F0-2CB0-43FB-8891-D4346A9765EC}"/>
  <bookViews>
    <workbookView xWindow="-108" yWindow="-108" windowWidth="23256" windowHeight="12456" tabRatio="746" firstSheet="2" activeTab="4"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4" i="6" l="1"/>
  <c r="C2695" i="9" a="1"/>
  <c r="C2695" i="9" s="1"/>
  <c r="D37" i="1" l="1"/>
  <c r="D77" i="6"/>
  <c r="I64" i="4"/>
  <c r="I63" i="4"/>
  <c r="I62" i="4"/>
  <c r="W83" i="1"/>
  <c r="C2779" i="9" l="1" a="1"/>
  <c r="C2779" i="9" s="1"/>
  <c r="C2778" i="9" a="1"/>
  <c r="C2778" i="9" s="1"/>
  <c r="C2777" i="9" a="1"/>
  <c r="C2777" i="9" s="1"/>
  <c r="C2776" i="9" a="1"/>
  <c r="C2776" i="9" s="1"/>
  <c r="C2775" i="9" a="1"/>
  <c r="C2775" i="9" s="1"/>
  <c r="C2774" i="9" a="1"/>
  <c r="C2774" i="9" s="1"/>
  <c r="C2773" i="9" a="1"/>
  <c r="C2773" i="9" s="1"/>
  <c r="C2778" i="7" a="1"/>
  <c r="C2778" i="7" s="1"/>
  <c r="C2777" i="7" a="1"/>
  <c r="C2777" i="7" s="1"/>
  <c r="C2776" i="7" a="1"/>
  <c r="C2776" i="7" s="1"/>
  <c r="N79" i="6"/>
  <c r="C2780" i="7" s="1" a="1"/>
  <c r="C2780" i="7" s="1"/>
  <c r="M79" i="6"/>
  <c r="C2779" i="7" s="1" a="1"/>
  <c r="C2779" i="7" s="1"/>
  <c r="L79" i="6"/>
  <c r="K79" i="6"/>
  <c r="J79" i="6"/>
  <c r="I79" i="6"/>
  <c r="C2775" i="7" s="1" a="1"/>
  <c r="C2775" i="7" s="1"/>
  <c r="H79" i="6"/>
  <c r="G79" i="6"/>
  <c r="F79" i="6"/>
  <c r="E79" i="6"/>
  <c r="D79" i="6"/>
  <c r="C79"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s="1"/>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F15" i="12" l="1"/>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33" i="7" a="1"/>
  <c r="C2733" i="7" s="1"/>
  <c r="C2734" i="7" a="1"/>
  <c r="C2734" i="7" s="1"/>
  <c r="D78" i="6"/>
  <c r="C2740" i="7" s="1" a="1"/>
  <c r="C2740" i="7" s="1"/>
  <c r="E78" i="6"/>
  <c r="C2741" i="7" s="1" a="1"/>
  <c r="C2741" i="7" s="1"/>
  <c r="F78" i="6"/>
  <c r="C2742" i="7" s="1" a="1"/>
  <c r="C2742" i="7" s="1"/>
  <c r="G78" i="6"/>
  <c r="C2743" i="7" s="1" a="1"/>
  <c r="C2743" i="7" s="1"/>
  <c r="H78" i="6"/>
  <c r="C2744" i="7" s="1" a="1"/>
  <c r="C2744" i="7" s="1"/>
  <c r="I78" i="6"/>
  <c r="C2745" i="7" s="1" a="1"/>
  <c r="C2745" i="7" s="1"/>
  <c r="J78" i="6"/>
  <c r="C2746" i="7" s="1" a="1"/>
  <c r="C2746" i="7" s="1"/>
  <c r="K78" i="6"/>
  <c r="C2747" i="7" s="1" a="1"/>
  <c r="C2747" i="7" s="1"/>
  <c r="L78" i="6"/>
  <c r="C2748" i="7" s="1" a="1"/>
  <c r="C2748" i="7" s="1"/>
  <c r="M78" i="6"/>
  <c r="C2749" i="7" s="1" a="1"/>
  <c r="C2749" i="7" s="1"/>
  <c r="N78" i="6"/>
  <c r="C2750" i="7" s="1" a="1"/>
  <c r="C2750" i="7" s="1"/>
  <c r="C2716" i="7" a="1"/>
  <c r="C2716" i="7" s="1"/>
  <c r="E77" i="6"/>
  <c r="C2705" i="7" s="1" a="1"/>
  <c r="C2705" i="7" s="1"/>
  <c r="F77" i="6"/>
  <c r="C2706" i="7" s="1" a="1"/>
  <c r="C2706" i="7" s="1"/>
  <c r="G77" i="6"/>
  <c r="C2719" i="7" s="1" a="1"/>
  <c r="C2719" i="7" s="1"/>
  <c r="H77" i="6"/>
  <c r="C2708" i="7" s="1" a="1"/>
  <c r="C2708" i="7" s="1"/>
  <c r="I77" i="6"/>
  <c r="C2721" i="7" s="1" a="1"/>
  <c r="C2721" i="7" s="1"/>
  <c r="J77" i="6"/>
  <c r="C2722" i="7" s="1" a="1"/>
  <c r="C2722" i="7" s="1"/>
  <c r="K77" i="6"/>
  <c r="C2711" i="7" s="1" a="1"/>
  <c r="C2711" i="7" s="1"/>
  <c r="L77" i="6"/>
  <c r="C2712" i="7" s="1" a="1"/>
  <c r="C2712" i="7" s="1"/>
  <c r="M77" i="6"/>
  <c r="C2725" i="7" s="1" a="1"/>
  <c r="C2725" i="7" s="1"/>
  <c r="N77" i="6"/>
  <c r="C2714" i="7" s="1" a="1"/>
  <c r="C2714" i="7" s="1"/>
  <c r="C77" i="6"/>
  <c r="C2715" i="7" s="1" a="1"/>
  <c r="C2715" i="7" s="1"/>
  <c r="C78" i="6"/>
  <c r="C2739" i="7" s="1" a="1"/>
  <c r="C2739" i="7" s="1"/>
  <c r="C76" i="6"/>
  <c r="C2667" i="7" s="1" a="1"/>
  <c r="C2667"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31" i="7" l="1" a="1"/>
  <c r="C2731" i="7" s="1"/>
  <c r="C2691" i="7" a="1"/>
  <c r="C2691" i="7" s="1"/>
  <c r="C2710" i="7" a="1"/>
  <c r="C2710" i="7" s="1"/>
  <c r="C2709" i="7" a="1"/>
  <c r="C2709" i="7" s="1"/>
  <c r="C2707" i="7" a="1"/>
  <c r="C2707" i="7" s="1"/>
  <c r="C2704" i="7" a="1"/>
  <c r="C2704" i="7" s="1"/>
  <c r="C2679" i="7" a="1"/>
  <c r="C2679" i="7" s="1"/>
  <c r="C2728" i="7" a="1"/>
  <c r="C2728" i="7" s="1"/>
  <c r="H18" i="12"/>
  <c r="J18" i="12" s="1"/>
  <c r="C2737" i="7" a="1"/>
  <c r="C2737" i="7" s="1"/>
  <c r="C2713" i="7" a="1"/>
  <c r="C2713" i="7" s="1"/>
  <c r="C2727" i="7" a="1"/>
  <c r="C2727" i="7" s="1"/>
  <c r="C2703" i="7" a="1"/>
  <c r="C2703" i="7" s="1"/>
  <c r="C2764" i="7" a="1"/>
  <c r="C2764" i="7" s="1"/>
  <c r="C2752" i="7" a="1"/>
  <c r="C2752" i="7" s="1"/>
  <c r="C2763" i="7" a="1"/>
  <c r="C2763" i="7" s="1"/>
  <c r="C2751" i="7" a="1"/>
  <c r="C2751" i="7" s="1"/>
  <c r="C2774" i="7" a="1"/>
  <c r="C2774" i="7" s="1"/>
  <c r="C2762" i="7" a="1"/>
  <c r="C2762" i="7" s="1"/>
  <c r="C2738" i="7" a="1"/>
  <c r="C2738" i="7" s="1"/>
  <c r="C2726" i="7" a="1"/>
  <c r="C2726" i="7" s="1"/>
  <c r="C2773" i="7" a="1"/>
  <c r="C2773" i="7" s="1"/>
  <c r="C2761" i="7" a="1"/>
  <c r="C2761" i="7" s="1"/>
  <c r="C2772" i="7" a="1"/>
  <c r="C2772" i="7" s="1"/>
  <c r="C2760" i="7" a="1"/>
  <c r="C2760" i="7" s="1"/>
  <c r="C2736" i="7" a="1"/>
  <c r="C2736" i="7" s="1"/>
  <c r="C2724" i="7" a="1"/>
  <c r="C2724" i="7" s="1"/>
  <c r="C2771" i="7" a="1"/>
  <c r="C2771" i="7" s="1"/>
  <c r="C2759" i="7" a="1"/>
  <c r="C2759" i="7" s="1"/>
  <c r="C2735" i="7" a="1"/>
  <c r="C2735" i="7" s="1"/>
  <c r="C2723" i="7" a="1"/>
  <c r="C2723" i="7" s="1"/>
  <c r="C2770" i="7" a="1"/>
  <c r="C2770" i="7" s="1"/>
  <c r="C2758" i="7" a="1"/>
  <c r="C2758" i="7" s="1"/>
  <c r="C2769" i="7" a="1"/>
  <c r="C2769" i="7" s="1"/>
  <c r="C2757" i="7" a="1"/>
  <c r="C2757" i="7" s="1"/>
  <c r="C2768" i="7" a="1"/>
  <c r="C2768" i="7" s="1"/>
  <c r="C2756" i="7" a="1"/>
  <c r="C2756" i="7" s="1"/>
  <c r="C2732" i="7" a="1"/>
  <c r="C2732" i="7" s="1"/>
  <c r="C2720" i="7" a="1"/>
  <c r="C2720" i="7" s="1"/>
  <c r="C2767" i="7" a="1"/>
  <c r="C2767" i="7" s="1"/>
  <c r="C2755" i="7" a="1"/>
  <c r="C2755" i="7" s="1"/>
  <c r="C2766" i="7" a="1"/>
  <c r="C2766" i="7" s="1"/>
  <c r="C2754" i="7" a="1"/>
  <c r="C2754" i="7" s="1"/>
  <c r="C2730" i="7" a="1"/>
  <c r="C2730" i="7" s="1"/>
  <c r="C2718" i="7" a="1"/>
  <c r="C2718" i="7" s="1"/>
  <c r="C2765" i="7" a="1"/>
  <c r="C2765" i="7" s="1"/>
  <c r="C2753" i="7" a="1"/>
  <c r="C2753" i="7" s="1"/>
  <c r="C2729" i="7" a="1"/>
  <c r="C2729" i="7" s="1"/>
  <c r="C2717" i="7" a="1"/>
  <c r="C2717"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6" i="6"/>
  <c r="E76" i="6"/>
  <c r="F76" i="6"/>
  <c r="G76" i="6"/>
  <c r="H76" i="6"/>
  <c r="I76" i="6"/>
  <c r="J76" i="6"/>
  <c r="K76" i="6"/>
  <c r="L76" i="6"/>
  <c r="M76" i="6"/>
  <c r="N76" i="6"/>
  <c r="C75" i="6"/>
  <c r="N75" i="6"/>
  <c r="M75" i="6"/>
  <c r="L75" i="6"/>
  <c r="K75" i="6"/>
  <c r="J75" i="6"/>
  <c r="I75" i="6"/>
  <c r="H75" i="6"/>
  <c r="G75" i="6"/>
  <c r="F75" i="6"/>
  <c r="E75" i="6"/>
  <c r="D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J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I62" i="6"/>
  <c r="H62" i="6"/>
  <c r="G62" i="6"/>
  <c r="F62" i="6"/>
  <c r="E62" i="6"/>
  <c r="D62" i="6"/>
  <c r="C62" i="6"/>
  <c r="N61" i="6"/>
  <c r="M61" i="6"/>
  <c r="L61" i="6"/>
  <c r="K61" i="6"/>
  <c r="J61" i="6"/>
  <c r="I61" i="6"/>
  <c r="H61" i="6"/>
  <c r="G61" i="6"/>
  <c r="F61" i="6"/>
  <c r="E61" i="6"/>
  <c r="D61" i="6"/>
  <c r="C61" i="6"/>
  <c r="N60" i="6"/>
  <c r="M60" i="6"/>
  <c r="L60" i="6"/>
  <c r="K60" i="6"/>
  <c r="J60" i="6"/>
  <c r="I60" i="6"/>
  <c r="H60" i="6"/>
  <c r="G60" i="6"/>
  <c r="E60" i="6"/>
  <c r="D60" i="6"/>
  <c r="C60" i="6"/>
  <c r="N59" i="6"/>
  <c r="M59" i="6"/>
  <c r="L59" i="6"/>
  <c r="K59" i="6"/>
  <c r="J59" i="6"/>
  <c r="I59" i="6"/>
  <c r="H59" i="6"/>
  <c r="G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J63" i="6"/>
  <c r="E60" i="4"/>
  <c r="F60" i="6" s="1"/>
  <c r="L8" i="4"/>
  <c r="M8" i="6" s="1"/>
  <c r="C1082" i="7" l="1" a="1"/>
  <c r="C1082" i="7" s="1"/>
  <c r="C1070" i="7" a="1"/>
  <c r="C1070" i="7" s="1"/>
  <c r="C1058" i="7" a="1"/>
  <c r="C1058" i="7" s="1"/>
  <c r="C1051" i="7" a="1"/>
  <c r="C1051" i="7" s="1"/>
  <c r="C1063" i="7" a="1"/>
  <c r="C1063" i="7" s="1"/>
  <c r="C1075" i="7" a="1"/>
  <c r="C1075" i="7" s="1"/>
  <c r="C1052" i="7" a="1"/>
  <c r="C1052" i="7" s="1"/>
  <c r="C1076" i="7" a="1"/>
  <c r="C1076" i="7" s="1"/>
  <c r="C1064" i="7" a="1"/>
  <c r="C1064" i="7" s="1"/>
  <c r="C1077" i="7" a="1"/>
  <c r="C1077" i="7" s="1"/>
  <c r="C1065" i="7" a="1"/>
  <c r="C1065" i="7" s="1"/>
  <c r="C1053" i="7" a="1"/>
  <c r="C1053" i="7" s="1"/>
  <c r="D2715" i="9" s="1" a="1"/>
  <c r="D2715" i="9" s="1"/>
  <c r="E2715" i="9" s="1"/>
  <c r="F2715" i="9" s="1"/>
  <c r="C1061" i="7" a="1"/>
  <c r="C1061" i="7" s="1"/>
  <c r="C1049" i="7" a="1"/>
  <c r="C1049" i="7" s="1"/>
  <c r="C1073" i="7" a="1"/>
  <c r="C1073" i="7" s="1"/>
  <c r="C1054" i="7" a="1"/>
  <c r="C1054" i="7" s="1"/>
  <c r="C1078" i="7" a="1"/>
  <c r="C1078" i="7" s="1"/>
  <c r="C1066" i="7" a="1"/>
  <c r="C1066" i="7" s="1"/>
  <c r="C1062" i="7" a="1"/>
  <c r="C1062" i="7" s="1"/>
  <c r="C1050" i="7" a="1"/>
  <c r="C1050" i="7" s="1"/>
  <c r="C1074" i="7" a="1"/>
  <c r="C1074" i="7" s="1"/>
  <c r="F59" i="6"/>
  <c r="C1067" i="7" a="1"/>
  <c r="C1067" i="7" s="1"/>
  <c r="C1055" i="7" a="1"/>
  <c r="C1055" i="7" s="1"/>
  <c r="D2704" i="9" s="1" a="1"/>
  <c r="D2704" i="9" s="1"/>
  <c r="E2704" i="9" s="1"/>
  <c r="F2704" i="9" s="1"/>
  <c r="C1079" i="7" a="1"/>
  <c r="C1079" i="7" s="1"/>
  <c r="C1071" i="7" a="1"/>
  <c r="C1071" i="7" s="1"/>
  <c r="C1059" i="7" a="1"/>
  <c r="C1059" i="7" s="1"/>
  <c r="C1047" i="7" a="1"/>
  <c r="C1047" i="7" s="1"/>
  <c r="C1072" i="7" a="1"/>
  <c r="C1072" i="7" s="1"/>
  <c r="C1060" i="7" a="1"/>
  <c r="C1060" i="7" s="1"/>
  <c r="C1048" i="7" a="1"/>
  <c r="C1048" i="7" s="1"/>
  <c r="C1080" i="7" a="1"/>
  <c r="C1080" i="7" s="1"/>
  <c r="C1068" i="7" a="1"/>
  <c r="C1068" i="7" s="1"/>
  <c r="C1056" i="7" a="1"/>
  <c r="C1056" i="7" s="1"/>
  <c r="C1081" i="7" a="1"/>
  <c r="C1081" i="7" s="1"/>
  <c r="C1057" i="7" a="1"/>
  <c r="C1057" i="7" s="1"/>
  <c r="C1069" i="7" a="1"/>
  <c r="C1069" i="7" s="1"/>
  <c r="K18" i="12"/>
  <c r="C2673" i="7" a="1"/>
  <c r="C2673" i="7" s="1"/>
  <c r="C2685" i="7" a="1"/>
  <c r="C2685" i="7" s="1"/>
  <c r="C2697" i="7" a="1"/>
  <c r="C2697" i="7" s="1"/>
  <c r="C2672" i="7" a="1"/>
  <c r="C2672" i="7" s="1"/>
  <c r="C2684" i="7" a="1"/>
  <c r="C2684" i="7" s="1"/>
  <c r="C2696" i="7" a="1"/>
  <c r="C2696" i="7" s="1"/>
  <c r="C2676" i="7" a="1"/>
  <c r="C2676" i="7" s="1"/>
  <c r="C2688" i="7" a="1"/>
  <c r="C2688" i="7" s="1"/>
  <c r="C2700" i="7" a="1"/>
  <c r="C2700" i="7" s="1"/>
  <c r="C2670" i="7" a="1"/>
  <c r="C2670" i="7" s="1"/>
  <c r="C2682" i="7" a="1"/>
  <c r="C2682" i="7" s="1"/>
  <c r="C2694" i="7" a="1"/>
  <c r="C2694" i="7" s="1"/>
  <c r="G9" i="12"/>
  <c r="H9" i="12" s="1"/>
  <c r="K9" i="12" s="1"/>
  <c r="C2671" i="7" a="1"/>
  <c r="C2671" i="7" s="1"/>
  <c r="C2683" i="7" a="1"/>
  <c r="C2683" i="7" s="1"/>
  <c r="C2695" i="7" a="1"/>
  <c r="C2695" i="7" s="1"/>
  <c r="C2668" i="7" a="1"/>
  <c r="C2668" i="7" s="1"/>
  <c r="C2680" i="7" a="1"/>
  <c r="C2680" i="7" s="1"/>
  <c r="D2607" i="9" s="1" a="1"/>
  <c r="D2607" i="9" s="1"/>
  <c r="E2607" i="9" s="1"/>
  <c r="F2607" i="9" s="1"/>
  <c r="C2692" i="7" a="1"/>
  <c r="C2692" i="7" s="1"/>
  <c r="C2674" i="7" a="1"/>
  <c r="C2674" i="7" s="1"/>
  <c r="C2686" i="7" a="1"/>
  <c r="C2686" i="7" s="1"/>
  <c r="C2698" i="7" a="1"/>
  <c r="C2698" i="7" s="1"/>
  <c r="C2669" i="7" a="1"/>
  <c r="C2669" i="7" s="1"/>
  <c r="C2681" i="7" a="1"/>
  <c r="C2681" i="7" s="1"/>
  <c r="C2693" i="7" a="1"/>
  <c r="C2693" i="7" s="1"/>
  <c r="C2677" i="7" a="1"/>
  <c r="C2677" i="7" s="1"/>
  <c r="C2689" i="7" a="1"/>
  <c r="C2689" i="7" s="1"/>
  <c r="C2701" i="7" a="1"/>
  <c r="C2701" i="7" s="1"/>
  <c r="C2675" i="7" a="1"/>
  <c r="C2675" i="7" s="1"/>
  <c r="C2687" i="7" a="1"/>
  <c r="C2687" i="7" s="1"/>
  <c r="C2699" i="7" a="1"/>
  <c r="C2699" i="7" s="1"/>
  <c r="C2678" i="7" a="1"/>
  <c r="C2678" i="7" s="1"/>
  <c r="C2690" i="7" a="1"/>
  <c r="C2690" i="7" s="1"/>
  <c r="C2702" i="7" a="1"/>
  <c r="C2702" i="7" s="1"/>
  <c r="J62" i="6"/>
  <c r="F16" i="12"/>
  <c r="H16" i="12" s="1"/>
  <c r="J16" i="12" s="1"/>
  <c r="J64" i="6"/>
  <c r="F17" i="12"/>
  <c r="H17" i="12" s="1"/>
  <c r="K17" i="12" s="1"/>
  <c r="H4" i="12"/>
  <c r="J4" i="12" s="1"/>
  <c r="J21" i="12"/>
  <c r="J24" i="12"/>
  <c r="K24" i="12"/>
  <c r="J13" i="12"/>
  <c r="K13" i="12"/>
  <c r="J19" i="12"/>
  <c r="K19" i="12"/>
  <c r="J20" i="12"/>
  <c r="K20" i="12"/>
  <c r="J12" i="12"/>
  <c r="K12" i="12"/>
  <c r="J2" i="12"/>
  <c r="H8" i="12"/>
  <c r="H10" i="12"/>
  <c r="D2667" i="9" l="1" a="1"/>
  <c r="D2667" i="9" s="1"/>
  <c r="E2667" i="9" s="1"/>
  <c r="F2667" i="9" s="1"/>
  <c r="D2655" i="9" a="1"/>
  <c r="D2655" i="9" s="1"/>
  <c r="E2655" i="9" s="1"/>
  <c r="F2655" i="9" s="1"/>
  <c r="D2679" i="9" a="1"/>
  <c r="D2679" i="9" s="1"/>
  <c r="E2679" i="9" s="1"/>
  <c r="F2679" i="9" s="1"/>
  <c r="D2716" i="9" a="1"/>
  <c r="D2716" i="9" s="1"/>
  <c r="E2716" i="9" s="1"/>
  <c r="F2716" i="9" s="1"/>
  <c r="D2779" i="9" a="1"/>
  <c r="D2779" i="9" s="1"/>
  <c r="E2779" i="9" s="1"/>
  <c r="F2779" i="9" s="1"/>
  <c r="D2774" i="9" a="1"/>
  <c r="D2774" i="9" s="1"/>
  <c r="E2774" i="9" s="1"/>
  <c r="F2774" i="9" s="1"/>
  <c r="D2773" i="9" a="1"/>
  <c r="D2773" i="9" s="1"/>
  <c r="E2773" i="9" s="1"/>
  <c r="F2773" i="9" s="1"/>
  <c r="D2778" i="9" a="1"/>
  <c r="D2778" i="9" s="1"/>
  <c r="E2778" i="9" s="1"/>
  <c r="F2778" i="9" s="1"/>
  <c r="D2777" i="9" a="1"/>
  <c r="D2777" i="9" s="1"/>
  <c r="E2777" i="9" s="1"/>
  <c r="F2777" i="9" s="1"/>
  <c r="D2776" i="9" a="1"/>
  <c r="D2776" i="9" s="1"/>
  <c r="E2776" i="9" s="1"/>
  <c r="F2776" i="9" s="1"/>
  <c r="D2775" i="9" a="1"/>
  <c r="D2775" i="9" s="1"/>
  <c r="E2775" i="9" s="1"/>
  <c r="F2775" i="9" s="1"/>
  <c r="D2461" i="9"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Mathakgale Mohale</author>
  </authors>
  <commentList>
    <comment ref="C321" authorId="0" shapeId="0" xr:uid="{5810436F-CEBB-419A-9068-C538AA34BE2A}">
      <text>
        <r>
          <rPr>
            <b/>
            <sz val="9"/>
            <color indexed="81"/>
            <rFont val="Tahoma"/>
            <family val="2"/>
          </rPr>
          <t>Mathakgale Mohale:</t>
        </r>
        <r>
          <rPr>
            <sz val="9"/>
            <color indexed="81"/>
            <rFont val="Tahoma"/>
            <family val="2"/>
          </rPr>
          <t xml:space="preserve">
Aug-2026 measured. Offline 01/08 - 04/08. Source: 260901 kWh Registration_August.xlsx, Meter Overview</t>
        </r>
      </text>
    </comment>
    <comment ref="C1437" authorId="0" shapeId="0" xr:uid="{4663AF63-283D-4865-B746-A45870AE179A}">
      <text>
        <r>
          <rPr>
            <b/>
            <sz val="9"/>
            <color indexed="81"/>
            <rFont val="Tahoma"/>
            <family val="2"/>
          </rPr>
          <t>Mathakgale Mohale:</t>
        </r>
        <r>
          <rPr>
            <sz val="9"/>
            <color indexed="81"/>
            <rFont val="Tahoma"/>
            <family val="2"/>
          </rPr>
          <t xml:space="preserve">
Inverter readings. Source: 260901 kWh Registration_August.xlsx, Meter Overview</t>
        </r>
      </text>
    </comment>
    <comment ref="C1761" authorId="0" shapeId="0" xr:uid="{A64265D3-4F4D-4122-9F6C-C6EFE4E7B0C4}">
      <text>
        <r>
          <rPr>
            <b/>
            <sz val="9"/>
            <color indexed="81"/>
            <rFont val="Tahoma"/>
            <family val="2"/>
          </rPr>
          <t>Mathakgale Mohale:</t>
        </r>
        <r>
          <rPr>
            <sz val="9"/>
            <color indexed="81"/>
            <rFont val="Tahoma"/>
            <family val="2"/>
          </rPr>
          <t xml:space="preserve">
System offline until 17/08 (municipal fault). Source: 260901 kWh Registration_August.xlsx, Meter Overview</t>
        </r>
      </text>
    </comment>
    <comment ref="C2013" authorId="0" shapeId="0" xr:uid="{EAE735D6-5EA9-40C5-AD78-784FB9B86B89}">
      <text>
        <r>
          <rPr>
            <b/>
            <sz val="9"/>
            <color indexed="81"/>
            <rFont val="Tahoma"/>
            <family val="2"/>
          </rPr>
          <t>Mathakgale Mohale:</t>
        </r>
        <r>
          <rPr>
            <sz val="9"/>
            <color indexed="81"/>
            <rFont val="Tahoma"/>
            <family val="2"/>
          </rPr>
          <t xml:space="preserve">
System off due to grid unavailability. Source: 260901 kWh Registration_August.xlsx, Meter Overview</t>
        </r>
      </text>
    </comment>
    <comment ref="C2553" authorId="0" shapeId="0" xr:uid="{F07CCDB8-0DB7-4427-9FF5-0574B3480D84}">
      <text>
        <r>
          <rPr>
            <b/>
            <sz val="9"/>
            <color indexed="81"/>
            <rFont val="Tahoma"/>
            <family val="2"/>
          </rPr>
          <t>Mathakgale Mohale:</t>
        </r>
        <r>
          <rPr>
            <sz val="9"/>
            <color indexed="81"/>
            <rFont val="Tahoma"/>
            <family val="2"/>
          </rPr>
          <t xml:space="preserve">
Inverter readings. Source: 260901 kWh Registration_August.xlsx, Meter Overview</t>
        </r>
      </text>
    </comment>
    <comment ref="C2714" authorId="0" shapeId="0" xr:uid="{ECA30480-0CF7-413B-9B9F-93CD9B374593}">
      <text>
        <r>
          <rPr>
            <b/>
            <sz val="9"/>
            <color indexed="81"/>
            <rFont val="Tahoma"/>
            <family val="2"/>
          </rPr>
          <t>Mathakgale Mohale:</t>
        </r>
        <r>
          <rPr>
            <sz val="9"/>
            <color indexed="81"/>
            <rFont val="Tahoma"/>
            <family val="2"/>
          </rPr>
          <t xml:space="preserve">
Commissioned 17/08. Source: 260901 kWh Registration_August.xlsx, Meter Overview</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<sst xmlns="http://schemas.openxmlformats.org/spreadsheetml/2006/main" count="15191" uniqueCount="1097">
  <si>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</si>
  <si>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</si>
  <si>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</si>
  <si>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</si>
  <si>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</si>
  <si>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</si>
  <si>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</si>
  <si>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</si>
  <si>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</si>
  <si>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</si>
  <si>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</si>
  <si>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</si>
  <si>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</si>
  <si>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</si>
  <si>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</si>
  <si>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</si>
  <si>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</si>
  <si>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</si>
  <si>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</si>
  <si>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</si>
  <si>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</si>
  <si>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</si>
  <si>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</si>
  <si>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</si>
  <si>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</si>
  <si>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</si>
  <si>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</si>
  <si>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</si>
  <si>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</si>
  <si>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</si>
  <si>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</si>
  <si>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</si>
  <si>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</si>
  <si>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</si>
  <si>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</si>
  <si>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</si>
  <si>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</si>
  <si>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</si>
  <si>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</si>
  <si>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</si>
  <si>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</si>
  <si>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</si>
  <si>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</si>
  <si>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</si>
  <si>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</si>
  <si>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</si>
  <si>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</si>
  <si>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</si>
  <si>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</si>
  <si>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</si>
  <si>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</si>
  <si>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</si>
  <si>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</si>
  <si>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</si>
  <si>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</si>
  <si>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</si>
  <si>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</si>
  <si>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</si>
  <si>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</si>
  <si>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</si>
  <si>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</si>
  <si>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</si>
  <si>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</si>
  <si>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</si>
  <si>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</si>
  <si>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</si>
  <si>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</si>
  <si>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</si>
  <si>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</si>
  <si>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</si>
  <si>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</si>
  <si>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</si>
  <si>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</si>
  <si>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</si>
  <si>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</si>
  <si>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</si>
  <si>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</si>
  <si>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</si>
  <si>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</si>
  <si>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</si>
  <si>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</si>
  <si>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</si>
  <si>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</si>
  <si>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</si>
  <si>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</si>
  <si>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</si>
  <si>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</si>
  <si>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</si>
  <si>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</si>
  <si>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</si>
  <si>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</si>
  <si>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</si>
  <si>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</si>
  <si>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</si>
  <si>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</si>
  <si>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</si>
  <si>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</si>
  <si>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</si>
  <si>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</si>
  <si>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</si>
  <si>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</si>
  <si>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</si>
  <si>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</si>
  <si>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</si>
  <si>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</si>
  <si>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</si>
  <si>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</si>
  <si>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</si>
  <si>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</si>
  <si>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</si>
  <si>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</si>
  <si>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</si>
  <si>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</si>
  <si>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</si>
  <si>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</si>
  <si>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</si>
  <si>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</si>
  <si>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</si>
  <si>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</si>
  <si>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</si>
  <si>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</si>
  <si>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</si>
  <si>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</si>
  <si>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</si>
  <si>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</si>
  <si>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</si>
  <si>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</si>
  <si>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</si>
  <si>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</si>
  <si>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</si>
  <si>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</si>
  <si>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</si>
  <si>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</si>
  <si>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</si>
  <si>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</si>
  <si>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</si>
  <si>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</si>
  <si>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</si>
  <si>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</si>
  <si>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</si>
  <si>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</si>
  <si>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</si>
  <si>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</si>
  <si>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</si>
  <si>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</si>
  <si>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</si>
  <si>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</si>
  <si>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</si>
  <si>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</si>
  <si>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</si>
  <si>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</si>
  <si>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</si>
  <si>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</si>
  <si>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</si>
  <si>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</si>
  <si>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</si>
  <si>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</si>
  <si>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</si>
  <si>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</si>
  <si>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</si>
  <si>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</si>
  <si>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</si>
  <si>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</si>
  <si>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</si>
  <si>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</si>
  <si>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</si>
  <si>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</si>
  <si>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</si>
  <si>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</si>
  <si>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</si>
  <si>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</si>
  <si>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</si>
  <si>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</si>
  <si>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</si>
  <si>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</si>
  <si>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</si>
  <si>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</si>
  <si>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</si>
  <si>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</si>
  <si>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</si>
  <si>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</si>
  <si>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</si>
  <si>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</si>
  <si>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</si>
  <si>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</si>
  <si>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</si>
  <si>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</si>
  <si>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</si>
  <si>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</si>
  <si>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</si>
  <si>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</si>
  <si>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</si>
  <si>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</si>
  <si>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</si>
  <si>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</si>
  <si>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</si>
  <si>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</si>
  <si>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</si>
  <si>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</si>
  <si>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</si>
  <si>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</si>
  <si>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</si>
  <si>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</si>
  <si>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</si>
  <si>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</si>
  <si>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</si>
  <si>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</si>
  <si>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</si>
  <si>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</si>
  <si>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</si>
  <si>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</si>
  <si>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</si>
  <si>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</si>
  <si>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</si>
  <si>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</si>
  <si>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</si>
  <si>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</si>
  <si>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</si>
  <si>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</si>
  <si>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</si>
  <si>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</si>
  <si>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</si>
  <si>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</si>
  <si>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</si>
  <si>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</si>
  <si>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</si>
  <si>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</si>
  <si>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</si>
  <si>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</si>
  <si>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</si>
  <si>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</si>
  <si>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</si>
  <si>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</si>
  <si>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</si>
  <si>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</si>
  <si>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</si>
  <si>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</si>
  <si>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</si>
  <si>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</si>
  <si>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</si>
  <si>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</si>
  <si>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</si>
  <si>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</si>
  <si>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</si>
  <si>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</si>
  <si>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</si>
  <si>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</si>
  <si>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</si>
  <si>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</si>
  <si>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</si>
  <si>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</si>
  <si>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</si>
  <si>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</si>
  <si>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</si>
  <si>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</si>
  <si>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</si>
  <si>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</si>
  <si>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</si>
  <si>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</si>
  <si>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</si>
  <si>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</si>
  <si>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</si>
  <si>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</si>
  <si>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</si>
  <si>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</si>
  <si>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</si>
  <si>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</si>
  <si>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</si>
  <si>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</si>
  <si>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</si>
  <si>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</si>
  <si>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</si>
  <si>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</si>
  <si>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</si>
  <si>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</si>
  <si>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</si>
  <si>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</si>
  <si>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</si>
  <si>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</si>
  <si>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</si>
  <si>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</si>
  <si>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</si>
  <si>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</si>
  <si>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</si>
  <si>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</si>
  <si>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</si>
  <si>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</si>
  <si>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</si>
  <si>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</si>
  <si>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</si>
  <si>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</si>
  <si>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</si>
  <si>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</si>
  <si>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</si>
  <si>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</si>
  <si>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</si>
  <si>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</si>
  <si>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</si>
  <si>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</si>
  <si>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</si>
  <si>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</si>
  <si>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</si>
  <si>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</si>
  <si>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</si>
  <si>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</si>
  <si>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</si>
  <si>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</si>
  <si>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</si>
  <si>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</si>
  <si>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</si>
  <si>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</si>
  <si>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</si>
  <si>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</si>
  <si>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</si>
  <si>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</si>
  <si>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</si>
  <si>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</si>
  <si>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</si>
  <si>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</si>
  <si>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</si>
  <si>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</si>
  <si>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</si>
  <si>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</si>
  <si>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</si>
  <si>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</si>
  <si>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</si>
  <si>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</si>
  <si>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</si>
  <si>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</si>
  <si>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</si>
  <si>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</si>
  <si>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</si>
  <si>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</si>
  <si>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</si>
  <si>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</si>
  <si>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</si>
  <si>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</si>
  <si>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</si>
  <si>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</si>
  <si>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</si>
  <si>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</si>
  <si>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</si>
  <si>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</si>
  <si>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</si>
  <si>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</si>
  <si>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</si>
  <si>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</si>
  <si>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</si>
  <si>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</si>
  <si>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</si>
  <si>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</si>
  <si>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</si>
  <si>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</si>
  <si>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</si>
  <si>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</si>
  <si>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</si>
  <si>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</si>
  <si>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</si>
  <si>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</si>
  <si>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</si>
  <si>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</si>
  <si>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</si>
  <si>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</si>
  <si>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</si>
  <si>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</si>
  <si>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</si>
  <si>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</si>
  <si>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</si>
  <si>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</si>
  <si>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</si>
  <si>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</si>
  <si>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</si>
  <si>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</si>
  <si>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</si>
  <si>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</si>
  <si>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</si>
  <si>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</si>
  <si>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</si>
  <si>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</si>
  <si>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</si>
  <si>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</si>
  <si>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</si>
  <si>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</si>
  <si>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</si>
  <si>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</si>
  <si>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</si>
  <si>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</si>
  <si>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</si>
  <si>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</si>
  <si>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</si>
  <si>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</si>
  <si>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</si>
  <si>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</si>
  <si>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</si>
  <si>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</si>
  <si>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</si>
  <si>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</si>
  <si>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</si>
  <si>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</si>
  <si>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</si>
  <si>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</si>
  <si>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</si>
  <si>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</si>
  <si>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</si>
  <si>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</si>
  <si>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</si>
  <si>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</si>
  <si>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</si>
  <si>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</si>
  <si>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</si>
  <si>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</si>
  <si>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</si>
  <si>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</si>
  <si>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</si>
  <si>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</si>
  <si>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</si>
  <si>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</si>
  <si>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</si>
  <si>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</si>
  <si>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</si>
  <si>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</si>
  <si>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</si>
  <si>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</si>
  <si>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</si>
  <si>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</si>
  <si>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</si>
  <si>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</si>
  <si>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</si>
  <si>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</si>
  <si>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</si>
  <si>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</si>
  <si>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</si>
  <si>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</si>
  <si>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</si>
  <si>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</si>
  <si>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</si>
  <si>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</si>
  <si>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</si>
  <si>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</si>
  <si>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</si>
  <si>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</si>
  <si>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</si>
  <si>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</si>
  <si>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</si>
  <si>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</si>
  <si>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</si>
  <si>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</si>
  <si>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</si>
  <si>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</si>
  <si>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</si>
  <si>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</si>
  <si>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</si>
  <si>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</si>
  <si>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</si>
  <si>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</si>
  <si>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</si>
  <si>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</si>
  <si>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</si>
  <si>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</si>
  <si>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</si>
  <si>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</si>
  <si>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</si>
  <si>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</si>
  <si>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</si>
  <si>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</si>
  <si>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</si>
  <si>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</si>
  <si>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</si>
  <si>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</si>
  <si>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</si>
  <si>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</si>
  <si>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</si>
  <si>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</si>
  <si>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</si>
  <si>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</si>
  <si>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</si>
  <si>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</si>
  <si>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</si>
  <si>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</si>
  <si>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</si>
  <si>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</si>
  <si>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</si>
  <si>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</si>
  <si>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</si>
  <si>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</si>
  <si>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</si>
  <si>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</si>
  <si>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</si>
  <si>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</si>
  <si>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</si>
  <si>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</si>
  <si>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</si>
  <si>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</si>
  <si>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</si>
  <si>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</si>
  <si>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</si>
  <si>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</si>
  <si>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</si>
  <si>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</si>
  <si>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</si>
  <si>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</si>
  <si>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</si>
  <si>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</si>
  <si>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</si>
  <si>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</si>
  <si>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</si>
  <si>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</si>
  <si>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</si>
  <si>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</si>
  <si>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</si>
  <si>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</si>
  <si>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</si>
  <si>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</si>
  <si>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</si>
  <si>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</si>
  <si>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</si>
  <si>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</si>
  <si>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</si>
  <si>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</si>
  <si>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</si>
  <si>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</si>
  <si>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</si>
  <si>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</si>
  <si>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</si>
  <si>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</si>
  <si>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</si>
  <si>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</si>
  <si>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</si>
  <si>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</si>
  <si>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</si>
  <si>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</si>
  <si>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</si>
  <si>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</si>
  <si>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</si>
  <si>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</si>
  <si>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</si>
  <si>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</si>
  <si>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</si>
  <si>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</si>
  <si>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</si>
  <si>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</si>
  <si>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</si>
  <si>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</si>
  <si>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</si>
  <si>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</si>
  <si>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</si>
  <si>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</si>
  <si>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</si>
  <si>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</si>
  <si>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</si>
  <si>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</si>
  <si>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</si>
  <si>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</si>
  <si>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</si>
  <si>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</si>
  <si>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</si>
  <si>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</si>
  <si>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</si>
  <si>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</si>
  <si>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</si>
  <si>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</si>
  <si>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</si>
  <si>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</si>
  <si>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</si>
  <si>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</si>
  <si>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</si>
  <si>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</si>
  <si>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</si>
  <si>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</si>
  <si>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</si>
  <si>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</si>
  <si>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</si>
  <si>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</si>
  <si>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</si>
  <si>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</si>
  <si>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</si>
  <si>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</si>
  <si>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</si>
  <si>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</si>
  <si>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</si>
  <si>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</si>
  <si>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</si>
  <si>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</si>
  <si>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</si>
  <si>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</si>
  <si>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</si>
  <si>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</si>
  <si>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</si>
  <si>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</si>
  <si>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</si>
  <si>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</si>
  <si>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</si>
  <si>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</si>
  <si>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</si>
  <si>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</si>
  <si>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</si>
  <si>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</si>
  <si>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</si>
  <si>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</si>
  <si>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</si>
  <si>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</si>
  <si>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</si>
  <si>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</si>
  <si>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</si>
  <si>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</si>
  <si>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</si>
  <si>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</si>
  <si>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</si>
  <si>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</si>
  <si>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</si>
  <si>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</si>
  <si>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</si>
  <si>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</si>
  <si>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</si>
  <si>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</si>
  <si>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</si>
  <si>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</si>
  <si>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</si>
  <si>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</si>
  <si>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</si>
  <si>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</si>
  <si>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</si>
  <si>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</si>
  <si>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</si>
  <si>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</si>
  <si>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</si>
  <si>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</si>
  <si>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</si>
  <si>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</si>
  <si>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</si>
  <si>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</si>
  <si>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</si>
  <si>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</si>
  <si>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</si>
  <si>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</si>
  <si>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</si>
  <si>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</si>
  <si>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</si>
  <si>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</si>
  <si>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</si>
  <si>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</si>
  <si>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</si>
  <si>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</si>
  <si>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</si>
  <si>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</si>
  <si>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</si>
  <si>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</si>
  <si>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</si>
  <si>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</si>
  <si>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</si>
  <si>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</si>
  <si>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</si>
  <si>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</si>
  <si>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</si>
  <si>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</si>
  <si>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</si>
  <si>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</si>
  <si>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</si>
  <si>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</si>
  <si>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</si>
  <si>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</si>
  <si>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</si>
  <si>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</si>
  <si>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</si>
  <si>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</si>
  <si>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</si>
  <si>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</si>
  <si>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</si>
  <si>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</si>
  <si>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</si>
  <si>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</si>
  <si>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</si>
  <si>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</si>
  <si>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</si>
  <si>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</si>
  <si>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</si>
  <si>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</si>
  <si>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</si>
  <si>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</si>
  <si>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</si>
  <si>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</si>
  <si>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</si>
  <si>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</si>
  <si>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</si>
  <si>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</si>
  <si>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</si>
  <si>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</si>
  <si>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</si>
  <si>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</si>
  <si>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</si>
  <si>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</si>
  <si>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</si>
  <si>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</si>
  <si>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</si>
  <si>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</si>
  <si>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</si>
  <si>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</si>
  <si>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</si>
  <si>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</si>
  <si>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</si>
  <si>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</si>
  <si>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</si>
  <si>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</si>
  <si>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</si>
  <si>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</si>
  <si>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</si>
  <si>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</si>
  <si>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</si>
  <si>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</si>
  <si>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</si>
  <si>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</si>
  <si>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</si>
  <si>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</si>
  <si>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</si>
  <si>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</si>
  <si>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</si>
  <si>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</si>
  <si>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</si>
  <si>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</si>
  <si>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</si>
  <si>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</si>
  <si>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</si>
  <si>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</si>
  <si>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</si>
  <si>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</si>
  <si>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</si>
  <si>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</si>
  <si>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</si>
  <si>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</si>
  <si>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</si>
  <si>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</si>
  <si>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</si>
  <si>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</si>
  <si>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</si>
  <si>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</si>
  <si>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</si>
  <si>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</si>
  <si>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</si>
  <si>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</si>
  <si>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</si>
  <si>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</si>
  <si>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</si>
  <si>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</si>
  <si>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</si>
  <si>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</si>
  <si>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</si>
  <si>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</si>
  <si>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</si>
  <si>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</si>
  <si>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</si>
  <si>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</si>
  <si>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</si>
  <si>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</si>
  <si>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</si>
  <si>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</si>
  <si>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</si>
  <si>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</si>
  <si>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</si>
  <si>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</si>
  <si>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</si>
  <si>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</si>
  <si>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</si>
  <si>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</si>
  <si>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</si>
  <si>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</si>
  <si>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</si>
  <si>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</si>
  <si>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</si>
  <si>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</si>
  <si>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</si>
  <si>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</si>
  <si>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</si>
  <si>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</si>
  <si>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</si>
  <si>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</si>
  <si>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</si>
  <si>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</si>
  <si>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</si>
  <si>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</si>
  <si>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</si>
  <si>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</si>
  <si>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</si>
  <si>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</si>
  <si>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</si>
  <si>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</si>
  <si>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</si>
  <si>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</si>
  <si>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</si>
  <si>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</si>
  <si>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</si>
  <si>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</si>
  <si>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</si>
  <si>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</si>
  <si>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</si>
  <si>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</si>
  <si>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</si>
  <si>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</si>
  <si>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</si>
  <si>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</si>
  <si>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</si>
  <si>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</si>
  <si>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</si>
  <si>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</si>
  <si>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</si>
  <si>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</si>
  <si>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</si>
  <si>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</si>
  <si>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</si>
  <si>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</si>
  <si>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</si>
  <si>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</si>
  <si>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</si>
  <si>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</si>
  <si>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</si>
  <si>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</si>
  <si>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</si>
  <si>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</si>
  <si>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</si>
  <si>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</si>
  <si>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</si>
  <si>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</si>
  <si>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</si>
  <si>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</si>
  <si>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</si>
  <si>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</si>
  <si>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</si>
  <si>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</si>
  <si>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</si>
  <si>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</si>
  <si>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</si>
  <si>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</si>
  <si>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</si>
  <si>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</si>
  <si>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</si>
  <si>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</si>
  <si>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</si>
  <si>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</si>
  <si>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</si>
  <si>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</si>
  <si>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</si>
  <si>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</si>
  <si>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</si>
  <si>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</si>
  <si>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</si>
  <si>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</si>
  <si>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</si>
  <si>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</si>
  <si>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</si>
  <si>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</si>
  <si>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</si>
  <si>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</si>
  <si>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</si>
  <si>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</si>
  <si>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</si>
  <si>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</si>
  <si>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</si>
  <si>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</si>
  <si>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</si>
  <si>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</si>
  <si>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</si>
  <si>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</si>
  <si>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</si>
  <si>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</si>
  <si>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</si>
  <si>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</si>
  <si>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</si>
  <si>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</si>
  <si>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</si>
  <si>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</si>
  <si>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</si>
  <si>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</si>
  <si>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</si>
  <si>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</si>
  <si>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</si>
  <si>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</si>
  <si>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</si>
  <si>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</si>
  <si>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</si>
  <si>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</si>
  <si>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</si>
  <si>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</si>
  <si>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</si>
  <si>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</si>
  <si>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</si>
  <si>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</si>
  <si>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</si>
  <si>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</si>
  <si>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</si>
  <si>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</si>
  <si>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</si>
  <si>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</si>
  <si>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</si>
  <si>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</si>
  <si>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</si>
  <si>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</si>
  <si>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</si>
  <si>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</si>
  <si>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</si>
  <si>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</si>
  <si>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</si>
  <si>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</si>
  <si>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</si>
  <si>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</si>
  <si>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</si>
  <si>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</si>
  <si>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</si>
  <si>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</si>
  <si>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</si>
  <si>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</si>
  <si>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</si>
  <si>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</si>
  <si>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</si>
  <si>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</si>
  <si>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</si>
  <si>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</si>
  <si>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</si>
  <si>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</si>
  <si>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</si>
  <si>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</si>
  <si>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</si>
  <si>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</si>
  <si>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</si>
  <si>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</si>
  <si>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</si>
  <si>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</si>
  <si>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</si>
  <si>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</si>
  <si>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</si>
  <si>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</si>
  <si>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</si>
  <si>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</si>
  <si>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</si>
  <si>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</si>
  <si>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</si>
  <si>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</si>
  <si>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</si>
  <si>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</si>
  <si>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</si>
  <si>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</si>
  <si>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</si>
  <si>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</si>
  <si>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</si>
  <si>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</si>
  <si>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</si>
  <si>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</si>
  <si>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</si>
  <si>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</si>
  <si>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</si>
  <si>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</si>
  <si>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</si>
  <si>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</si>
  <si>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</si>
  <si>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</si>
  <si>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</si>
  <si>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</si>
  <si>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</si>
  <si>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</si>
  <si>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</si>
  <si>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</si>
  <si>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</si>
  <si>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</si>
  <si>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</si>
  <si>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</si>
  <si>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</si>
  <si>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</si>
  <si>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</si>
  <si>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</si>
  <si>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</si>
  <si>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</si>
  <si>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</si>
  <si>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</si>
  <si>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</si>
  <si>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</si>
  <si>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</si>
  <si>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</si>
  <si>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</si>
  <si>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</si>
  <si>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</si>
  <si>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</si>
  <si>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</si>
  <si>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</si>
  <si>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</si>
  <si>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</si>
  <si>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</si>
  <si>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</si>
  <si>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</si>
  <si>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</si>
  <si>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</si>
  <si>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</si>
  <si>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</si>
  <si>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</si>
  <si>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</si>
  <si>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</si>
  <si>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</si>
  <si>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</si>
  <si>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</si>
  <si>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</si>
  <si>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</si>
  <si>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</si>
  <si>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</si>
  <si>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</si>
  <si>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</si>
  <si>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</si>
  <si>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</si>
  <si>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</si>
  <si>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</si>
  <si>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</si>
  <si>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</si>
  <si>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</si>
  <si>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</si>
  <si>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</si>
  <si>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</si>
  <si>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</si>
  <si>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</si>
  <si>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</si>
  <si>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</si>
  <si>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</si>
  <si>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</si>
  <si>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</si>
  <si>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</si>
  <si>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</si>
  <si>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</si>
  <si>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</si>
  <si>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</si>
  <si>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</si>
  <si>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</si>
  <si>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</si>
  <si>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</si>
  <si>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</si>
  <si>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</si>
  <si>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</si>
  <si>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</si>
  <si>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</si>
  <si>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</si>
  <si>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</si>
  <si>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</si>
  <si>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</si>
  <si>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</si>
  <si>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</si>
  <si>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</si>
  <si>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</si>
  <si>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</si>
  <si>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</si>
  <si>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</si>
  <si>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</si>
  <si>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</si>
  <si>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</si>
  <si>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</si>
  <si>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</si>
  <si>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</si>
  <si>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</si>
  <si>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</si>
  <si>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</si>
  <si>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</si>
  <si>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</si>
  <si>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</si>
  <si>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</si>
  <si>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</si>
  <si>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</si>
  <si>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</si>
  <si>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</si>
  <si>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</si>
  <si>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</si>
  <si>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</si>
  <si>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</si>
  <si>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</si>
  <si>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</si>
  <si>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</si>
  <si>
    <t>Molapo Crossing Mall</t>
  </si>
  <si>
    <t>Sigenergy</t>
  </si>
  <si>
    <t>9V4P+P5J, Gaborone, Botswana</t>
  </si>
  <si>
    <t>Gaborone</t>
  </si>
  <si>
    <t>Alensys Solar</t>
  </si>
  <si>
    <t>Energy production was limited by load demand</t>
  </si>
  <si>
    <t xml:space="preserve">4 days, 8-10, 26th </t>
  </si>
  <si>
    <t xml:space="preserve">Grid over frequency </t>
  </si>
  <si>
    <t>The inverter went to safe mode</t>
  </si>
  <si>
    <t xml:space="preserve">Energy production was limited by load demand and downtimes </t>
  </si>
  <si>
    <t>Battery cell imbalance</t>
  </si>
  <si>
    <t xml:space="preserve">4 days, 1-4th </t>
  </si>
  <si>
    <t>The system is switched off as per client request</t>
  </si>
  <si>
    <t>2 days, 14-15th</t>
  </si>
  <si>
    <t>Energy production was limited by reduced load demand and unavailability du to power outage</t>
  </si>
  <si>
    <t>Business has shut down</t>
  </si>
  <si>
    <t xml:space="preserve">19 days, 1-19th </t>
  </si>
  <si>
    <t xml:space="preserve">11 days </t>
  </si>
  <si>
    <t>Energy production was limited by unavailability due to power outage due to transformer repairs</t>
  </si>
  <si>
    <t>2 days, 11-12th</t>
  </si>
  <si>
    <t xml:space="preserve">transfomer repairs </t>
  </si>
  <si>
    <t xml:space="preserve">Energy production was limited by reduced load demand and grid unavailability </t>
  </si>
  <si>
    <t>Grid unavailable</t>
  </si>
  <si>
    <t>Power Limit</t>
  </si>
  <si>
    <t>Zero Export</t>
  </si>
  <si>
    <t xml:space="preserve">Exporting </t>
  </si>
  <si>
    <t>Comms issue</t>
  </si>
  <si>
    <t>Atess</t>
  </si>
  <si>
    <t>ATESS PCS250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</si>
</sst>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0%"/>
    <numFmt numFmtId="165" formatCode="_(\R* #,##0.00_);_(\R* \(#,##0.00\);_(\R* \-??_);_(@_)"/>
    <numFmt numFmtId="166" formatCode="dd/mm/yyyy"/>
    <numFmt numFmtId="167" formatCode="0.0"/>
    <numFmt numFmtId="168" formatCode="_(* #,##0_);_(* \(#,##0\);_(* &quot;-&quot;??_);_(@_)"/>
    <numFmt numFmtId="169" formatCode="_-* #,##0_-;\-* #,##0_-;_-* &quot;-&quot;??_-;_-@_-"/>
  </numFmts>
  <fonts count="10"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
      <sz val="9"/>
      <color indexed="81"/>
      <name val="Tahoma"/>
      <family val="2"/>
    </font>
    <font>
      <b/>
      <sz val="9"/>
      <color indexed="81"/>
      <name val="Tahoma"/>
      <family val="2"/>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7">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xf numFmtId="0" fontId="0" fillId="5" borderId="0" xfId="0" applyFill="1" applyAlignment="1">
      <alignment vertical="top" wrapText="1"/>
    </xf>
    <xf numFmtId="0" fontId="0" fillId="0" borderId="2" xfId="0" applyBorder="1"/>
    <xf numFmtId="169" fontId="0" fillId="0" borderId="0" xfId="2" applyNumberFormat="1" applyFont="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Z83" totalsRowShown="0">
  <autoFilter ref="A1:Z83" xr:uid="{00000000-000C-0000-FFFF-FFFF00000000}"/>
  <sortState xmlns:xlrd2="http://schemas.microsoft.com/office/spreadsheetml/2017/richdata2" ref="A2:Y82">
    <sortCondition ref="A1:A82"/>
  </sortState>
  <tableColumns count="26">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 id="26" xr3:uid="{608B2AA4-3FB3-4D63-9397-AB21B6AA17EF}" name="Power Limit"/>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Production'!$B$2:$B$79,MATCH(TRIM($A2),INDEX(TRIM('Expected Production'!$A$2:$A$79),0),0)),"Not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Production'!$B$2:$M$79,MATCH(TRIM($A2),INDEX(TRIM('Simulated Production'!$A$2:$A$79),0),0),0)),"Not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16" totalsRowShown="0">
  <autoFilter ref="A1:C2716" xr:uid="{00000000-0009-0000-0100-000006000000}">
    <filterColumn colId="1">
      <filters>
        <dateGroupItem year="2026" month="6"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780" totalsRowShown="0">
  <autoFilter ref="A1:C2780" xr:uid="{00000000-0009-0000-0100-000005000000}">
    <filterColumn colId="1">
      <filters>
        <dateGroupItem year="2026" month="8"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filterColumn colId="1">
      <filters>
        <dateGroupItem year="2026" month="8" dateTimeGrouping="month"/>
      </filters>
    </filterColumn>
  </autoFilter>
  <sortState xmlns:xlrd2="http://schemas.microsoft.com/office/spreadsheetml/2017/richdata2" ref="A2: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6"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28"/>
  <sheetViews>
    <sheetView zoomScale="98" zoomScaleNormal="98" workbookViewId="0">
      <pane xSplit="1" ySplit="1" topLeftCell="B43" activePane="bottomRight" state="frozen"/>
      <selection pane="topRight" activeCell="B1" sqref="B1"/>
      <selection pane="bottomLeft" activeCell="A2" sqref="A2"/>
      <selection pane="bottomRight" activeCell="B54" sqref="B54"/>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 min="26" max="26" width="12.88671875" bestFit="1" customWidth="1"/>
  </cols>
  <sheetData>
    <row r="1" spans="1:26"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c r="Z1" t="s">
        <v>1091</v>
      </c>
    </row>
    <row r="2" spans="1:26"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3.6112251882272415</v>
      </c>
      <c r="X2" t="s">
        <v>1000</v>
      </c>
      <c r="Y2" t="s">
        <v>1000</v>
      </c>
      <c r="Z2" t="s">
        <v>1092</v>
      </c>
    </row>
    <row r="3" spans="1:26"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2.9733059548254621</v>
      </c>
      <c r="X3" t="s">
        <v>1009</v>
      </c>
      <c r="Y3" t="s">
        <v>1000</v>
      </c>
      <c r="Z3" t="s">
        <v>1092</v>
      </c>
    </row>
    <row r="4" spans="1:26"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1.7084188911704312</v>
      </c>
      <c r="X4" t="s">
        <v>1000</v>
      </c>
      <c r="Y4" t="s">
        <v>1000</v>
      </c>
      <c r="Z4" t="s">
        <v>1092</v>
      </c>
    </row>
    <row r="5" spans="1:26"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0.38877481177275841</v>
      </c>
      <c r="X5" t="s">
        <v>1000</v>
      </c>
      <c r="Y5" t="s">
        <v>1000</v>
      </c>
      <c r="Z5" t="s">
        <v>1092</v>
      </c>
    </row>
    <row r="6" spans="1:26"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3.761806981519507</v>
      </c>
      <c r="X6" t="s">
        <v>1000</v>
      </c>
      <c r="Y6" t="s">
        <v>1008</v>
      </c>
      <c r="Z6" t="s">
        <v>1092</v>
      </c>
    </row>
    <row r="7" spans="1:26"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2.7652292950034223</v>
      </c>
      <c r="X7" t="s">
        <v>1000</v>
      </c>
      <c r="Y7" t="s">
        <v>1008</v>
      </c>
      <c r="Z7" t="s">
        <v>1092</v>
      </c>
    </row>
    <row r="8" spans="1:26"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2.7652292950034223</v>
      </c>
      <c r="X8" t="s">
        <v>1000</v>
      </c>
      <c r="Y8" t="s">
        <v>1000</v>
      </c>
      <c r="Z8" t="s">
        <v>1092</v>
      </c>
    </row>
    <row r="9" spans="1:26"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1.839835728952772</v>
      </c>
      <c r="X9" t="s">
        <v>1000</v>
      </c>
      <c r="Y9" t="s">
        <v>1008</v>
      </c>
      <c r="Z9" t="s">
        <v>1092</v>
      </c>
    </row>
    <row r="10" spans="1:26" ht="14.25" customHeight="1" x14ac:dyDescent="0.3">
      <c r="A10" s="1" t="s">
        <v>66</v>
      </c>
      <c r="B10" s="1">
        <v>15000</v>
      </c>
      <c r="C10" s="1" t="s">
        <v>36</v>
      </c>
      <c r="D10" s="13">
        <v>57200</v>
      </c>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3.0088980150581794</v>
      </c>
      <c r="X10" t="s">
        <v>1000</v>
      </c>
      <c r="Y10" t="s">
        <v>1008</v>
      </c>
      <c r="Z10" t="s">
        <v>1092</v>
      </c>
    </row>
    <row r="11" spans="1:26"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2.2806297056810405</v>
      </c>
      <c r="X11" t="s">
        <v>1000</v>
      </c>
      <c r="Y11" t="s">
        <v>1000</v>
      </c>
      <c r="Z11" t="s">
        <v>1092</v>
      </c>
    </row>
    <row r="12" spans="1:26"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0.41889117043121149</v>
      </c>
      <c r="X12" t="s">
        <v>1008</v>
      </c>
      <c r="Y12" t="s">
        <v>1000</v>
      </c>
      <c r="Z12" t="s">
        <v>1092</v>
      </c>
    </row>
    <row r="13" spans="1:26"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c r="Z13" t="s">
        <v>1092</v>
      </c>
    </row>
    <row r="14" spans="1:26"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c r="Z14" t="s">
        <v>1092</v>
      </c>
    </row>
    <row r="15" spans="1:26"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2.2203969883641341</v>
      </c>
      <c r="X15" t="s">
        <v>1000</v>
      </c>
      <c r="Y15" t="s">
        <v>1000</v>
      </c>
      <c r="Z15" t="s">
        <v>1092</v>
      </c>
    </row>
    <row r="16" spans="1:26"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4.4271047227926079</v>
      </c>
      <c r="X16" t="s">
        <v>1000</v>
      </c>
      <c r="Y16" t="s">
        <v>1000</v>
      </c>
      <c r="Z16" t="s">
        <v>1092</v>
      </c>
    </row>
    <row r="17" spans="1:26"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4.4873374401095143</v>
      </c>
      <c r="X17" t="s">
        <v>1000</v>
      </c>
      <c r="Y17" t="s">
        <v>1000</v>
      </c>
      <c r="Z17" t="s">
        <v>1093</v>
      </c>
    </row>
    <row r="18" spans="1:26" ht="14.25" customHeight="1" x14ac:dyDescent="0.3">
      <c r="A18" s="1" t="s">
        <v>93</v>
      </c>
      <c r="B18" s="1">
        <v>65000</v>
      </c>
      <c r="C18" s="1">
        <v>110</v>
      </c>
      <c r="D18" s="1">
        <v>171600</v>
      </c>
      <c r="E18" s="1" t="s">
        <v>1095</v>
      </c>
      <c r="F18" s="1" t="s">
        <v>1096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2.1163586584531142</v>
      </c>
      <c r="X18" t="s">
        <v>1000</v>
      </c>
      <c r="Y18" t="s">
        <v>1000</v>
      </c>
      <c r="Z18" t="s">
        <v>1092</v>
      </c>
    </row>
    <row r="19" spans="1:26"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2.2505133470225873</v>
      </c>
      <c r="X19" t="s">
        <v>1000</v>
      </c>
      <c r="Y19" t="s">
        <v>1000</v>
      </c>
      <c r="Z19" t="s">
        <v>1092</v>
      </c>
    </row>
    <row r="20" spans="1:26"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0.32854209445585214</v>
      </c>
      <c r="X20" t="s">
        <v>1001</v>
      </c>
      <c r="Y20" t="s">
        <v>1000</v>
      </c>
      <c r="Z20" t="s">
        <v>1092</v>
      </c>
    </row>
    <row r="21" spans="1:26"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0.90622861054072557</v>
      </c>
      <c r="X21" t="s">
        <v>1000</v>
      </c>
      <c r="Y21" t="s">
        <v>1000</v>
      </c>
      <c r="Z21" t="s">
        <v>1092</v>
      </c>
    </row>
    <row r="22" spans="1:26" ht="14.25" customHeight="1" x14ac:dyDescent="0.3">
      <c r="A22" s="1" t="s">
        <v>98</v>
      </c>
      <c r="B22" s="1">
        <v>123360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4.9363449691991788</v>
      </c>
      <c r="X22" t="s">
        <v>1000</v>
      </c>
      <c r="Y22" t="s">
        <v>1000</v>
      </c>
      <c r="Z22" t="s">
        <v>1092</v>
      </c>
    </row>
    <row r="23" spans="1:26"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4.9363449691991788</v>
      </c>
      <c r="X23" t="s">
        <v>1000</v>
      </c>
      <c r="Y23" t="s">
        <v>1000</v>
      </c>
      <c r="Z23" t="s">
        <v>1092</v>
      </c>
    </row>
    <row r="24" spans="1:26"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3.3100616016427105</v>
      </c>
      <c r="X24" t="s">
        <v>1000</v>
      </c>
      <c r="Y24" t="s">
        <v>1000</v>
      </c>
      <c r="Z24" t="s">
        <v>1092</v>
      </c>
    </row>
    <row r="25" spans="1:26"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3.3127994524298425</v>
      </c>
      <c r="X25" t="s">
        <v>1000</v>
      </c>
      <c r="Y25" t="s">
        <v>1000</v>
      </c>
      <c r="Z25" t="s">
        <v>1092</v>
      </c>
    </row>
    <row r="26" spans="1:26"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0.53661875427789185</v>
      </c>
      <c r="X26" t="s">
        <v>1000</v>
      </c>
      <c r="Y26" t="s">
        <v>1000</v>
      </c>
      <c r="Z26" t="s">
        <v>1092</v>
      </c>
    </row>
    <row r="27" spans="1:26"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2.3956194387405887</v>
      </c>
      <c r="X27" t="s">
        <v>1000</v>
      </c>
      <c r="Y27" t="s">
        <v>1000</v>
      </c>
      <c r="Z27" t="s">
        <v>1092</v>
      </c>
    </row>
    <row r="28" spans="1:26"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7.0691307323750854</v>
      </c>
      <c r="X28" t="s">
        <v>1000</v>
      </c>
      <c r="Y28" t="s">
        <v>1000</v>
      </c>
      <c r="Z28" t="s">
        <v>1092</v>
      </c>
    </row>
    <row r="29" spans="1:26"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3.3566050650239561</v>
      </c>
      <c r="X29" t="s">
        <v>1000</v>
      </c>
      <c r="Y29" t="s">
        <v>1000</v>
      </c>
      <c r="Z29" t="s">
        <v>1092</v>
      </c>
    </row>
    <row r="30" spans="1:26"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2.2422997946611911</v>
      </c>
      <c r="X30" t="s">
        <v>1000</v>
      </c>
      <c r="Y30" t="s">
        <v>1000</v>
      </c>
      <c r="Z30" t="s">
        <v>1092</v>
      </c>
    </row>
    <row r="31" spans="1:26"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0.95277207392197127</v>
      </c>
      <c r="X31" t="s">
        <v>1000</v>
      </c>
      <c r="Y31" t="s">
        <v>1000</v>
      </c>
      <c r="Z31" t="s">
        <v>1092</v>
      </c>
    </row>
    <row r="32" spans="1:26"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0.95277207392197127</v>
      </c>
      <c r="X32" t="s">
        <v>1000</v>
      </c>
      <c r="Y32" t="s">
        <v>1000</v>
      </c>
      <c r="Z32" t="s">
        <v>1092</v>
      </c>
    </row>
    <row r="33" spans="1:26"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c r="Z33" t="s">
        <v>1092</v>
      </c>
    </row>
    <row r="34" spans="1:26" ht="14.25" customHeight="1" x14ac:dyDescent="0.3">
      <c r="A34" t="s">
        <v>236</v>
      </c>
      <c r="B34">
        <v>120000</v>
      </c>
      <c r="C34" t="s">
        <v>22</v>
      </c>
      <c r="D34">
        <v>171600</v>
      </c>
      <c r="E34" s="1" t="s">
        <v>36</v>
      </c>
      <c r="F34" s="1">
        <v>250</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3.3730321697467489</v>
      </c>
      <c r="X34" t="s">
        <v>1000</v>
      </c>
      <c r="Y34" t="s">
        <v>1000</v>
      </c>
      <c r="Z34" t="s">
        <v>1092</v>
      </c>
    </row>
    <row r="35" spans="1:26"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3.8412046543463383</v>
      </c>
      <c r="X35" t="s">
        <v>1001</v>
      </c>
      <c r="Y35" t="s">
        <v>1000</v>
      </c>
      <c r="Z35" t="s">
        <v>1092</v>
      </c>
    </row>
    <row r="36" spans="1:26"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4.3531827515400412</v>
      </c>
      <c r="X36" t="s">
        <v>1000</v>
      </c>
      <c r="Y36" t="s">
        <v>1000</v>
      </c>
      <c r="Z36" t="s">
        <v>1092</v>
      </c>
    </row>
    <row r="37" spans="1:26" ht="14.25" customHeight="1" x14ac:dyDescent="0.3">
      <c r="A37" s="1" t="s">
        <v>127</v>
      </c>
      <c r="B37" s="1">
        <v>114000</v>
      </c>
      <c r="C37" s="1" t="s">
        <v>22</v>
      </c>
      <c r="D37" s="1">
        <f>228800*2</f>
        <v>457600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2.4175222450376452</v>
      </c>
      <c r="X37" t="s">
        <v>1000</v>
      </c>
      <c r="Y37" t="s">
        <v>1000</v>
      </c>
      <c r="Z37" t="s">
        <v>1092</v>
      </c>
    </row>
    <row r="38" spans="1:26"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1.5578370978781657</v>
      </c>
      <c r="X38" t="s">
        <v>1000</v>
      </c>
      <c r="Y38" t="s">
        <v>1000</v>
      </c>
      <c r="Z38" t="s">
        <v>1092</v>
      </c>
    </row>
    <row r="39" spans="1:26"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2.8309377138945928</v>
      </c>
      <c r="X39" t="s">
        <v>1000</v>
      </c>
      <c r="Y39" t="s">
        <v>1000</v>
      </c>
      <c r="Z39" t="s">
        <v>1092</v>
      </c>
    </row>
    <row r="40" spans="1:26"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2.5489390828199863</v>
      </c>
      <c r="X40" t="s">
        <v>1000</v>
      </c>
      <c r="Y40" t="s">
        <v>1000</v>
      </c>
      <c r="Z40" t="s">
        <v>1092</v>
      </c>
    </row>
    <row r="41" spans="1:26"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3.0116358658453115</v>
      </c>
      <c r="X41" t="s">
        <v>1000</v>
      </c>
      <c r="Y41" t="s">
        <v>1000</v>
      </c>
      <c r="Z41" t="s">
        <v>1092</v>
      </c>
    </row>
    <row r="42" spans="1:26"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0.98015058179329229</v>
      </c>
      <c r="X42" t="s">
        <v>1001</v>
      </c>
      <c r="Y42" t="s">
        <v>1000</v>
      </c>
      <c r="Z42" t="s">
        <v>1092</v>
      </c>
    </row>
    <row r="43" spans="1:26"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0.98015058179329229</v>
      </c>
      <c r="X43" t="s">
        <v>1001</v>
      </c>
      <c r="Y43" t="s">
        <v>1000</v>
      </c>
      <c r="Z43" t="s">
        <v>1092</v>
      </c>
    </row>
    <row r="44" spans="1:26"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3.0335386721423681</v>
      </c>
      <c r="X44" t="s">
        <v>1000</v>
      </c>
      <c r="Y44" t="s">
        <v>1000</v>
      </c>
      <c r="Z44" t="s">
        <v>1092</v>
      </c>
    </row>
    <row r="45" spans="1:26"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3.2334017796030117</v>
      </c>
      <c r="X45" s="21" t="s">
        <v>1000</v>
      </c>
      <c r="Y45" t="s">
        <v>1000</v>
      </c>
      <c r="Z45" t="s">
        <v>1092</v>
      </c>
    </row>
    <row r="46" spans="1:26"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4.3641341546885695</v>
      </c>
      <c r="X46" t="s">
        <v>1000</v>
      </c>
      <c r="Y46" t="s">
        <v>1000</v>
      </c>
      <c r="Z46" t="s">
        <v>1092</v>
      </c>
    </row>
    <row r="47" spans="1:26"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v>44161</v>
      </c>
      <c r="T47" s="1" t="s">
        <v>42</v>
      </c>
      <c r="U47" s="1" t="s">
        <v>22</v>
      </c>
      <c r="V47" t="s">
        <v>874</v>
      </c>
      <c r="W47" s="20">
        <f t="shared" ca="1" si="1"/>
        <v>5.806981519507187</v>
      </c>
      <c r="X47" t="s">
        <v>1000</v>
      </c>
      <c r="Y47" t="s">
        <v>1000</v>
      </c>
      <c r="Z47" t="s">
        <v>1092</v>
      </c>
    </row>
    <row r="48" spans="1:26"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3.2580424366872007</v>
      </c>
      <c r="X48" t="s">
        <v>1000</v>
      </c>
      <c r="Y48" t="s">
        <v>1000</v>
      </c>
      <c r="Z48" t="s">
        <v>1092</v>
      </c>
    </row>
    <row r="49" spans="1:26"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4.4325804243668721</v>
      </c>
      <c r="X49" t="s">
        <v>1000</v>
      </c>
      <c r="Y49" t="s">
        <v>1000</v>
      </c>
      <c r="Z49" t="s">
        <v>1092</v>
      </c>
    </row>
    <row r="50" spans="1:26"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3.3511293634496919</v>
      </c>
      <c r="X50" t="s">
        <v>1000</v>
      </c>
      <c r="Y50" t="s">
        <v>1000</v>
      </c>
      <c r="Z50" t="s">
        <v>1092</v>
      </c>
    </row>
    <row r="51" spans="1:26" ht="14.25" customHeight="1" x14ac:dyDescent="0.3">
      <c r="A51" t="s">
        <v>244</v>
      </c>
      <c r="B51">
        <v>127440</v>
      </c>
      <c r="C51">
        <v>100</v>
      </c>
      <c r="D51">
        <v>246000</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0.45995893223819301</v>
      </c>
      <c r="X51" t="s">
        <v>1008</v>
      </c>
      <c r="Y51" t="s">
        <v>1000</v>
      </c>
      <c r="Z51" t="s">
        <v>1092</v>
      </c>
    </row>
    <row r="52" spans="1:26"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c r="Z52" t="s">
        <v>1092</v>
      </c>
    </row>
    <row r="53" spans="1:26"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v>45110</v>
      </c>
      <c r="T53" s="1" t="s">
        <v>42</v>
      </c>
      <c r="U53" s="1" t="s">
        <v>101</v>
      </c>
      <c r="V53" t="s">
        <v>874</v>
      </c>
      <c r="W53" s="20">
        <f t="shared" ca="1" si="1"/>
        <v>3.2087611225188226</v>
      </c>
      <c r="X53" t="s">
        <v>1000</v>
      </c>
      <c r="Y53" t="s">
        <v>1000</v>
      </c>
      <c r="Z53" t="s">
        <v>1092</v>
      </c>
    </row>
    <row r="54" spans="1:26"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v>45111</v>
      </c>
      <c r="T54" s="1" t="s">
        <v>42</v>
      </c>
      <c r="U54" s="1" t="s">
        <v>101</v>
      </c>
      <c r="V54" t="s">
        <v>874</v>
      </c>
      <c r="W54" s="20">
        <f t="shared" ca="1" si="1"/>
        <v>3.2060232717316905</v>
      </c>
      <c r="X54" t="s">
        <v>1000</v>
      </c>
      <c r="Y54" t="s">
        <v>1000</v>
      </c>
      <c r="Z54" t="s">
        <v>1092</v>
      </c>
    </row>
    <row r="55" spans="1:26"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v>45111</v>
      </c>
      <c r="T55" s="1" t="s">
        <v>42</v>
      </c>
      <c r="U55" s="1" t="s">
        <v>22</v>
      </c>
      <c r="V55" t="s">
        <v>874</v>
      </c>
      <c r="W55" s="20">
        <f t="shared" ca="1" si="1"/>
        <v>3.2060232717316905</v>
      </c>
      <c r="X55" t="s">
        <v>1000</v>
      </c>
      <c r="Y55" t="s">
        <v>1000</v>
      </c>
      <c r="Z55" t="s">
        <v>1092</v>
      </c>
    </row>
    <row r="56" spans="1:26"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v>44159</v>
      </c>
      <c r="T56" s="1" t="s">
        <v>42</v>
      </c>
      <c r="U56" s="1" t="s">
        <v>22</v>
      </c>
      <c r="V56" t="s">
        <v>874</v>
      </c>
      <c r="W56" s="20">
        <f t="shared" ca="1" si="1"/>
        <v>5.8124572210814511</v>
      </c>
      <c r="X56" t="s">
        <v>1000</v>
      </c>
      <c r="Y56" t="s">
        <v>1000</v>
      </c>
      <c r="Z56" t="s">
        <v>1092</v>
      </c>
    </row>
    <row r="57" spans="1:26"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v>44770</v>
      </c>
      <c r="T57" s="1" t="s">
        <v>42</v>
      </c>
      <c r="U57" s="1" t="s">
        <v>84</v>
      </c>
      <c r="V57" t="s">
        <v>874</v>
      </c>
      <c r="W57" s="20">
        <f t="shared" ca="1" si="1"/>
        <v>4.1396303901437372</v>
      </c>
      <c r="X57" t="s">
        <v>1000</v>
      </c>
      <c r="Y57" t="s">
        <v>1000</v>
      </c>
      <c r="Z57" t="s">
        <v>1092</v>
      </c>
    </row>
    <row r="58" spans="1:26"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v>44770</v>
      </c>
      <c r="T58" s="1" t="s">
        <v>42</v>
      </c>
      <c r="U58" s="1" t="s">
        <v>84</v>
      </c>
      <c r="V58" t="s">
        <v>874</v>
      </c>
      <c r="W58" s="20">
        <f t="shared" ca="1" si="1"/>
        <v>4.1396303901437372</v>
      </c>
      <c r="X58" t="s">
        <v>1000</v>
      </c>
      <c r="Y58" t="s">
        <v>1000</v>
      </c>
      <c r="Z58" t="s">
        <v>1092</v>
      </c>
    </row>
    <row r="59" spans="1:26"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v>45666</v>
      </c>
      <c r="T59" s="1" t="s">
        <v>42</v>
      </c>
      <c r="U59" s="1" t="s">
        <v>54</v>
      </c>
      <c r="V59" t="s">
        <v>874</v>
      </c>
      <c r="W59" s="20">
        <f t="shared" ca="1" si="1"/>
        <v>1.6865160848733745</v>
      </c>
      <c r="X59" t="s">
        <v>1000</v>
      </c>
      <c r="Y59" t="s">
        <v>1000</v>
      </c>
      <c r="Z59" t="s">
        <v>1092</v>
      </c>
    </row>
    <row r="60" spans="1:26"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0.58590006844626963</v>
      </c>
      <c r="X60" t="s">
        <v>1008</v>
      </c>
      <c r="Y60" t="s">
        <v>1000</v>
      </c>
      <c r="Z60" t="s">
        <v>1092</v>
      </c>
    </row>
    <row r="61" spans="1:26"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1.8945927446954141</v>
      </c>
      <c r="X61" t="s">
        <v>1000</v>
      </c>
      <c r="Y61" t="s">
        <v>1001</v>
      </c>
      <c r="Z61" t="s">
        <v>1092</v>
      </c>
    </row>
    <row r="62" spans="1:26"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1.9822039698836413</v>
      </c>
      <c r="X62" t="s">
        <v>1000</v>
      </c>
      <c r="Y62" t="s">
        <v>1000</v>
      </c>
      <c r="Z62" t="s">
        <v>1092</v>
      </c>
    </row>
    <row r="63" spans="1:26"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8.4873374401095145E-2</v>
      </c>
      <c r="X63" t="s">
        <v>1008</v>
      </c>
      <c r="Y63" t="s">
        <v>1000</v>
      </c>
      <c r="Z63" t="s">
        <v>1092</v>
      </c>
    </row>
    <row r="64" spans="1:26"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2.0561259411362083</v>
      </c>
      <c r="X64" t="s">
        <v>1000</v>
      </c>
      <c r="Y64" t="s">
        <v>1000</v>
      </c>
      <c r="Z64" t="s">
        <v>1092</v>
      </c>
    </row>
    <row r="65" spans="1:26"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2.0314852840520192</v>
      </c>
      <c r="X65" t="s">
        <v>1001</v>
      </c>
      <c r="Y65" t="s">
        <v>1000</v>
      </c>
      <c r="Z65" t="s">
        <v>1092</v>
      </c>
    </row>
    <row r="66" spans="1:26"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0.79397672826830934</v>
      </c>
      <c r="X66" t="s">
        <v>1000</v>
      </c>
      <c r="Y66" t="s">
        <v>1000</v>
      </c>
      <c r="Z66" t="s">
        <v>1092</v>
      </c>
    </row>
    <row r="67" spans="1:26"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0.16974674880219029</v>
      </c>
      <c r="X67" t="s">
        <v>1008</v>
      </c>
      <c r="Y67" t="s">
        <v>1000</v>
      </c>
      <c r="Z67" t="s">
        <v>1092</v>
      </c>
    </row>
    <row r="68" spans="1:26"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1.462012320328542</v>
      </c>
      <c r="X68" t="s">
        <v>1001</v>
      </c>
      <c r="Y68" t="s">
        <v>1000</v>
      </c>
      <c r="Z68" t="s">
        <v>1092</v>
      </c>
    </row>
    <row r="69" spans="1:26"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v>44532</v>
      </c>
      <c r="T69" s="1" t="s">
        <v>42</v>
      </c>
      <c r="U69" s="1" t="s">
        <v>103</v>
      </c>
      <c r="V69" t="s">
        <v>874</v>
      </c>
      <c r="W69" s="20">
        <f t="shared" ca="1" si="2"/>
        <v>4.7912388774811774</v>
      </c>
      <c r="X69" t="s">
        <v>1000</v>
      </c>
      <c r="Y69" t="s">
        <v>1000</v>
      </c>
      <c r="Z69" t="s">
        <v>1092</v>
      </c>
    </row>
    <row r="70" spans="1:26"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1.0759753593429158</v>
      </c>
      <c r="X70" t="s">
        <v>1001</v>
      </c>
      <c r="Y70" t="s">
        <v>1000</v>
      </c>
      <c r="Z70" t="s">
        <v>1092</v>
      </c>
    </row>
    <row r="71" spans="1:26"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1.0759753593429158</v>
      </c>
      <c r="X71" t="s">
        <v>1001</v>
      </c>
      <c r="Y71" t="s">
        <v>1000</v>
      </c>
      <c r="Z71" t="s">
        <v>1092</v>
      </c>
    </row>
    <row r="72" spans="1:26"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1.0759753593429158</v>
      </c>
      <c r="X72" t="s">
        <v>1001</v>
      </c>
      <c r="Y72" t="s">
        <v>1000</v>
      </c>
      <c r="Z72" t="s">
        <v>1092</v>
      </c>
    </row>
    <row r="73" spans="1:26"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2.8336755646817249</v>
      </c>
      <c r="X73" t="s">
        <v>1000</v>
      </c>
      <c r="Y73" t="s">
        <v>1000</v>
      </c>
      <c r="Z73" t="s">
        <v>1092</v>
      </c>
    </row>
    <row r="74" spans="1:26"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3.3237508555783708</v>
      </c>
      <c r="X74" t="s">
        <v>1000</v>
      </c>
      <c r="Y74" t="s">
        <v>1000</v>
      </c>
      <c r="Z74" t="s">
        <v>1092</v>
      </c>
    </row>
    <row r="75" spans="1:26"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v>44617</v>
      </c>
      <c r="T75" s="1" t="s">
        <v>42</v>
      </c>
      <c r="U75" s="1" t="s">
        <v>84</v>
      </c>
      <c r="V75" t="s">
        <v>874</v>
      </c>
      <c r="W75" s="20">
        <f t="shared" ca="1" si="2"/>
        <v>4.5585215605749489</v>
      </c>
      <c r="X75" t="s">
        <v>1000</v>
      </c>
      <c r="Y75" t="s">
        <v>1000</v>
      </c>
      <c r="Z75" t="s">
        <v>1093</v>
      </c>
    </row>
    <row r="76" spans="1:26"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v>44351</v>
      </c>
      <c r="T76" s="1" t="s">
        <v>42</v>
      </c>
      <c r="U76" s="1" t="s">
        <v>22</v>
      </c>
      <c r="V76" t="s">
        <v>874</v>
      </c>
      <c r="W76" s="20">
        <f t="shared" ca="1" si="2"/>
        <v>5.2867898699520879</v>
      </c>
      <c r="X76" t="s">
        <v>1000</v>
      </c>
      <c r="Y76" t="s">
        <v>1000</v>
      </c>
      <c r="Z76" t="s">
        <v>1092</v>
      </c>
    </row>
    <row r="77" spans="1:26"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v>44504</v>
      </c>
      <c r="T77" s="1" t="s">
        <v>42</v>
      </c>
      <c r="U77" s="1" t="s">
        <v>22</v>
      </c>
      <c r="V77" t="s">
        <v>874</v>
      </c>
      <c r="W77" s="20">
        <f t="shared" ca="1" si="2"/>
        <v>4.8678986995208762</v>
      </c>
      <c r="X77" t="s">
        <v>1000</v>
      </c>
      <c r="Y77" t="s">
        <v>1000</v>
      </c>
      <c r="Z77" t="s">
        <v>1092</v>
      </c>
    </row>
    <row r="78" spans="1:26"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v>45861</v>
      </c>
      <c r="T78" s="1" t="s">
        <v>42</v>
      </c>
      <c r="U78" s="1" t="s">
        <v>210</v>
      </c>
      <c r="V78" t="s">
        <v>874</v>
      </c>
      <c r="W78" s="20">
        <f t="shared" ca="1" si="2"/>
        <v>1.1526351813826146</v>
      </c>
      <c r="X78" t="s">
        <v>1000</v>
      </c>
      <c r="Y78" t="s">
        <v>1000</v>
      </c>
      <c r="Z78" t="s">
        <v>1092</v>
      </c>
    </row>
    <row r="79" spans="1:26"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0.2655715263518138</v>
      </c>
      <c r="X79" t="s">
        <v>1008</v>
      </c>
      <c r="Y79" t="s">
        <v>1000</v>
      </c>
      <c r="Z79" t="s">
        <v>1092</v>
      </c>
    </row>
    <row r="80" spans="1:26"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c r="Z80" t="s">
        <v>1092</v>
      </c>
    </row>
    <row r="81" spans="1:26"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3.3483915126625599</v>
      </c>
      <c r="X81" t="s">
        <v>1000</v>
      </c>
      <c r="Y81" t="s">
        <v>1000</v>
      </c>
      <c r="Z81" t="s">
        <v>1092</v>
      </c>
    </row>
    <row r="82" spans="1:26" ht="14.25" customHeight="1" x14ac:dyDescent="0.3">
      <c r="A82" s="1" t="s">
        <v>206</v>
      </c>
      <c r="B82" s="1">
        <v>27000</v>
      </c>
      <c r="C82" s="1">
        <f>1*33</f>
        <v>33</v>
      </c>
      <c r="D82" s="1">
        <v>0</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2.9952087611225187</v>
      </c>
      <c r="X82" t="s">
        <v>1000</v>
      </c>
      <c r="Y82" t="s">
        <v>1000</v>
      </c>
      <c r="Z82" t="s">
        <v>1092</v>
      </c>
    </row>
    <row r="83" spans="1:26" ht="14.25" customHeight="1" x14ac:dyDescent="0.3">
      <c r="A83" t="s">
        <v>1068</v>
      </c>
      <c r="B83">
        <v>1113000</v>
      </c>
      <c r="C83">
        <v>785</v>
      </c>
      <c r="D83">
        <v>480000</v>
      </c>
      <c r="E83" t="s">
        <v>1069</v>
      </c>
      <c r="F83" t="s">
        <v>1069</v>
      </c>
      <c r="G83" t="s">
        <v>36</v>
      </c>
      <c r="H83" t="s">
        <v>36</v>
      </c>
      <c r="I83" t="s">
        <v>803</v>
      </c>
      <c r="J83" t="s">
        <v>1071</v>
      </c>
      <c r="K83" t="s">
        <v>1070</v>
      </c>
      <c r="L83" t="s">
        <v>22</v>
      </c>
      <c r="M83" t="s">
        <v>26</v>
      </c>
      <c r="N83" s="1" t="s">
        <v>27</v>
      </c>
      <c r="Q83" s="1" t="s">
        <v>29</v>
      </c>
      <c r="R83" t="s">
        <v>22</v>
      </c>
      <c r="T83" t="s">
        <v>1072</v>
      </c>
      <c r="W83" t="str">
        <f ca="1">IF(ISNUMBER(S83),(TODAY()-S83)/365.25,"")</f>
        <v/>
      </c>
      <c r="X83" t="s">
        <v>1008</v>
      </c>
      <c r="Y83" t="s">
        <v>1008</v>
      </c>
      <c r="Z83" t="s">
        <v>1092</v>
      </c>
    </row>
    <row r="84" spans="1:26" ht="14.25" customHeight="1" x14ac:dyDescent="0.3"/>
    <row r="85" spans="1:26" ht="14.25" customHeight="1" x14ac:dyDescent="0.3"/>
    <row r="86" spans="1:26" ht="14.25" customHeight="1" x14ac:dyDescent="0.3"/>
    <row r="87" spans="1:26" ht="14.25" customHeight="1" x14ac:dyDescent="0.3"/>
    <row r="88" spans="1:26" ht="14.25" customHeight="1" x14ac:dyDescent="0.3"/>
    <row r="89" spans="1:26" ht="14.25" customHeight="1" x14ac:dyDescent="0.3"/>
    <row r="90" spans="1:26" ht="14.25" customHeight="1" x14ac:dyDescent="0.3"/>
    <row r="91" spans="1:26" ht="14.25" customHeight="1" x14ac:dyDescent="0.3"/>
    <row r="92" spans="1:26" ht="14.25" customHeight="1" x14ac:dyDescent="0.3"/>
    <row r="93" spans="1:26" ht="14.25" customHeight="1" x14ac:dyDescent="0.3"/>
    <row r="94" spans="1:26" ht="14.25" customHeight="1" x14ac:dyDescent="0.3"/>
    <row r="95" spans="1:26" ht="14.25" customHeight="1" x14ac:dyDescent="0.3"/>
    <row r="96" spans="1:2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9">
    <dataValidation type="list" allowBlank="1" showInputMessage="1" showErrorMessage="1" sqref="J73:J75 J77:J82 J84:J229" xr:uid="{00000000-0002-0000-0000-000000000000}">
      <formula1>"Gauteng,KZN,Western Cape,Northern Cape,Mpumalanga,Limpopo,North West,Free state,Eastern Cape"</formula1>
      <formula2>0</formula2>
    </dataValidation>
    <dataValidation type="list" allowBlank="1" showInputMessage="1" showErrorMessage="1" sqref="N2:N16 N18:N70 N72:N83"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3"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3" xr:uid="{00000000-0002-0000-0000-000002000000}">
      <formula1>"Decommissioned,Producing,Reduced Demand"</formula1>
      <formula2>0</formula2>
    </dataValidation>
    <dataValidation type="list" allowBlank="1" showInputMessage="1" showErrorMessage="1" sqref="V2:V83" xr:uid="{2A54AE45-3D04-43F7-B880-1BB329B234AF}">
      <formula1>"YES,NO"</formula1>
    </dataValidation>
    <dataValidation type="list" allowBlank="1" showInputMessage="1" showErrorMessage="1" sqref="X2:Y83" xr:uid="{44973B9A-327E-4911-A79C-D3F0049038B9}">
      <formula1>"High,Medium,Low,Unknown"</formula1>
    </dataValidation>
    <dataValidation type="list" allowBlank="1" showInputMessage="1" showErrorMessage="1" sqref="J83" xr:uid="{09263046-B6D4-4214-A4A0-2C35155748DA}">
      <formula1>"Gauteng,KZN,Western Cape,Northern Cape,Gaborone,Mpumalanga,Limpopo,North West,Free state,Eastern Cape"</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M2" activePane="bottomRight" state="frozen"/>
      <selection pane="topRight" activeCell="B1" sqref="B1"/>
      <selection pane="bottomLeft" activeCell="A2" sqref="A2"/>
      <selection pane="bottomRight" activeCell="N1" sqref="N1:N1048576"/>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109</v>
      </c>
      <c r="B23" s="5">
        <v>4706</v>
      </c>
      <c r="C23" s="5">
        <v>4110</v>
      </c>
      <c r="D23" s="5">
        <v>4209</v>
      </c>
      <c r="E23" s="5">
        <v>3538</v>
      </c>
      <c r="F23" s="5">
        <v>3392</v>
      </c>
      <c r="G23" s="5">
        <v>3058</v>
      </c>
      <c r="H23" s="5">
        <v>3366</v>
      </c>
      <c r="I23" s="5">
        <v>3941</v>
      </c>
      <c r="J23" s="5">
        <v>4346</v>
      </c>
      <c r="K23" s="5">
        <v>4559</v>
      </c>
      <c r="L23" s="5">
        <v>4578</v>
      </c>
      <c r="M23" s="5">
        <v>4864</v>
      </c>
    </row>
    <row r="24" spans="1:13" ht="14.25" customHeight="1" x14ac:dyDescent="0.3">
      <c r="A24" t="s">
        <v>113</v>
      </c>
      <c r="B24" s="5">
        <v>44000.9</v>
      </c>
      <c r="C24" s="5">
        <v>36738.800000000003</v>
      </c>
      <c r="D24" s="5">
        <v>35799.5</v>
      </c>
      <c r="E24" s="5">
        <v>26238.2</v>
      </c>
      <c r="F24" s="5">
        <v>19947.3</v>
      </c>
      <c r="G24" s="5">
        <v>16584</v>
      </c>
      <c r="H24" s="5">
        <v>18638.7</v>
      </c>
      <c r="I24" s="5">
        <v>23207.5</v>
      </c>
      <c r="J24" s="5">
        <v>29655.5</v>
      </c>
      <c r="K24" s="5">
        <v>36694.1</v>
      </c>
      <c r="L24" s="5">
        <v>41235.300000000003</v>
      </c>
      <c r="M24" s="5">
        <v>44584.1</v>
      </c>
    </row>
    <row r="25" spans="1:13" ht="14.25" customHeight="1" x14ac:dyDescent="0.3">
      <c r="A25" t="s">
        <v>114</v>
      </c>
      <c r="B25" s="5">
        <v>32657</v>
      </c>
      <c r="C25" s="5">
        <v>28530</v>
      </c>
      <c r="D25" s="5">
        <v>26894</v>
      </c>
      <c r="E25" s="5">
        <v>23945</v>
      </c>
      <c r="F25" s="5">
        <v>21446</v>
      </c>
      <c r="G25" s="5">
        <v>18974</v>
      </c>
      <c r="H25" s="5">
        <v>21123</v>
      </c>
      <c r="I25" s="5">
        <v>24633</v>
      </c>
      <c r="J25" s="5">
        <v>27402</v>
      </c>
      <c r="K25" s="5">
        <v>30501</v>
      </c>
      <c r="L25" s="5">
        <v>32028</v>
      </c>
      <c r="M25" s="5">
        <v>31475</v>
      </c>
    </row>
    <row r="26" spans="1:13" ht="14.25" customHeight="1" x14ac:dyDescent="0.3">
      <c r="A26" t="s">
        <v>117</v>
      </c>
      <c r="B26" s="5">
        <v>33572</v>
      </c>
      <c r="C26" s="5">
        <v>29313</v>
      </c>
      <c r="D26" s="5">
        <v>30629</v>
      </c>
      <c r="E26" s="5">
        <v>26386</v>
      </c>
      <c r="F26" s="5">
        <v>25077</v>
      </c>
      <c r="G26" s="5">
        <v>22476</v>
      </c>
      <c r="H26" s="5">
        <v>24838</v>
      </c>
      <c r="I26" s="5">
        <v>29965</v>
      </c>
      <c r="J26" s="5">
        <v>32045</v>
      </c>
      <c r="K26" s="5">
        <v>33620</v>
      </c>
      <c r="L26" s="5">
        <v>32645</v>
      </c>
      <c r="M26" s="5">
        <v>34688</v>
      </c>
    </row>
    <row r="27" spans="1:13" ht="14.25" customHeight="1" x14ac:dyDescent="0.3">
      <c r="A27" t="s">
        <v>225</v>
      </c>
      <c r="B27">
        <v>8415</v>
      </c>
      <c r="C27">
        <v>7237.5</v>
      </c>
      <c r="D27">
        <v>7601.5</v>
      </c>
      <c r="E27">
        <v>6870</v>
      </c>
      <c r="F27">
        <v>6583</v>
      </c>
      <c r="G27">
        <v>5884</v>
      </c>
      <c r="H27">
        <v>6428</v>
      </c>
      <c r="I27">
        <v>7317</v>
      </c>
      <c r="J27">
        <v>7798.5</v>
      </c>
      <c r="K27">
        <v>8310.5</v>
      </c>
      <c r="L27">
        <v>8392</v>
      </c>
      <c r="M27">
        <v>8239</v>
      </c>
    </row>
    <row r="28" spans="1:13" ht="14.25" customHeight="1" x14ac:dyDescent="0.3">
      <c r="A28" t="s">
        <v>223</v>
      </c>
      <c r="B28">
        <v>8415</v>
      </c>
      <c r="C28">
        <v>7237.5</v>
      </c>
      <c r="D28">
        <v>7601.5</v>
      </c>
      <c r="E28">
        <v>6870</v>
      </c>
      <c r="F28">
        <v>6583</v>
      </c>
      <c r="G28">
        <v>5884</v>
      </c>
      <c r="H28">
        <v>6428</v>
      </c>
      <c r="I28">
        <v>7317</v>
      </c>
      <c r="J28">
        <v>7798.5</v>
      </c>
      <c r="K28">
        <v>8310.5</v>
      </c>
      <c r="L28">
        <v>8392</v>
      </c>
      <c r="M28">
        <v>8239</v>
      </c>
    </row>
    <row r="29" spans="1:13" ht="14.25" customHeight="1" x14ac:dyDescent="0.3">
      <c r="A29" t="s">
        <v>120</v>
      </c>
      <c r="B29" s="5">
        <v>13570</v>
      </c>
      <c r="C29" s="5">
        <v>11745</v>
      </c>
      <c r="D29" s="5">
        <v>11799</v>
      </c>
      <c r="E29" s="5">
        <v>10155</v>
      </c>
      <c r="F29" s="5">
        <v>9548</v>
      </c>
      <c r="G29" s="5">
        <v>8534</v>
      </c>
      <c r="H29" s="5">
        <v>9501</v>
      </c>
      <c r="I29" s="5">
        <v>11108</v>
      </c>
      <c r="J29" s="5">
        <v>11891</v>
      </c>
      <c r="K29" s="5">
        <v>13149</v>
      </c>
      <c r="L29" s="5">
        <v>13477</v>
      </c>
      <c r="M29" s="5">
        <v>14443</v>
      </c>
    </row>
    <row r="30" spans="1:13" ht="14.25" customHeight="1" x14ac:dyDescent="0.3">
      <c r="A30" t="s">
        <v>236</v>
      </c>
      <c r="B30" s="46">
        <v>18447.710505874198</v>
      </c>
      <c r="C30" s="46">
        <v>16628.945590496696</v>
      </c>
      <c r="D30" s="46">
        <v>18150.539495474699</v>
      </c>
      <c r="E30" s="46">
        <v>16778.1675410235</v>
      </c>
      <c r="F30" s="46">
        <v>16967.828248484399</v>
      </c>
      <c r="G30" s="46">
        <v>15742.2303779175</v>
      </c>
      <c r="H30" s="46">
        <v>16856.988846912001</v>
      </c>
      <c r="I30" s="46">
        <v>18183.8304818127</v>
      </c>
      <c r="J30" s="46">
        <v>18093.2594160402</v>
      </c>
      <c r="K30" s="46">
        <v>17656.755836349599</v>
      </c>
      <c r="L30" s="46">
        <v>17048.020359692695</v>
      </c>
      <c r="M30" s="46">
        <v>18068.487005618099</v>
      </c>
    </row>
    <row r="31" spans="1:13" ht="14.25" customHeight="1" x14ac:dyDescent="0.3">
      <c r="A31" t="s">
        <v>122</v>
      </c>
      <c r="B31" s="5">
        <v>24713</v>
      </c>
      <c r="C31" s="5">
        <v>21612</v>
      </c>
      <c r="D31" s="5">
        <v>21750</v>
      </c>
      <c r="E31" s="5">
        <v>17547</v>
      </c>
      <c r="F31" s="5">
        <v>14975</v>
      </c>
      <c r="G31" s="5">
        <v>13472</v>
      </c>
      <c r="H31" s="5">
        <v>14555</v>
      </c>
      <c r="I31" s="5">
        <v>17167</v>
      </c>
      <c r="J31" s="5">
        <v>18426</v>
      </c>
      <c r="K31" s="5">
        <v>21592</v>
      </c>
      <c r="L31" s="5">
        <v>22234</v>
      </c>
      <c r="M31" s="5">
        <v>24984</v>
      </c>
    </row>
    <row r="32" spans="1:13" ht="14.25" customHeight="1" x14ac:dyDescent="0.3">
      <c r="A32" t="s">
        <v>124</v>
      </c>
      <c r="B32" s="5">
        <v>72121</v>
      </c>
      <c r="C32" s="5">
        <v>65458</v>
      </c>
      <c r="D32" s="5">
        <v>68264</v>
      </c>
      <c r="E32" s="5">
        <v>57584</v>
      </c>
      <c r="F32" s="5">
        <v>52130</v>
      </c>
      <c r="G32" s="5">
        <v>48157</v>
      </c>
      <c r="H32" s="5">
        <v>51738</v>
      </c>
      <c r="I32" s="5">
        <v>57201</v>
      </c>
      <c r="J32" s="5">
        <v>59213</v>
      </c>
      <c r="K32" s="5">
        <v>64977</v>
      </c>
      <c r="L32" s="5">
        <v>66569</v>
      </c>
      <c r="M32" s="5">
        <v>71854</v>
      </c>
    </row>
    <row r="33" spans="1:13" ht="14.25" customHeight="1" x14ac:dyDescent="0.3">
      <c r="A33" t="s">
        <v>127</v>
      </c>
      <c r="B33" s="5">
        <v>17634</v>
      </c>
      <c r="C33" s="5">
        <v>16473</v>
      </c>
      <c r="D33" s="5">
        <v>19238</v>
      </c>
      <c r="E33" s="5">
        <v>17065</v>
      </c>
      <c r="F33" s="5">
        <v>16886</v>
      </c>
      <c r="G33" s="5">
        <v>16099</v>
      </c>
      <c r="H33" s="5">
        <v>17101</v>
      </c>
      <c r="I33" s="5">
        <v>17348</v>
      </c>
      <c r="J33" s="5">
        <v>16879</v>
      </c>
      <c r="K33" s="5">
        <v>15944</v>
      </c>
      <c r="L33" s="5">
        <v>14731</v>
      </c>
      <c r="M33" s="5">
        <v>15377</v>
      </c>
    </row>
    <row r="34" spans="1:13" ht="14.25" customHeight="1" x14ac:dyDescent="0.3">
      <c r="A34" t="s">
        <v>234</v>
      </c>
      <c r="B34">
        <v>59291</v>
      </c>
      <c r="C34">
        <v>48612</v>
      </c>
      <c r="D34">
        <v>45479</v>
      </c>
      <c r="E34">
        <v>32312</v>
      </c>
      <c r="F34">
        <v>23816</v>
      </c>
      <c r="G34">
        <v>19426</v>
      </c>
      <c r="H34">
        <v>21982</v>
      </c>
      <c r="I34">
        <v>28360</v>
      </c>
      <c r="J34">
        <v>37091</v>
      </c>
      <c r="K34">
        <v>47820</v>
      </c>
      <c r="L34">
        <v>55073</v>
      </c>
      <c r="M34">
        <v>60151</v>
      </c>
    </row>
    <row r="35" spans="1:13" ht="14.25" customHeight="1" x14ac:dyDescent="0.3">
      <c r="A35" t="s">
        <v>131</v>
      </c>
      <c r="B35" s="5">
        <v>5957</v>
      </c>
      <c r="C35" s="5">
        <v>5410</v>
      </c>
      <c r="D35" s="5">
        <v>5967</v>
      </c>
      <c r="E35" s="5">
        <v>5723</v>
      </c>
      <c r="F35" s="5">
        <v>6086</v>
      </c>
      <c r="G35" s="5">
        <v>5885</v>
      </c>
      <c r="H35" s="5">
        <v>6334</v>
      </c>
      <c r="I35" s="5">
        <v>6633</v>
      </c>
      <c r="J35" s="5">
        <v>6573</v>
      </c>
      <c r="K35" s="5">
        <v>6461</v>
      </c>
      <c r="L35" s="5">
        <v>6012</v>
      </c>
      <c r="M35" s="5">
        <v>6145</v>
      </c>
    </row>
    <row r="36" spans="1:13" ht="14.25" customHeight="1" x14ac:dyDescent="0.3">
      <c r="A36" t="s">
        <v>134</v>
      </c>
      <c r="B36" s="5">
        <v>44907</v>
      </c>
      <c r="C36" s="5">
        <v>37765</v>
      </c>
      <c r="D36" s="5">
        <v>39036</v>
      </c>
      <c r="E36" s="5">
        <v>33226</v>
      </c>
      <c r="F36" s="5">
        <v>31537</v>
      </c>
      <c r="G36" s="5">
        <v>28491</v>
      </c>
      <c r="H36" s="5">
        <v>31513</v>
      </c>
      <c r="I36" s="5">
        <v>36674</v>
      </c>
      <c r="J36" s="5">
        <v>40579</v>
      </c>
      <c r="K36" s="5">
        <v>44092</v>
      </c>
      <c r="L36" s="5">
        <v>44165</v>
      </c>
      <c r="M36" s="5">
        <v>47244</v>
      </c>
    </row>
    <row r="37" spans="1:13" ht="14.25" customHeight="1" x14ac:dyDescent="0.3">
      <c r="A37" t="s">
        <v>138</v>
      </c>
      <c r="B37" s="5">
        <v>23544</v>
      </c>
      <c r="C37" s="5">
        <v>21677</v>
      </c>
      <c r="D37" s="5">
        <v>24212</v>
      </c>
      <c r="E37" s="5">
        <v>20861</v>
      </c>
      <c r="F37" s="5">
        <v>20012</v>
      </c>
      <c r="G37" s="5">
        <v>18485</v>
      </c>
      <c r="H37" s="5">
        <v>20016</v>
      </c>
      <c r="I37" s="5">
        <v>21052</v>
      </c>
      <c r="J37" s="5">
        <v>21403</v>
      </c>
      <c r="K37" s="5">
        <v>20962</v>
      </c>
      <c r="L37" s="5">
        <v>19856</v>
      </c>
      <c r="M37" s="5">
        <v>21184</v>
      </c>
    </row>
    <row r="38" spans="1:13" ht="14.25" customHeight="1" x14ac:dyDescent="0.3">
      <c r="A38" t="s">
        <v>220</v>
      </c>
      <c r="B38" s="5">
        <v>52080</v>
      </c>
      <c r="C38" s="5">
        <v>45544</v>
      </c>
      <c r="D38" s="5">
        <v>44433</v>
      </c>
      <c r="E38" s="5">
        <v>38648</v>
      </c>
      <c r="F38" s="5">
        <v>35710</v>
      </c>
      <c r="G38" s="5">
        <v>31508</v>
      </c>
      <c r="H38" s="5">
        <v>34699</v>
      </c>
      <c r="I38" s="5">
        <v>40906</v>
      </c>
      <c r="J38" s="5">
        <v>45309</v>
      </c>
      <c r="K38" s="5">
        <v>51347</v>
      </c>
      <c r="L38" s="5">
        <v>51837</v>
      </c>
      <c r="M38" s="5">
        <v>52952</v>
      </c>
    </row>
    <row r="39" spans="1:13" ht="14.25" customHeight="1" x14ac:dyDescent="0.3">
      <c r="A39" t="s">
        <v>222</v>
      </c>
      <c r="B39" s="5">
        <v>13744</v>
      </c>
      <c r="C39" s="5">
        <v>12002</v>
      </c>
      <c r="D39" s="5">
        <v>11708</v>
      </c>
      <c r="E39" s="5">
        <v>10193</v>
      </c>
      <c r="F39" s="5">
        <v>9448</v>
      </c>
      <c r="G39" s="5">
        <v>8384</v>
      </c>
      <c r="H39" s="5">
        <v>9230</v>
      </c>
      <c r="I39" s="5">
        <v>10801</v>
      </c>
      <c r="J39" s="5">
        <v>11951</v>
      </c>
      <c r="K39" s="5">
        <v>13545</v>
      </c>
      <c r="L39" s="5">
        <v>13626</v>
      </c>
      <c r="M39" s="5">
        <v>13933</v>
      </c>
    </row>
    <row r="40" spans="1:13" ht="14.25" customHeight="1" x14ac:dyDescent="0.3">
      <c r="A40" t="s">
        <v>142</v>
      </c>
      <c r="B40" s="5">
        <v>6317</v>
      </c>
      <c r="C40" s="5">
        <v>5312</v>
      </c>
      <c r="D40" s="5">
        <v>5484</v>
      </c>
      <c r="E40" s="5">
        <v>4844</v>
      </c>
      <c r="F40" s="5">
        <v>4660</v>
      </c>
      <c r="G40" s="5">
        <v>4243</v>
      </c>
      <c r="H40" s="5">
        <v>4686</v>
      </c>
      <c r="I40" s="5">
        <v>5383</v>
      </c>
      <c r="J40" s="5">
        <v>5889</v>
      </c>
      <c r="K40" s="5">
        <v>6297</v>
      </c>
      <c r="L40" s="5">
        <v>6249</v>
      </c>
      <c r="M40" s="5">
        <v>6662</v>
      </c>
    </row>
    <row r="41" spans="1:13" ht="14.25" customHeight="1" x14ac:dyDescent="0.3">
      <c r="A41" t="s">
        <v>145</v>
      </c>
      <c r="B41" s="5">
        <v>45787.199999999997</v>
      </c>
      <c r="C41" s="5">
        <v>39973.5</v>
      </c>
      <c r="D41" s="5">
        <v>40622.199999999997</v>
      </c>
      <c r="E41" s="5">
        <v>37337.9</v>
      </c>
      <c r="F41" s="5">
        <v>36620.699999999997</v>
      </c>
      <c r="G41" s="5">
        <v>33353.579100000003</v>
      </c>
      <c r="H41" s="5">
        <v>36066.455099999999</v>
      </c>
      <c r="I41" s="5">
        <v>40562.361900000004</v>
      </c>
      <c r="J41" s="5">
        <v>41523.188699999999</v>
      </c>
      <c r="K41" s="5">
        <v>44647.762499999997</v>
      </c>
      <c r="L41" s="5">
        <v>44811.7068</v>
      </c>
      <c r="M41" s="5">
        <v>47334.919800000003</v>
      </c>
    </row>
    <row r="42" spans="1:13" ht="14.25" customHeight="1" x14ac:dyDescent="0.3">
      <c r="A42" t="s">
        <v>149</v>
      </c>
      <c r="B42" s="5">
        <v>11454.7</v>
      </c>
      <c r="C42" s="5">
        <v>9955.2999999999993</v>
      </c>
      <c r="D42" s="5">
        <v>10575.8</v>
      </c>
      <c r="E42" s="5">
        <v>9316.2000000000007</v>
      </c>
      <c r="F42" s="5">
        <v>9144.7000000000007</v>
      </c>
      <c r="G42" s="5">
        <v>8500.6</v>
      </c>
      <c r="H42" s="5">
        <v>9262.2999999999993</v>
      </c>
      <c r="I42" s="5">
        <v>10470.200000000001</v>
      </c>
      <c r="J42" s="5">
        <v>11129.4</v>
      </c>
      <c r="K42" s="5">
        <v>11715.5</v>
      </c>
      <c r="L42" s="5">
        <v>11402.4</v>
      </c>
      <c r="M42" s="5">
        <v>12145.4</v>
      </c>
    </row>
    <row r="43" spans="1:13" ht="14.25" customHeight="1" x14ac:dyDescent="0.3">
      <c r="A43" t="s">
        <v>152</v>
      </c>
      <c r="B43" s="5">
        <v>14426.2</v>
      </c>
      <c r="C43" s="5">
        <v>12327.9</v>
      </c>
      <c r="D43" s="5">
        <v>12931.8</v>
      </c>
      <c r="E43" s="5">
        <v>11024.4</v>
      </c>
      <c r="F43" s="5">
        <v>10672.6</v>
      </c>
      <c r="G43" s="5">
        <v>9625</v>
      </c>
      <c r="H43" s="5">
        <v>10609</v>
      </c>
      <c r="I43" s="5">
        <v>12263.1</v>
      </c>
      <c r="J43" s="5">
        <v>13383.1</v>
      </c>
      <c r="K43" s="5">
        <v>14263</v>
      </c>
      <c r="L43" s="5">
        <v>14175.5</v>
      </c>
      <c r="M43" s="5">
        <v>15128.2</v>
      </c>
    </row>
    <row r="44" spans="1:13" ht="14.25" customHeight="1" x14ac:dyDescent="0.3">
      <c r="A44" t="s">
        <v>155</v>
      </c>
      <c r="B44" s="5">
        <v>5438.1</v>
      </c>
      <c r="C44" s="5">
        <v>5030.5</v>
      </c>
      <c r="D44" s="5">
        <v>5282.5</v>
      </c>
      <c r="E44" s="5">
        <v>4635.1000000000004</v>
      </c>
      <c r="F44" s="5">
        <v>4575</v>
      </c>
      <c r="G44" s="5">
        <v>4143.3999999999996</v>
      </c>
      <c r="H44" s="5">
        <v>4561.7</v>
      </c>
      <c r="I44" s="5">
        <v>5138.7</v>
      </c>
      <c r="J44" s="5">
        <v>5330</v>
      </c>
      <c r="K44" s="5">
        <v>5632.2</v>
      </c>
      <c r="L44" s="5">
        <v>5403.2</v>
      </c>
      <c r="M44" s="5">
        <v>5647.1</v>
      </c>
    </row>
    <row r="45" spans="1:13" ht="14.25" customHeight="1" x14ac:dyDescent="0.3">
      <c r="A45" t="s">
        <v>157</v>
      </c>
      <c r="B45" s="5">
        <v>6558.3</v>
      </c>
      <c r="C45" s="5">
        <v>5888</v>
      </c>
      <c r="D45" s="5">
        <v>6335.4</v>
      </c>
      <c r="E45" s="5">
        <v>5651</v>
      </c>
      <c r="F45" s="5">
        <v>5782.9</v>
      </c>
      <c r="G45" s="5">
        <v>5360.4</v>
      </c>
      <c r="H45" s="5">
        <v>5892.4</v>
      </c>
      <c r="I45" s="5">
        <v>6481.2</v>
      </c>
      <c r="J45" s="5">
        <v>6690.9</v>
      </c>
      <c r="K45" s="5">
        <v>6809.9</v>
      </c>
      <c r="L45" s="5">
        <v>6587.3</v>
      </c>
      <c r="M45" s="5">
        <v>6874.1</v>
      </c>
    </row>
    <row r="46" spans="1:13" ht="14.25" customHeight="1" x14ac:dyDescent="0.3">
      <c r="A46" t="s">
        <v>160</v>
      </c>
      <c r="B46" s="5">
        <v>20117</v>
      </c>
      <c r="C46" s="5">
        <v>17684</v>
      </c>
      <c r="D46" s="5">
        <v>19164</v>
      </c>
      <c r="E46" s="5">
        <v>16765</v>
      </c>
      <c r="F46" s="5">
        <v>17392</v>
      </c>
      <c r="G46" s="5">
        <v>16319</v>
      </c>
      <c r="H46" s="5">
        <v>17777</v>
      </c>
      <c r="I46" s="5">
        <v>19722</v>
      </c>
      <c r="J46" s="5">
        <v>19924</v>
      </c>
      <c r="K46" s="5">
        <v>20687</v>
      </c>
      <c r="L46" s="5">
        <v>19526</v>
      </c>
      <c r="M46" s="5">
        <v>20860</v>
      </c>
    </row>
    <row r="47" spans="1:13" ht="14.25" customHeight="1" x14ac:dyDescent="0.3">
      <c r="A47" t="s">
        <v>163</v>
      </c>
      <c r="B47" s="5">
        <v>6141.4</v>
      </c>
      <c r="C47" s="5">
        <v>5508.6</v>
      </c>
      <c r="D47" s="5">
        <v>5936.5</v>
      </c>
      <c r="E47" s="5">
        <v>5321.7</v>
      </c>
      <c r="F47" s="5">
        <v>5446.5</v>
      </c>
      <c r="G47" s="5">
        <v>5045.8999999999996</v>
      </c>
      <c r="H47" s="5">
        <v>5553.9</v>
      </c>
      <c r="I47" s="5">
        <v>6085.5</v>
      </c>
      <c r="J47" s="5">
        <v>6263.9</v>
      </c>
      <c r="K47" s="5">
        <v>6378</v>
      </c>
      <c r="L47" s="5">
        <v>6164.1</v>
      </c>
      <c r="M47" s="5">
        <v>6435</v>
      </c>
    </row>
    <row r="48" spans="1:13" ht="14.25" customHeight="1" x14ac:dyDescent="0.3">
      <c r="A48" t="s">
        <v>166</v>
      </c>
      <c r="B48" s="5">
        <v>25562</v>
      </c>
      <c r="C48" s="5">
        <v>22098</v>
      </c>
      <c r="D48" s="5">
        <v>24392</v>
      </c>
      <c r="E48" s="5">
        <v>23827</v>
      </c>
      <c r="F48" s="5">
        <v>22987</v>
      </c>
      <c r="G48" s="5">
        <v>20718</v>
      </c>
      <c r="H48" s="5">
        <v>21811</v>
      </c>
      <c r="I48" s="5">
        <v>25554</v>
      </c>
      <c r="J48" s="5">
        <v>25189</v>
      </c>
      <c r="K48" s="5">
        <v>24495</v>
      </c>
      <c r="L48" s="5">
        <v>24514</v>
      </c>
      <c r="M48" s="5">
        <v>25926</v>
      </c>
    </row>
    <row r="49" spans="1:13" ht="14.25" customHeight="1" x14ac:dyDescent="0.3">
      <c r="A49" t="s">
        <v>169</v>
      </c>
      <c r="B49" s="5">
        <v>3892.3</v>
      </c>
      <c r="C49" s="5">
        <v>3360.7</v>
      </c>
      <c r="D49" s="5">
        <v>3712.5</v>
      </c>
      <c r="E49" s="5">
        <v>3625.7</v>
      </c>
      <c r="F49" s="5">
        <v>3497.5</v>
      </c>
      <c r="G49" s="5">
        <v>3151.4</v>
      </c>
      <c r="H49" s="5">
        <v>3316.5</v>
      </c>
      <c r="I49" s="5">
        <v>3887.5</v>
      </c>
      <c r="J49" s="5">
        <v>3830.3</v>
      </c>
      <c r="K49" s="5">
        <v>3729.7</v>
      </c>
      <c r="L49" s="5">
        <v>3733.1</v>
      </c>
      <c r="M49" s="5">
        <v>3946.1</v>
      </c>
    </row>
    <row r="50" spans="1:13" ht="14.25" customHeight="1" x14ac:dyDescent="0.3">
      <c r="A50" t="s">
        <v>171</v>
      </c>
      <c r="B50" s="5">
        <v>13146.9</v>
      </c>
      <c r="C50" s="5">
        <v>11450.2</v>
      </c>
      <c r="D50" s="5">
        <v>11470.9</v>
      </c>
      <c r="E50" s="5">
        <v>9218.9</v>
      </c>
      <c r="F50" s="5">
        <v>7841.5</v>
      </c>
      <c r="G50" s="5">
        <v>7108.1</v>
      </c>
      <c r="H50" s="5">
        <v>7657.1</v>
      </c>
      <c r="I50" s="5">
        <v>9019.7000000000007</v>
      </c>
      <c r="J50" s="5">
        <v>9680</v>
      </c>
      <c r="K50" s="5">
        <v>11319.5</v>
      </c>
      <c r="L50" s="5">
        <v>11746.6</v>
      </c>
      <c r="M50" s="5">
        <v>13355.6</v>
      </c>
    </row>
    <row r="51" spans="1:13" ht="14.25" customHeight="1" x14ac:dyDescent="0.3">
      <c r="A51" t="s">
        <v>172</v>
      </c>
      <c r="B51" s="5">
        <v>13913.7</v>
      </c>
      <c r="C51" s="5">
        <v>11543.3</v>
      </c>
      <c r="D51" s="5">
        <v>12043.3</v>
      </c>
      <c r="E51" s="5">
        <v>10530.6</v>
      </c>
      <c r="F51" s="5">
        <v>9452.2000000000007</v>
      </c>
      <c r="G51" s="5">
        <v>8210.7999999999993</v>
      </c>
      <c r="H51" s="5">
        <v>9090.2000000000007</v>
      </c>
      <c r="I51" s="5">
        <v>10347.299999999999</v>
      </c>
      <c r="J51" s="5">
        <v>11125.2</v>
      </c>
      <c r="K51" s="5">
        <v>12217.2</v>
      </c>
      <c r="L51" s="5">
        <v>13140.3</v>
      </c>
      <c r="M51" s="5">
        <v>14098.5</v>
      </c>
    </row>
    <row r="52" spans="1:13" ht="14.25" customHeight="1" x14ac:dyDescent="0.3">
      <c r="A52" t="s">
        <v>265</v>
      </c>
      <c r="B52" s="5">
        <v>25627.8</v>
      </c>
      <c r="C52" s="5">
        <v>22616.5</v>
      </c>
      <c r="D52" s="5">
        <v>24129.3</v>
      </c>
      <c r="E52" s="5">
        <v>20942.099999999999</v>
      </c>
      <c r="F52" s="5">
        <v>20778.8</v>
      </c>
      <c r="G52" s="5">
        <v>19071.599999999999</v>
      </c>
      <c r="H52" s="5">
        <v>20913.3</v>
      </c>
      <c r="I52" s="5">
        <v>23886.3</v>
      </c>
      <c r="J52" s="5">
        <v>25209.3</v>
      </c>
      <c r="K52" s="5">
        <v>25379.5</v>
      </c>
      <c r="L52" s="5">
        <v>25008.799999999999</v>
      </c>
      <c r="M52" s="5">
        <v>26105.1</v>
      </c>
    </row>
    <row r="53" spans="1:13" ht="14.25" customHeight="1" x14ac:dyDescent="0.3">
      <c r="A53" t="s">
        <v>177</v>
      </c>
      <c r="B53" s="5">
        <v>4844</v>
      </c>
      <c r="C53" s="5">
        <v>4251</v>
      </c>
      <c r="D53" s="5">
        <v>4530</v>
      </c>
      <c r="E53" s="5">
        <v>3971</v>
      </c>
      <c r="F53" s="5">
        <v>4026</v>
      </c>
      <c r="G53" s="5">
        <v>3734</v>
      </c>
      <c r="H53" s="5">
        <v>4073</v>
      </c>
      <c r="I53" s="5">
        <v>4560</v>
      </c>
      <c r="J53" s="5">
        <v>4749</v>
      </c>
      <c r="K53" s="5">
        <v>4766</v>
      </c>
      <c r="L53" s="5">
        <v>4722</v>
      </c>
      <c r="M53" s="5">
        <v>4940</v>
      </c>
    </row>
    <row r="54" spans="1:13" ht="14.25" customHeight="1" x14ac:dyDescent="0.3">
      <c r="A54" t="s">
        <v>180</v>
      </c>
      <c r="B54" s="5">
        <v>26360</v>
      </c>
      <c r="C54" s="5">
        <v>22720</v>
      </c>
      <c r="D54" s="5">
        <v>22207</v>
      </c>
      <c r="E54" s="5">
        <v>19091</v>
      </c>
      <c r="F54" s="5">
        <v>17077</v>
      </c>
      <c r="G54" s="5">
        <v>14868</v>
      </c>
      <c r="H54" s="5">
        <v>16693</v>
      </c>
      <c r="I54" s="5">
        <v>20079</v>
      </c>
      <c r="J54" s="5">
        <v>22828</v>
      </c>
      <c r="K54" s="5">
        <v>26013</v>
      </c>
      <c r="L54" s="5">
        <v>26204</v>
      </c>
      <c r="M54" s="5">
        <v>26697</v>
      </c>
    </row>
    <row r="55" spans="1:13" ht="14.25" customHeight="1" x14ac:dyDescent="0.3">
      <c r="A55" t="s">
        <v>182</v>
      </c>
      <c r="B55" s="5">
        <v>21647</v>
      </c>
      <c r="C55" s="5">
        <v>18412</v>
      </c>
      <c r="D55" s="5">
        <v>19207</v>
      </c>
      <c r="E55" s="5">
        <v>16103</v>
      </c>
      <c r="F55" s="5">
        <v>15740</v>
      </c>
      <c r="G55" s="5">
        <v>13974</v>
      </c>
      <c r="H55" s="5">
        <v>15451</v>
      </c>
      <c r="I55" s="5">
        <v>17961</v>
      </c>
      <c r="J55" s="5">
        <v>19934</v>
      </c>
      <c r="K55" s="5">
        <v>21559</v>
      </c>
      <c r="L55" s="5">
        <v>21438</v>
      </c>
      <c r="M55" s="5">
        <v>23043</v>
      </c>
    </row>
    <row r="56" spans="1:13" ht="14.25" customHeight="1" x14ac:dyDescent="0.3">
      <c r="A56" t="s">
        <v>184</v>
      </c>
      <c r="B56" s="5">
        <v>39488</v>
      </c>
      <c r="C56" s="5">
        <v>32855</v>
      </c>
      <c r="D56" s="5">
        <v>31263.3</v>
      </c>
      <c r="E56" s="5">
        <v>26209</v>
      </c>
      <c r="F56" s="5">
        <v>23138</v>
      </c>
      <c r="G56" s="5">
        <v>19982</v>
      </c>
      <c r="H56" s="5">
        <v>22686</v>
      </c>
      <c r="I56" s="5">
        <v>27412</v>
      </c>
      <c r="J56" s="5">
        <v>31462</v>
      </c>
      <c r="K56" s="5">
        <v>36532</v>
      </c>
      <c r="L56" s="5">
        <v>38823</v>
      </c>
      <c r="M56" s="5">
        <v>42222</v>
      </c>
    </row>
    <row r="57" spans="1:13" ht="14.25" customHeight="1" x14ac:dyDescent="0.3">
      <c r="A57" t="s">
        <v>186</v>
      </c>
      <c r="B57" s="5">
        <v>37861</v>
      </c>
      <c r="C57" s="5">
        <v>31552</v>
      </c>
      <c r="D57" s="5">
        <v>31851</v>
      </c>
      <c r="E57" s="5">
        <v>27124</v>
      </c>
      <c r="F57" s="5">
        <v>24741</v>
      </c>
      <c r="G57" s="5">
        <v>21991</v>
      </c>
      <c r="H57" s="5">
        <v>24194</v>
      </c>
      <c r="I57" s="5">
        <v>28859</v>
      </c>
      <c r="J57" s="5">
        <v>32205</v>
      </c>
      <c r="K57" s="5">
        <v>36732</v>
      </c>
      <c r="L57" s="5">
        <v>38185</v>
      </c>
      <c r="M57" s="5">
        <v>40356</v>
      </c>
    </row>
    <row r="58" spans="1:13" ht="14.25" customHeight="1" x14ac:dyDescent="0.3">
      <c r="A58" t="s">
        <v>188</v>
      </c>
      <c r="B58" s="5">
        <v>22876</v>
      </c>
      <c r="C58" s="5">
        <v>19487</v>
      </c>
      <c r="D58" s="5">
        <v>19886</v>
      </c>
      <c r="E58" s="5">
        <v>16305</v>
      </c>
      <c r="F58" s="5">
        <v>14747</v>
      </c>
      <c r="G58" s="5">
        <v>12857</v>
      </c>
      <c r="H58" s="5">
        <v>14434</v>
      </c>
      <c r="I58" s="5">
        <v>17635</v>
      </c>
      <c r="J58" s="5">
        <v>20353</v>
      </c>
      <c r="K58" s="5">
        <v>22357</v>
      </c>
      <c r="L58" s="5">
        <v>22859</v>
      </c>
      <c r="M58" s="5">
        <v>24367</v>
      </c>
    </row>
    <row r="59" spans="1:13" ht="14.25" customHeight="1" x14ac:dyDescent="0.3">
      <c r="A59" t="s">
        <v>226</v>
      </c>
      <c r="B59">
        <v>34135</v>
      </c>
      <c r="C59">
        <v>26981</v>
      </c>
      <c r="D59">
        <v>26829</v>
      </c>
      <c r="E59">
        <v>20433</v>
      </c>
      <c r="F59">
        <v>21068</v>
      </c>
      <c r="G59">
        <v>16978</v>
      </c>
      <c r="H59">
        <v>19291</v>
      </c>
      <c r="I59">
        <v>21448</v>
      </c>
      <c r="J59">
        <v>20157</v>
      </c>
      <c r="K59">
        <v>25054</v>
      </c>
      <c r="L59">
        <v>25471</v>
      </c>
      <c r="M59">
        <v>31547</v>
      </c>
    </row>
    <row r="60" spans="1:13" ht="14.25" customHeight="1" x14ac:dyDescent="0.3">
      <c r="A60" t="s">
        <v>208</v>
      </c>
      <c r="B60" s="5">
        <v>20649</v>
      </c>
      <c r="C60" s="5">
        <v>17891</v>
      </c>
      <c r="D60" s="5">
        <v>17668</v>
      </c>
      <c r="E60" s="8">
        <f>15178</f>
        <v>15178</v>
      </c>
      <c r="F60" s="5">
        <v>14023</v>
      </c>
      <c r="G60" s="5">
        <v>12327</v>
      </c>
      <c r="H60" s="5">
        <v>13742</v>
      </c>
      <c r="I60" s="5">
        <v>16094</v>
      </c>
      <c r="J60" s="5">
        <v>17988</v>
      </c>
      <c r="K60" s="5">
        <v>20737</v>
      </c>
      <c r="L60" s="5">
        <v>20655</v>
      </c>
      <c r="M60" s="5">
        <v>21136</v>
      </c>
    </row>
    <row r="61" spans="1:13" ht="14.25" customHeight="1" x14ac:dyDescent="0.3">
      <c r="A61" t="s">
        <v>190</v>
      </c>
      <c r="B61" s="5">
        <v>19574.900000000001</v>
      </c>
      <c r="C61" s="5">
        <v>16723.599999999999</v>
      </c>
      <c r="D61" s="5">
        <v>17808.599999999999</v>
      </c>
      <c r="E61" s="5">
        <v>15502.2</v>
      </c>
      <c r="F61" s="5">
        <v>15075</v>
      </c>
      <c r="G61" s="5">
        <v>13622.2</v>
      </c>
      <c r="H61" s="5">
        <v>15167.7</v>
      </c>
      <c r="I61" s="5">
        <v>17455.2</v>
      </c>
      <c r="J61" s="5">
        <v>18819</v>
      </c>
      <c r="K61" s="5">
        <v>19760.2</v>
      </c>
      <c r="L61" s="5">
        <v>19368.5</v>
      </c>
      <c r="M61" s="5">
        <v>20469.3</v>
      </c>
    </row>
    <row r="62" spans="1:13" ht="14.25" customHeight="1" x14ac:dyDescent="0.3">
      <c r="A62" t="s">
        <v>213</v>
      </c>
      <c r="B62" s="5">
        <v>10342</v>
      </c>
      <c r="C62" s="5">
        <v>8891</v>
      </c>
      <c r="D62" s="5">
        <v>8671</v>
      </c>
      <c r="E62" s="5">
        <v>7539</v>
      </c>
      <c r="F62" s="5">
        <v>6938</v>
      </c>
      <c r="G62" s="5">
        <v>6138</v>
      </c>
      <c r="H62" s="5">
        <v>6763</v>
      </c>
      <c r="I62" s="8">
        <f>7916</f>
        <v>7916</v>
      </c>
      <c r="J62" s="5">
        <v>8738</v>
      </c>
      <c r="K62" s="5">
        <v>10008</v>
      </c>
      <c r="L62" s="5">
        <v>9999</v>
      </c>
      <c r="M62" s="5">
        <v>10268</v>
      </c>
    </row>
    <row r="63" spans="1:13" ht="14.25" customHeight="1" x14ac:dyDescent="0.3">
      <c r="A63" t="s">
        <v>216</v>
      </c>
      <c r="B63" s="5">
        <v>31888.400000000001</v>
      </c>
      <c r="C63" s="5">
        <v>27677</v>
      </c>
      <c r="D63" s="5">
        <v>27300</v>
      </c>
      <c r="E63" s="5">
        <v>23765</v>
      </c>
      <c r="F63" s="5">
        <v>21915</v>
      </c>
      <c r="G63" s="5">
        <v>19368</v>
      </c>
      <c r="H63" s="5">
        <v>21313</v>
      </c>
      <c r="I63" s="8">
        <f>24908</f>
        <v>24908</v>
      </c>
      <c r="J63" s="5">
        <v>27534</v>
      </c>
      <c r="K63" s="5">
        <v>31253</v>
      </c>
      <c r="L63" s="5">
        <v>31179</v>
      </c>
      <c r="M63" s="5">
        <v>31893</v>
      </c>
    </row>
    <row r="64" spans="1:13" ht="14.25" customHeight="1" x14ac:dyDescent="0.3">
      <c r="A64" t="s">
        <v>218</v>
      </c>
      <c r="B64" s="5">
        <v>10668.8</v>
      </c>
      <c r="C64" s="5">
        <v>9218.6</v>
      </c>
      <c r="D64" s="5">
        <v>9045</v>
      </c>
      <c r="E64" s="5">
        <v>7797</v>
      </c>
      <c r="F64" s="5">
        <v>7144.8</v>
      </c>
      <c r="G64" s="5">
        <v>6299.2</v>
      </c>
      <c r="H64" s="5">
        <v>6941.6</v>
      </c>
      <c r="I64" s="8">
        <f>8155.7</f>
        <v>8155.7</v>
      </c>
      <c r="J64" s="5">
        <v>9060</v>
      </c>
      <c r="K64" s="5">
        <v>10392</v>
      </c>
      <c r="L64" s="5">
        <v>10393</v>
      </c>
      <c r="M64" s="5">
        <v>10647</v>
      </c>
    </row>
    <row r="65" spans="1:13" ht="14.25" customHeight="1" x14ac:dyDescent="0.3">
      <c r="A65" t="s">
        <v>192</v>
      </c>
      <c r="B65" s="5"/>
      <c r="C65" s="5"/>
      <c r="D65" s="5"/>
      <c r="E65" s="5"/>
      <c r="F65" s="5"/>
      <c r="G65" s="5"/>
      <c r="H65" s="5"/>
      <c r="I65" s="5"/>
      <c r="J65" s="5"/>
      <c r="K65" s="5"/>
      <c r="L65" s="5"/>
      <c r="M65" s="5"/>
    </row>
    <row r="66" spans="1:13" ht="14.25" customHeight="1" x14ac:dyDescent="0.3">
      <c r="A66" t="s">
        <v>194</v>
      </c>
      <c r="B66" s="5">
        <v>8222</v>
      </c>
      <c r="C66" s="5">
        <v>6998</v>
      </c>
      <c r="D66" s="5">
        <v>7059</v>
      </c>
      <c r="E66" s="5">
        <v>5574</v>
      </c>
      <c r="F66" s="5">
        <v>5282</v>
      </c>
      <c r="G66" s="5">
        <v>4730</v>
      </c>
      <c r="H66" s="5">
        <v>5256</v>
      </c>
      <c r="I66" s="5">
        <v>6045</v>
      </c>
      <c r="J66" s="5">
        <v>7051</v>
      </c>
      <c r="K66" s="5">
        <v>8056</v>
      </c>
      <c r="L66" s="5">
        <v>8145</v>
      </c>
      <c r="M66" s="5">
        <v>8740</v>
      </c>
    </row>
    <row r="67" spans="1:13" ht="14.25" customHeight="1" x14ac:dyDescent="0.3">
      <c r="A67" t="s">
        <v>196</v>
      </c>
      <c r="B67" s="5">
        <v>5698.8</v>
      </c>
      <c r="C67" s="5">
        <v>5080.8</v>
      </c>
      <c r="D67" s="5">
        <v>5209.7</v>
      </c>
      <c r="E67" s="5">
        <v>4357.5</v>
      </c>
      <c r="F67" s="5">
        <v>3906.6</v>
      </c>
      <c r="G67" s="5">
        <v>3553</v>
      </c>
      <c r="H67" s="5">
        <v>3801.5</v>
      </c>
      <c r="I67" s="5">
        <v>4316</v>
      </c>
      <c r="J67" s="5">
        <v>4437</v>
      </c>
      <c r="K67" s="5">
        <v>5034.3</v>
      </c>
      <c r="L67" s="5">
        <v>5106.1000000000004</v>
      </c>
      <c r="M67" s="5">
        <v>5754.2</v>
      </c>
    </row>
    <row r="68" spans="1:13" ht="14.25" customHeight="1" x14ac:dyDescent="0.3">
      <c r="A68" t="s">
        <v>199</v>
      </c>
      <c r="B68" s="5">
        <v>5045.8999999999996</v>
      </c>
      <c r="C68" s="5">
        <v>4360.2</v>
      </c>
      <c r="D68" s="5">
        <v>4711.1000000000004</v>
      </c>
      <c r="E68" s="5">
        <v>4084.1</v>
      </c>
      <c r="F68" s="5">
        <v>4125.1000000000004</v>
      </c>
      <c r="G68" s="5">
        <v>3778.7</v>
      </c>
      <c r="H68" s="5">
        <v>4137.8</v>
      </c>
      <c r="I68" s="5">
        <v>4655.3999999999996</v>
      </c>
      <c r="J68" s="5">
        <v>4964.6000000000004</v>
      </c>
      <c r="K68" s="5">
        <v>5199.2</v>
      </c>
      <c r="L68" s="5">
        <v>4977</v>
      </c>
      <c r="M68" s="5">
        <v>5354.9</v>
      </c>
    </row>
    <row r="69" spans="1:13" ht="14.25" customHeight="1" x14ac:dyDescent="0.3">
      <c r="A69" t="s">
        <v>201</v>
      </c>
      <c r="B69" s="5">
        <v>15814.1</v>
      </c>
      <c r="C69" s="5">
        <v>14182.5</v>
      </c>
      <c r="D69" s="5">
        <v>15127.6</v>
      </c>
      <c r="E69" s="5">
        <v>13566.2</v>
      </c>
      <c r="F69" s="5">
        <v>13865.8</v>
      </c>
      <c r="G69" s="5">
        <v>12963.1</v>
      </c>
      <c r="H69" s="5">
        <v>14146.2</v>
      </c>
      <c r="I69" s="5">
        <v>15603.1</v>
      </c>
      <c r="J69" s="5">
        <v>15929.8</v>
      </c>
      <c r="K69" s="5">
        <v>16382.7</v>
      </c>
      <c r="L69" s="5">
        <v>15892.2</v>
      </c>
      <c r="M69" s="5">
        <v>16746.5</v>
      </c>
    </row>
    <row r="70" spans="1:13" ht="14.25" customHeight="1" x14ac:dyDescent="0.3">
      <c r="A70" t="s">
        <v>211</v>
      </c>
      <c r="B70" s="5">
        <v>8111</v>
      </c>
      <c r="C70" s="5">
        <v>6915</v>
      </c>
      <c r="D70" s="5">
        <v>6721</v>
      </c>
      <c r="E70" s="5">
        <v>5701</v>
      </c>
      <c r="F70" s="5">
        <v>5135</v>
      </c>
      <c r="G70" s="5">
        <v>4368</v>
      </c>
      <c r="H70" s="5">
        <v>4517</v>
      </c>
      <c r="I70" s="5">
        <v>5248</v>
      </c>
      <c r="J70" s="5">
        <v>5835</v>
      </c>
      <c r="K70" s="5">
        <v>7211</v>
      </c>
      <c r="L70" s="5">
        <v>7571</v>
      </c>
      <c r="M70" s="5">
        <v>8107</v>
      </c>
    </row>
    <row r="71" spans="1:13" ht="14.25" customHeight="1" x14ac:dyDescent="0.3">
      <c r="A71" t="s">
        <v>202</v>
      </c>
      <c r="B71" s="5">
        <v>31142</v>
      </c>
      <c r="C71" s="5">
        <v>26504</v>
      </c>
      <c r="D71" s="5">
        <v>26827</v>
      </c>
      <c r="E71" s="5">
        <v>22270</v>
      </c>
      <c r="F71" s="5">
        <v>21135</v>
      </c>
      <c r="G71" s="5">
        <v>18949</v>
      </c>
      <c r="H71" s="5">
        <v>21000</v>
      </c>
      <c r="I71" s="5">
        <v>24518</v>
      </c>
      <c r="J71" s="5">
        <v>27252</v>
      </c>
      <c r="K71" s="5">
        <v>30285</v>
      </c>
      <c r="L71" s="5">
        <v>29971</v>
      </c>
      <c r="M71" s="5">
        <v>32254</v>
      </c>
    </row>
    <row r="72" spans="1:13" ht="14.25" customHeight="1" x14ac:dyDescent="0.3">
      <c r="A72" t="s">
        <v>206</v>
      </c>
      <c r="B72" s="5" t="s">
        <v>36</v>
      </c>
      <c r="C72" s="5" t="s">
        <v>36</v>
      </c>
      <c r="D72" s="5" t="s">
        <v>36</v>
      </c>
      <c r="E72" s="5" t="s">
        <v>36</v>
      </c>
      <c r="F72" s="5" t="s">
        <v>36</v>
      </c>
      <c r="G72" s="5" t="s">
        <v>36</v>
      </c>
      <c r="H72" s="5" t="s">
        <v>36</v>
      </c>
      <c r="I72" s="5" t="s">
        <v>36</v>
      </c>
      <c r="J72" s="5" t="s">
        <v>36</v>
      </c>
      <c r="K72" s="5" t="s">
        <v>36</v>
      </c>
      <c r="L72" s="5" t="s">
        <v>36</v>
      </c>
      <c r="M72" s="5" t="s">
        <v>36</v>
      </c>
    </row>
    <row r="73" spans="1:13" ht="14.25" customHeight="1" x14ac:dyDescent="0.3">
      <c r="A73" t="s">
        <v>241</v>
      </c>
      <c r="B73">
        <v>31534</v>
      </c>
      <c r="C73">
        <v>27088</v>
      </c>
      <c r="D73">
        <v>25946</v>
      </c>
      <c r="E73">
        <v>22097</v>
      </c>
      <c r="F73">
        <v>19717</v>
      </c>
      <c r="G73">
        <v>17225</v>
      </c>
      <c r="H73">
        <v>19287</v>
      </c>
      <c r="I73">
        <v>23158</v>
      </c>
      <c r="J73">
        <v>26490</v>
      </c>
      <c r="K73">
        <v>30317</v>
      </c>
      <c r="L73">
        <v>30935</v>
      </c>
      <c r="M73">
        <v>31977</v>
      </c>
    </row>
    <row r="74" spans="1:13" ht="14.25" customHeight="1" x14ac:dyDescent="0.3">
      <c r="A74" t="s">
        <v>228</v>
      </c>
      <c r="B74">
        <v>32305</v>
      </c>
      <c r="C74">
        <v>29685</v>
      </c>
      <c r="D74">
        <v>31046</v>
      </c>
      <c r="E74">
        <v>28456</v>
      </c>
      <c r="F74">
        <v>28669</v>
      </c>
      <c r="G74">
        <v>26032</v>
      </c>
      <c r="H74">
        <v>28480</v>
      </c>
      <c r="I74">
        <v>31722</v>
      </c>
      <c r="J74">
        <v>32846</v>
      </c>
      <c r="K74">
        <v>34908</v>
      </c>
      <c r="L74">
        <v>33468</v>
      </c>
      <c r="M74">
        <v>32717</v>
      </c>
    </row>
    <row r="75" spans="1:13" ht="14.25" customHeight="1" x14ac:dyDescent="0.3">
      <c r="A75" t="s">
        <v>244</v>
      </c>
      <c r="B75">
        <v>20178</v>
      </c>
      <c r="C75">
        <v>17954</v>
      </c>
      <c r="D75">
        <v>19150</v>
      </c>
      <c r="E75">
        <v>18060</v>
      </c>
      <c r="F75">
        <v>18124</v>
      </c>
      <c r="G75">
        <v>15908</v>
      </c>
      <c r="H75">
        <v>16827</v>
      </c>
      <c r="I75">
        <v>19405</v>
      </c>
      <c r="J75">
        <v>19981</v>
      </c>
      <c r="K75">
        <v>22401</v>
      </c>
      <c r="L75">
        <v>20125</v>
      </c>
      <c r="M75">
        <v>20771</v>
      </c>
    </row>
    <row r="76" spans="1:13" x14ac:dyDescent="0.3">
      <c r="A76" t="s">
        <v>271</v>
      </c>
      <c r="B76">
        <v>19301</v>
      </c>
      <c r="C76">
        <v>16753</v>
      </c>
      <c r="D76">
        <v>16260</v>
      </c>
      <c r="E76">
        <v>13800</v>
      </c>
      <c r="F76">
        <v>12669</v>
      </c>
      <c r="G76">
        <v>11099</v>
      </c>
      <c r="H76">
        <v>12207</v>
      </c>
      <c r="I76">
        <v>14565.3</v>
      </c>
      <c r="J76">
        <v>16481.3</v>
      </c>
      <c r="K76">
        <v>18948</v>
      </c>
      <c r="L76">
        <v>19155</v>
      </c>
      <c r="M76">
        <v>19406</v>
      </c>
    </row>
    <row r="77" spans="1:13" x14ac:dyDescent="0.3">
      <c r="A77" t="s">
        <v>251</v>
      </c>
      <c r="B77">
        <v>29390</v>
      </c>
      <c r="C77">
        <v>25795</v>
      </c>
      <c r="D77">
        <v>25594</v>
      </c>
      <c r="E77">
        <v>22145</v>
      </c>
      <c r="F77">
        <v>20838</v>
      </c>
      <c r="G77">
        <v>18631</v>
      </c>
      <c r="H77">
        <v>20290</v>
      </c>
      <c r="I77">
        <v>23679</v>
      </c>
      <c r="J77">
        <v>26288</v>
      </c>
      <c r="K77">
        <v>29851</v>
      </c>
      <c r="L77">
        <v>30171</v>
      </c>
      <c r="M77">
        <v>30447</v>
      </c>
    </row>
    <row r="78" spans="1:13" x14ac:dyDescent="0.3">
      <c r="A78" t="s">
        <v>250</v>
      </c>
      <c r="B78">
        <v>32086</v>
      </c>
      <c r="C78">
        <v>28761</v>
      </c>
      <c r="D78">
        <v>30379</v>
      </c>
      <c r="E78">
        <v>30915</v>
      </c>
      <c r="F78">
        <v>33245</v>
      </c>
      <c r="G78">
        <v>31827</v>
      </c>
      <c r="H78">
        <v>31168</v>
      </c>
      <c r="I78">
        <v>35166</v>
      </c>
      <c r="J78">
        <v>31389</v>
      </c>
      <c r="K78">
        <v>31629</v>
      </c>
      <c r="L78">
        <v>32213</v>
      </c>
      <c r="M78">
        <v>32115</v>
      </c>
    </row>
    <row r="79" spans="1:13" x14ac:dyDescent="0.3">
      <c r="A79" t="s">
        <v>1004</v>
      </c>
      <c r="B79">
        <v>6637</v>
      </c>
      <c r="C79">
        <v>5857</v>
      </c>
      <c r="D79">
        <v>5923</v>
      </c>
      <c r="E79">
        <v>5363</v>
      </c>
      <c r="F79">
        <v>5166</v>
      </c>
      <c r="G79">
        <v>4726</v>
      </c>
      <c r="H79">
        <v>5161</v>
      </c>
      <c r="I79">
        <v>5838</v>
      </c>
      <c r="J79">
        <v>6186</v>
      </c>
      <c r="K79">
        <v>6701</v>
      </c>
      <c r="L79">
        <v>6553</v>
      </c>
      <c r="M79">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6" t="s">
        <v>49</v>
      </c>
      <c r="B2" s="27" t="s">
        <v>875</v>
      </c>
      <c r="C2" s="28" cm="1">
        <f t="array" ref="C2">IFERROR(INDEX('Expected Production'!$B$2:$B$79,MATCH(TRIM($A2),INDEX(TRIM('Expected Production'!$A$2:$A$79),0),0)),"Not found")</f>
        <v>0.9</v>
      </c>
      <c r="D2" s="29" cm="1">
        <f t="array" aca="1" ref="D2" ca="1">_xlfn.IFNA(_xlfn.XLOOKUP(TRIM(A2),TRIM(site_tech_info!$A$2:$A$79),site_tech_info!$W$2:$W$79),"")</f>
        <v>1.7084188911704312</v>
      </c>
      <c r="E2" s="30" cm="1">
        <f t="array" ref="E2">IFERROR(SUM(INDEX('Simulated Production'!$B$2:$M$79,MATCH(TRIM($A2),INDEX(TRIM('Simulated Production'!$A$2:$A$79),0),0),0)),"Not found")</f>
        <v>63342</v>
      </c>
      <c r="F2" s="31">
        <f ca="1">(Table2[[#This Row],[As-Built kWh]]*Table2[[#This Row],[Expected Utilisation%]])*(1-0.007)^(Table2[[#This Row],[Age]])</f>
        <v>56327.739117440957</v>
      </c>
      <c r="G2" s="31">
        <f ca="1">(4681+4732*(9/31)+4546*(10/31)+4620*(3/30)+4991+4762)*(1-0.007)^(Table2[[#This Row],[Age]])</f>
        <v>17524.677626178745</v>
      </c>
      <c r="H2" s="30">
        <f ca="1">F2-G2</f>
        <v>38803.061491262211</v>
      </c>
      <c r="I2" s="30" cm="1">
        <f t="array" ref="I2">SUMPRODUCT((TRIM(measured[Site Name])=TRIM($A2))*(measured[Date]&gt;=DATE(2025,7,1))*(measured[Date]&lt;=DATE(2026,6,30))*measured[Measured Value (kWh)])</f>
        <v>34917.199999999997</v>
      </c>
      <c r="J2" s="30">
        <f ca="1">I2-H2</f>
        <v>-3885.8614912622143</v>
      </c>
      <c r="K2" s="30">
        <f ca="1">(Table2[[#This Row],[Actual Generation (kWh)]]/Table2[[#This Row],[Correct kWh]])*100</f>
        <v>89.985683237552678</v>
      </c>
      <c r="L2" s="27" t="s">
        <v>983</v>
      </c>
    </row>
    <row r="3" spans="1:12" x14ac:dyDescent="0.3">
      <c r="A3" s="26" t="s">
        <v>81</v>
      </c>
      <c r="B3" s="27" t="s">
        <v>875</v>
      </c>
      <c r="C3" s="28" cm="1">
        <f t="array" ref="C3">IFERROR(INDEX('Expected Production'!$B$2:$B$79,MATCH(TRIM($A3),INDEX(TRIM('Expected Production'!$A$2:$A$79),0),0)),"Not found")</f>
        <v>0.9</v>
      </c>
      <c r="D3" s="29" cm="1">
        <f t="array" aca="1" ref="D3" ca="1">_xlfn.IFNA(_xlfn.XLOOKUP(TRIM(A3),TRIM(site_tech_info!$A$2:$A$79),site_tech_info!$W$2:$W$79),"")</f>
        <v>2.2203969883641341</v>
      </c>
      <c r="E3" s="30" cm="1">
        <f t="array" ref="E3">IFERROR(SUM(INDEX('Simulated Production'!$B$2:$M$79,MATCH(TRIM($A3),INDEX(TRIM('Simulated Production'!$A$2:$A$79),0),0),0)),"Not found")</f>
        <v>94580</v>
      </c>
      <c r="F3" s="31">
        <f ca="1">(Table2[[#This Row],[As-Built kWh]]*Table2[[#This Row],[Expected Utilisation%]])*(1-0.007)^(Table2[[#This Row],[Age]])</f>
        <v>83804.615849506605</v>
      </c>
      <c r="G3" s="31">
        <f ca="1">(8100*(1/2)+7806*(1/2))*(1-0.007)^(Table2[[#This Row],[Age]])</f>
        <v>7829.9160011645172</v>
      </c>
      <c r="H3" s="30">
        <f t="shared" ref="H3:H24" ca="1" si="0">F3-G3</f>
        <v>75974.69984834209</v>
      </c>
      <c r="I3" s="30" cm="1">
        <f t="array" ref="I3">SUMPRODUCT((TRIM(measured[Site Name])=TRIM($A3))*(measured[Date]&gt;=DATE(2025,7,1))*(measured[Date]&lt;=DATE(2026,6,30))*measured[Measured Value (kWh)])</f>
        <v>76046.755900000004</v>
      </c>
      <c r="J3" s="30">
        <f t="shared" ref="J3:J23" ca="1" si="1">I3-H3</f>
        <v>72.056051657913486</v>
      </c>
      <c r="K3" s="30">
        <f ca="1">(Table2[[#This Row],[Actual Generation (kWh)]]/Table2[[#This Row],[Correct kWh]])*100</f>
        <v>100.09484216693419</v>
      </c>
      <c r="L3" s="27" t="s">
        <v>980</v>
      </c>
    </row>
    <row r="4" spans="1:12" x14ac:dyDescent="0.3">
      <c r="A4" s="26" t="s">
        <v>95</v>
      </c>
      <c r="B4" s="27" t="s">
        <v>875</v>
      </c>
      <c r="C4" s="28" cm="1">
        <f t="array" ref="C4">IFERROR(INDEX('Expected Production'!$B$2:$B$79,MATCH(TRIM($A4),INDEX(TRIM('Expected Production'!$A$2:$A$79),0),0)),"Not found")</f>
        <v>0.8</v>
      </c>
      <c r="D4" s="29" cm="1">
        <f t="array" aca="1" ref="D4" ca="1">_xlfn.IFNA(_xlfn.XLOOKUP(TRIM(A4),TRIM(site_tech_info!$A$2:$A$79),site_tech_info!$W$2:$W$79),"")</f>
        <v>2.2505133470225873</v>
      </c>
      <c r="E4" s="30" cm="1">
        <f t="array" ref="E4">IFERROR(SUM(INDEX('Simulated Production'!$B$2:$M$79,MATCH(TRIM($A4),INDEX(TRIM('Simulated Production'!$A$2:$A$79),0),0),0)),"Not found")</f>
        <v>428379</v>
      </c>
      <c r="F4" s="31">
        <f ca="1">(Table2[[#This Row],[As-Built kWh]]*Table2[[#This Row],[Expected Utilisation%]])*(1-0.007)^(Table2[[#This Row],[Age]])</f>
        <v>337328.00877021445</v>
      </c>
      <c r="G4" s="31">
        <f ca="1">(23255*(7/30)+35066*(2/30))*(1-0.007)^(Table2[[#This Row],[Age]])</f>
        <v>7642.1256856984937</v>
      </c>
      <c r="H4" s="30">
        <f t="shared" ca="1" si="0"/>
        <v>329685.88308451598</v>
      </c>
      <c r="I4" s="30" cm="1">
        <f t="array" ref="I4">SUMPRODUCT((TRIM(measured[Site Name])=TRIM($A4))*(measured[Date]&gt;=DATE(2025,7,1))*(measured[Date]&lt;=DATE(2026,6,30))*measured[Measured Value (kWh)])</f>
        <v>166060.42000000001</v>
      </c>
      <c r="J4" s="30">
        <f t="shared" ca="1" si="1"/>
        <v>-163625.46308451597</v>
      </c>
      <c r="K4" s="30">
        <f ca="1">(Table2[[#This Row],[Actual Generation (kWh)]]/Table2[[#This Row],[Correct kWh]])*100</f>
        <v>50.369284376495408</v>
      </c>
      <c r="L4" s="27" t="s">
        <v>981</v>
      </c>
    </row>
    <row r="5" spans="1:12" x14ac:dyDescent="0.3">
      <c r="A5" s="35" t="s">
        <v>104</v>
      </c>
      <c r="B5" s="36" t="s">
        <v>875</v>
      </c>
      <c r="C5" s="37" cm="1">
        <f t="array" ref="C5">IFERROR(INDEX('Expected Production'!$B$2:$B$79,MATCH(TRIM($A5),INDEX(TRIM('Expected Production'!$A$2:$A$79),0),0)),"Not found")</f>
        <v>0.9</v>
      </c>
      <c r="D5" s="38" cm="1">
        <f t="array" aca="1" ref="D5" ca="1">_xlfn.IFNA(_xlfn.XLOOKUP(TRIM(A5),TRIM(site_tech_info!$A$2:$A$79),site_tech_info!$W$2:$W$79),"")</f>
        <v>3.3100616016427105</v>
      </c>
      <c r="E5" s="39" cm="1">
        <f t="array" ref="E5">IFERROR(SUM(INDEX('Simulated Production'!$B$2:$M$79,MATCH(TRIM($A5),INDEX(TRIM('Simulated Production'!$A$2:$A$79),0),0),0)),"Not found")</f>
        <v>45617</v>
      </c>
      <c r="F5" s="40">
        <f ca="1">(Table2[[#This Row],[As-Built kWh]]*Table2[[#This Row],[Expected Utilisation%]])*(1-0.007)^(Table2[[#This Row],[Age]])</f>
        <v>40111.698712666475</v>
      </c>
      <c r="G5" s="40">
        <f ca="1">(4681+3499*(9/31)+2081*(10/31)+4317*(3/30)+4991*(18/31))*(1-0.007)^(Table2[[#This Row],[Age]])</f>
        <v>9474.9373724923553</v>
      </c>
      <c r="H5" s="39">
        <f t="shared" ca="1" si="0"/>
        <v>30636.761340174118</v>
      </c>
      <c r="I5" s="39" cm="1">
        <f t="array" ref="I5">SUMPRODUCT((TRIM(measured[Site Name])=TRIM($A5))*(measured[Date]&gt;=DATE(2025,7,1))*(measured[Date]&lt;=DATE(2026,6,30))*measured[Measured Value (kWh)])</f>
        <v>24341.599999999999</v>
      </c>
      <c r="J5" s="39">
        <f t="shared" ca="1" si="1"/>
        <v>-6295.1613401741197</v>
      </c>
      <c r="K5" s="39">
        <f ca="1">(Table2[[#This Row],[Actual Generation (kWh)]]/Table2[[#This Row],[Correct kWh]])*100</f>
        <v>79.452262364562515</v>
      </c>
    </row>
    <row r="6" spans="1:12" x14ac:dyDescent="0.3">
      <c r="A6" s="1" t="s">
        <v>107</v>
      </c>
      <c r="B6" t="s">
        <v>875</v>
      </c>
      <c r="C6" s="9" cm="1">
        <f t="array" ref="C6">IFERROR(INDEX('Expected Production'!$B$2:$B$79,MATCH(TRIM($A6),INDEX(TRIM('Expected Production'!$A$2:$A$79),0),0)),"Not found")</f>
        <v>0.9</v>
      </c>
      <c r="D6" s="20" cm="1">
        <f t="array" aca="1" ref="D6" ca="1">_xlfn.IFNA(_xlfn.XLOOKUP(TRIM(A6),TRIM(site_tech_info!$A$2:$A$79),site_tech_info!$W$2:$W$79),"")</f>
        <v>3.3127994524298425</v>
      </c>
      <c r="E6" s="14" cm="1">
        <f t="array" ref="E6">IFERROR(SUM(INDEX('Simulated Production'!$B$2:$M$79,MATCH(TRIM($A6),INDEX(TRIM('Simulated Production'!$A$2:$A$79),0),0),0)),"Not found")</f>
        <v>40942</v>
      </c>
      <c r="F6" s="5">
        <f ca="1">(Table2[[#This Row],[As-Built kWh]]*Table2[[#This Row],[Expected Utilisation%]])*(1-0.007)^(Table2[[#This Row],[Age]])</f>
        <v>36000.210110573476</v>
      </c>
      <c r="G6" s="5">
        <f ca="1">(2974*(24/31)+3147*(2/30))*(1-0.007)^(Table2[[#This Row],[Age]])</f>
        <v>2454.4636563144404</v>
      </c>
      <c r="H6" s="14">
        <f t="shared" ca="1" si="0"/>
        <v>33545.746454259039</v>
      </c>
      <c r="I6" s="14" cm="1">
        <f t="array" ref="I6">SUMPRODUCT((TRIM(measured[Site Name])=TRIM($A6))*(measured[Date]&gt;=DATE(2025,7,1))*(measured[Date]&lt;=DATE(2026,6,30))*measured[Measured Value (kWh)])</f>
        <v>32105.499999999996</v>
      </c>
      <c r="J6" s="14">
        <f t="shared" ca="1" si="1"/>
        <v>-1440.2464542590424</v>
      </c>
      <c r="K6" s="14">
        <f ca="1">(Table2[[#This Row],[Actual Generation (kWh)]]/Table2[[#This Row],[Correct kWh]])*100</f>
        <v>95.706619746193823</v>
      </c>
      <c r="L6" t="s">
        <v>880</v>
      </c>
    </row>
    <row r="7" spans="1:12" x14ac:dyDescent="0.3">
      <c r="A7" s="26" t="s">
        <v>114</v>
      </c>
      <c r="B7" s="27" t="s">
        <v>875</v>
      </c>
      <c r="C7" s="28" cm="1">
        <f t="array" ref="C7">IFERROR(INDEX('Expected Production'!$B$2:$B$79,MATCH(TRIM($A7),INDEX(TRIM('Expected Production'!$A$2:$A$79),0),0)),"Not found")</f>
        <v>0.85</v>
      </c>
      <c r="D7" s="29" cm="1">
        <f t="array" aca="1" ref="D7" ca="1">_xlfn.IFNA(_xlfn.XLOOKUP(TRIM(A7),TRIM(site_tech_info!$A$2:$A$79),site_tech_info!$W$2:$W$79),"")</f>
        <v>3.3566050650239561</v>
      </c>
      <c r="E7" s="30" cm="1">
        <f t="array" ref="E7">IFERROR(SUM(INDEX('Simulated Production'!$B$2:$M$79,MATCH(TRIM($A7),INDEX(TRIM('Simulated Production'!$A$2:$A$79),0),0),0)),"Not found")</f>
        <v>319608</v>
      </c>
      <c r="F7" s="31">
        <f ca="1">(Table2[[#This Row],[As-Built kWh]]*Table2[[#This Row],[Expected Utilisation%]])*(1-0.007)^(Table2[[#This Row],[Age]])</f>
        <v>265336.13529907825</v>
      </c>
      <c r="G7" s="31">
        <v>0</v>
      </c>
      <c r="H7" s="30">
        <f t="shared" ca="1" si="0"/>
        <v>265336.13529907825</v>
      </c>
      <c r="I7" s="30" cm="1">
        <f t="array" ref="I7">SUMPRODUCT((TRIM(measured[Site Name])=TRIM($A7))*(measured[Date]&gt;=DATE(2025,7,1))*(measured[Date]&lt;=DATE(2026,6,30))*measured[Measured Value (kWh)])</f>
        <v>254905.02</v>
      </c>
      <c r="J7" s="30">
        <f t="shared" ca="1" si="1"/>
        <v>-10431.115299078258</v>
      </c>
      <c r="K7" s="30">
        <f ca="1">(Table2[[#This Row],[Actual Generation (kWh)]]/Table2[[#This Row],[Correct kWh]])*100</f>
        <v>96.068716653568259</v>
      </c>
      <c r="L7" s="27" t="s">
        <v>984</v>
      </c>
    </row>
    <row r="8" spans="1:12" x14ac:dyDescent="0.3">
      <c r="A8" s="26" t="s">
        <v>117</v>
      </c>
      <c r="B8" s="27" t="s">
        <v>875</v>
      </c>
      <c r="C8" s="28" cm="1">
        <f t="array" ref="C8">IFERROR(INDEX('Expected Production'!$B$2:$B$79,MATCH(TRIM($A8),INDEX(TRIM('Expected Production'!$A$2:$A$79),0),0)),"Not found")</f>
        <v>0.9</v>
      </c>
      <c r="D8" s="29" cm="1">
        <f t="array" aca="1" ref="D8" ca="1">_xlfn.IFNA(_xlfn.XLOOKUP(TRIM(A8),TRIM(site_tech_info!$A$2:$A$79),site_tech_info!$W$2:$W$79),"")</f>
        <v>2.2422997946611911</v>
      </c>
      <c r="E8" s="30" cm="1">
        <f t="array" ref="E8">IFERROR(SUM(INDEX('Simulated Production'!$B$2:$M$79,MATCH(TRIM($A8),INDEX(TRIM('Simulated Production'!$A$2:$A$79),0),0),0)),"Not found")</f>
        <v>355254</v>
      </c>
      <c r="F8" s="31">
        <f ca="1">(Table2[[#This Row],[As-Built kWh]]*Table2[[#This Row],[Expected Utilisation%]])*(1-0.007)^(Table2[[#This Row],[Age]])</f>
        <v>314731.91667693009</v>
      </c>
      <c r="G8" s="31">
        <f ca="1">((22354*(0.5)+26969*(7/31))*(1-0.007)^(Table2[[#This Row],[Age]]))*(1-0.007)^(Table2[[#This Row],[Age]])</f>
        <v>16731.304785823868</v>
      </c>
      <c r="H8" s="30">
        <f t="shared" ca="1" si="0"/>
        <v>298000.61189110624</v>
      </c>
      <c r="I8" s="30" cm="1">
        <f t="array" ref="I8">SUMPRODUCT((TRIM(measured[Site Name])=TRIM($A8))*(measured[Date]&gt;=DATE(2025,7,1))*(measured[Date]&lt;=DATE(2026,6,30))*measured[Measured Value (kWh)])</f>
        <v>271722.179</v>
      </c>
      <c r="J8" s="30">
        <f t="shared" ca="1" si="1"/>
        <v>-26278.432891106233</v>
      </c>
      <c r="K8" s="30">
        <f ca="1">(Table2[[#This Row],[Actual Generation (kWh)]]/Table2[[#This Row],[Correct kWh]])*100</f>
        <v>91.18175203589557</v>
      </c>
      <c r="L8" s="27" t="s">
        <v>988</v>
      </c>
    </row>
    <row r="9" spans="1:12" s="27" customFormat="1" x14ac:dyDescent="0.3">
      <c r="A9" s="26" t="s">
        <v>127</v>
      </c>
      <c r="B9" s="27" t="s">
        <v>875</v>
      </c>
      <c r="C9" s="28" cm="1">
        <f t="array" ref="C9">IFERROR(INDEX('Expected Production'!$B$2:$B$79,MATCH(TRIM($A9),INDEX(TRIM('Expected Production'!$A$2:$A$79),0),0)),"Not found")</f>
        <v>0.8</v>
      </c>
      <c r="D9" s="29" cm="1">
        <f t="array" aca="1" ref="D9" ca="1">_xlfn.IFNA(_xlfn.XLOOKUP(TRIM(A9),TRIM(site_tech_info!$A$2:$A$79),site_tech_info!$W$2:$W$79),"")</f>
        <v>2.4175222450376452</v>
      </c>
      <c r="E9" s="30" cm="1">
        <f t="array" ref="E9">IFERROR(SUM(INDEX('Simulated Production'!$B$2:$M$79,MATCH(TRIM($A9),INDEX(TRIM('Simulated Production'!$A$2:$A$79),0),0),0)),"Not found")</f>
        <v>200775</v>
      </c>
      <c r="F9" s="31">
        <f ca="1">(Table2[[#This Row],[As-Built kWh]]*Table2[[#This Row],[Expected Utilisation%]])*(1-0.007)^(Table2[[#This Row],[Age]])</f>
        <v>157915.35535719688</v>
      </c>
      <c r="G9" s="31">
        <f ca="1">('Expected Production'!I33*0.5+'Expected Production'!C33*0.8)*(1-0.007)^(Table2[[#This Row],[Age]])</f>
        <v>17820.937602175374</v>
      </c>
      <c r="H9" s="30">
        <f t="shared" ca="1" si="0"/>
        <v>140094.41775502151</v>
      </c>
      <c r="I9" s="30" cm="1">
        <f t="array" ref="I9">SUMPRODUCT((TRIM(measured[Site Name])=TRIM($A9))*(measured[Date]&gt;=DATE(2025,7,1))*(measured[Date]&lt;=DATE(2026,6,30))*measured[Measured Value (kWh)])</f>
        <v>147166.31</v>
      </c>
      <c r="J9" s="30">
        <f t="shared" ca="1" si="1"/>
        <v>7071.8922449784877</v>
      </c>
      <c r="K9" s="30">
        <f ca="1">(Table2[[#This Row],[Actual Generation (kWh)]]/Table2[[#This Row],[Correct kWh]])*100</f>
        <v>105.04794720468082</v>
      </c>
      <c r="L9" s="27" t="s">
        <v>989</v>
      </c>
    </row>
    <row r="10" spans="1:12" s="27" customFormat="1" x14ac:dyDescent="0.3">
      <c r="A10" s="26" t="s">
        <v>131</v>
      </c>
      <c r="B10" s="27" t="s">
        <v>875</v>
      </c>
      <c r="C10" s="28" cm="1">
        <f t="array" ref="C10">IFERROR(INDEX('Expected Production'!$B$2:$B$79,MATCH(TRIM($A10),INDEX(TRIM('Expected Production'!$A$2:$A$79),0),0)),"Not found")</f>
        <v>0.9</v>
      </c>
      <c r="D10" s="29" cm="1">
        <f t="array" aca="1" ref="D10" ca="1">_xlfn.IFNA(_xlfn.XLOOKUP(TRIM(A10),TRIM(site_tech_info!$A$2:$A$79),site_tech_info!$W$2:$W$79),"")</f>
        <v>2.8309377138945928</v>
      </c>
      <c r="E10" s="30" cm="1">
        <f t="array" ref="E10">IFERROR(SUM(INDEX('Simulated Production'!$B$2:$M$79,MATCH(TRIM($A10),INDEX(TRIM('Simulated Production'!$A$2:$A$79),0),0),0)),"Not found")</f>
        <v>73186</v>
      </c>
      <c r="F10" s="31">
        <f ca="1">(Table2[[#This Row],[As-Built kWh]]*Table2[[#This Row],[Expected Utilisation%]])*(1-0.007)^(Table2[[#This Row],[Age]])</f>
        <v>64570.482739903127</v>
      </c>
      <c r="G10" s="31">
        <v>0</v>
      </c>
      <c r="H10" s="30">
        <f t="shared" ca="1" si="0"/>
        <v>64570.482739903127</v>
      </c>
      <c r="I10" s="30" cm="1">
        <f t="array" ref="I10">SUMPRODUCT((TRIM(measured[Site Name])=TRIM($A10))*(measured[Date]&gt;=DATE(2025,7,1))*(measured[Date]&lt;=DATE(2026,6,30))*measured[Measured Value (kWh)])</f>
        <v>61467.39</v>
      </c>
      <c r="J10" s="30">
        <f t="shared" ca="1" si="1"/>
        <v>-3103.0927399031279</v>
      </c>
      <c r="K10" s="30">
        <f ca="1">(Table2[[#This Row],[Actual Generation (kWh)]]/Table2[[#This Row],[Correct kWh]])*100</f>
        <v>95.194255009053094</v>
      </c>
      <c r="L10" s="27" t="s">
        <v>981</v>
      </c>
    </row>
    <row r="11" spans="1:12" x14ac:dyDescent="0.3">
      <c r="A11" s="1" t="s">
        <v>142</v>
      </c>
      <c r="B11" t="s">
        <v>875</v>
      </c>
      <c r="C11" s="9" cm="1">
        <f t="array" ref="C11">IFERROR(INDEX('Expected Production'!$B$2:$B$79,MATCH(TRIM($A11),INDEX(TRIM('Expected Production'!$A$2:$A$79),0),0)),"Not found")</f>
        <v>0.9</v>
      </c>
      <c r="D11" s="20" cm="1">
        <f t="array" aca="1" ref="D11" ca="1">_xlfn.IFNA(_xlfn.XLOOKUP(TRIM(A11),TRIM(site_tech_info!$A$2:$A$79),site_tech_info!$W$2:$W$79),"")</f>
        <v>3.0335386721423681</v>
      </c>
      <c r="E11" s="14" cm="1">
        <f t="array" ref="E11">IFERROR(SUM(INDEX('Simulated Production'!$B$2:$M$79,MATCH(TRIM($A11),INDEX(TRIM('Simulated Production'!$A$2:$A$79),0),0),0)),"Not found")</f>
        <v>66026</v>
      </c>
      <c r="F11" s="5">
        <f ca="1">(Table2[[#This Row],[As-Built kWh]]*Table2[[#This Row],[Expected Utilisation%]])*(1-0.007)^(Table2[[#This Row],[Age]])</f>
        <v>58170.517086941662</v>
      </c>
      <c r="G11" s="5">
        <v>0</v>
      </c>
      <c r="H11" s="14">
        <f t="shared" ca="1" si="0"/>
        <v>58170.517086941662</v>
      </c>
      <c r="I11" s="14" cm="1">
        <f t="array" ref="I11">SUMPRODUCT((TRIM(measured[Site Name])=TRIM($A11))*(measured[Date]&gt;=DATE(2025,7,1))*(measured[Date]&lt;=DATE(2026,6,30))*measured[Measured Value (kWh)])</f>
        <v>46668.700000000004</v>
      </c>
      <c r="J11" s="14">
        <f t="shared" ca="1" si="1"/>
        <v>-11501.817086941657</v>
      </c>
      <c r="K11" s="14">
        <f ca="1">(Table2[[#This Row],[Actual Generation (kWh)]]/Table2[[#This Row],[Correct kWh]])*100</f>
        <v>80.227411302273552</v>
      </c>
      <c r="L11" t="s">
        <v>880</v>
      </c>
    </row>
    <row r="12" spans="1:12" x14ac:dyDescent="0.3">
      <c r="A12" s="1" t="s">
        <v>149</v>
      </c>
      <c r="B12" t="s">
        <v>875</v>
      </c>
      <c r="C12" s="9" cm="1">
        <f t="array" ref="C12">IFERROR(INDEX('Expected Production'!$B$2:$B$79,MATCH(TRIM($A12),INDEX(TRIM('Expected Production'!$A$2:$A$79),0),0)),"Not found")</f>
        <v>0.75</v>
      </c>
      <c r="D12" s="20" cm="1">
        <f t="array" aca="1" ref="D12" ca="1">_xlfn.IFNA(_xlfn.XLOOKUP(TRIM(A12),TRIM(site_tech_info!$A$2:$A$79),site_tech_info!$W$2:$W$79),"")</f>
        <v>4.3641341546885695</v>
      </c>
      <c r="E12" s="14" cm="1">
        <f t="array" ref="E12">IFERROR(SUM(INDEX('Simulated Production'!$B$2:$M$79,MATCH(TRIM($A12),INDEX(TRIM('Simulated Production'!$A$2:$A$79),0),0),0)),"Not found")</f>
        <v>125072.49999999997</v>
      </c>
      <c r="F12" s="5">
        <f ca="1">(Table2[[#This Row],[As-Built kWh]]*Table2[[#This Row],[Expected Utilisation%]])*(1-0.007)^(Table2[[#This Row],[Age]])</f>
        <v>90972.306383606381</v>
      </c>
      <c r="G12" s="5">
        <f ca="1">(5691*0.3*(1-0.007)^(Table2[[#This Row],[Age]]))*(1-0.007)^(Table2[[#This Row],[Age]])</f>
        <v>1605.765277498366</v>
      </c>
      <c r="H12" s="14">
        <f t="shared" ca="1" si="0"/>
        <v>89366.541106108009</v>
      </c>
      <c r="I12" s="14" cm="1">
        <f t="array" ref="I12">SUMPRODUCT((TRIM(measured[Site Name])=TRIM($A12))*(measured[Date]&gt;=DATE(2025,7,1))*(measured[Date]&lt;=DATE(2026,6,30))*measured[Measured Value (kWh)])</f>
        <v>72438</v>
      </c>
      <c r="J12" s="14">
        <f t="shared" ca="1" si="1"/>
        <v>-16928.541106108009</v>
      </c>
      <c r="K12" s="14">
        <f ca="1">(Table2[[#This Row],[Actual Generation (kWh)]]/Table2[[#This Row],[Correct kWh]])*100</f>
        <v>81.057182143809101</v>
      </c>
      <c r="L12" t="s">
        <v>880</v>
      </c>
    </row>
    <row r="13" spans="1:12" x14ac:dyDescent="0.3">
      <c r="A13" s="1" t="s">
        <v>160</v>
      </c>
      <c r="B13" t="s">
        <v>875</v>
      </c>
      <c r="C13" s="9" cm="1">
        <f t="array" ref="C13">IFERROR(INDEX('Expected Production'!$B$2:$B$79,MATCH(TRIM($A13),INDEX(TRIM('Expected Production'!$A$2:$A$79),0),0)),"Not found")</f>
        <v>0.85</v>
      </c>
      <c r="D13" s="20" cm="1">
        <f t="array" aca="1" ref="D13" ca="1">_xlfn.IFNA(_xlfn.XLOOKUP(TRIM(A13),TRIM(site_tech_info!$A$2:$A$79),site_tech_info!$W$2:$W$79),"")</f>
        <v>3.3511293634496919</v>
      </c>
      <c r="E13" s="14" cm="1">
        <f t="array" ref="E13">IFERROR(SUM(INDEX('Simulated Production'!$B$2:$M$79,MATCH(TRIM($A13),INDEX(TRIM('Simulated Production'!$A$2:$A$79),0),0),0)),"Not found")</f>
        <v>225937</v>
      </c>
      <c r="F13" s="5">
        <f ca="1">(Table2[[#This Row],[As-Built kWh]]*Table2[[#This Row],[Expected Utilisation%]])*(1-0.007)^(Table2[[#This Row],[Age]])</f>
        <v>187578.39720862164</v>
      </c>
      <c r="G13" s="5">
        <v>0</v>
      </c>
      <c r="H13" s="14">
        <f t="shared" ca="1" si="0"/>
        <v>187578.39720862164</v>
      </c>
      <c r="I13" s="14" cm="1">
        <f t="array" ref="I13">SUMPRODUCT((TRIM(measured[Site Name])=TRIM($A13))*(measured[Date]&gt;=DATE(2025,7,1))*(measured[Date]&lt;=DATE(2026,6,30))*measured[Measured Value (kWh)])</f>
        <v>176720.45</v>
      </c>
      <c r="J13" s="14">
        <f t="shared" ca="1" si="1"/>
        <v>-10857.947208621626</v>
      </c>
      <c r="K13" s="14">
        <f ca="1">(Table2[[#This Row],[Actual Generation (kWh)]]/Table2[[#This Row],[Correct kWh]])*100</f>
        <v>94.211515094381795</v>
      </c>
      <c r="L13" t="s">
        <v>880</v>
      </c>
    </row>
    <row r="14" spans="1:12" x14ac:dyDescent="0.3">
      <c r="A14" s="1" t="s">
        <v>194</v>
      </c>
      <c r="B14" t="s">
        <v>875</v>
      </c>
      <c r="C14" s="9" cm="1">
        <f t="array" ref="C14">IFERROR(INDEX('Expected Production'!$B$2:$B$79,MATCH(TRIM($A14),INDEX(TRIM('Expected Production'!$A$2:$A$79),0),0)),"Not found")</f>
        <v>0.92500000000000004</v>
      </c>
      <c r="D14" s="20" cm="1">
        <f t="array" aca="1" ref="D14" ca="1">_xlfn.IFNA(_xlfn.XLOOKUP(TRIM(A14),TRIM(site_tech_info!$A$2:$A$79),site_tech_info!$W$2:$W$79),"")</f>
        <v>3.3237508555783708</v>
      </c>
      <c r="E14" s="14" cm="1">
        <f t="array" ref="E14">IFERROR(SUM(INDEX('Simulated Production'!$B$2:$M$79,MATCH(TRIM($A14),INDEX(TRIM('Simulated Production'!$A$2:$A$79),0),0),0)),"Not found")</f>
        <v>81158</v>
      </c>
      <c r="F14" s="5">
        <f ca="1">(Table2[[#This Row],[As-Built kWh]]*Table2[[#This Row],[Expected Utilisation%]])*(1-0.007)^(Table2[[#This Row],[Age]])</f>
        <v>73338.687075633759</v>
      </c>
      <c r="G14" s="5">
        <v>0</v>
      </c>
      <c r="H14" s="14">
        <f t="shared" ca="1" si="0"/>
        <v>73338.687075633759</v>
      </c>
      <c r="I14" s="14" cm="1">
        <f t="array" ref="I14">SUMPRODUCT((TRIM(measured[Site Name])=TRIM($A14))*(measured[Date]&gt;=DATE(2025,7,1))*(measured[Date]&lt;=DATE(2026,6,30))*measured[Measured Value (kWh)])</f>
        <v>56043.3</v>
      </c>
      <c r="J14" s="14">
        <f t="shared" ca="1" si="1"/>
        <v>-17295.387075633756</v>
      </c>
      <c r="K14" s="14">
        <f ca="1">(Table2[[#This Row],[Actual Generation (kWh)]]/Table2[[#This Row],[Correct kWh]])*100</f>
        <v>76.417102943502215</v>
      </c>
      <c r="L14" t="s">
        <v>880</v>
      </c>
    </row>
    <row r="15" spans="1:12" x14ac:dyDescent="0.3">
      <c r="A15" s="1" t="s">
        <v>202</v>
      </c>
      <c r="B15" t="s">
        <v>875</v>
      </c>
      <c r="C15" s="9" cm="1">
        <f t="array" ref="C15">IFERROR(INDEX('Expected Production'!$B$2:$B$79,MATCH(TRIM($A15),INDEX(TRIM('Expected Production'!$A$2:$A$79),0),0)),"Not found")</f>
        <v>0.9</v>
      </c>
      <c r="D15" s="20" t="str" cm="1">
        <f t="array" ref="D15">_xlfn.IFNA(_xlfn.XLOOKUP(TRIM(A15),TRIM(site_tech_info!$A$2:$A$79),site_tech_info!$W$2:$W$79),"")</f>
        <v/>
      </c>
      <c r="E15" s="14" cm="1">
        <f t="array" ref="E15">IFERROR(SUM(INDEX('Simulated Production'!$B$2:$M$79,MATCH(TRIM($A15),INDEX(TRIM('Simulated Production'!$A$2:$A$79),0),0),0)),"Not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Production'!$B$2:$B$79,MATCH(TRIM($A16),INDEX(TRIM('Expected Production'!$A$2:$A$79),0),0)),"Not found")</f>
        <v>0.9</v>
      </c>
      <c r="D16" s="20" cm="1">
        <f t="array" aca="1" ref="D16" ca="1">_xlfn.IFNA(_xlfn.XLOOKUP(TRIM(A16),TRIM(site_tech_info!$A$2:$A$79),site_tech_info!$W$2:$W$79),"")</f>
        <v>1.0759753593429158</v>
      </c>
      <c r="E16" s="14" cm="1">
        <f t="array" ref="E16">IFERROR(SUM(INDEX('Simulated Production'!$B$2:$M$79,MATCH(TRIM($A16),INDEX(TRIM('Simulated Production'!$A$2:$A$79),0),0),0)),"Not found")</f>
        <v>102211</v>
      </c>
      <c r="F16" s="5">
        <f ca="1">(Table2[[#This Row],[As-Built kWh]]*Table2[[#This Row],[Expected Utilisation%]])*(1-0.007)^(Table2[[#This Row],[Age]])</f>
        <v>91297.232577508519</v>
      </c>
      <c r="G16" s="5">
        <f ca="1">(6087*(1-0.007)^(Table2[[#This Row],[Age]]))*(1-0.007)^(Table2[[#This Row],[Age]])</f>
        <v>5995.6770887750417</v>
      </c>
      <c r="H16" s="14">
        <f t="shared" ca="1" si="0"/>
        <v>85301.555488733473</v>
      </c>
      <c r="I16" s="14" cm="1">
        <f t="array" ref="I16">SUMPRODUCT((TRIM(measured[Site Name])=TRIM($A16))*(measured[Date]&gt;=DATE(2025,7,1))*(measured[Date]&lt;=DATE(2026,6,30))*measured[Measured Value (kWh)])</f>
        <v>77775.48</v>
      </c>
      <c r="J16" s="14">
        <f t="shared" ca="1" si="1"/>
        <v>-7526.075488733477</v>
      </c>
      <c r="K16" s="14">
        <f ca="1">(Table2[[#This Row],[Actual Generation (kWh)]]/Table2[[#This Row],[Correct kWh]])*100</f>
        <v>91.177094666547418</v>
      </c>
      <c r="L16" t="s">
        <v>880</v>
      </c>
    </row>
    <row r="17" spans="1:12" x14ac:dyDescent="0.3">
      <c r="A17" s="1" t="s">
        <v>218</v>
      </c>
      <c r="B17" t="s">
        <v>875</v>
      </c>
      <c r="C17" s="9" cm="1">
        <f t="array" ref="C17">IFERROR(INDEX('Expected Production'!$B$2:$B$79,MATCH(TRIM($A17),INDEX(TRIM('Expected Production'!$A$2:$A$79),0),0)),"Not found")</f>
        <v>0.9</v>
      </c>
      <c r="D17" s="20" cm="1">
        <f t="array" aca="1" ref="D17" ca="1">_xlfn.IFNA(_xlfn.XLOOKUP(TRIM(A17),TRIM(site_tech_info!$A$2:$A$79),site_tech_info!$W$2:$W$79),"")</f>
        <v>1.0759753593429158</v>
      </c>
      <c r="E17" s="14" cm="1">
        <f t="array" ref="E17">IFERROR(SUM(INDEX('Simulated Production'!$B$2:$M$79,MATCH(TRIM($A17),INDEX(TRIM('Simulated Production'!$A$2:$A$79),0),0),0)),"Not found")</f>
        <v>105762.7</v>
      </c>
      <c r="F17" s="5">
        <f ca="1">(Table2[[#This Row],[As-Built kWh]]*Table2[[#This Row],[Expected Utilisation%]])*(1-0.007)^(Table2[[#This Row],[Age]])</f>
        <v>94469.693280813794</v>
      </c>
      <c r="G17" s="5">
        <f ca="1">(6247*(1-0.007)^(Table2[[#This Row],[Age]]))*(1-0.007)^(Table2[[#This Row],[Age]])</f>
        <v>6153.2766179690634</v>
      </c>
      <c r="H17" s="14">
        <f t="shared" ca="1" si="0"/>
        <v>88316.416662844727</v>
      </c>
      <c r="I17" s="14" cm="1">
        <f t="array" ref="I17">SUMPRODUCT((TRIM(measured[Site Name])=TRIM($A17))*(measured[Date]&gt;=DATE(2025,7,1))*(measured[Date]&lt;=DATE(2026,6,30))*measured[Measured Value (kWh)])</f>
        <v>78264.639999999999</v>
      </c>
      <c r="J17" s="14">
        <f t="shared" ca="1" si="1"/>
        <v>-10051.776662844728</v>
      </c>
      <c r="K17" s="14">
        <f ca="1">(Table2[[#This Row],[Actual Generation (kWh)]]/Table2[[#This Row],[Correct kWh]])*100</f>
        <v>88.61845051841469</v>
      </c>
      <c r="L17" t="s">
        <v>880</v>
      </c>
    </row>
    <row r="18" spans="1:12" x14ac:dyDescent="0.3">
      <c r="A18" s="1" t="s">
        <v>220</v>
      </c>
      <c r="B18" t="s">
        <v>875</v>
      </c>
      <c r="C18" s="9" cm="1">
        <f t="array" ref="C18">IFERROR(INDEX('Expected Production'!$B$2:$B$79,MATCH(TRIM($A18),INDEX(TRIM('Expected Production'!$A$2:$A$79),0),0)),"Not found")</f>
        <v>0.9</v>
      </c>
      <c r="D18" s="20" cm="1">
        <f t="array" aca="1" ref="D18" ca="1">_xlfn.IFNA(_xlfn.XLOOKUP(TRIM(A18),TRIM(site_tech_info!$A$2:$A$79),site_tech_info!$W$2:$W$79),"")</f>
        <v>0.98015058179329229</v>
      </c>
      <c r="E18" s="14" cm="1">
        <f t="array" ref="E18">IFERROR(SUM(INDEX('Simulated Production'!$B$2:$M$79,MATCH(TRIM($A18),INDEX(TRIM('Simulated Production'!$A$2:$A$79),0),0),0)),"Not found")</f>
        <v>524973</v>
      </c>
      <c r="F18" s="5">
        <f ca="1">(Table2[[#This Row],[As-Built kWh]]*Table2[[#This Row],[Expected Utilisation%]])*(1-0.007)^(Table2[[#This Row],[Age]])</f>
        <v>469233.79292730236</v>
      </c>
      <c r="G18" s="5">
        <f ca="1">(31229+36815+40778+47657*(5/30))*(1-0.007)^(Table2[[#This Row],[Age]])</f>
        <v>115963.64770828278</v>
      </c>
      <c r="H18" s="14">
        <f t="shared" ca="1" si="0"/>
        <v>353270.14521901961</v>
      </c>
      <c r="I18" s="14" cm="1">
        <f t="array" ref="I18">SUMPRODUCT((TRIM(measured[Site Name])=TRIM($A18))*(measured[Date]&gt;=DATE(2025,7,1))*(measured[Date]&lt;=DATE(2026,6,30))*measured[Measured Value (kWh)])</f>
        <v>300497.95500000002</v>
      </c>
      <c r="J18" s="14">
        <f t="shared" ca="1" si="1"/>
        <v>-52772.190219019598</v>
      </c>
      <c r="K18" s="14">
        <f ca="1">(Table2[[#This Row],[Actual Generation (kWh)]]/Table2[[#This Row],[Correct kWh]])*100</f>
        <v>85.061803004524478</v>
      </c>
      <c r="L18" t="s">
        <v>880</v>
      </c>
    </row>
    <row r="19" spans="1:12" x14ac:dyDescent="0.3">
      <c r="A19" s="1" t="s">
        <v>222</v>
      </c>
      <c r="B19" t="s">
        <v>875</v>
      </c>
      <c r="C19" s="9" cm="1">
        <f t="array" ref="C19">IFERROR(INDEX('Expected Production'!$B$2:$B$79,MATCH(TRIM($A19),INDEX(TRIM('Expected Production'!$A$2:$A$79),0),0)),"Not found")</f>
        <v>0.9</v>
      </c>
      <c r="D19" s="20" cm="1">
        <f t="array" aca="1" ref="D19" ca="1">_xlfn.IFNA(_xlfn.XLOOKUP(TRIM(A19),TRIM(site_tech_info!$A$2:$A$79),site_tech_info!$W$2:$W$79),"")</f>
        <v>0.98015058179329229</v>
      </c>
      <c r="E19" s="14" cm="1">
        <f t="array" ref="E19">IFERROR(SUM(INDEX('Simulated Production'!$B$2:$M$79,MATCH(TRIM($A19),INDEX(TRIM('Simulated Production'!$A$2:$A$79),0),0),0)),"Not found")</f>
        <v>138565</v>
      </c>
      <c r="F19" s="5">
        <f ca="1">(Table2[[#This Row],[As-Built kWh]]*Table2[[#This Row],[Expected Utilisation%]])*(1-0.007)^(Table2[[#This Row],[Age]])</f>
        <v>123852.80865296243</v>
      </c>
      <c r="G19" s="5">
        <f ca="1">(8307+9721+10756+12191*(5/30))*(1-0.007)^(Table2[[#This Row],[Age]])</f>
        <v>30604.38951085864</v>
      </c>
      <c r="H19" s="14">
        <f t="shared" ca="1" si="0"/>
        <v>93248.419142103783</v>
      </c>
      <c r="I19" s="14" cm="1">
        <f t="array" ref="I19">SUMPRODUCT((TRIM(measured[Site Name])=TRIM($A19))*(measured[Date]&gt;=DATE(2025,7,1))*(measured[Date]&lt;=DATE(2026,6,30))*measured[Measured Value (kWh)])</f>
        <v>81974.632769999997</v>
      </c>
      <c r="J19" s="14">
        <f t="shared" ca="1" si="1"/>
        <v>-11273.786372103787</v>
      </c>
      <c r="K19" s="14">
        <f ca="1">(Table2[[#This Row],[Actual Generation (kWh)]]/Table2[[#This Row],[Correct kWh]])*100</f>
        <v>87.909943701111587</v>
      </c>
      <c r="L19" t="s">
        <v>880</v>
      </c>
    </row>
    <row r="20" spans="1:12" x14ac:dyDescent="0.3">
      <c r="A20" s="1" t="s">
        <v>223</v>
      </c>
      <c r="B20" t="s">
        <v>875</v>
      </c>
      <c r="C20" s="9" cm="1">
        <f t="array" ref="C20">IFERROR(INDEX('Expected Production'!$B$2:$B$79,MATCH(TRIM($A20),INDEX(TRIM('Expected Production'!$A$2:$A$79),0),0)),"Not found")</f>
        <v>0.9</v>
      </c>
      <c r="D20" s="20" cm="1">
        <f t="array" aca="1" ref="D20" ca="1">_xlfn.IFNA(_xlfn.XLOOKUP(TRIM(A20),TRIM(site_tech_info!$A$2:$A$79),site_tech_info!$W$2:$W$79),"")</f>
        <v>0.95277207392197127</v>
      </c>
      <c r="E20" s="14" cm="1">
        <f t="array" ref="E20">IFERROR(SUM(INDEX('Simulated Production'!$B$2:$M$79,MATCH(TRIM($A20),INDEX(TRIM('Simulated Production'!$A$2:$A$79),0),0),0)),"Not found")</f>
        <v>89076</v>
      </c>
      <c r="F20" s="5">
        <f ca="1">(Table2[[#This Row],[As-Built kWh]]*Table2[[#This Row],[Expected Utilisation%]])*(1-0.007)^(Table2[[#This Row],[Age]])</f>
        <v>79633.635913494334</v>
      </c>
      <c r="G20" s="5">
        <f ca="1">(5785+6585+7019+7479+7553+7553*(3/30))*(1-0.007)^(Table2[[#This Row],[Age]])</f>
        <v>34941.656151100069</v>
      </c>
      <c r="H20" s="14">
        <f t="shared" ca="1" si="0"/>
        <v>44691.979762394265</v>
      </c>
      <c r="I20" s="14" cm="1">
        <f t="array" ref="I20">SUMPRODUCT((TRIM(measured[Site Name])=TRIM($A20))*(measured[Date]&gt;=DATE(2025,7,1))*(measured[Date]&lt;=DATE(2026,6,30))*measured[Measured Value (kWh)])</f>
        <v>33061.699999999997</v>
      </c>
      <c r="J20" s="14">
        <f t="shared" ca="1" si="1"/>
        <v>-11630.279762394268</v>
      </c>
      <c r="K20" s="14">
        <f ca="1">(Table2[[#This Row],[Actual Generation (kWh)]]/Table2[[#This Row],[Correct kWh]])*100</f>
        <v>73.976807865243686</v>
      </c>
      <c r="L20" t="s">
        <v>880</v>
      </c>
    </row>
    <row r="21" spans="1:12" x14ac:dyDescent="0.3">
      <c r="A21" s="1" t="s">
        <v>225</v>
      </c>
      <c r="B21" t="s">
        <v>875</v>
      </c>
      <c r="C21" s="9" cm="1">
        <f t="array" ref="C21">IFERROR(INDEX('Expected Production'!$B$2:$B$79,MATCH(TRIM($A21),INDEX(TRIM('Expected Production'!$A$2:$A$79),0),0)),"Not found")</f>
        <v>0.9</v>
      </c>
      <c r="D21" s="20" cm="1">
        <f t="array" aca="1" ref="D21" ca="1">_xlfn.IFNA(_xlfn.XLOOKUP(TRIM(A21),TRIM(site_tech_info!$A$2:$A$79),site_tech_info!$W$2:$W$79),"")</f>
        <v>0.95277207392197127</v>
      </c>
      <c r="E21" s="14" cm="1">
        <f t="array" ref="E21">IFERROR(SUM(INDEX('Simulated Production'!$B$2:$M$79,MATCH(TRIM($A21),INDEX(TRIM('Simulated Production'!$A$2:$A$79),0),0),0)),"Not found")</f>
        <v>89076</v>
      </c>
      <c r="F21" s="5">
        <f ca="1">(Table2[[#This Row],[As-Built kWh]]*Table2[[#This Row],[Expected Utilisation%]])*(1-0.007)^(Table2[[#This Row],[Age]])</f>
        <v>79633.635913494334</v>
      </c>
      <c r="G21" s="5">
        <f ca="1">(5785+6585+7019+7479+7553+7553*(3/30))*(1-0.007)^(Table2[[#This Row],[Age]])</f>
        <v>34941.656151100069</v>
      </c>
      <c r="H21" s="14">
        <f t="shared" ca="1" si="0"/>
        <v>44691.979762394265</v>
      </c>
      <c r="I21" s="14" cm="1">
        <f t="array" ref="I21">SUMPRODUCT((TRIM(measured[Site Name])=TRIM($A21))*(measured[Date]&gt;=DATE(2025,7,1))*(measured[Date]&lt;=DATE(2026,6,30))*measured[Measured Value (kWh)])</f>
        <v>47460.299999999996</v>
      </c>
      <c r="J21" s="14">
        <f t="shared" ca="1" si="1"/>
        <v>2768.3202376057307</v>
      </c>
      <c r="K21" s="14">
        <f ca="1">(Table2[[#This Row],[Actual Generation (kWh)]]/Table2[[#This Row],[Correct kWh]])*100</f>
        <v>106.19422154114353</v>
      </c>
      <c r="L21" t="s">
        <v>880</v>
      </c>
    </row>
    <row r="22" spans="1:12" x14ac:dyDescent="0.3">
      <c r="A22" t="s">
        <v>239</v>
      </c>
      <c r="B22" t="s">
        <v>875</v>
      </c>
      <c r="C22" s="9" cm="1">
        <f t="array" ref="C22">IFERROR(INDEX('Expected Production'!$B$2:$B$79,MATCH(TRIM($A22),INDEX(TRIM('Expected Production'!$A$2:$A$79),0),0)),"Not found")</f>
        <v>0.9</v>
      </c>
      <c r="D22" s="20" cm="1">
        <f t="array" aca="1" ref="D22" ca="1">_xlfn.IFNA(_xlfn.XLOOKUP(TRIM(A22),TRIM(site_tech_info!$A$2:$A$79),site_tech_info!$W$2:$W$79),"")</f>
        <v>0.90622861054072557</v>
      </c>
      <c r="E22" s="14" cm="1">
        <f t="array" ref="E22">IFERROR(SUM(INDEX('Simulated Production'!$B$2:$M$79,MATCH(TRIM($A22),INDEX(TRIM('Simulated Production'!$A$2:$A$79),0),0),0)),"Not found")</f>
        <v>31637</v>
      </c>
      <c r="F22" s="5">
        <f ca="1">(Table2[[#This Row],[As-Built kWh]]*Table2[[#This Row],[Expected Utilisation%]])*(1-0.007)^(Table2[[#This Row],[Age]])</f>
        <v>28292.617333955321</v>
      </c>
      <c r="G22" s="5">
        <f ca="1">(2350+2520+2436+2426+2356+2437)*(1-0.007)^(Table2[[#This Row],[Age]])</f>
        <v>14432.828887965252</v>
      </c>
      <c r="H22" s="14">
        <f t="shared" ca="1" si="0"/>
        <v>13859.788445990069</v>
      </c>
      <c r="I22" s="14" cm="1">
        <f t="array" ref="I22">SUMPRODUCT((TRIM(measured[Site Name])=TRIM($A22))*(measured[Date]&gt;=DATE(2025,7,1))*(measured[Date]&lt;=DATE(2026,6,30))*measured[Measured Value (kWh)])</f>
        <v>17882.440000000002</v>
      </c>
      <c r="J22" s="14">
        <f t="shared" ca="1" si="1"/>
        <v>4022.6515540099335</v>
      </c>
      <c r="K22" s="14">
        <f ca="1">(Table2[[#This Row],[Actual Generation (kWh)]]/Table2[[#This Row],[Correct kWh]])*100</f>
        <v>129.02390299596365</v>
      </c>
      <c r="L22" t="s">
        <v>880</v>
      </c>
    </row>
    <row r="23" spans="1:12" s="21" customFormat="1" x14ac:dyDescent="0.3">
      <c r="A23" s="21" t="s">
        <v>271</v>
      </c>
      <c r="B23" s="21" t="s">
        <v>875</v>
      </c>
      <c r="C23" s="22" cm="1">
        <f t="array" ref="C23">IFERROR(INDEX('Expected Production'!$B$2:$B$79,MATCH(TRIM($A23),INDEX(TRIM('Expected Production'!$A$2:$A$79),0),0)),"Not found")</f>
        <v>0.9</v>
      </c>
      <c r="D23" s="23" cm="1">
        <f t="array" aca="1" ref="D23" ca="1">_xlfn.IFNA(_xlfn.XLOOKUP(TRIM(A23),TRIM(site_tech_info!$A$2:$A$79),site_tech_info!$W$2:$W$79),"")</f>
        <v>0.32854209445585214</v>
      </c>
      <c r="E23" s="24" cm="1">
        <f t="array" ref="E23">IFERROR(SUM(INDEX('Simulated Production'!$B$2:$M$79,MATCH(TRIM($A23),INDEX(TRIM('Simulated Production'!$A$2:$A$79),0),0),0)),"Not found")</f>
        <v>190644.6</v>
      </c>
      <c r="F23" s="25">
        <f ca="1">(Table2[[#This Row],[As-Built kWh]]*Table2[[#This Row],[Expected Utilisation%]])*(1-0.007)^(Table2[[#This Row],[Age]])</f>
        <v>171184.60992796914</v>
      </c>
      <c r="G23" s="25">
        <v>171487.7679849522</v>
      </c>
      <c r="H23" s="24">
        <f t="shared" ca="1" si="0"/>
        <v>-303.15805698305485</v>
      </c>
      <c r="I23" s="24" cm="1">
        <f t="array" ref="I23">SUMPRODUCT((TRIM(measured[Site Name])=TRIM($A23))*(measured[Date]&gt;=DATE(2025,7,1))*(measured[Date]&lt;=DATE(2026,6,30))*measured[Measured Value (kWh)])</f>
        <v>10169</v>
      </c>
      <c r="J23" s="24">
        <f t="shared" ca="1" si="1"/>
        <v>10472.158056983055</v>
      </c>
      <c r="K23" s="24">
        <f ca="1">(Table2[[#This Row],[Actual Generation (kWh)]]/Table2[[#This Row],[Correct kWh]])*100</f>
        <v>-3354.3558436807111</v>
      </c>
      <c r="L23" s="21" t="s">
        <v>880</v>
      </c>
    </row>
    <row r="24" spans="1:12" s="21" customFormat="1" x14ac:dyDescent="0.3">
      <c r="A24" s="21" t="s">
        <v>250</v>
      </c>
      <c r="B24" s="21" t="s">
        <v>875</v>
      </c>
      <c r="C24" s="22" cm="1">
        <f t="array" ref="C24">IFERROR(INDEX('Expected Production'!$B$2:$B$79,MATCH(TRIM($A24),INDEX(TRIM('Expected Production'!$A$2:$A$79),0),0)),"Not found")</f>
        <v>0.9</v>
      </c>
      <c r="D24" s="23" cm="1">
        <f t="array" aca="1" ref="D24" ca="1">_xlfn.IFNA(_xlfn.XLOOKUP(TRIM(A24),TRIM(site_tech_info!$A$2:$A$79),site_tech_info!$W$2:$W$79),"")</f>
        <v>0.38877481177275841</v>
      </c>
      <c r="E24" s="24" cm="1">
        <f t="array" ref="E24">IFERROR(SUM(INDEX('Simulated Production'!$B$2:$M$79,MATCH(TRIM($A24),INDEX(TRIM('Simulated Production'!$A$2:$A$79),0),0),0)),"Not found")</f>
        <v>380893</v>
      </c>
      <c r="F24" s="25">
        <f ca="1">(Table2[[#This Row],[As-Built kWh]]*Table2[[#This Row],[Expected Utilisation%]])*(1-0.007)^(Table2[[#This Row],[Age]])</f>
        <v>341868.78258268192</v>
      </c>
      <c r="G24" s="25">
        <f ca="1">(28051+31649+28250+28466+28992+28904+28877+25885+27341+27824*(28/30))*(1-0.007)^(Table2[[#This Row],[Age]])</f>
        <v>281613.92975653475</v>
      </c>
      <c r="H24" s="24">
        <f t="shared" ca="1" si="0"/>
        <v>60254.852826147166</v>
      </c>
      <c r="I24" s="24" cm="1">
        <f t="array" ref="I24">SUMPRODUCT((TRIM(measured[Site Name])=TRIM($A24))*(measured[Date]&gt;=DATE(2025,7,1))*(measured[Date]&lt;=DATE(2026,6,30))*measured[Measured Value (kWh)])</f>
        <v>53212.2</v>
      </c>
      <c r="J24" s="24">
        <f ca="1">I24-H24</f>
        <v>-7042.6528261471685</v>
      </c>
      <c r="K24" s="24">
        <f ca="1">(Table2[[#This Row],[Actual Generation (kWh)]]/Table2[[#This Row],[Correct kWh]])*100</f>
        <v>88.311891082918621</v>
      </c>
      <c r="L24" s="21"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16"/>
  <sheetViews>
    <sheetView topLeftCell="A2263" zoomScaleNormal="100" workbookViewId="0">
      <selection activeCell="A2632" sqref="A2632:XFD2632"/>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customHeight="1" x14ac:dyDescent="0.3">
      <c r="A31" t="s">
        <v>31</v>
      </c>
      <c r="B31" s="2">
        <v>46174</v>
      </c>
      <c r="C31">
        <v>1287</v>
      </c>
    </row>
    <row r="32" spans="1:3" ht="15" hidden="1" customHeight="1" x14ac:dyDescent="0.3">
      <c r="A32" t="s">
        <v>31</v>
      </c>
      <c r="B32" s="2">
        <v>46204</v>
      </c>
      <c r="C32">
        <v>1638</v>
      </c>
    </row>
    <row r="33" spans="1:3" ht="15" hidden="1" customHeight="1" x14ac:dyDescent="0.3">
      <c r="A33" t="s">
        <v>31</v>
      </c>
      <c r="B33" s="2">
        <v>46235</v>
      </c>
      <c r="C33">
        <v>1374</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customHeight="1" x14ac:dyDescent="0.3">
      <c r="A67" t="s">
        <v>43</v>
      </c>
      <c r="B67" s="2">
        <v>46174</v>
      </c>
      <c r="C67">
        <v>10184.42</v>
      </c>
    </row>
    <row r="68" spans="1:3" ht="15" hidden="1" customHeight="1" x14ac:dyDescent="0.3">
      <c r="A68" t="s">
        <v>43</v>
      </c>
      <c r="B68" s="2">
        <v>46204</v>
      </c>
      <c r="C68">
        <v>13136.5304</v>
      </c>
    </row>
    <row r="69" spans="1:3" ht="15" hidden="1" customHeight="1" x14ac:dyDescent="0.3">
      <c r="A69" t="s">
        <v>43</v>
      </c>
      <c r="B69" s="2">
        <v>46235</v>
      </c>
      <c r="C69">
        <v>13435.047</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customHeight="1" x14ac:dyDescent="0.3">
      <c r="A103" t="s">
        <v>49</v>
      </c>
      <c r="B103" s="2">
        <v>46174</v>
      </c>
      <c r="C103">
        <v>2778</v>
      </c>
    </row>
    <row r="104" spans="1:3" ht="15" hidden="1" customHeight="1" x14ac:dyDescent="0.3">
      <c r="A104" t="s">
        <v>49</v>
      </c>
      <c r="B104" s="2">
        <v>46204</v>
      </c>
      <c r="C104">
        <v>2644</v>
      </c>
    </row>
    <row r="105" spans="1:3" ht="15" hidden="1" customHeight="1" x14ac:dyDescent="0.3">
      <c r="A105" t="s">
        <v>49</v>
      </c>
      <c r="B105" s="2">
        <v>46235</v>
      </c>
      <c r="C105">
        <v>2758</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customHeight="1" x14ac:dyDescent="0.3">
      <c r="A139" t="s">
        <v>64</v>
      </c>
      <c r="B139" s="2">
        <v>46174</v>
      </c>
      <c r="C139">
        <v>3149</v>
      </c>
    </row>
    <row r="140" spans="1:3" ht="15" hidden="1" customHeight="1" x14ac:dyDescent="0.3">
      <c r="A140" t="s">
        <v>250</v>
      </c>
      <c r="B140" s="2">
        <v>46204</v>
      </c>
      <c r="C140">
        <v>27942</v>
      </c>
    </row>
    <row r="141" spans="1:3" ht="15" hidden="1" customHeight="1" x14ac:dyDescent="0.3">
      <c r="A141" t="s">
        <v>64</v>
      </c>
      <c r="B141" s="2">
        <v>46235</v>
      </c>
      <c r="C141">
        <v>3313</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customHeight="1" x14ac:dyDescent="0.3">
      <c r="A175" t="s">
        <v>55</v>
      </c>
      <c r="B175" s="2">
        <v>46174</v>
      </c>
      <c r="C175">
        <v>7968.17</v>
      </c>
    </row>
    <row r="176" spans="1:3" ht="15" hidden="1" customHeight="1" x14ac:dyDescent="0.3">
      <c r="A176" t="s">
        <v>55</v>
      </c>
      <c r="B176" s="2">
        <v>46204</v>
      </c>
      <c r="C176">
        <v>10351.41</v>
      </c>
    </row>
    <row r="177" spans="1:3" ht="15" hidden="1" customHeight="1" x14ac:dyDescent="0.3">
      <c r="A177" t="s">
        <v>55</v>
      </c>
      <c r="B177" s="2">
        <v>46235</v>
      </c>
      <c r="C177">
        <v>11244.861000000001</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customHeight="1" x14ac:dyDescent="0.3">
      <c r="A211" t="s">
        <v>60</v>
      </c>
      <c r="B211" s="2">
        <v>46174</v>
      </c>
      <c r="C211">
        <v>31578.49</v>
      </c>
    </row>
    <row r="212" spans="1:3" ht="15" hidden="1" customHeight="1" x14ac:dyDescent="0.3">
      <c r="A212" t="s">
        <v>60</v>
      </c>
      <c r="B212" s="2">
        <v>46204</v>
      </c>
      <c r="C212">
        <v>39160</v>
      </c>
    </row>
    <row r="213" spans="1:3" ht="15" hidden="1" customHeight="1" x14ac:dyDescent="0.3">
      <c r="A213" t="s">
        <v>60</v>
      </c>
      <c r="B213" s="2">
        <v>46235</v>
      </c>
      <c r="C213">
        <v>44122.439100000003</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customHeight="1" x14ac:dyDescent="0.3">
      <c r="A247" t="s">
        <v>61</v>
      </c>
      <c r="B247" s="2">
        <v>46174</v>
      </c>
      <c r="C247">
        <v>5030.25</v>
      </c>
    </row>
    <row r="248" spans="1:3" ht="15" hidden="1" customHeight="1" x14ac:dyDescent="0.3">
      <c r="A248" t="s">
        <v>61</v>
      </c>
      <c r="B248" s="2">
        <v>46204</v>
      </c>
      <c r="C248">
        <v>5251.38</v>
      </c>
    </row>
    <row r="249" spans="1:3" ht="15" hidden="1" customHeight="1" x14ac:dyDescent="0.3">
      <c r="A249" t="s">
        <v>61</v>
      </c>
      <c r="B249" s="2">
        <v>46235</v>
      </c>
      <c r="C249">
        <v>6385.91</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customHeight="1" x14ac:dyDescent="0.3">
      <c r="A283" t="s">
        <v>66</v>
      </c>
      <c r="B283" s="2">
        <v>46174</v>
      </c>
    </row>
    <row r="284" spans="1:3" ht="15" hidden="1" customHeight="1" x14ac:dyDescent="0.3">
      <c r="A284" t="s">
        <v>64</v>
      </c>
      <c r="B284" s="2">
        <v>46204</v>
      </c>
      <c r="C284">
        <v>3615</v>
      </c>
    </row>
    <row r="285" spans="1:3" ht="15" hidden="1" customHeight="1" x14ac:dyDescent="0.3">
      <c r="A285" t="s">
        <v>66</v>
      </c>
      <c r="B285" s="2">
        <v>46235</v>
      </c>
      <c r="C285">
        <v>926</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customHeight="1" x14ac:dyDescent="0.3">
      <c r="A319" t="s">
        <v>71</v>
      </c>
      <c r="B319" s="2">
        <v>46174</v>
      </c>
      <c r="C319">
        <v>9763.7000000000007</v>
      </c>
    </row>
    <row r="320" spans="1:3" ht="15" hidden="1" customHeight="1" x14ac:dyDescent="0.3">
      <c r="A320" t="s">
        <v>66</v>
      </c>
      <c r="B320" s="2">
        <v>46204</v>
      </c>
      <c r="C320">
        <v>719</v>
      </c>
    </row>
    <row r="321" spans="1:3" ht="15" hidden="1" customHeight="1" x14ac:dyDescent="0.3">
      <c r="A321" t="s">
        <v>71</v>
      </c>
      <c r="B321" s="2">
        <v>46235</v>
      </c>
      <c r="C321">
        <v>12651.55</v>
      </c>
    </row>
    <row r="322" spans="1:3" ht="15" hidden="1" customHeight="1" x14ac:dyDescent="0.3">
      <c r="A322" t="s">
        <v>71</v>
      </c>
      <c r="B322" s="2">
        <v>46266</v>
      </c>
    </row>
    <row r="323" spans="1:3" ht="15" hidden="1" customHeight="1" x14ac:dyDescent="0.3">
      <c r="A323" t="s">
        <v>71</v>
      </c>
      <c r="B323" s="2">
        <v>46296</v>
      </c>
    </row>
    <row r="324" spans="1:3" ht="15" hidden="1" customHeight="1" x14ac:dyDescent="0.3">
      <c r="A324" t="s">
        <v>71</v>
      </c>
      <c r="B324" s="2">
        <v>46327</v>
      </c>
    </row>
    <row r="325" spans="1:3" ht="15" hidden="1" customHeight="1" x14ac:dyDescent="0.3">
      <c r="A325" t="s">
        <v>71</v>
      </c>
      <c r="B325" s="2">
        <v>46357</v>
      </c>
    </row>
    <row r="326" spans="1:3" ht="15" hidden="1" customHeight="1" x14ac:dyDescent="0.3">
      <c r="A326" t="s">
        <v>77</v>
      </c>
      <c r="B326" s="2">
        <v>45292</v>
      </c>
    </row>
    <row r="327" spans="1:3" ht="15" hidden="1" customHeight="1" x14ac:dyDescent="0.3">
      <c r="A327" t="s">
        <v>77</v>
      </c>
      <c r="B327" s="2">
        <v>45323</v>
      </c>
    </row>
    <row r="328" spans="1:3" ht="15" hidden="1" customHeight="1" x14ac:dyDescent="0.3">
      <c r="A328" t="s">
        <v>77</v>
      </c>
      <c r="B328" s="2">
        <v>45352</v>
      </c>
    </row>
    <row r="329" spans="1:3" ht="15" hidden="1" customHeight="1" x14ac:dyDescent="0.3">
      <c r="A329" t="s">
        <v>77</v>
      </c>
      <c r="B329" s="2">
        <v>45383</v>
      </c>
    </row>
    <row r="330" spans="1:3" ht="15" hidden="1" customHeight="1" x14ac:dyDescent="0.3">
      <c r="A330" t="s">
        <v>77</v>
      </c>
      <c r="B330" s="2">
        <v>45413</v>
      </c>
    </row>
    <row r="331" spans="1:3" ht="15" hidden="1" customHeight="1" x14ac:dyDescent="0.3">
      <c r="A331" t="s">
        <v>77</v>
      </c>
      <c r="B331" s="2">
        <v>45444</v>
      </c>
    </row>
    <row r="332" spans="1:3" ht="15" hidden="1" customHeight="1" x14ac:dyDescent="0.3">
      <c r="A332" t="s">
        <v>77</v>
      </c>
      <c r="B332" s="2">
        <v>45474</v>
      </c>
    </row>
    <row r="333" spans="1:3" ht="15" hidden="1" customHeight="1" x14ac:dyDescent="0.3">
      <c r="A333" t="s">
        <v>77</v>
      </c>
      <c r="B333" s="2">
        <v>45505</v>
      </c>
    </row>
    <row r="334" spans="1:3" ht="15" hidden="1" customHeight="1" x14ac:dyDescent="0.3">
      <c r="A334" t="s">
        <v>77</v>
      </c>
      <c r="B334" s="2">
        <v>45536</v>
      </c>
    </row>
    <row r="335" spans="1:3" ht="15" hidden="1" customHeight="1" x14ac:dyDescent="0.3">
      <c r="A335" t="s">
        <v>77</v>
      </c>
      <c r="B335" s="2">
        <v>45566</v>
      </c>
    </row>
    <row r="336" spans="1:3"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customHeight="1" x14ac:dyDescent="0.3">
      <c r="A355" t="s">
        <v>77</v>
      </c>
      <c r="B355" s="2">
        <v>46174</v>
      </c>
      <c r="C355">
        <v>12373.57</v>
      </c>
    </row>
    <row r="356" spans="1:3" ht="15" hidden="1" customHeight="1" x14ac:dyDescent="0.3">
      <c r="A356" t="s">
        <v>71</v>
      </c>
      <c r="B356" s="2">
        <v>46204</v>
      </c>
      <c r="C356">
        <v>8756.0499999999993</v>
      </c>
    </row>
    <row r="357" spans="1:3" ht="15" hidden="1" customHeight="1" x14ac:dyDescent="0.3">
      <c r="A357" t="s">
        <v>77</v>
      </c>
      <c r="B357" s="2">
        <v>46235</v>
      </c>
      <c r="C357">
        <v>15825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customHeight="1" x14ac:dyDescent="0.3">
      <c r="A391" t="s">
        <v>80</v>
      </c>
      <c r="B391" s="2">
        <v>46174</v>
      </c>
      <c r="C391">
        <v>10602.24</v>
      </c>
    </row>
    <row r="392" spans="1:3" ht="15" hidden="1" customHeight="1" x14ac:dyDescent="0.3">
      <c r="A392" t="s">
        <v>251</v>
      </c>
      <c r="B392" s="2">
        <v>46204</v>
      </c>
      <c r="C392">
        <v>16617.160800000001</v>
      </c>
    </row>
    <row r="393" spans="1:3" ht="15" hidden="1" customHeight="1" x14ac:dyDescent="0.3">
      <c r="A393" t="s">
        <v>80</v>
      </c>
      <c r="B393" s="2">
        <v>46235</v>
      </c>
      <c r="C393">
        <v>18200</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customHeight="1" x14ac:dyDescent="0.3">
      <c r="A427" t="s">
        <v>250</v>
      </c>
      <c r="B427" s="2">
        <v>46174</v>
      </c>
      <c r="C427" s="33">
        <v>25295</v>
      </c>
    </row>
    <row r="428" spans="1:3" ht="15" hidden="1" customHeight="1" x14ac:dyDescent="0.3">
      <c r="A428" t="s">
        <v>77</v>
      </c>
      <c r="B428" s="2">
        <v>46204</v>
      </c>
      <c r="C428">
        <v>16600</v>
      </c>
    </row>
    <row r="429" spans="1:3" ht="15" hidden="1" customHeight="1" x14ac:dyDescent="0.3">
      <c r="A429" t="s">
        <v>81</v>
      </c>
      <c r="B429" s="2">
        <v>46235</v>
      </c>
      <c r="C429">
        <v>6595.107</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customHeight="1" x14ac:dyDescent="0.3">
      <c r="A463" t="s">
        <v>85</v>
      </c>
      <c r="B463" s="2">
        <v>46174</v>
      </c>
      <c r="C463">
        <v>1184</v>
      </c>
    </row>
    <row r="464" spans="1:3" ht="15" hidden="1" customHeight="1" x14ac:dyDescent="0.3">
      <c r="A464" t="s">
        <v>80</v>
      </c>
      <c r="B464" s="2">
        <v>46204</v>
      </c>
      <c r="C464">
        <v>14345</v>
      </c>
    </row>
    <row r="465" spans="1:3" ht="15" hidden="1" customHeight="1" x14ac:dyDescent="0.3">
      <c r="A465" t="s">
        <v>85</v>
      </c>
      <c r="B465" s="2">
        <v>46235</v>
      </c>
      <c r="C465">
        <v>4021</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customHeight="1" x14ac:dyDescent="0.3">
      <c r="A499" t="s">
        <v>90</v>
      </c>
      <c r="B499" s="2">
        <v>46174</v>
      </c>
      <c r="C499">
        <v>3510</v>
      </c>
    </row>
    <row r="500" spans="1:3" ht="15" hidden="1" customHeight="1" x14ac:dyDescent="0.3">
      <c r="A500" t="s">
        <v>81</v>
      </c>
      <c r="B500" s="2">
        <v>46204</v>
      </c>
      <c r="C500">
        <v>5573.8</v>
      </c>
    </row>
    <row r="501" spans="1:3" ht="15" hidden="1" customHeight="1" x14ac:dyDescent="0.3">
      <c r="A501" t="s">
        <v>90</v>
      </c>
      <c r="B501" s="2">
        <v>46235</v>
      </c>
      <c r="C501">
        <v>4690</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customHeight="1" x14ac:dyDescent="0.3">
      <c r="A535" t="s">
        <v>93</v>
      </c>
      <c r="B535" s="2">
        <v>46174</v>
      </c>
    </row>
    <row r="536" spans="1:3" ht="15" hidden="1" customHeight="1" x14ac:dyDescent="0.3">
      <c r="A536" t="s">
        <v>85</v>
      </c>
      <c r="B536" s="2">
        <v>46204</v>
      </c>
      <c r="C536">
        <v>3646</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customHeight="1" x14ac:dyDescent="0.3">
      <c r="A571" t="s">
        <v>81</v>
      </c>
      <c r="B571" s="2">
        <v>46174</v>
      </c>
      <c r="C571">
        <v>5387.22</v>
      </c>
    </row>
    <row r="572" spans="1:3" ht="15" hidden="1" customHeight="1" x14ac:dyDescent="0.3">
      <c r="A572" t="s">
        <v>90</v>
      </c>
      <c r="B572" s="2">
        <v>46204</v>
      </c>
      <c r="C572">
        <v>3547</v>
      </c>
    </row>
    <row r="573" spans="1:3" ht="15" hidden="1" customHeight="1" x14ac:dyDescent="0.3">
      <c r="A573" t="s">
        <v>95</v>
      </c>
      <c r="B573" s="2">
        <v>46235</v>
      </c>
      <c r="C573">
        <v>14955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customHeight="1" x14ac:dyDescent="0.3">
      <c r="A607" t="s">
        <v>95</v>
      </c>
      <c r="B607" s="2">
        <v>46174</v>
      </c>
      <c r="C607">
        <v>11956.63</v>
      </c>
    </row>
    <row r="608" spans="1:7" ht="15" hidden="1" customHeight="1" x14ac:dyDescent="0.3">
      <c r="A608" t="s">
        <v>93</v>
      </c>
      <c r="B608" s="2">
        <v>46204</v>
      </c>
      <c r="C608">
        <v>0</v>
      </c>
      <c r="G608" t="s">
        <v>1012</v>
      </c>
    </row>
    <row r="609" spans="1:3" ht="15" hidden="1" customHeight="1" x14ac:dyDescent="0.3">
      <c r="A609" t="s">
        <v>239</v>
      </c>
      <c r="B609" s="2">
        <v>46235</v>
      </c>
      <c r="C609">
        <v>3368.28</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customHeight="1" x14ac:dyDescent="0.3">
      <c r="A643" t="s">
        <v>98</v>
      </c>
      <c r="B643" s="2">
        <v>46174</v>
      </c>
      <c r="C643">
        <v>3521</v>
      </c>
    </row>
    <row r="644" spans="1:3" ht="15" hidden="1" customHeight="1" x14ac:dyDescent="0.3">
      <c r="A644" t="s">
        <v>95</v>
      </c>
      <c r="B644" s="2">
        <v>46204</v>
      </c>
      <c r="C644">
        <v>12633</v>
      </c>
    </row>
    <row r="645" spans="1:3" ht="15" hidden="1" customHeight="1" x14ac:dyDescent="0.3">
      <c r="A645" t="s">
        <v>98</v>
      </c>
      <c r="B645" s="2">
        <v>46235</v>
      </c>
      <c r="C645">
        <v>4981</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customHeight="1" x14ac:dyDescent="0.3">
      <c r="A679" t="s">
        <v>102</v>
      </c>
      <c r="B679" s="2">
        <v>46174</v>
      </c>
      <c r="C679">
        <v>3483</v>
      </c>
    </row>
    <row r="680" spans="1:3" ht="15" hidden="1" customHeight="1" x14ac:dyDescent="0.3">
      <c r="A680" t="s">
        <v>271</v>
      </c>
      <c r="B680" s="2">
        <v>46204</v>
      </c>
      <c r="C680">
        <v>6140</v>
      </c>
    </row>
    <row r="681" spans="1:3" ht="15" hidden="1" customHeight="1" x14ac:dyDescent="0.3">
      <c r="A681" t="s">
        <v>102</v>
      </c>
      <c r="B681" s="2">
        <v>46235</v>
      </c>
      <c r="C681">
        <v>5110</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customHeight="1" x14ac:dyDescent="0.3">
      <c r="A715" t="s">
        <v>271</v>
      </c>
      <c r="B715" s="2">
        <v>46174</v>
      </c>
      <c r="C715">
        <v>10169</v>
      </c>
    </row>
    <row r="716" spans="1:3" ht="15" customHeight="1" x14ac:dyDescent="0.3">
      <c r="A716" t="s">
        <v>104</v>
      </c>
      <c r="B716" s="2">
        <v>46174</v>
      </c>
      <c r="C716">
        <v>2484</v>
      </c>
    </row>
    <row r="717" spans="1:3" ht="15" hidden="1" customHeight="1" x14ac:dyDescent="0.3">
      <c r="A717" t="s">
        <v>239</v>
      </c>
      <c r="B717" s="2">
        <v>46204</v>
      </c>
      <c r="C717">
        <v>3388.4247999999998</v>
      </c>
    </row>
    <row r="718" spans="1:3" ht="15" hidden="1" customHeight="1" x14ac:dyDescent="0.3">
      <c r="A718" t="s">
        <v>104</v>
      </c>
      <c r="B718" s="2">
        <v>46235</v>
      </c>
      <c r="C718">
        <v>1628</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customHeight="1" x14ac:dyDescent="0.3">
      <c r="A752" t="s">
        <v>239</v>
      </c>
      <c r="B752" s="2">
        <v>46174</v>
      </c>
      <c r="C752">
        <v>2723</v>
      </c>
    </row>
    <row r="753" spans="1:3" ht="15" hidden="1" customHeight="1" x14ac:dyDescent="0.3">
      <c r="A753" t="s">
        <v>98</v>
      </c>
      <c r="B753" s="2">
        <v>46204</v>
      </c>
      <c r="C753">
        <v>5136</v>
      </c>
    </row>
    <row r="754" spans="1:3" ht="15" hidden="1"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customHeight="1" x14ac:dyDescent="0.3">
      <c r="A788" t="s">
        <v>228</v>
      </c>
      <c r="B788" s="2">
        <v>46174</v>
      </c>
      <c r="C788">
        <v>7560</v>
      </c>
    </row>
    <row r="789" spans="1:3" ht="15" hidden="1" customHeight="1" x14ac:dyDescent="0.3">
      <c r="A789" t="s">
        <v>102</v>
      </c>
      <c r="B789" s="2">
        <v>46204</v>
      </c>
      <c r="C789">
        <v>4112</v>
      </c>
    </row>
    <row r="790" spans="1:3" ht="15" hidden="1" customHeight="1" x14ac:dyDescent="0.3">
      <c r="A790" t="s">
        <v>228</v>
      </c>
      <c r="B790" s="2">
        <v>46235</v>
      </c>
      <c r="C790">
        <v>18070</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customHeight="1" x14ac:dyDescent="0.3">
      <c r="A824" t="s">
        <v>109</v>
      </c>
      <c r="B824" s="2">
        <v>46174</v>
      </c>
      <c r="C824">
        <v>2896</v>
      </c>
    </row>
    <row r="825" spans="1:3" ht="15" hidden="1" customHeight="1" x14ac:dyDescent="0.3">
      <c r="A825" t="s">
        <v>104</v>
      </c>
      <c r="B825" s="2">
        <v>46204</v>
      </c>
      <c r="C825">
        <v>857</v>
      </c>
    </row>
    <row r="826" spans="1:3" ht="15" hidden="1" customHeight="1" x14ac:dyDescent="0.3">
      <c r="A826" t="s">
        <v>109</v>
      </c>
      <c r="B826" s="2">
        <v>46235</v>
      </c>
      <c r="C826">
        <v>2805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customHeight="1" x14ac:dyDescent="0.3">
      <c r="A860" t="s">
        <v>113</v>
      </c>
      <c r="B860" s="2">
        <v>46174</v>
      </c>
      <c r="C860">
        <v>14538.69</v>
      </c>
    </row>
    <row r="861" spans="1:3" ht="15" hidden="1" customHeight="1" x14ac:dyDescent="0.3">
      <c r="A861" t="s">
        <v>107</v>
      </c>
      <c r="B861" s="2">
        <v>46204</v>
      </c>
      <c r="C861">
        <v>1400</v>
      </c>
    </row>
    <row r="862" spans="1:3" ht="15" hidden="1" customHeight="1" x14ac:dyDescent="0.3">
      <c r="A862" t="s">
        <v>113</v>
      </c>
      <c r="B862" s="2">
        <v>46235</v>
      </c>
      <c r="C862">
        <v>20567</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228</v>
      </c>
      <c r="B896" s="2">
        <v>46204</v>
      </c>
      <c r="C896">
        <v>8390</v>
      </c>
    </row>
    <row r="897" spans="1:3" ht="15" hidden="1" customHeight="1" x14ac:dyDescent="0.3">
      <c r="A897" t="s">
        <v>114</v>
      </c>
      <c r="B897" s="2">
        <v>46235</v>
      </c>
      <c r="C897">
        <v>23217</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customHeight="1" x14ac:dyDescent="0.3">
      <c r="A931" t="s">
        <v>107</v>
      </c>
      <c r="B931" s="2">
        <v>46174</v>
      </c>
      <c r="C931" s="34">
        <v>2477</v>
      </c>
    </row>
    <row r="932" spans="1:3" ht="15" hidden="1" customHeight="1" x14ac:dyDescent="0.3">
      <c r="A932" t="s">
        <v>109</v>
      </c>
      <c r="B932" s="2">
        <v>46204</v>
      </c>
      <c r="C932">
        <v>2598</v>
      </c>
    </row>
    <row r="933" spans="1:3" ht="15" hidden="1" customHeight="1" x14ac:dyDescent="0.3">
      <c r="A933" t="s">
        <v>117</v>
      </c>
      <c r="B933" s="2">
        <v>46235</v>
      </c>
      <c r="C933">
        <v>23941.67</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customHeight="1" x14ac:dyDescent="0.3">
      <c r="A967" t="s">
        <v>114</v>
      </c>
      <c r="B967" s="2">
        <v>46174</v>
      </c>
      <c r="C967">
        <v>13234</v>
      </c>
    </row>
    <row r="968" spans="1:3" ht="15" hidden="1" customHeight="1" x14ac:dyDescent="0.3">
      <c r="A968" t="s">
        <v>113</v>
      </c>
      <c r="B968" s="2">
        <v>46204</v>
      </c>
      <c r="C968">
        <v>14156</v>
      </c>
    </row>
    <row r="969" spans="1:3" ht="15" hidden="1" customHeight="1" x14ac:dyDescent="0.3">
      <c r="A969" t="s">
        <v>225</v>
      </c>
      <c r="B969" s="2">
        <v>46235</v>
      </c>
      <c r="C969">
        <v>7937</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customHeight="1" x14ac:dyDescent="0.3">
      <c r="A1003" t="s">
        <v>117</v>
      </c>
      <c r="B1003" s="2">
        <v>46174</v>
      </c>
      <c r="C1003">
        <v>15001.099999999999</v>
      </c>
    </row>
    <row r="1004" spans="1:3" ht="15" hidden="1" customHeight="1" x14ac:dyDescent="0.3">
      <c r="A1004" t="s">
        <v>114</v>
      </c>
      <c r="B1004" s="2">
        <v>46204</v>
      </c>
      <c r="C1004">
        <v>17975</v>
      </c>
    </row>
    <row r="1005" spans="1:3" ht="15" hidden="1" customHeight="1" x14ac:dyDescent="0.3">
      <c r="A1005" t="s">
        <v>223</v>
      </c>
      <c r="B1005" s="2">
        <v>46235</v>
      </c>
      <c r="C1005">
        <v>5281</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customHeight="1" x14ac:dyDescent="0.3">
      <c r="A1039" t="s">
        <v>120</v>
      </c>
      <c r="B1039" s="2">
        <v>46174</v>
      </c>
      <c r="C1039">
        <v>4645.3100000000004</v>
      </c>
    </row>
    <row r="1040" spans="1:3" ht="15" hidden="1" customHeight="1" x14ac:dyDescent="0.3">
      <c r="A1040" t="s">
        <v>117</v>
      </c>
      <c r="B1040" s="2">
        <v>46204</v>
      </c>
      <c r="C1040">
        <v>20850.759999999998</v>
      </c>
    </row>
    <row r="1041" spans="1:3" ht="15" hidden="1" customHeight="1" x14ac:dyDescent="0.3">
      <c r="A1041" t="s">
        <v>120</v>
      </c>
      <c r="B1041" s="2">
        <v>46235</v>
      </c>
      <c r="C1041">
        <v>8388.6688799999993</v>
      </c>
    </row>
    <row r="1042" spans="1:3" ht="15" hidden="1" customHeight="1" x14ac:dyDescent="0.3">
      <c r="A1042" t="s">
        <v>120</v>
      </c>
      <c r="B1042" s="2">
        <v>46266</v>
      </c>
    </row>
    <row r="1043" spans="1:3" ht="15" hidden="1" customHeight="1" x14ac:dyDescent="0.3">
      <c r="A1043" t="s">
        <v>120</v>
      </c>
      <c r="B1043" s="2">
        <v>46296</v>
      </c>
    </row>
    <row r="1044" spans="1:3" ht="15" hidden="1" customHeight="1" x14ac:dyDescent="0.3">
      <c r="A1044" t="s">
        <v>120</v>
      </c>
      <c r="B1044" s="2">
        <v>46327</v>
      </c>
    </row>
    <row r="1045" spans="1:3" ht="15" hidden="1" customHeight="1" x14ac:dyDescent="0.3">
      <c r="A1045" t="s">
        <v>120</v>
      </c>
      <c r="B1045" s="2">
        <v>46357</v>
      </c>
    </row>
    <row r="1046" spans="1:3" ht="15" hidden="1" customHeight="1" x14ac:dyDescent="0.3">
      <c r="A1046" t="s">
        <v>236</v>
      </c>
      <c r="B1046" s="2">
        <v>45292</v>
      </c>
    </row>
    <row r="1047" spans="1:3" ht="15" hidden="1" customHeight="1" x14ac:dyDescent="0.3">
      <c r="A1047" t="s">
        <v>236</v>
      </c>
      <c r="B1047" s="2">
        <v>45323</v>
      </c>
    </row>
    <row r="1048" spans="1:3" ht="15" hidden="1" customHeight="1" x14ac:dyDescent="0.3">
      <c r="A1048" t="s">
        <v>236</v>
      </c>
      <c r="B1048" s="2">
        <v>45352</v>
      </c>
    </row>
    <row r="1049" spans="1:3" ht="15" hidden="1" customHeight="1" x14ac:dyDescent="0.3">
      <c r="A1049" t="s">
        <v>236</v>
      </c>
      <c r="B1049" s="2">
        <v>45383</v>
      </c>
    </row>
    <row r="1050" spans="1:3" ht="15" hidden="1" customHeight="1" x14ac:dyDescent="0.3">
      <c r="A1050" t="s">
        <v>236</v>
      </c>
      <c r="B1050" s="2">
        <v>45413</v>
      </c>
    </row>
    <row r="1051" spans="1:3" ht="15" hidden="1" customHeight="1" x14ac:dyDescent="0.3">
      <c r="A1051" t="s">
        <v>236</v>
      </c>
      <c r="B1051" s="2">
        <v>45444</v>
      </c>
    </row>
    <row r="1052" spans="1:3" ht="15" hidden="1" customHeight="1" x14ac:dyDescent="0.3">
      <c r="A1052" t="s">
        <v>236</v>
      </c>
      <c r="B1052" s="2">
        <v>45474</v>
      </c>
    </row>
    <row r="1053" spans="1:3" ht="15" hidden="1" customHeight="1" x14ac:dyDescent="0.3">
      <c r="A1053" t="s">
        <v>236</v>
      </c>
      <c r="B1053" s="2">
        <v>45505</v>
      </c>
    </row>
    <row r="1054" spans="1:3" ht="15" hidden="1" customHeight="1" x14ac:dyDescent="0.3">
      <c r="A1054" t="s">
        <v>236</v>
      </c>
      <c r="B1054" s="2">
        <v>45536</v>
      </c>
    </row>
    <row r="1055" spans="1:3" ht="15" hidden="1" customHeight="1" x14ac:dyDescent="0.3">
      <c r="A1055" t="s">
        <v>236</v>
      </c>
      <c r="B1055" s="2">
        <v>45566</v>
      </c>
    </row>
    <row r="1056" spans="1:3"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customHeight="1" x14ac:dyDescent="0.3">
      <c r="A1075" t="s">
        <v>236</v>
      </c>
      <c r="B1075" s="2">
        <v>46174</v>
      </c>
      <c r="C1075">
        <v>5060.3999999999996</v>
      </c>
    </row>
    <row r="1076" spans="1:3" ht="15" hidden="1" customHeight="1" x14ac:dyDescent="0.3">
      <c r="A1076" t="s">
        <v>225</v>
      </c>
      <c r="B1076" s="2">
        <v>46204</v>
      </c>
      <c r="C1076">
        <v>7311</v>
      </c>
    </row>
    <row r="1077" spans="1:3" ht="15" hidden="1" customHeight="1" x14ac:dyDescent="0.3">
      <c r="A1077" t="s">
        <v>236</v>
      </c>
      <c r="B1077" s="2">
        <v>46235</v>
      </c>
      <c r="C1077">
        <v>7086.5030999999999</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customHeight="1" x14ac:dyDescent="0.3">
      <c r="A1111" t="s">
        <v>122</v>
      </c>
      <c r="B1111" s="2">
        <v>46174</v>
      </c>
      <c r="C1111">
        <v>12292.03</v>
      </c>
    </row>
    <row r="1112" spans="1:3" ht="15" hidden="1" customHeight="1" x14ac:dyDescent="0.3">
      <c r="A1112" t="s">
        <v>223</v>
      </c>
      <c r="B1112" s="2">
        <v>46204</v>
      </c>
      <c r="C1112">
        <v>3841</v>
      </c>
    </row>
    <row r="1113" spans="1:3" ht="15" hidden="1" customHeight="1" x14ac:dyDescent="0.3">
      <c r="A1113" t="s">
        <v>122</v>
      </c>
      <c r="B1113" s="2">
        <v>46235</v>
      </c>
      <c r="C1113">
        <v>15549.0352</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customHeight="1" x14ac:dyDescent="0.3">
      <c r="A1147" t="s">
        <v>124</v>
      </c>
      <c r="B1147" s="2">
        <v>46174</v>
      </c>
      <c r="C1147">
        <v>37511.86</v>
      </c>
    </row>
    <row r="1148" spans="1:3" ht="15" hidden="1" customHeight="1" x14ac:dyDescent="0.3">
      <c r="A1148" t="s">
        <v>120</v>
      </c>
      <c r="B1148" s="2">
        <v>46204</v>
      </c>
      <c r="C1148">
        <v>6582.2</v>
      </c>
    </row>
    <row r="1149" spans="1:3" ht="15" hidden="1" customHeight="1" x14ac:dyDescent="0.3">
      <c r="A1149" t="s">
        <v>124</v>
      </c>
      <c r="B1149" s="2">
        <v>46235</v>
      </c>
      <c r="C1149">
        <v>49938.125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customHeight="1" x14ac:dyDescent="0.3">
      <c r="A1183" t="s">
        <v>225</v>
      </c>
      <c r="B1183" s="2">
        <v>46174</v>
      </c>
      <c r="C1183">
        <v>5909</v>
      </c>
    </row>
    <row r="1184" spans="1:3" ht="15" hidden="1" customHeight="1" x14ac:dyDescent="0.3">
      <c r="A1184" t="s">
        <v>236</v>
      </c>
      <c r="B1184" s="2">
        <v>46204</v>
      </c>
      <c r="C1184">
        <v>6010.4031999999997</v>
      </c>
    </row>
    <row r="1185" spans="1:3" ht="15" hidden="1" customHeight="1" x14ac:dyDescent="0.3">
      <c r="A1185" t="s">
        <v>127</v>
      </c>
      <c r="B1185" s="2">
        <v>46235</v>
      </c>
      <c r="C1185">
        <v>14728.02</v>
      </c>
    </row>
    <row r="1186" spans="1:3" ht="15" hidden="1" customHeight="1" x14ac:dyDescent="0.3">
      <c r="A1186" t="s">
        <v>127</v>
      </c>
      <c r="B1186" s="2">
        <v>46266</v>
      </c>
    </row>
    <row r="1187" spans="1:3" ht="15" hidden="1" customHeight="1" x14ac:dyDescent="0.3">
      <c r="A1187" t="s">
        <v>127</v>
      </c>
      <c r="B1187" s="2">
        <v>46296</v>
      </c>
    </row>
    <row r="1188" spans="1:3" ht="15" hidden="1" customHeight="1" x14ac:dyDescent="0.3">
      <c r="A1188" t="s">
        <v>127</v>
      </c>
      <c r="B1188" s="2">
        <v>46327</v>
      </c>
    </row>
    <row r="1189" spans="1:3" ht="15" hidden="1" customHeight="1" x14ac:dyDescent="0.3">
      <c r="A1189" t="s">
        <v>127</v>
      </c>
      <c r="B1189" s="2">
        <v>46357</v>
      </c>
    </row>
    <row r="1190" spans="1:3" ht="15" hidden="1" customHeight="1" x14ac:dyDescent="0.3">
      <c r="A1190" t="s">
        <v>234</v>
      </c>
      <c r="B1190" s="2">
        <v>45292</v>
      </c>
    </row>
    <row r="1191" spans="1:3" ht="15" hidden="1" customHeight="1" x14ac:dyDescent="0.3">
      <c r="A1191" t="s">
        <v>234</v>
      </c>
      <c r="B1191" s="2">
        <v>45323</v>
      </c>
    </row>
    <row r="1192" spans="1:3" ht="15" hidden="1" customHeight="1" x14ac:dyDescent="0.3">
      <c r="A1192" t="s">
        <v>234</v>
      </c>
      <c r="B1192" s="2">
        <v>45352</v>
      </c>
    </row>
    <row r="1193" spans="1:3" ht="15" hidden="1" customHeight="1" x14ac:dyDescent="0.3">
      <c r="A1193" t="s">
        <v>234</v>
      </c>
      <c r="B1193" s="2">
        <v>45383</v>
      </c>
    </row>
    <row r="1194" spans="1:3" ht="15" hidden="1" customHeight="1" x14ac:dyDescent="0.3">
      <c r="A1194" t="s">
        <v>234</v>
      </c>
      <c r="B1194" s="2">
        <v>45413</v>
      </c>
    </row>
    <row r="1195" spans="1:3" ht="15" hidden="1" customHeight="1" x14ac:dyDescent="0.3">
      <c r="A1195" t="s">
        <v>234</v>
      </c>
      <c r="B1195" s="2">
        <v>45444</v>
      </c>
    </row>
    <row r="1196" spans="1:3" ht="15" hidden="1" customHeight="1" x14ac:dyDescent="0.3">
      <c r="A1196" t="s">
        <v>234</v>
      </c>
      <c r="B1196" s="2">
        <v>45474</v>
      </c>
    </row>
    <row r="1197" spans="1:3" ht="15" hidden="1" customHeight="1" x14ac:dyDescent="0.3">
      <c r="A1197" t="s">
        <v>234</v>
      </c>
      <c r="B1197" s="2">
        <v>45505</v>
      </c>
    </row>
    <row r="1198" spans="1:3" ht="15" hidden="1" customHeight="1" x14ac:dyDescent="0.3">
      <c r="A1198" t="s">
        <v>234</v>
      </c>
      <c r="B1198" s="2">
        <v>45536</v>
      </c>
    </row>
    <row r="1199" spans="1:3" ht="15" hidden="1" customHeight="1" x14ac:dyDescent="0.3">
      <c r="A1199" t="s">
        <v>234</v>
      </c>
      <c r="B1199" s="2">
        <v>45566</v>
      </c>
    </row>
    <row r="1200" spans="1:3"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customHeight="1" x14ac:dyDescent="0.3">
      <c r="A1219" t="s">
        <v>234</v>
      </c>
      <c r="B1219" s="2">
        <v>46174</v>
      </c>
      <c r="C1219">
        <v>18349.150000000001</v>
      </c>
    </row>
    <row r="1220" spans="1:3" ht="15" hidden="1" customHeight="1" x14ac:dyDescent="0.3">
      <c r="A1220" t="s">
        <v>122</v>
      </c>
      <c r="B1220" s="2">
        <v>46204</v>
      </c>
      <c r="C1220">
        <v>12604.390950000001</v>
      </c>
    </row>
    <row r="1221" spans="1:3" ht="15" hidden="1" customHeight="1" x14ac:dyDescent="0.3">
      <c r="A1221" t="s">
        <v>234</v>
      </c>
      <c r="B1221" s="2">
        <v>46235</v>
      </c>
      <c r="C1221">
        <v>26558.07</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customHeight="1" x14ac:dyDescent="0.3">
      <c r="A1255" t="s">
        <v>223</v>
      </c>
      <c r="B1255" s="2">
        <v>46174</v>
      </c>
      <c r="C1255">
        <v>3139.7</v>
      </c>
    </row>
    <row r="1256" spans="1:3" ht="15" hidden="1" customHeight="1" x14ac:dyDescent="0.3">
      <c r="A1256" t="s">
        <v>124</v>
      </c>
      <c r="B1256" s="2">
        <v>46204</v>
      </c>
      <c r="C1256">
        <v>40997.122360000001</v>
      </c>
    </row>
    <row r="1257" spans="1:3" ht="15" hidden="1" customHeight="1" x14ac:dyDescent="0.3">
      <c r="A1257" t="s">
        <v>131</v>
      </c>
      <c r="B1257" s="2">
        <v>46235</v>
      </c>
      <c r="C1257">
        <v>6058</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customHeight="1" x14ac:dyDescent="0.3">
      <c r="A1291" t="s">
        <v>134</v>
      </c>
      <c r="B1291" s="2">
        <v>46174</v>
      </c>
      <c r="C1291">
        <v>23145.119999999999</v>
      </c>
    </row>
    <row r="1292" spans="1:3" ht="15" hidden="1" customHeight="1" x14ac:dyDescent="0.3">
      <c r="A1292" t="s">
        <v>127</v>
      </c>
      <c r="B1292" s="2">
        <v>46204</v>
      </c>
      <c r="C1292">
        <v>13303</v>
      </c>
    </row>
    <row r="1293" spans="1:3" ht="15" hidden="1" customHeight="1" x14ac:dyDescent="0.3">
      <c r="A1293" t="s">
        <v>134</v>
      </c>
      <c r="B1293" s="2">
        <v>46235</v>
      </c>
      <c r="C1293">
        <v>35675.900999999998</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customHeight="1" x14ac:dyDescent="0.3">
      <c r="A1327" t="s">
        <v>138</v>
      </c>
      <c r="B1327" s="2">
        <v>46174</v>
      </c>
    </row>
    <row r="1328" spans="1:3" ht="15" hidden="1" customHeight="1" x14ac:dyDescent="0.3">
      <c r="A1328" t="s">
        <v>234</v>
      </c>
      <c r="B1328" s="2">
        <v>46204</v>
      </c>
      <c r="C1328">
        <v>20358.73</v>
      </c>
    </row>
    <row r="1329" spans="1:2" ht="15" hidden="1"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customHeight="1" x14ac:dyDescent="0.3">
      <c r="A1363" t="s">
        <v>127</v>
      </c>
      <c r="B1363" s="2">
        <v>46174</v>
      </c>
      <c r="C1363">
        <v>11309.7</v>
      </c>
    </row>
    <row r="1364" spans="1:3" ht="15" hidden="1" customHeight="1" x14ac:dyDescent="0.3">
      <c r="A1364" t="s">
        <v>131</v>
      </c>
      <c r="B1364" s="2">
        <v>46204</v>
      </c>
      <c r="C1364">
        <v>5690</v>
      </c>
    </row>
    <row r="1365" spans="1:3" ht="15" hidden="1" customHeight="1" x14ac:dyDescent="0.3">
      <c r="A1365" t="s">
        <v>220</v>
      </c>
      <c r="B1365" s="2">
        <v>46235</v>
      </c>
      <c r="C1365">
        <v>35179.4355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customHeight="1" x14ac:dyDescent="0.3">
      <c r="A1399" t="s">
        <v>131</v>
      </c>
      <c r="B1399" s="2">
        <v>46174</v>
      </c>
      <c r="C1399">
        <v>4820.5</v>
      </c>
    </row>
    <row r="1400" spans="1:3" ht="15" hidden="1" customHeight="1" x14ac:dyDescent="0.3">
      <c r="A1400" t="s">
        <v>134</v>
      </c>
      <c r="B1400" s="2">
        <v>46204</v>
      </c>
      <c r="C1400">
        <v>27326.29</v>
      </c>
    </row>
    <row r="1401" spans="1:3" ht="15" hidden="1" customHeight="1" x14ac:dyDescent="0.3">
      <c r="A1401" t="s">
        <v>222</v>
      </c>
      <c r="B1401" s="2">
        <v>46235</v>
      </c>
      <c r="C1401">
        <v>9590.4248599999992</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customHeight="1" x14ac:dyDescent="0.3">
      <c r="A1435" t="s">
        <v>220</v>
      </c>
      <c r="B1435" s="2">
        <v>46174</v>
      </c>
      <c r="C1435">
        <v>18559</v>
      </c>
    </row>
    <row r="1436" spans="1:3" ht="15" hidden="1" customHeight="1" x14ac:dyDescent="0.3">
      <c r="A1436" t="s">
        <v>138</v>
      </c>
      <c r="B1436" s="2">
        <v>46204</v>
      </c>
      <c r="C1436">
        <v>0</v>
      </c>
    </row>
    <row r="1437" spans="1:3" ht="15" hidden="1" customHeight="1" x14ac:dyDescent="0.3">
      <c r="A1437" t="s">
        <v>142</v>
      </c>
      <c r="B1437" s="2">
        <v>46235</v>
      </c>
      <c r="C1437">
        <v>4901</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customHeight="1" x14ac:dyDescent="0.3">
      <c r="A1471" t="s">
        <v>145</v>
      </c>
      <c r="B1471" s="2">
        <v>46174</v>
      </c>
      <c r="C1471">
        <v>20267.330000000002</v>
      </c>
    </row>
    <row r="1472" spans="1:3" ht="15" hidden="1" customHeight="1" x14ac:dyDescent="0.3">
      <c r="A1472" t="s">
        <v>220</v>
      </c>
      <c r="B1472" s="2">
        <v>46204</v>
      </c>
      <c r="C1472">
        <v>27717.592700000001</v>
      </c>
    </row>
    <row r="1473" spans="1:3" ht="15" hidden="1" customHeight="1" x14ac:dyDescent="0.3">
      <c r="A1473" t="s">
        <v>145</v>
      </c>
      <c r="B1473" s="2">
        <v>46235</v>
      </c>
      <c r="C1473">
        <v>24964.912</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customHeight="1" x14ac:dyDescent="0.3">
      <c r="A1507" t="s">
        <v>152</v>
      </c>
      <c r="B1507" s="2">
        <v>46174</v>
      </c>
      <c r="C1507">
        <v>3334</v>
      </c>
    </row>
    <row r="1508" spans="1:3" ht="15" hidden="1" customHeight="1" x14ac:dyDescent="0.3">
      <c r="A1508" t="s">
        <v>222</v>
      </c>
      <c r="B1508" s="2">
        <v>46204</v>
      </c>
      <c r="C1508">
        <v>7966.5733399999999</v>
      </c>
    </row>
    <row r="1509" spans="1:3" ht="15" hidden="1" customHeight="1" x14ac:dyDescent="0.3">
      <c r="A1509" t="s">
        <v>152</v>
      </c>
      <c r="B1509" s="2">
        <v>46235</v>
      </c>
      <c r="C1509">
        <v>6624</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customHeight="1" x14ac:dyDescent="0.3">
      <c r="A1543" t="s">
        <v>222</v>
      </c>
      <c r="B1543" s="2">
        <v>46174</v>
      </c>
      <c r="C1543">
        <v>5600</v>
      </c>
    </row>
    <row r="1544" spans="1:3" ht="15" hidden="1" customHeight="1" x14ac:dyDescent="0.3">
      <c r="A1544" t="s">
        <v>142</v>
      </c>
      <c r="B1544" s="2">
        <v>46204</v>
      </c>
      <c r="C1544">
        <v>3812</v>
      </c>
    </row>
    <row r="1545" spans="1:3" ht="15" hidden="1" customHeight="1" x14ac:dyDescent="0.3">
      <c r="A1545" t="s">
        <v>149</v>
      </c>
      <c r="B1545" s="2">
        <v>46235</v>
      </c>
      <c r="C1545">
        <v>6801</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customHeight="1" x14ac:dyDescent="0.3">
      <c r="A1579" t="s">
        <v>155</v>
      </c>
      <c r="B1579" s="2">
        <v>46174</v>
      </c>
    </row>
    <row r="1580" spans="1:3" ht="15" hidden="1" customHeight="1" x14ac:dyDescent="0.3">
      <c r="A1580" t="s">
        <v>145</v>
      </c>
      <c r="B1580" s="2">
        <v>46204</v>
      </c>
      <c r="C1580">
        <v>25915.636999999999</v>
      </c>
    </row>
    <row r="1581" spans="1:3" ht="15" hidden="1"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customHeight="1" x14ac:dyDescent="0.3">
      <c r="A1615" t="s">
        <v>157</v>
      </c>
      <c r="B1615" s="2">
        <v>46174</v>
      </c>
      <c r="C1615">
        <v>3785</v>
      </c>
    </row>
    <row r="1616" spans="1:3" ht="15" hidden="1" customHeight="1" x14ac:dyDescent="0.3">
      <c r="A1616" t="s">
        <v>149</v>
      </c>
      <c r="B1616" s="2">
        <v>46204</v>
      </c>
      <c r="C1616">
        <v>6917</v>
      </c>
    </row>
    <row r="1617" spans="1:3" ht="15" hidden="1" customHeight="1" x14ac:dyDescent="0.3">
      <c r="A1617" t="s">
        <v>157</v>
      </c>
      <c r="B1617" s="2">
        <v>46235</v>
      </c>
      <c r="C1617">
        <v>5246</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customHeight="1" x14ac:dyDescent="0.3">
      <c r="A1651" t="s">
        <v>142</v>
      </c>
      <c r="B1651" s="2">
        <v>46174</v>
      </c>
      <c r="C1651" s="33">
        <v>3164</v>
      </c>
    </row>
    <row r="1652" spans="1:3" ht="15" hidden="1" customHeight="1" x14ac:dyDescent="0.3">
      <c r="A1652" t="s">
        <v>152</v>
      </c>
      <c r="B1652" s="2">
        <v>46204</v>
      </c>
      <c r="C1652">
        <v>6388</v>
      </c>
    </row>
    <row r="1653" spans="1:3" ht="15" hidden="1" customHeight="1" x14ac:dyDescent="0.3">
      <c r="A1653" t="s">
        <v>160</v>
      </c>
      <c r="B1653" s="2">
        <v>46235</v>
      </c>
      <c r="C1653">
        <v>18348</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customHeight="1" x14ac:dyDescent="0.3">
      <c r="A1687" t="s">
        <v>149</v>
      </c>
      <c r="B1687" s="2">
        <v>46174</v>
      </c>
      <c r="C1687" s="33">
        <v>5956</v>
      </c>
    </row>
    <row r="1688" spans="1:3" ht="15" hidden="1" customHeight="1" x14ac:dyDescent="0.3">
      <c r="A1688" t="s">
        <v>155</v>
      </c>
      <c r="B1688" s="2">
        <v>46204</v>
      </c>
      <c r="C1688">
        <v>0</v>
      </c>
    </row>
    <row r="1689" spans="1:3" ht="15" hidden="1" customHeight="1" x14ac:dyDescent="0.3">
      <c r="A1689" t="s">
        <v>213</v>
      </c>
      <c r="B1689" s="2">
        <v>46235</v>
      </c>
      <c r="C1689">
        <v>6659</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customHeight="1" x14ac:dyDescent="0.3">
      <c r="A1723" t="s">
        <v>216</v>
      </c>
      <c r="B1723" s="2">
        <v>46174</v>
      </c>
      <c r="C1723">
        <v>14035.5</v>
      </c>
    </row>
    <row r="1724" spans="1:3" ht="15" hidden="1" customHeight="1" x14ac:dyDescent="0.3">
      <c r="A1724" t="s">
        <v>157</v>
      </c>
      <c r="B1724" s="2">
        <v>46204</v>
      </c>
      <c r="C1724">
        <v>4628</v>
      </c>
    </row>
    <row r="1725" spans="1:3" ht="15" hidden="1" customHeight="1" x14ac:dyDescent="0.3">
      <c r="A1725" t="s">
        <v>216</v>
      </c>
      <c r="B1725" s="2">
        <v>46235</v>
      </c>
      <c r="C1725">
        <v>20112.53</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customHeight="1" x14ac:dyDescent="0.3">
      <c r="A1759" t="s">
        <v>160</v>
      </c>
      <c r="B1759" s="2">
        <v>46174</v>
      </c>
      <c r="C1759">
        <v>13699</v>
      </c>
    </row>
    <row r="1760" spans="1:3" ht="15" hidden="1" customHeight="1" x14ac:dyDescent="0.3">
      <c r="A1760" t="s">
        <v>160</v>
      </c>
      <c r="B1760" s="2">
        <v>46204</v>
      </c>
      <c r="C1760">
        <v>16691</v>
      </c>
    </row>
    <row r="1761" spans="1:3" ht="15" hidden="1" customHeight="1" x14ac:dyDescent="0.3">
      <c r="A1761" t="s">
        <v>218</v>
      </c>
      <c r="B1761" s="2">
        <v>46235</v>
      </c>
      <c r="C1761">
        <v>2900</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customHeight="1" x14ac:dyDescent="0.3">
      <c r="A1795" t="s">
        <v>163</v>
      </c>
      <c r="B1795" s="2">
        <v>46174</v>
      </c>
    </row>
    <row r="1796" spans="1:3" ht="15" hidden="1" customHeight="1" x14ac:dyDescent="0.3">
      <c r="A1796" t="s">
        <v>244</v>
      </c>
      <c r="B1796" s="2">
        <v>46204</v>
      </c>
      <c r="C1796">
        <v>10570</v>
      </c>
    </row>
    <row r="1797" spans="1:3" ht="15" hidden="1"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customHeight="1" x14ac:dyDescent="0.3">
      <c r="A1831" t="s">
        <v>166</v>
      </c>
      <c r="B1831" s="2">
        <v>46174</v>
      </c>
      <c r="C1831">
        <v>11089</v>
      </c>
    </row>
    <row r="1832" spans="1:3" ht="15" hidden="1" customHeight="1" x14ac:dyDescent="0.3">
      <c r="A1832" t="s">
        <v>163</v>
      </c>
      <c r="B1832" s="2">
        <v>46204</v>
      </c>
      <c r="C1832">
        <v>0</v>
      </c>
    </row>
    <row r="1833" spans="1:3" ht="15" hidden="1" customHeight="1" x14ac:dyDescent="0.3">
      <c r="A1833" t="s">
        <v>166</v>
      </c>
      <c r="B1833" s="2">
        <v>46235</v>
      </c>
      <c r="C1833">
        <v>13852</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customHeight="1" x14ac:dyDescent="0.3">
      <c r="A1867" t="s">
        <v>169</v>
      </c>
      <c r="B1867" s="2">
        <v>46174</v>
      </c>
      <c r="C1867">
        <v>1100</v>
      </c>
    </row>
    <row r="1868" spans="1:3" ht="15" hidden="1" customHeight="1" x14ac:dyDescent="0.3">
      <c r="A1868" t="s">
        <v>166</v>
      </c>
      <c r="B1868" s="2">
        <v>46204</v>
      </c>
      <c r="C1868">
        <v>12059</v>
      </c>
    </row>
    <row r="1869" spans="1:3" ht="15" hidden="1" customHeight="1" x14ac:dyDescent="0.3">
      <c r="A1869" t="s">
        <v>169</v>
      </c>
      <c r="B1869" s="2">
        <v>46235</v>
      </c>
      <c r="C1869">
        <v>1071</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customHeight="1" x14ac:dyDescent="0.3">
      <c r="A1903" t="s">
        <v>171</v>
      </c>
      <c r="B1903" s="2">
        <v>46174</v>
      </c>
      <c r="C1903">
        <v>6442</v>
      </c>
    </row>
    <row r="1904" spans="1:3" ht="15" hidden="1" customHeight="1" x14ac:dyDescent="0.3">
      <c r="A1904" t="s">
        <v>169</v>
      </c>
      <c r="B1904" s="2">
        <v>46204</v>
      </c>
      <c r="C1904">
        <v>1098</v>
      </c>
    </row>
    <row r="1905" spans="1:3" ht="15" hidden="1" customHeight="1" x14ac:dyDescent="0.3">
      <c r="A1905" t="s">
        <v>171</v>
      </c>
      <c r="B1905" s="2">
        <v>46235</v>
      </c>
      <c r="C1905">
        <v>8202</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customHeight="1" x14ac:dyDescent="0.3">
      <c r="A1939" t="s">
        <v>172</v>
      </c>
      <c r="B1939" s="2">
        <v>46174</v>
      </c>
      <c r="C1939">
        <v>7190.68</v>
      </c>
    </row>
    <row r="1940" spans="1:3" ht="15" hidden="1" customHeight="1" x14ac:dyDescent="0.3">
      <c r="A1940" t="s">
        <v>171</v>
      </c>
      <c r="B1940" s="2">
        <v>46204</v>
      </c>
      <c r="C1940">
        <v>6823</v>
      </c>
    </row>
    <row r="1941" spans="1:3" ht="15" hidden="1" customHeight="1" x14ac:dyDescent="0.3">
      <c r="A1941" t="s">
        <v>172</v>
      </c>
      <c r="B1941" s="2">
        <v>46235</v>
      </c>
      <c r="C1941">
        <v>9679.5108</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customHeight="1" x14ac:dyDescent="0.3">
      <c r="A1975" t="s">
        <v>177</v>
      </c>
      <c r="B1975" s="2">
        <v>46174</v>
      </c>
      <c r="C1975">
        <v>2882</v>
      </c>
    </row>
    <row r="1976" spans="1:3" ht="15" hidden="1" customHeight="1" x14ac:dyDescent="0.3">
      <c r="A1976" t="s">
        <v>172</v>
      </c>
      <c r="B1976" s="2">
        <v>46204</v>
      </c>
      <c r="C1976">
        <v>6825.8941000000004</v>
      </c>
    </row>
    <row r="1977" spans="1:3" ht="15" hidden="1" customHeight="1" x14ac:dyDescent="0.3">
      <c r="A1977" t="s">
        <v>177</v>
      </c>
      <c r="B1977" s="2">
        <v>46235</v>
      </c>
      <c r="C1977">
        <v>3905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customHeight="1" x14ac:dyDescent="0.3">
      <c r="A2011" t="s">
        <v>265</v>
      </c>
      <c r="B2011" s="2">
        <v>46174</v>
      </c>
    </row>
    <row r="2012" spans="1:3" ht="15" hidden="1" customHeight="1" x14ac:dyDescent="0.3">
      <c r="A2012" t="s">
        <v>265</v>
      </c>
      <c r="B2012" s="2">
        <v>46204</v>
      </c>
      <c r="C2012">
        <v>0</v>
      </c>
    </row>
    <row r="2013" spans="1:3" ht="15" hidden="1"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customHeight="1" x14ac:dyDescent="0.3">
      <c r="A2047" t="s">
        <v>180</v>
      </c>
      <c r="B2047" s="2">
        <v>46174</v>
      </c>
      <c r="C2047">
        <v>12252.53</v>
      </c>
    </row>
    <row r="2048" spans="1:3" ht="15" hidden="1" customHeight="1" x14ac:dyDescent="0.3">
      <c r="A2048" t="s">
        <v>177</v>
      </c>
      <c r="B2048" s="2">
        <v>46204</v>
      </c>
      <c r="C2048">
        <v>2926.66</v>
      </c>
    </row>
    <row r="2049" spans="1:3" ht="15" hidden="1" customHeight="1" x14ac:dyDescent="0.3">
      <c r="A2049" t="s">
        <v>180</v>
      </c>
      <c r="B2049" s="2">
        <v>46235</v>
      </c>
      <c r="C2049">
        <v>17067.580000000002</v>
      </c>
    </row>
    <row r="2050" spans="1:3" ht="15" hidden="1" customHeight="1" x14ac:dyDescent="0.3">
      <c r="A2050" t="s">
        <v>180</v>
      </c>
      <c r="B2050" s="2">
        <v>46266</v>
      </c>
    </row>
    <row r="2051" spans="1:3" ht="15" hidden="1" customHeight="1" x14ac:dyDescent="0.3">
      <c r="A2051" t="s">
        <v>180</v>
      </c>
      <c r="B2051" s="2">
        <v>46296</v>
      </c>
    </row>
    <row r="2052" spans="1:3" ht="15" hidden="1" customHeight="1" x14ac:dyDescent="0.3">
      <c r="A2052" t="s">
        <v>180</v>
      </c>
      <c r="B2052" s="2">
        <v>46327</v>
      </c>
    </row>
    <row r="2053" spans="1:3" ht="15" hidden="1" customHeight="1" x14ac:dyDescent="0.3">
      <c r="A2053" t="s">
        <v>180</v>
      </c>
      <c r="B2053" s="2">
        <v>46357</v>
      </c>
    </row>
    <row r="2054" spans="1:3" ht="15" hidden="1" customHeight="1" x14ac:dyDescent="0.3">
      <c r="A2054" t="s">
        <v>241</v>
      </c>
      <c r="B2054" s="2">
        <v>45292</v>
      </c>
    </row>
    <row r="2055" spans="1:3" ht="15" hidden="1" customHeight="1" x14ac:dyDescent="0.3">
      <c r="A2055" t="s">
        <v>241</v>
      </c>
      <c r="B2055" s="2">
        <v>45323</v>
      </c>
    </row>
    <row r="2056" spans="1:3" ht="15" hidden="1" customHeight="1" x14ac:dyDescent="0.3">
      <c r="A2056" t="s">
        <v>241</v>
      </c>
      <c r="B2056" s="2">
        <v>45352</v>
      </c>
    </row>
    <row r="2057" spans="1:3" ht="15" hidden="1" customHeight="1" x14ac:dyDescent="0.3">
      <c r="A2057" t="s">
        <v>241</v>
      </c>
      <c r="B2057" s="2">
        <v>45383</v>
      </c>
    </row>
    <row r="2058" spans="1:3" ht="15" hidden="1" customHeight="1" x14ac:dyDescent="0.3">
      <c r="A2058" t="s">
        <v>241</v>
      </c>
      <c r="B2058" s="2">
        <v>45413</v>
      </c>
    </row>
    <row r="2059" spans="1:3" ht="15" hidden="1" customHeight="1" x14ac:dyDescent="0.3">
      <c r="A2059" t="s">
        <v>241</v>
      </c>
      <c r="B2059" s="2">
        <v>45444</v>
      </c>
    </row>
    <row r="2060" spans="1:3" ht="15" hidden="1" customHeight="1" x14ac:dyDescent="0.3">
      <c r="A2060" t="s">
        <v>241</v>
      </c>
      <c r="B2060" s="2">
        <v>45474</v>
      </c>
    </row>
    <row r="2061" spans="1:3" ht="15" hidden="1" customHeight="1" x14ac:dyDescent="0.3">
      <c r="A2061" t="s">
        <v>241</v>
      </c>
      <c r="B2061" s="2">
        <v>45505</v>
      </c>
    </row>
    <row r="2062" spans="1:3" ht="15" hidden="1" customHeight="1" x14ac:dyDescent="0.3">
      <c r="A2062" t="s">
        <v>241</v>
      </c>
      <c r="B2062" s="2">
        <v>45536</v>
      </c>
    </row>
    <row r="2063" spans="1:3" ht="15" hidden="1" customHeight="1" x14ac:dyDescent="0.3">
      <c r="A2063" t="s">
        <v>241</v>
      </c>
      <c r="B2063" s="2">
        <v>45566</v>
      </c>
    </row>
    <row r="2064" spans="1:3"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customHeight="1" x14ac:dyDescent="0.3">
      <c r="A2083" t="s">
        <v>241</v>
      </c>
      <c r="B2083" s="2">
        <v>46174</v>
      </c>
      <c r="C2083">
        <v>12264.7</v>
      </c>
    </row>
    <row r="2084" spans="1:3" ht="15" hidden="1" customHeight="1" x14ac:dyDescent="0.3">
      <c r="A2084" t="s">
        <v>180</v>
      </c>
      <c r="B2084" s="2">
        <v>46204</v>
      </c>
      <c r="C2084">
        <v>13658</v>
      </c>
    </row>
    <row r="2085" spans="1:3" ht="15" hidden="1" customHeight="1" x14ac:dyDescent="0.3">
      <c r="A2085" t="s">
        <v>241</v>
      </c>
      <c r="B2085" s="2">
        <v>46235</v>
      </c>
      <c r="C2085">
        <v>16951.843000000001</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customHeight="1" x14ac:dyDescent="0.3">
      <c r="A2119" t="s">
        <v>182</v>
      </c>
      <c r="B2119" s="2">
        <v>46174</v>
      </c>
      <c r="C2119">
        <v>6213.16</v>
      </c>
    </row>
    <row r="2120" spans="1:3" ht="15" hidden="1" customHeight="1" x14ac:dyDescent="0.3">
      <c r="A2120" t="s">
        <v>241</v>
      </c>
      <c r="B2120" s="2">
        <v>46204</v>
      </c>
      <c r="C2120">
        <v>11339.6067</v>
      </c>
    </row>
    <row r="2121" spans="1:3" ht="15" hidden="1" customHeight="1" x14ac:dyDescent="0.3">
      <c r="A2121" t="s">
        <v>182</v>
      </c>
      <c r="B2121" s="2">
        <v>46235</v>
      </c>
      <c r="C2121">
        <v>9821.36</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customHeight="1" x14ac:dyDescent="0.3">
      <c r="A2155" t="s">
        <v>184</v>
      </c>
      <c r="B2155" s="2">
        <v>46174</v>
      </c>
      <c r="C2155">
        <v>14774.05</v>
      </c>
    </row>
    <row r="2156" spans="1:3" ht="15" hidden="1" customHeight="1" x14ac:dyDescent="0.3">
      <c r="A2156" t="s">
        <v>182</v>
      </c>
      <c r="B2156" s="2">
        <v>46204</v>
      </c>
      <c r="C2156">
        <v>6980.78</v>
      </c>
    </row>
    <row r="2157" spans="1:3" ht="15" hidden="1" customHeight="1" x14ac:dyDescent="0.3">
      <c r="A2157" t="s">
        <v>184</v>
      </c>
      <c r="B2157" s="2">
        <v>46235</v>
      </c>
      <c r="C2157">
        <v>21703.83</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customHeight="1" x14ac:dyDescent="0.3">
      <c r="A2191" t="s">
        <v>186</v>
      </c>
      <c r="B2191" s="2">
        <v>46174</v>
      </c>
      <c r="C2191">
        <v>14983.63</v>
      </c>
    </row>
    <row r="2192" spans="1:3" ht="15" hidden="1" customHeight="1" x14ac:dyDescent="0.3">
      <c r="A2192" t="s">
        <v>184</v>
      </c>
      <c r="B2192" s="2">
        <v>46204</v>
      </c>
      <c r="C2192">
        <v>17814.88</v>
      </c>
    </row>
    <row r="2193" spans="1:3" ht="15" hidden="1" customHeight="1" x14ac:dyDescent="0.3">
      <c r="A2193" t="s">
        <v>186</v>
      </c>
      <c r="B2193" s="2">
        <v>46235</v>
      </c>
      <c r="C2193">
        <v>20218.59</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customHeight="1" x14ac:dyDescent="0.3">
      <c r="A2227" t="s">
        <v>188</v>
      </c>
      <c r="B2227" s="2">
        <v>46174</v>
      </c>
      <c r="C2227">
        <v>10711.09</v>
      </c>
    </row>
    <row r="2228" spans="1:3" ht="15" hidden="1" customHeight="1" x14ac:dyDescent="0.3">
      <c r="A2228" t="s">
        <v>186</v>
      </c>
      <c r="B2228" s="2">
        <v>46204</v>
      </c>
      <c r="C2228">
        <v>18234</v>
      </c>
    </row>
    <row r="2229" spans="1:3" ht="15" hidden="1" customHeight="1" x14ac:dyDescent="0.3">
      <c r="A2229" t="s">
        <v>188</v>
      </c>
      <c r="B2229" s="2">
        <v>46235</v>
      </c>
      <c r="C2229">
        <v>14997.19</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customHeight="1" x14ac:dyDescent="0.3">
      <c r="A2263" t="s">
        <v>226</v>
      </c>
      <c r="B2263" s="2">
        <v>46174</v>
      </c>
      <c r="C2263">
        <v>17006.73</v>
      </c>
    </row>
    <row r="2264" spans="1:3" ht="15" hidden="1" customHeight="1" x14ac:dyDescent="0.3">
      <c r="A2264" t="s">
        <v>188</v>
      </c>
      <c r="B2264" s="2">
        <v>46204</v>
      </c>
      <c r="C2264">
        <v>9106.9599999999991</v>
      </c>
    </row>
    <row r="2265" spans="1:3" ht="15" hidden="1" customHeight="1" x14ac:dyDescent="0.3">
      <c r="A2265" t="s">
        <v>226</v>
      </c>
      <c r="B2265" s="2">
        <v>46235</v>
      </c>
      <c r="C2265">
        <v>22467.353999999999</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customHeight="1" x14ac:dyDescent="0.3">
      <c r="A2299" t="s">
        <v>208</v>
      </c>
      <c r="B2299" s="2">
        <v>46174</v>
      </c>
      <c r="C2299">
        <v>9082.64</v>
      </c>
    </row>
    <row r="2300" spans="1:3" ht="15" hidden="1" customHeight="1" x14ac:dyDescent="0.3">
      <c r="A2300" t="s">
        <v>226</v>
      </c>
      <c r="B2300" s="2">
        <v>46204</v>
      </c>
      <c r="C2300">
        <v>17999.1711</v>
      </c>
    </row>
    <row r="2301" spans="1:3" ht="15" hidden="1" customHeight="1" x14ac:dyDescent="0.3">
      <c r="A2301" t="s">
        <v>208</v>
      </c>
      <c r="B2301" s="2">
        <v>46235</v>
      </c>
      <c r="C2301">
        <v>11233.53</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customHeight="1" x14ac:dyDescent="0.3">
      <c r="A2335" t="s">
        <v>190</v>
      </c>
      <c r="B2335" s="2">
        <v>46174</v>
      </c>
      <c r="C2335">
        <v>9053</v>
      </c>
    </row>
    <row r="2336" spans="1:3" ht="15" hidden="1" customHeight="1" x14ac:dyDescent="0.3">
      <c r="A2336" t="s">
        <v>208</v>
      </c>
      <c r="B2336" s="2">
        <v>46204</v>
      </c>
      <c r="C2336">
        <v>7916.06</v>
      </c>
    </row>
    <row r="2337" spans="1:3" ht="15" hidden="1" customHeight="1" x14ac:dyDescent="0.3">
      <c r="A2337" t="s">
        <v>190</v>
      </c>
      <c r="B2337" s="2">
        <v>46235</v>
      </c>
      <c r="C2337">
        <v>9565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customHeight="1" x14ac:dyDescent="0.3">
      <c r="A2371" t="s">
        <v>199</v>
      </c>
      <c r="B2371" s="2">
        <v>46174</v>
      </c>
      <c r="C2371">
        <v>1788</v>
      </c>
    </row>
    <row r="2372" spans="1:3" ht="15" hidden="1" customHeight="1" x14ac:dyDescent="0.3">
      <c r="A2372" t="s">
        <v>190</v>
      </c>
      <c r="B2372" s="2">
        <v>46204</v>
      </c>
      <c r="C2372">
        <v>9713.4699999999993</v>
      </c>
    </row>
    <row r="2373" spans="1:3" ht="15" hidden="1" customHeight="1" x14ac:dyDescent="0.3">
      <c r="A2373" t="s">
        <v>199</v>
      </c>
      <c r="B2373" s="2">
        <v>46235</v>
      </c>
      <c r="C2373">
        <v>3050</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customHeight="1" x14ac:dyDescent="0.3">
      <c r="A2407" t="s">
        <v>192</v>
      </c>
      <c r="B2407" s="2">
        <v>46174</v>
      </c>
    </row>
    <row r="2408" spans="1:3" ht="15" hidden="1" customHeight="1" x14ac:dyDescent="0.3">
      <c r="A2408" t="s">
        <v>213</v>
      </c>
      <c r="B2408" s="2">
        <v>46204</v>
      </c>
      <c r="C2408">
        <v>2899</v>
      </c>
    </row>
    <row r="2409" spans="1:3" ht="15" hidden="1"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customHeight="1" x14ac:dyDescent="0.3">
      <c r="A2443" t="s">
        <v>213</v>
      </c>
      <c r="B2443" s="2">
        <v>46174</v>
      </c>
      <c r="C2443">
        <v>4726</v>
      </c>
    </row>
    <row r="2444" spans="1:3" ht="15" hidden="1" customHeight="1" x14ac:dyDescent="0.3">
      <c r="A2444" t="s">
        <v>216</v>
      </c>
      <c r="B2444" s="2">
        <v>46204</v>
      </c>
      <c r="C2444">
        <v>10206</v>
      </c>
    </row>
    <row r="2445" spans="1:3" ht="15" hidden="1" customHeight="1" x14ac:dyDescent="0.3">
      <c r="A2445" t="s">
        <v>194</v>
      </c>
      <c r="B2445" s="2">
        <v>46235</v>
      </c>
      <c r="C2445">
        <v>3881</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customHeight="1" x14ac:dyDescent="0.3">
      <c r="A2479" t="s">
        <v>196</v>
      </c>
      <c r="B2479" s="2">
        <v>46174</v>
      </c>
      <c r="C2479">
        <v>3015</v>
      </c>
    </row>
    <row r="2480" spans="1:3" ht="15" hidden="1" customHeight="1" x14ac:dyDescent="0.3">
      <c r="A2480" t="s">
        <v>218</v>
      </c>
      <c r="B2480" s="2">
        <v>46204</v>
      </c>
      <c r="C2480">
        <v>4951</v>
      </c>
    </row>
    <row r="2481" spans="1:3" ht="15" hidden="1" customHeight="1" x14ac:dyDescent="0.3">
      <c r="A2481" t="s">
        <v>196</v>
      </c>
      <c r="B2481" s="2">
        <v>46235</v>
      </c>
      <c r="C2481">
        <v>3769</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customHeight="1" x14ac:dyDescent="0.3">
      <c r="A2515" t="s">
        <v>201</v>
      </c>
      <c r="B2515" s="2">
        <v>46174</v>
      </c>
      <c r="C2515">
        <v>8126</v>
      </c>
    </row>
    <row r="2516" spans="1:3" ht="15" hidden="1" customHeight="1" x14ac:dyDescent="0.3">
      <c r="A2516" t="s">
        <v>192</v>
      </c>
      <c r="B2516" s="2">
        <v>46204</v>
      </c>
      <c r="C2516">
        <v>0</v>
      </c>
    </row>
    <row r="2517" spans="1:3" ht="15" hidden="1" customHeight="1" x14ac:dyDescent="0.3">
      <c r="A2517" t="s">
        <v>201</v>
      </c>
      <c r="B2517" s="2">
        <v>46235</v>
      </c>
      <c r="C2517">
        <v>11112</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customHeight="1" x14ac:dyDescent="0.3">
      <c r="A2551" t="s">
        <v>211</v>
      </c>
      <c r="B2551" s="2">
        <v>46174</v>
      </c>
      <c r="C2551">
        <v>1921.8</v>
      </c>
    </row>
    <row r="2552" spans="1:3" ht="15" hidden="1" customHeight="1" x14ac:dyDescent="0.3">
      <c r="A2552" t="s">
        <v>194</v>
      </c>
      <c r="B2552" s="2">
        <v>46204</v>
      </c>
      <c r="C2552">
        <v>2690</v>
      </c>
    </row>
    <row r="2553" spans="1:3" ht="15" hidden="1" customHeight="1" x14ac:dyDescent="0.3">
      <c r="A2553" t="s">
        <v>211</v>
      </c>
      <c r="B2553" s="2">
        <v>46235</v>
      </c>
      <c r="C2553">
        <v>4145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customHeight="1" x14ac:dyDescent="0.3">
      <c r="A2587" t="s">
        <v>218</v>
      </c>
      <c r="B2587" s="2">
        <v>46174</v>
      </c>
      <c r="C2587">
        <v>4827</v>
      </c>
    </row>
    <row r="2588" spans="1:3" ht="15" hidden="1" customHeight="1" x14ac:dyDescent="0.3">
      <c r="A2588" t="s">
        <v>196</v>
      </c>
      <c r="B2588" s="2">
        <v>46204</v>
      </c>
      <c r="C2588">
        <v>3037</v>
      </c>
    </row>
    <row r="2589" spans="1:3" ht="15" hidden="1" customHeight="1" x14ac:dyDescent="0.3">
      <c r="A2589" t="s">
        <v>202</v>
      </c>
      <c r="B2589" s="2">
        <v>46235</v>
      </c>
      <c r="C2589">
        <v>18697</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customHeight="1" x14ac:dyDescent="0.3">
      <c r="A2623" t="s">
        <v>206</v>
      </c>
      <c r="B2623" s="2">
        <v>46174</v>
      </c>
      <c r="C2623">
        <v>0</v>
      </c>
    </row>
    <row r="2624" spans="1:3" ht="15" hidden="1" customHeight="1" x14ac:dyDescent="0.3">
      <c r="A2624" t="s">
        <v>1013</v>
      </c>
      <c r="B2624" s="2">
        <v>46204</v>
      </c>
      <c r="C2624">
        <v>10958.825586000001</v>
      </c>
    </row>
    <row r="2625" spans="1:3" ht="15" hidden="1"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x14ac:dyDescent="0.3">
      <c r="A2663" t="s">
        <v>194</v>
      </c>
      <c r="B2663" s="2">
        <v>46174</v>
      </c>
      <c r="C2663">
        <v>2444</v>
      </c>
    </row>
    <row r="2664" spans="1:3" hidden="1" x14ac:dyDescent="0.3">
      <c r="A2664" t="s">
        <v>199</v>
      </c>
      <c r="B2664" s="2">
        <v>46204</v>
      </c>
      <c r="C2664">
        <v>2200.69</v>
      </c>
    </row>
    <row r="2665" spans="1:3" hidden="1" x14ac:dyDescent="0.3">
      <c r="A2665" t="s">
        <v>271</v>
      </c>
      <c r="B2665" s="2">
        <v>46235</v>
      </c>
      <c r="C2665">
        <v>14833.727999999999</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x14ac:dyDescent="0.3">
      <c r="A2698" t="s">
        <v>202</v>
      </c>
      <c r="B2698" s="2">
        <v>46174</v>
      </c>
      <c r="C2698">
        <v>11655</v>
      </c>
    </row>
    <row r="2699" spans="1:3" hidden="1" x14ac:dyDescent="0.3">
      <c r="A2699" t="s">
        <v>201</v>
      </c>
      <c r="B2699" s="2">
        <v>46204</v>
      </c>
      <c r="C2699">
        <v>9893.59</v>
      </c>
    </row>
    <row r="2700" spans="1:3" hidden="1" x14ac:dyDescent="0.3">
      <c r="A2700" t="s">
        <v>250</v>
      </c>
      <c r="B2700" s="2">
        <v>46235</v>
      </c>
      <c r="C2700">
        <v>29161</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hidden="1" x14ac:dyDescent="0.3">
      <c r="A2705" t="s">
        <v>211</v>
      </c>
      <c r="B2705" s="2">
        <v>46204</v>
      </c>
      <c r="C2705">
        <v>2292.6909999999998</v>
      </c>
    </row>
    <row r="2706" spans="1:3" hidden="1" x14ac:dyDescent="0.3">
      <c r="A2706" t="s">
        <v>1004</v>
      </c>
      <c r="B2706" s="2">
        <v>46204</v>
      </c>
      <c r="C2706">
        <v>4094.8841000000002</v>
      </c>
    </row>
    <row r="2707" spans="1:3" hidden="1" x14ac:dyDescent="0.3">
      <c r="A2707" t="s">
        <v>202</v>
      </c>
      <c r="B2707" s="2">
        <v>46204</v>
      </c>
      <c r="C2707">
        <v>14705</v>
      </c>
    </row>
    <row r="2708" spans="1:3" hidden="1" x14ac:dyDescent="0.3">
      <c r="A2708" t="s">
        <v>206</v>
      </c>
      <c r="B2708" s="2">
        <v>46204</v>
      </c>
      <c r="C2708">
        <v>0</v>
      </c>
    </row>
    <row r="2709" spans="1:3" hidden="1" x14ac:dyDescent="0.3">
      <c r="A2709" t="s">
        <v>251</v>
      </c>
      <c r="B2709" s="2">
        <v>46235</v>
      </c>
      <c r="C2709">
        <v>19960.113000000001</v>
      </c>
    </row>
    <row r="2710" spans="1:3" hidden="1" x14ac:dyDescent="0.3">
      <c r="A2710" t="s">
        <v>244</v>
      </c>
      <c r="B2710" s="2">
        <v>46235</v>
      </c>
      <c r="C2710">
        <v>9230</v>
      </c>
    </row>
    <row r="2711" spans="1:3" hidden="1" x14ac:dyDescent="0.3">
      <c r="A2711" t="s">
        <v>1013</v>
      </c>
      <c r="B2711" s="2">
        <v>46235</v>
      </c>
      <c r="C2711">
        <v>13767.458000000001</v>
      </c>
    </row>
    <row r="2712" spans="1:3" hidden="1" x14ac:dyDescent="0.3">
      <c r="A2712" t="s">
        <v>1004</v>
      </c>
      <c r="B2712" s="2">
        <v>46235</v>
      </c>
      <c r="C2712">
        <v>4246.9290000000001</v>
      </c>
    </row>
    <row r="2713" spans="1:3" hidden="1" x14ac:dyDescent="0.3">
      <c r="A2713" t="s">
        <v>1002</v>
      </c>
      <c r="B2713" s="2">
        <v>46235</v>
      </c>
      <c r="C2713">
        <v>15700</v>
      </c>
    </row>
    <row r="2714" spans="1:3" hidden="1" x14ac:dyDescent="0.3">
      <c r="A2714" t="s">
        <v>1003</v>
      </c>
      <c r="B2714" s="2">
        <v>46235</v>
      </c>
      <c r="C2714">
        <v>8306.7484000000004</v>
      </c>
    </row>
    <row r="2715" spans="1:3" x14ac:dyDescent="0.3">
      <c r="A2715" t="s">
        <v>244</v>
      </c>
      <c r="B2715" s="2">
        <v>46174</v>
      </c>
      <c r="C2715">
        <v>10720</v>
      </c>
    </row>
    <row r="2716" spans="1:3" x14ac:dyDescent="0.3">
      <c r="A2716" t="s">
        <v>251</v>
      </c>
      <c r="B2716" s="2">
        <v>46174</v>
      </c>
      <c r="C2716">
        <v>14172</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4"/>
  <sheetViews>
    <sheetView tabSelected="1" zoomScaleNormal="100" workbookViewId="0">
      <pane xSplit="1" ySplit="1" topLeftCell="B61" activePane="bottomRight" state="frozen"/>
      <selection pane="topRight" activeCell="B1" sqref="B1"/>
      <selection pane="bottomLeft" activeCell="A2" sqref="A2"/>
      <selection pane="bottomRight" activeCell="F85" sqref="F85"/>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7"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7"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c r="Q2">
        <v>2027</v>
      </c>
    </row>
    <row r="3" spans="1:17"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7"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7"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7"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7"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7"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7"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7"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7"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7"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7"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7"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7"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7"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109</v>
      </c>
      <c r="B23">
        <v>0.9</v>
      </c>
      <c r="C23" s="5">
        <f>Table4[[#This Row],[Jan]]*$B23</f>
        <v>4235.4000000000005</v>
      </c>
      <c r="D23" s="5">
        <f>Table4[[#This Row],[Feb]]*$B23</f>
        <v>3699</v>
      </c>
      <c r="E23" s="5">
        <f>Table4[[#This Row],[Mar]]*$B23</f>
        <v>3788.1</v>
      </c>
      <c r="F23" s="5">
        <f>Table4[[#This Row],[Apr]]*$B23</f>
        <v>3184.2000000000003</v>
      </c>
      <c r="G23" s="5">
        <f>Table4[[#This Row],[May]]*$B23</f>
        <v>3052.8</v>
      </c>
      <c r="H23" s="5">
        <f>Table4[[#This Row],[Jun]]*$B23</f>
        <v>2752.2000000000003</v>
      </c>
      <c r="I23" s="5">
        <f>Table4[[#This Row],[Jul]]*$B23</f>
        <v>3029.4</v>
      </c>
      <c r="J23" s="5">
        <f>Table4[[#This Row],[Aug]]*$B23</f>
        <v>3546.9</v>
      </c>
      <c r="K23" s="5">
        <f>Table4[[#This Row],[Sep]]*$B23</f>
        <v>3911.4</v>
      </c>
      <c r="L23" s="5">
        <f>Table4[[#This Row],[Oct]]*$B23</f>
        <v>4103.1000000000004</v>
      </c>
      <c r="M23" s="5">
        <f>Table4[[#This Row],[Nov]]*$B23</f>
        <v>4120.2</v>
      </c>
      <c r="N23" s="5">
        <f>Table4[[#This Row],[Dec]]*$B23</f>
        <v>4377.6000000000004</v>
      </c>
    </row>
    <row r="24" spans="1:14" ht="14.25" customHeight="1" x14ac:dyDescent="0.3">
      <c r="A24" t="s">
        <v>113</v>
      </c>
      <c r="B24">
        <v>0.9</v>
      </c>
      <c r="C24" s="5">
        <f>Table4[[#This Row],[Jan]]*$B24</f>
        <v>39600.810000000005</v>
      </c>
      <c r="D24" s="5">
        <f>Table4[[#This Row],[Feb]]*$B24</f>
        <v>33064.920000000006</v>
      </c>
      <c r="E24" s="5">
        <f>Table4[[#This Row],[Mar]]*$B24</f>
        <v>32219.55</v>
      </c>
      <c r="F24" s="5">
        <f>Table4[[#This Row],[Apr]]*$B24</f>
        <v>23614.38</v>
      </c>
      <c r="G24" s="5">
        <f>Table4[[#This Row],[May]]*$B24</f>
        <v>17952.57</v>
      </c>
      <c r="H24" s="5">
        <f>Table4[[#This Row],[Jun]]*$B24</f>
        <v>14925.6</v>
      </c>
      <c r="I24" s="5">
        <f>Table4[[#This Row],[Jul]]*$B24</f>
        <v>16774.830000000002</v>
      </c>
      <c r="J24" s="5">
        <f>Table4[[#This Row],[Aug]]*$B24</f>
        <v>20886.75</v>
      </c>
      <c r="K24" s="5">
        <f>Table4[[#This Row],[Sep]]*$B24</f>
        <v>26689.95</v>
      </c>
      <c r="L24" s="5">
        <f>Table4[[#This Row],[Oct]]*$B24</f>
        <v>33024.69</v>
      </c>
      <c r="M24" s="5">
        <f>Table4[[#This Row],[Nov]]*$B24</f>
        <v>37111.770000000004</v>
      </c>
      <c r="N24" s="5">
        <f>Table4[[#This Row],[Dec]]*$B24</f>
        <v>40125.69</v>
      </c>
    </row>
    <row r="25" spans="1:14" ht="14.25" customHeight="1" x14ac:dyDescent="0.3">
      <c r="A25" t="s">
        <v>114</v>
      </c>
      <c r="B25">
        <v>0.85</v>
      </c>
      <c r="C25" s="5">
        <f>Table4[[#This Row],[Jan]]*$B25</f>
        <v>27758.45</v>
      </c>
      <c r="D25" s="5">
        <f>Table4[[#This Row],[Feb]]*$B25</f>
        <v>24250.5</v>
      </c>
      <c r="E25" s="5">
        <f>Table4[[#This Row],[Mar]]*$B25</f>
        <v>22859.899999999998</v>
      </c>
      <c r="F25" s="5">
        <f>Table4[[#This Row],[Apr]]*$B25</f>
        <v>20353.25</v>
      </c>
      <c r="G25" s="5">
        <f>Table4[[#This Row],[May]]*$B25</f>
        <v>18229.099999999999</v>
      </c>
      <c r="H25" s="5">
        <f>Table4[[#This Row],[Jun]]*$B25</f>
        <v>16127.9</v>
      </c>
      <c r="I25" s="5">
        <f>Table4[[#This Row],[Jul]]*$B25</f>
        <v>17954.55</v>
      </c>
      <c r="J25" s="5">
        <f>Table4[[#This Row],[Aug]]*$B25</f>
        <v>20938.05</v>
      </c>
      <c r="K25" s="5">
        <f>Table4[[#This Row],[Sep]]*$B25</f>
        <v>23291.7</v>
      </c>
      <c r="L25" s="5">
        <f>Table4[[#This Row],[Oct]]*$B25</f>
        <v>25925.85</v>
      </c>
      <c r="M25" s="5">
        <f>Table4[[#This Row],[Nov]]*$B25</f>
        <v>27223.8</v>
      </c>
      <c r="N25" s="5">
        <f>Table4[[#This Row],[Dec]]*$B25</f>
        <v>26753.75</v>
      </c>
    </row>
    <row r="26" spans="1:14" ht="14.25" customHeight="1" x14ac:dyDescent="0.3">
      <c r="A26" t="s">
        <v>117</v>
      </c>
      <c r="B26">
        <v>0.9</v>
      </c>
      <c r="C26" s="5">
        <f>Table4[[#This Row],[Jan]]*$B26</f>
        <v>30214.799999999999</v>
      </c>
      <c r="D26" s="5">
        <f>Table4[[#This Row],[Feb]]*$B26</f>
        <v>26381.7</v>
      </c>
      <c r="E26" s="5">
        <f>Table4[[#This Row],[Mar]]*$B26</f>
        <v>27566.100000000002</v>
      </c>
      <c r="F26" s="5">
        <f>Table4[[#This Row],[Apr]]*$B26</f>
        <v>23747.4</v>
      </c>
      <c r="G26" s="5">
        <f>Table4[[#This Row],[May]]*$B26</f>
        <v>22569.3</v>
      </c>
      <c r="H26" s="5">
        <f>Table4[[#This Row],[Jun]]*$B26</f>
        <v>20228.400000000001</v>
      </c>
      <c r="I26" s="5">
        <f>Table4[[#This Row],[Jul]]*$B26</f>
        <v>22354.2</v>
      </c>
      <c r="J26" s="5">
        <f>Table4[[#This Row],[Aug]]*$B26</f>
        <v>26968.5</v>
      </c>
      <c r="K26" s="5">
        <f>Table4[[#This Row],[Sep]]*$B26</f>
        <v>28840.5</v>
      </c>
      <c r="L26" s="5">
        <f>Table4[[#This Row],[Oct]]*$B26</f>
        <v>30258</v>
      </c>
      <c r="M26" s="5">
        <f>Table4[[#This Row],[Nov]]*$B26</f>
        <v>29380.5</v>
      </c>
      <c r="N26" s="5">
        <f>Table4[[#This Row],[Dec]]*$B26</f>
        <v>31219.200000000001</v>
      </c>
    </row>
    <row r="27" spans="1:14" ht="14.25" customHeight="1" x14ac:dyDescent="0.3">
      <c r="A27" t="s">
        <v>225</v>
      </c>
      <c r="B27">
        <v>0.9</v>
      </c>
      <c r="C27" s="5">
        <f>Table4[[#This Row],[Jan]]*$B27</f>
        <v>7573.5</v>
      </c>
      <c r="D27" s="5">
        <f>Table4[[#This Row],[Feb]]*$B27</f>
        <v>6513.75</v>
      </c>
      <c r="E27" s="5">
        <f>Table4[[#This Row],[Mar]]*$B27</f>
        <v>6841.35</v>
      </c>
      <c r="F27" s="5">
        <f>Table4[[#This Row],[Apr]]*$B27</f>
        <v>6183</v>
      </c>
      <c r="G27" s="5">
        <f>Table4[[#This Row],[May]]*$B27</f>
        <v>5924.7</v>
      </c>
      <c r="H27" s="5">
        <f>Table4[[#This Row],[Jun]]*$B27</f>
        <v>5295.6</v>
      </c>
      <c r="I27" s="5">
        <f>Table4[[#This Row],[Jul]]*$B27</f>
        <v>5785.2</v>
      </c>
      <c r="J27" s="5">
        <f>Table4[[#This Row],[Aug]]*$B27</f>
        <v>6585.3</v>
      </c>
      <c r="K27" s="5">
        <f>Table4[[#This Row],[Sep]]*$B27</f>
        <v>7018.6500000000005</v>
      </c>
      <c r="L27" s="5">
        <f>Table4[[#This Row],[Oct]]*$B27</f>
        <v>7479.45</v>
      </c>
      <c r="M27" s="5">
        <f>Table4[[#This Row],[Nov]]*$B27</f>
        <v>7552.8</v>
      </c>
      <c r="N27" s="5">
        <f>Table4[[#This Row],[Dec]]*$B27</f>
        <v>7415.1</v>
      </c>
    </row>
    <row r="28" spans="1:14" ht="14.25" customHeight="1" x14ac:dyDescent="0.3">
      <c r="A28" t="s">
        <v>223</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120</v>
      </c>
      <c r="B29">
        <v>0.9</v>
      </c>
      <c r="C29" s="5">
        <f>Table4[[#This Row],[Jan]]*$B29</f>
        <v>12213</v>
      </c>
      <c r="D29" s="5">
        <f>Table4[[#This Row],[Feb]]*$B29</f>
        <v>10570.5</v>
      </c>
      <c r="E29" s="5">
        <f>Table4[[#This Row],[Mar]]*$B29</f>
        <v>10619.1</v>
      </c>
      <c r="F29" s="5">
        <f>Table4[[#This Row],[Apr]]*$B29</f>
        <v>9139.5</v>
      </c>
      <c r="G29" s="5">
        <f>Table4[[#This Row],[May]]*$B29</f>
        <v>8593.2000000000007</v>
      </c>
      <c r="H29" s="5">
        <f>Table4[[#This Row],[Jun]]*$B29</f>
        <v>7680.6</v>
      </c>
      <c r="I29" s="5">
        <f>Table4[[#This Row],[Jul]]*$B29</f>
        <v>8550.9</v>
      </c>
      <c r="J29" s="5">
        <f>Table4[[#This Row],[Aug]]*$B29</f>
        <v>9997.2000000000007</v>
      </c>
      <c r="K29" s="5">
        <f>Table4[[#This Row],[Sep]]*$B29</f>
        <v>10701.9</v>
      </c>
      <c r="L29" s="5">
        <f>Table4[[#This Row],[Oct]]*$B29</f>
        <v>11834.1</v>
      </c>
      <c r="M29" s="5">
        <f>Table4[[#This Row],[Nov]]*$B29</f>
        <v>12129.300000000001</v>
      </c>
      <c r="N29" s="5">
        <f>Table4[[#This Row],[Dec]]*$B29</f>
        <v>12998.7</v>
      </c>
    </row>
    <row r="30" spans="1:14" ht="14.25" customHeight="1" x14ac:dyDescent="0.3">
      <c r="A30" t="s">
        <v>236</v>
      </c>
      <c r="B30">
        <v>0.9</v>
      </c>
      <c r="C30" s="5">
        <f>Table4[[#This Row],[Jan]]*$B30</f>
        <v>16602.939455286778</v>
      </c>
      <c r="D30" s="5">
        <f>Table4[[#This Row],[Feb]]*$B30</f>
        <v>14966.051031447027</v>
      </c>
      <c r="E30" s="5">
        <f>Table4[[#This Row],[Mar]]*$B30</f>
        <v>16335.485545927229</v>
      </c>
      <c r="F30" s="5">
        <f>Table4[[#This Row],[Apr]]*$B30</f>
        <v>15100.35078692115</v>
      </c>
      <c r="G30" s="5">
        <f>Table4[[#This Row],[May]]*$B30</f>
        <v>15271.045423635958</v>
      </c>
      <c r="H30" s="5">
        <f>Table4[[#This Row],[Jun]]*$B30</f>
        <v>14168.00734012575</v>
      </c>
      <c r="I30" s="5">
        <f>Table4[[#This Row],[Jul]]*$B30</f>
        <v>15171.289962220802</v>
      </c>
      <c r="J30" s="5">
        <f>Table4[[#This Row],[Aug]]*$B30</f>
        <v>16365.447433631431</v>
      </c>
      <c r="K30" s="5">
        <f>Table4[[#This Row],[Sep]]*$B30</f>
        <v>16283.93347443618</v>
      </c>
      <c r="L30" s="5">
        <f>Table4[[#This Row],[Oct]]*$B30</f>
        <v>15891.080252714639</v>
      </c>
      <c r="M30" s="5">
        <f>Table4[[#This Row],[Nov]]*$B30</f>
        <v>15343.218323723426</v>
      </c>
      <c r="N30" s="5">
        <f>Table4[[#This Row],[Dec]]*$B30</f>
        <v>16261.638305056289</v>
      </c>
    </row>
    <row r="31" spans="1:14" ht="14.25" customHeight="1" x14ac:dyDescent="0.3">
      <c r="A31" t="s">
        <v>122</v>
      </c>
      <c r="B31">
        <v>0.9</v>
      </c>
      <c r="C31" s="5">
        <f>Table4[[#This Row],[Jan]]*$B31</f>
        <v>22241.7</v>
      </c>
      <c r="D31" s="5">
        <f>Table4[[#This Row],[Feb]]*$B31</f>
        <v>19450.8</v>
      </c>
      <c r="E31" s="5">
        <f>Table4[[#This Row],[Mar]]*$B31</f>
        <v>19575</v>
      </c>
      <c r="F31" s="5">
        <f>Table4[[#This Row],[Apr]]*$B31</f>
        <v>15792.300000000001</v>
      </c>
      <c r="G31" s="5">
        <f>Table4[[#This Row],[May]]*$B31</f>
        <v>13477.5</v>
      </c>
      <c r="H31" s="5">
        <f>Table4[[#This Row],[Jun]]*$B31</f>
        <v>12124.800000000001</v>
      </c>
      <c r="I31" s="5">
        <f>Table4[[#This Row],[Jul]]*$B31</f>
        <v>13099.5</v>
      </c>
      <c r="J31" s="5">
        <f>Table4[[#This Row],[Aug]]*$B31</f>
        <v>15450.300000000001</v>
      </c>
      <c r="K31" s="5">
        <f>Table4[[#This Row],[Sep]]*$B31</f>
        <v>16583.400000000001</v>
      </c>
      <c r="L31" s="5">
        <f>Table4[[#This Row],[Oct]]*$B31</f>
        <v>19432.8</v>
      </c>
      <c r="M31" s="5">
        <f>Table4[[#This Row],[Nov]]*$B31</f>
        <v>20010.600000000002</v>
      </c>
      <c r="N31" s="5">
        <f>Table4[[#This Row],[Dec]]*$B31</f>
        <v>22485.600000000002</v>
      </c>
    </row>
    <row r="32" spans="1:14" ht="14.25" customHeight="1" x14ac:dyDescent="0.3">
      <c r="A32" t="s">
        <v>124</v>
      </c>
      <c r="B32">
        <v>0.85</v>
      </c>
      <c r="C32" s="5">
        <f>Table4[[#This Row],[Jan]]*$B32</f>
        <v>61302.85</v>
      </c>
      <c r="D32" s="5">
        <f>Table4[[#This Row],[Feb]]*$B32</f>
        <v>55639.299999999996</v>
      </c>
      <c r="E32" s="5">
        <f>Table4[[#This Row],[Mar]]*$B32</f>
        <v>58024.4</v>
      </c>
      <c r="F32" s="5">
        <f>Table4[[#This Row],[Apr]]*$B32</f>
        <v>48946.400000000001</v>
      </c>
      <c r="G32" s="5">
        <f>Table4[[#This Row],[May]]*$B32</f>
        <v>44310.5</v>
      </c>
      <c r="H32" s="5">
        <f>Table4[[#This Row],[Jun]]*$B32</f>
        <v>40933.449999999997</v>
      </c>
      <c r="I32" s="5">
        <f>Table4[[#This Row],[Jul]]*$B32</f>
        <v>43977.299999999996</v>
      </c>
      <c r="J32" s="5">
        <f>Table4[[#This Row],[Aug]]*$B32</f>
        <v>48620.85</v>
      </c>
      <c r="K32" s="5">
        <f>Table4[[#This Row],[Sep]]*$B32</f>
        <v>50331.049999999996</v>
      </c>
      <c r="L32" s="5">
        <f>Table4[[#This Row],[Oct]]*$B32</f>
        <v>55230.45</v>
      </c>
      <c r="M32" s="5">
        <f>Table4[[#This Row],[Nov]]*$B32</f>
        <v>56583.65</v>
      </c>
      <c r="N32" s="5">
        <f>Table4[[#This Row],[Dec]]*$B32</f>
        <v>61075.9</v>
      </c>
    </row>
    <row r="33" spans="1:14" ht="14.25" customHeight="1" x14ac:dyDescent="0.3">
      <c r="A33" t="s">
        <v>127</v>
      </c>
      <c r="B33">
        <v>0.8</v>
      </c>
      <c r="C33" s="5">
        <f>Table4[[#This Row],[Jan]]*$B33</f>
        <v>14107.2</v>
      </c>
      <c r="D33" s="5">
        <f>Table4[[#This Row],[Feb]]*$B33</f>
        <v>13178.400000000001</v>
      </c>
      <c r="E33" s="5">
        <f>Table4[[#This Row],[Mar]]*$B33</f>
        <v>15390.400000000001</v>
      </c>
      <c r="F33" s="5">
        <f>Table4[[#This Row],[Apr]]*$B33</f>
        <v>13652</v>
      </c>
      <c r="G33" s="5">
        <f>Table4[[#This Row],[May]]*$B33</f>
        <v>13508.800000000001</v>
      </c>
      <c r="H33" s="5">
        <f>Table4[[#This Row],[Jun]]*$B33</f>
        <v>12879.2</v>
      </c>
      <c r="I33" s="5">
        <f>Table4[[#This Row],[Jul]]*$B33</f>
        <v>13680.800000000001</v>
      </c>
      <c r="J33" s="5">
        <f>Table4[[#This Row],[Aug]]*$B33</f>
        <v>13878.400000000001</v>
      </c>
      <c r="K33" s="5">
        <f>Table4[[#This Row],[Sep]]*$B33</f>
        <v>13503.2</v>
      </c>
      <c r="L33" s="5">
        <f>Table4[[#This Row],[Oct]]*$B33</f>
        <v>12755.2</v>
      </c>
      <c r="M33" s="5">
        <f>Table4[[#This Row],[Nov]]*$B33</f>
        <v>11784.800000000001</v>
      </c>
      <c r="N33" s="5">
        <f>Table4[[#This Row],[Dec]]*$B33</f>
        <v>12301.6</v>
      </c>
    </row>
    <row r="34" spans="1:14" ht="14.25" customHeight="1" x14ac:dyDescent="0.3">
      <c r="A34" t="s">
        <v>234</v>
      </c>
      <c r="B34">
        <v>0.9</v>
      </c>
      <c r="C34" s="5">
        <f>Table4[[#This Row],[Jan]]*$B34</f>
        <v>53361.9</v>
      </c>
      <c r="D34" s="5">
        <f>Table4[[#This Row],[Feb]]*$B34</f>
        <v>43750.8</v>
      </c>
      <c r="E34" s="5">
        <f>Table4[[#This Row],[Mar]]*$B34</f>
        <v>40931.1</v>
      </c>
      <c r="F34" s="5">
        <f>Table4[[#This Row],[Apr]]*$B34</f>
        <v>29080.799999999999</v>
      </c>
      <c r="G34" s="5">
        <f>Table4[[#This Row],[May]]*$B34</f>
        <v>21434.400000000001</v>
      </c>
      <c r="H34" s="5">
        <f>Table4[[#This Row],[Jun]]*$B34</f>
        <v>17483.400000000001</v>
      </c>
      <c r="I34" s="5">
        <f>Table4[[#This Row],[Jul]]*$B34</f>
        <v>19783.8</v>
      </c>
      <c r="J34" s="5">
        <f>Table4[[#This Row],[Aug]]*$B34</f>
        <v>25524</v>
      </c>
      <c r="K34" s="5">
        <f>Table4[[#This Row],[Sep]]*$B34</f>
        <v>33381.9</v>
      </c>
      <c r="L34" s="5">
        <f>Table4[[#This Row],[Oct]]*$B34</f>
        <v>43038</v>
      </c>
      <c r="M34" s="5">
        <f>Table4[[#This Row],[Nov]]*$B34</f>
        <v>49565.700000000004</v>
      </c>
      <c r="N34" s="5">
        <f>Table4[[#This Row],[Dec]]*$B34</f>
        <v>54135.9</v>
      </c>
    </row>
    <row r="35" spans="1:14" ht="14.25" customHeight="1" x14ac:dyDescent="0.3">
      <c r="A35" t="s">
        <v>131</v>
      </c>
      <c r="B35">
        <v>0.9</v>
      </c>
      <c r="C35" s="5">
        <f>Table4[[#This Row],[Jan]]*$B35</f>
        <v>5361.3</v>
      </c>
      <c r="D35" s="5">
        <f>Table4[[#This Row],[Feb]]*$B35</f>
        <v>4869</v>
      </c>
      <c r="E35" s="5">
        <f>Table4[[#This Row],[Mar]]*$B35</f>
        <v>5370.3</v>
      </c>
      <c r="F35" s="5">
        <f>Table4[[#This Row],[Apr]]*$B35</f>
        <v>5150.7</v>
      </c>
      <c r="G35" s="5">
        <f>Table4[[#This Row],[May]]*$B35</f>
        <v>5477.4000000000005</v>
      </c>
      <c r="H35" s="5">
        <f>Table4[[#This Row],[Jun]]*$B35</f>
        <v>5296.5</v>
      </c>
      <c r="I35" s="5">
        <f>Table4[[#This Row],[Jul]]*$B35</f>
        <v>5700.6</v>
      </c>
      <c r="J35" s="5">
        <f>Table4[[#This Row],[Aug]]*$B35</f>
        <v>5969.7</v>
      </c>
      <c r="K35" s="5">
        <f>Table4[[#This Row],[Sep]]*$B35</f>
        <v>5915.7</v>
      </c>
      <c r="L35" s="5">
        <f>Table4[[#This Row],[Oct]]*$B35</f>
        <v>5814.9000000000005</v>
      </c>
      <c r="M35" s="5">
        <f>Table4[[#This Row],[Nov]]*$B35</f>
        <v>5410.8</v>
      </c>
      <c r="N35" s="5">
        <f>Table4[[#This Row],[Dec]]*$B35</f>
        <v>5530.5</v>
      </c>
    </row>
    <row r="36" spans="1:14" ht="14.25" customHeight="1" x14ac:dyDescent="0.3">
      <c r="A36" t="s">
        <v>134</v>
      </c>
      <c r="B36">
        <v>0.9</v>
      </c>
      <c r="C36" s="5">
        <f>Table4[[#This Row],[Jan]]*$B36</f>
        <v>40416.300000000003</v>
      </c>
      <c r="D36" s="5">
        <f>Table4[[#This Row],[Feb]]*$B36</f>
        <v>33988.5</v>
      </c>
      <c r="E36" s="5">
        <f>Table4[[#This Row],[Mar]]*$B36</f>
        <v>35132.400000000001</v>
      </c>
      <c r="F36" s="5">
        <f>Table4[[#This Row],[Apr]]*$B36</f>
        <v>29903.4</v>
      </c>
      <c r="G36" s="5">
        <f>Table4[[#This Row],[May]]*$B36</f>
        <v>28383.3</v>
      </c>
      <c r="H36" s="5">
        <f>Table4[[#This Row],[Jun]]*$B36</f>
        <v>25641.9</v>
      </c>
      <c r="I36" s="5">
        <f>Table4[[#This Row],[Jul]]*$B36</f>
        <v>28361.7</v>
      </c>
      <c r="J36" s="5">
        <f>Table4[[#This Row],[Aug]]*$B36</f>
        <v>33006.6</v>
      </c>
      <c r="K36" s="5">
        <f>Table4[[#This Row],[Sep]]*$B36</f>
        <v>36521.1</v>
      </c>
      <c r="L36" s="5">
        <f>Table4[[#This Row],[Oct]]*$B36</f>
        <v>39682.800000000003</v>
      </c>
      <c r="M36" s="5">
        <f>Table4[[#This Row],[Nov]]*$B36</f>
        <v>39748.5</v>
      </c>
      <c r="N36" s="5">
        <f>Table4[[#This Row],[Dec]]*$B36</f>
        <v>42519.6</v>
      </c>
    </row>
    <row r="37" spans="1:14" ht="14.25" customHeight="1" x14ac:dyDescent="0.3">
      <c r="A37" t="s">
        <v>138</v>
      </c>
      <c r="B37">
        <v>1</v>
      </c>
      <c r="C37" s="5">
        <f>Table4[[#This Row],[Jan]]*$B37</f>
        <v>23544</v>
      </c>
      <c r="D37" s="5">
        <f>Table4[[#This Row],[Feb]]*$B37</f>
        <v>21677</v>
      </c>
      <c r="E37" s="5">
        <f>Table4[[#This Row],[Mar]]*$B37</f>
        <v>24212</v>
      </c>
      <c r="F37" s="5">
        <f>Table4[[#This Row],[Apr]]*$B37</f>
        <v>20861</v>
      </c>
      <c r="G37" s="5">
        <f>Table4[[#This Row],[May]]*$B37</f>
        <v>20012</v>
      </c>
      <c r="H37" s="5">
        <f>Table4[[#This Row],[Jun]]*$B37</f>
        <v>18485</v>
      </c>
      <c r="I37" s="5">
        <f>Table4[[#This Row],[Jul]]*$B37</f>
        <v>20016</v>
      </c>
      <c r="J37" s="5">
        <f>Table4[[#This Row],[Aug]]*$B37</f>
        <v>21052</v>
      </c>
      <c r="K37" s="5">
        <f>Table4[[#This Row],[Sep]]*$B37</f>
        <v>21403</v>
      </c>
      <c r="L37" s="5">
        <f>Table4[[#This Row],[Oct]]*$B37</f>
        <v>20962</v>
      </c>
      <c r="M37" s="5">
        <f>Table4[[#This Row],[Nov]]*$B37</f>
        <v>19856</v>
      </c>
      <c r="N37" s="5">
        <f>Table4[[#This Row],[Dec]]*$B37</f>
        <v>21184</v>
      </c>
    </row>
    <row r="38" spans="1:14" ht="14.25" customHeight="1" x14ac:dyDescent="0.3">
      <c r="A38" t="s">
        <v>220</v>
      </c>
      <c r="B38">
        <v>0.9</v>
      </c>
      <c r="C38" s="5">
        <f>Table4[[#This Row],[Jan]]*$B38</f>
        <v>46872</v>
      </c>
      <c r="D38" s="5">
        <f>Table4[[#This Row],[Feb]]*$B38</f>
        <v>40989.599999999999</v>
      </c>
      <c r="E38" s="5">
        <f>Table4[[#This Row],[Mar]]*$B38</f>
        <v>39989.700000000004</v>
      </c>
      <c r="F38" s="5">
        <f>Table4[[#This Row],[Apr]]*$B38</f>
        <v>34783.200000000004</v>
      </c>
      <c r="G38" s="5">
        <f>Table4[[#This Row],[May]]*$B38</f>
        <v>32139</v>
      </c>
      <c r="H38" s="5">
        <f>Table4[[#This Row],[Jun]]*$B38</f>
        <v>28357.200000000001</v>
      </c>
      <c r="I38" s="5">
        <f>Table4[[#This Row],[Jul]]*$B38</f>
        <v>31229.100000000002</v>
      </c>
      <c r="J38" s="5">
        <f>Table4[[#This Row],[Aug]]*$B38</f>
        <v>36815.4</v>
      </c>
      <c r="K38" s="5">
        <f>Table4[[#This Row],[Sep]]*$B38</f>
        <v>40778.1</v>
      </c>
      <c r="L38" s="5">
        <f>Table4[[#This Row],[Oct]]*$B38</f>
        <v>46212.3</v>
      </c>
      <c r="M38" s="5">
        <f>Table4[[#This Row],[Nov]]*$B38</f>
        <v>46653.3</v>
      </c>
      <c r="N38" s="5">
        <f>Table4[[#This Row],[Dec]]*$B38</f>
        <v>47656.800000000003</v>
      </c>
    </row>
    <row r="39" spans="1:14" ht="14.25" customHeight="1" x14ac:dyDescent="0.3">
      <c r="A39" t="s">
        <v>222</v>
      </c>
      <c r="B39">
        <v>0.9</v>
      </c>
      <c r="C39" s="5">
        <f>Table4[[#This Row],[Jan]]*$B39</f>
        <v>12369.6</v>
      </c>
      <c r="D39" s="5">
        <f>Table4[[#This Row],[Feb]]*$B39</f>
        <v>10801.800000000001</v>
      </c>
      <c r="E39" s="5">
        <f>Table4[[#This Row],[Mar]]*$B39</f>
        <v>10537.2</v>
      </c>
      <c r="F39" s="5">
        <f>Table4[[#This Row],[Apr]]*$B39</f>
        <v>9173.7000000000007</v>
      </c>
      <c r="G39" s="5">
        <f>Table4[[#This Row],[May]]*$B39</f>
        <v>8503.2000000000007</v>
      </c>
      <c r="H39" s="5">
        <f>Table4[[#This Row],[Jun]]*$B39</f>
        <v>7545.6</v>
      </c>
      <c r="I39" s="5">
        <f>Table4[[#This Row],[Jul]]*$B39</f>
        <v>8307</v>
      </c>
      <c r="J39" s="5">
        <f>Table4[[#This Row],[Aug]]*$B39</f>
        <v>9720.9</v>
      </c>
      <c r="K39" s="5">
        <f>Table4[[#This Row],[Sep]]*$B39</f>
        <v>10755.9</v>
      </c>
      <c r="L39" s="5">
        <f>Table4[[#This Row],[Oct]]*$B39</f>
        <v>12190.5</v>
      </c>
      <c r="M39" s="5">
        <f>Table4[[#This Row],[Nov]]*$B39</f>
        <v>12263.4</v>
      </c>
      <c r="N39" s="5">
        <f>Table4[[#This Row],[Dec]]*$B39</f>
        <v>12539.7</v>
      </c>
    </row>
    <row r="40" spans="1:14" ht="14.25" customHeight="1" x14ac:dyDescent="0.3">
      <c r="A40" t="s">
        <v>142</v>
      </c>
      <c r="B40">
        <v>0.9</v>
      </c>
      <c r="C40" s="5">
        <f>Table4[[#This Row],[Jan]]*$B40</f>
        <v>5685.3</v>
      </c>
      <c r="D40" s="5">
        <f>Table4[[#This Row],[Feb]]*$B40</f>
        <v>4780.8</v>
      </c>
      <c r="E40" s="5">
        <f>Table4[[#This Row],[Mar]]*$B40</f>
        <v>4935.6000000000004</v>
      </c>
      <c r="F40" s="5">
        <f>Table4[[#This Row],[Apr]]*$B40</f>
        <v>4359.6000000000004</v>
      </c>
      <c r="G40" s="5">
        <f>Table4[[#This Row],[May]]*$B40</f>
        <v>4194</v>
      </c>
      <c r="H40" s="5">
        <f>Table4[[#This Row],[Jun]]*$B40</f>
        <v>3818.7000000000003</v>
      </c>
      <c r="I40" s="5">
        <f>Table4[[#This Row],[Jul]]*$B40</f>
        <v>4217.4000000000005</v>
      </c>
      <c r="J40" s="5">
        <f>Table4[[#This Row],[Aug]]*$B40</f>
        <v>4844.7</v>
      </c>
      <c r="K40" s="5">
        <f>Table4[[#This Row],[Sep]]*$B40</f>
        <v>5300.1</v>
      </c>
      <c r="L40" s="5">
        <f>Table4[[#This Row],[Oct]]*$B40</f>
        <v>5667.3</v>
      </c>
      <c r="M40" s="5">
        <f>Table4[[#This Row],[Nov]]*$B40</f>
        <v>5624.1</v>
      </c>
      <c r="N40" s="5">
        <f>Table4[[#This Row],[Dec]]*$B40</f>
        <v>5995.8</v>
      </c>
    </row>
    <row r="41" spans="1:14" ht="14.25" customHeight="1" x14ac:dyDescent="0.3">
      <c r="A41" t="s">
        <v>145</v>
      </c>
      <c r="B41">
        <v>0.9</v>
      </c>
      <c r="C41" s="5">
        <f>Table4[[#This Row],[Jan]]*$B41</f>
        <v>41208.479999999996</v>
      </c>
      <c r="D41" s="5">
        <f>Table4[[#This Row],[Feb]]*$B41</f>
        <v>35976.15</v>
      </c>
      <c r="E41" s="5">
        <f>Table4[[#This Row],[Mar]]*$B41</f>
        <v>36559.979999999996</v>
      </c>
      <c r="F41" s="5">
        <f>Table4[[#This Row],[Apr]]*$B41</f>
        <v>33604.11</v>
      </c>
      <c r="G41" s="5">
        <f>Table4[[#This Row],[May]]*$B41</f>
        <v>32958.629999999997</v>
      </c>
      <c r="H41" s="5">
        <f>Table4[[#This Row],[Jun]]*$B41</f>
        <v>30018.221190000004</v>
      </c>
      <c r="I41" s="5">
        <f>Table4[[#This Row],[Jul]]*$B41</f>
        <v>32459.809590000001</v>
      </c>
      <c r="J41" s="5">
        <f>Table4[[#This Row],[Aug]]*$B41</f>
        <v>36506.125710000008</v>
      </c>
      <c r="K41" s="5">
        <f>Table4[[#This Row],[Sep]]*$B41</f>
        <v>37370.869830000003</v>
      </c>
      <c r="L41" s="5">
        <f>Table4[[#This Row],[Oct]]*$B41</f>
        <v>40182.986250000002</v>
      </c>
      <c r="M41" s="5">
        <f>Table4[[#This Row],[Nov]]*$B41</f>
        <v>40330.536120000004</v>
      </c>
      <c r="N41" s="5">
        <f>Table4[[#This Row],[Dec]]*$B41</f>
        <v>42601.427820000004</v>
      </c>
    </row>
    <row r="42" spans="1:14" ht="14.25" customHeight="1" x14ac:dyDescent="0.3">
      <c r="A42" t="s">
        <v>149</v>
      </c>
      <c r="B42">
        <v>0.75</v>
      </c>
      <c r="C42" s="5">
        <f>Table4[[#This Row],[Jan]]*$B42</f>
        <v>8591.0250000000015</v>
      </c>
      <c r="D42" s="5">
        <f>Table4[[#This Row],[Feb]]*$B42</f>
        <v>7466.4749999999995</v>
      </c>
      <c r="E42" s="5">
        <f>Table4[[#This Row],[Mar]]*$B42</f>
        <v>7931.8499999999995</v>
      </c>
      <c r="F42" s="5">
        <f>Table4[[#This Row],[Apr]]*$B42</f>
        <v>6987.1500000000005</v>
      </c>
      <c r="G42" s="5">
        <f>Table4[[#This Row],[May]]*$B42</f>
        <v>6858.5250000000005</v>
      </c>
      <c r="H42" s="5">
        <f>Table4[[#This Row],[Jun]]*$B42</f>
        <v>6375.4500000000007</v>
      </c>
      <c r="I42" s="5">
        <f>Table4[[#This Row],[Jul]]*$B42</f>
        <v>6946.7249999999995</v>
      </c>
      <c r="J42" s="5">
        <f>Table4[[#This Row],[Aug]]*$B42</f>
        <v>7852.6500000000005</v>
      </c>
      <c r="K42" s="5">
        <f>Table4[[#This Row],[Sep]]*$B42</f>
        <v>8347.0499999999993</v>
      </c>
      <c r="L42" s="5">
        <f>Table4[[#This Row],[Oct]]*$B42</f>
        <v>8786.625</v>
      </c>
      <c r="M42" s="5">
        <f>Table4[[#This Row],[Nov]]*$B42</f>
        <v>8551.7999999999993</v>
      </c>
      <c r="N42" s="5">
        <f>Table4[[#This Row],[Dec]]*$B42</f>
        <v>9109.0499999999993</v>
      </c>
    </row>
    <row r="43" spans="1:14" ht="14.25" customHeight="1" x14ac:dyDescent="0.3">
      <c r="A43" t="s">
        <v>152</v>
      </c>
      <c r="B43">
        <v>0.8</v>
      </c>
      <c r="C43" s="5">
        <f>Table4[[#This Row],[Jan]]*$B43</f>
        <v>11540.960000000001</v>
      </c>
      <c r="D43" s="5">
        <f>Table4[[#This Row],[Feb]]*$B43</f>
        <v>9862.32</v>
      </c>
      <c r="E43" s="5">
        <f>Table4[[#This Row],[Mar]]*$B43</f>
        <v>10345.44</v>
      </c>
      <c r="F43" s="5">
        <f>Table4[[#This Row],[Apr]]*$B43</f>
        <v>8819.52</v>
      </c>
      <c r="G43" s="5">
        <f>Table4[[#This Row],[May]]*$B43</f>
        <v>8538.08</v>
      </c>
      <c r="H43" s="5">
        <f>Table4[[#This Row],[Jun]]*$B43</f>
        <v>7700</v>
      </c>
      <c r="I43" s="5">
        <f>Table4[[#This Row],[Jul]]*$B43</f>
        <v>8487.2000000000007</v>
      </c>
      <c r="J43" s="5">
        <f>Table4[[#This Row],[Aug]]*$B43</f>
        <v>9810.4800000000014</v>
      </c>
      <c r="K43" s="5">
        <f>Table4[[#This Row],[Sep]]*$B43</f>
        <v>10706.480000000001</v>
      </c>
      <c r="L43" s="5">
        <f>Table4[[#This Row],[Oct]]*$B43</f>
        <v>11410.400000000001</v>
      </c>
      <c r="M43" s="5">
        <f>Table4[[#This Row],[Nov]]*$B43</f>
        <v>11340.400000000001</v>
      </c>
      <c r="N43" s="5">
        <f>Table4[[#This Row],[Dec]]*$B43</f>
        <v>12102.560000000001</v>
      </c>
    </row>
    <row r="44" spans="1:14" ht="14.25" customHeight="1" x14ac:dyDescent="0.3">
      <c r="A44" t="s">
        <v>155</v>
      </c>
      <c r="B44">
        <v>0.9</v>
      </c>
      <c r="C44" s="5">
        <f>Table4[[#This Row],[Jan]]*$B44</f>
        <v>4894.2900000000009</v>
      </c>
      <c r="D44" s="5">
        <f>Table4[[#This Row],[Feb]]*$B44</f>
        <v>4527.45</v>
      </c>
      <c r="E44" s="5">
        <f>Table4[[#This Row],[Mar]]*$B44</f>
        <v>4754.25</v>
      </c>
      <c r="F44" s="5">
        <f>Table4[[#This Row],[Apr]]*$B44</f>
        <v>4171.59</v>
      </c>
      <c r="G44" s="5">
        <f>Table4[[#This Row],[May]]*$B44</f>
        <v>4117.5</v>
      </c>
      <c r="H44" s="5">
        <f>Table4[[#This Row],[Jun]]*$B44</f>
        <v>3729.06</v>
      </c>
      <c r="I44" s="5">
        <f>Table4[[#This Row],[Jul]]*$B44</f>
        <v>4105.53</v>
      </c>
      <c r="J44" s="5">
        <f>Table4[[#This Row],[Aug]]*$B44</f>
        <v>4624.83</v>
      </c>
      <c r="K44" s="5">
        <f>Table4[[#This Row],[Sep]]*$B44</f>
        <v>4797</v>
      </c>
      <c r="L44" s="5">
        <f>Table4[[#This Row],[Oct]]*$B44</f>
        <v>5068.9799999999996</v>
      </c>
      <c r="M44" s="5">
        <f>Table4[[#This Row],[Nov]]*$B44</f>
        <v>4862.88</v>
      </c>
      <c r="N44" s="5">
        <f>Table4[[#This Row],[Dec]]*$B44</f>
        <v>5082.3900000000003</v>
      </c>
    </row>
    <row r="45" spans="1:14" ht="14.25" customHeight="1" x14ac:dyDescent="0.3">
      <c r="A45" t="s">
        <v>157</v>
      </c>
      <c r="B45">
        <v>0.9</v>
      </c>
      <c r="C45" s="5">
        <f>Table4[[#This Row],[Jan]]*$B45</f>
        <v>5902.47</v>
      </c>
      <c r="D45" s="5">
        <f>Table4[[#This Row],[Feb]]*$B45</f>
        <v>5299.2</v>
      </c>
      <c r="E45" s="5">
        <f>Table4[[#This Row],[Mar]]*$B45</f>
        <v>5701.86</v>
      </c>
      <c r="F45" s="5">
        <f>Table4[[#This Row],[Apr]]*$B45</f>
        <v>5085.9000000000005</v>
      </c>
      <c r="G45" s="5">
        <f>Table4[[#This Row],[May]]*$B45</f>
        <v>5204.6099999999997</v>
      </c>
      <c r="H45" s="5">
        <f>Table4[[#This Row],[Jun]]*$B45</f>
        <v>4824.3599999999997</v>
      </c>
      <c r="I45" s="5">
        <f>Table4[[#This Row],[Jul]]*$B45</f>
        <v>5303.16</v>
      </c>
      <c r="J45" s="5">
        <f>Table4[[#This Row],[Aug]]*$B45</f>
        <v>5833.08</v>
      </c>
      <c r="K45" s="5">
        <f>Table4[[#This Row],[Sep]]*$B45</f>
        <v>6021.8099999999995</v>
      </c>
      <c r="L45" s="5">
        <f>Table4[[#This Row],[Oct]]*$B45</f>
        <v>6128.91</v>
      </c>
      <c r="M45" s="5">
        <f>Table4[[#This Row],[Nov]]*$B45</f>
        <v>5928.5700000000006</v>
      </c>
      <c r="N45" s="5">
        <f>Table4[[#This Row],[Dec]]*$B45</f>
        <v>6186.6900000000005</v>
      </c>
    </row>
    <row r="46" spans="1:14" ht="14.25" customHeight="1" x14ac:dyDescent="0.3">
      <c r="A46" t="s">
        <v>160</v>
      </c>
      <c r="B46">
        <v>0.85</v>
      </c>
      <c r="C46" s="5">
        <f>Table4[[#This Row],[Jan]]*$B46</f>
        <v>17099.45</v>
      </c>
      <c r="D46" s="5">
        <f>Table4[[#This Row],[Feb]]*$B46</f>
        <v>15031.4</v>
      </c>
      <c r="E46" s="5">
        <f>Table4[[#This Row],[Mar]]*$B46</f>
        <v>16289.4</v>
      </c>
      <c r="F46" s="5">
        <f>Table4[[#This Row],[Apr]]*$B46</f>
        <v>14250.25</v>
      </c>
      <c r="G46" s="5">
        <f>Table4[[#This Row],[May]]*$B46</f>
        <v>14783.199999999999</v>
      </c>
      <c r="H46" s="5">
        <f>Table4[[#This Row],[Jun]]*$B46</f>
        <v>13871.15</v>
      </c>
      <c r="I46" s="5">
        <f>Table4[[#This Row],[Jul]]*$B46</f>
        <v>15110.449999999999</v>
      </c>
      <c r="J46" s="5">
        <f>Table4[[#This Row],[Aug]]*$B46</f>
        <v>16763.7</v>
      </c>
      <c r="K46" s="5">
        <f>Table4[[#This Row],[Sep]]*$B46</f>
        <v>16935.399999999998</v>
      </c>
      <c r="L46" s="5">
        <f>Table4[[#This Row],[Oct]]*$B46</f>
        <v>17583.95</v>
      </c>
      <c r="M46" s="5">
        <f>Table4[[#This Row],[Nov]]*$B46</f>
        <v>16597.099999999999</v>
      </c>
      <c r="N46" s="5">
        <f>Table4[[#This Row],[Dec]]*$B46</f>
        <v>17731</v>
      </c>
    </row>
    <row r="47" spans="1:14" ht="14.25" customHeight="1" x14ac:dyDescent="0.3">
      <c r="A47" t="s">
        <v>163</v>
      </c>
      <c r="B47">
        <v>0.84532499999999999</v>
      </c>
      <c r="C47" s="5">
        <f>Table4[[#This Row],[Jan]]*$B47</f>
        <v>5191.4789549999996</v>
      </c>
      <c r="D47" s="5">
        <f>Table4[[#This Row],[Feb]]*$B47</f>
        <v>4656.5572950000005</v>
      </c>
      <c r="E47" s="5">
        <f>Table4[[#This Row],[Mar]]*$B47</f>
        <v>5018.2718624999998</v>
      </c>
      <c r="F47" s="5">
        <f>Table4[[#This Row],[Apr]]*$B47</f>
        <v>4498.5660524999994</v>
      </c>
      <c r="G47" s="5">
        <f>Table4[[#This Row],[May]]*$B47</f>
        <v>4604.0626124999999</v>
      </c>
      <c r="H47" s="5">
        <f>Table4[[#This Row],[Jun]]*$B47</f>
        <v>4265.4254174999996</v>
      </c>
      <c r="I47" s="5">
        <f>Table4[[#This Row],[Jul]]*$B47</f>
        <v>4694.8505175</v>
      </c>
      <c r="J47" s="5">
        <f>Table4[[#This Row],[Aug]]*$B47</f>
        <v>5144.2252875000004</v>
      </c>
      <c r="K47" s="5">
        <f>Table4[[#This Row],[Sep]]*$B47</f>
        <v>5295.0312674999996</v>
      </c>
      <c r="L47" s="5">
        <f>Table4[[#This Row],[Oct]]*$B47</f>
        <v>5391.4828500000003</v>
      </c>
      <c r="M47" s="5">
        <f>Table4[[#This Row],[Nov]]*$B47</f>
        <v>5210.6678325000003</v>
      </c>
      <c r="N47" s="5">
        <f>Table4[[#This Row],[Dec]]*$B47</f>
        <v>5439.6663749999998</v>
      </c>
    </row>
    <row r="48" spans="1:14" ht="14.25" customHeight="1" x14ac:dyDescent="0.3">
      <c r="A48" t="s">
        <v>166</v>
      </c>
      <c r="B48">
        <v>0.9</v>
      </c>
      <c r="C48" s="5">
        <f>Table4[[#This Row],[Jan]]*$B48</f>
        <v>23005.8</v>
      </c>
      <c r="D48" s="5">
        <f>Table4[[#This Row],[Feb]]*$B48</f>
        <v>19888.2</v>
      </c>
      <c r="E48" s="5">
        <f>Table4[[#This Row],[Mar]]*$B48</f>
        <v>21952.799999999999</v>
      </c>
      <c r="F48" s="5">
        <f>Table4[[#This Row],[Apr]]*$B48</f>
        <v>21444.3</v>
      </c>
      <c r="G48" s="5">
        <f>Table4[[#This Row],[May]]*$B48</f>
        <v>20688.3</v>
      </c>
      <c r="H48" s="5">
        <f>Table4[[#This Row],[Jun]]*$B48</f>
        <v>18646.2</v>
      </c>
      <c r="I48" s="5">
        <f>Table4[[#This Row],[Jul]]*$B48</f>
        <v>19629.900000000001</v>
      </c>
      <c r="J48" s="5">
        <f>Table4[[#This Row],[Aug]]*$B48</f>
        <v>22998.600000000002</v>
      </c>
      <c r="K48" s="5">
        <f>Table4[[#This Row],[Sep]]*$B48</f>
        <v>22670.100000000002</v>
      </c>
      <c r="L48" s="5">
        <f>Table4[[#This Row],[Oct]]*$B48</f>
        <v>22045.5</v>
      </c>
      <c r="M48" s="5">
        <f>Table4[[#This Row],[Nov]]*$B48</f>
        <v>22062.600000000002</v>
      </c>
      <c r="N48" s="5">
        <f>Table4[[#This Row],[Dec]]*$B48</f>
        <v>23333.4</v>
      </c>
    </row>
    <row r="49" spans="1:14" ht="14.25" customHeight="1" x14ac:dyDescent="0.3">
      <c r="A49" t="s">
        <v>169</v>
      </c>
      <c r="B49">
        <v>0.85</v>
      </c>
      <c r="C49" s="5">
        <f>Table4[[#This Row],[Jan]]*$B49</f>
        <v>3308.4549999999999</v>
      </c>
      <c r="D49" s="5">
        <f>Table4[[#This Row],[Feb]]*$B49</f>
        <v>2856.5949999999998</v>
      </c>
      <c r="E49" s="5">
        <f>Table4[[#This Row],[Mar]]*$B49</f>
        <v>3155.625</v>
      </c>
      <c r="F49" s="5">
        <f>Table4[[#This Row],[Apr]]*$B49</f>
        <v>3081.8449999999998</v>
      </c>
      <c r="G49" s="5">
        <f>Table4[[#This Row],[May]]*$B49</f>
        <v>2972.875</v>
      </c>
      <c r="H49" s="5">
        <f>Table4[[#This Row],[Jun]]*$B49</f>
        <v>2678.69</v>
      </c>
      <c r="I49" s="5">
        <f>Table4[[#This Row],[Jul]]*$B49</f>
        <v>2819.0250000000001</v>
      </c>
      <c r="J49" s="5">
        <f>Table4[[#This Row],[Aug]]*$B49</f>
        <v>3304.375</v>
      </c>
      <c r="K49" s="5">
        <f>Table4[[#This Row],[Sep]]*$B49</f>
        <v>3255.7550000000001</v>
      </c>
      <c r="L49" s="5">
        <f>Table4[[#This Row],[Oct]]*$B49</f>
        <v>3170.2449999999999</v>
      </c>
      <c r="M49" s="5">
        <f>Table4[[#This Row],[Nov]]*$B49</f>
        <v>3173.1349999999998</v>
      </c>
      <c r="N49" s="5">
        <f>Table4[[#This Row],[Dec]]*$B49</f>
        <v>3354.1849999999999</v>
      </c>
    </row>
    <row r="50" spans="1:14" ht="14.25" customHeight="1" x14ac:dyDescent="0.3">
      <c r="A50" t="s">
        <v>171</v>
      </c>
      <c r="B50">
        <v>0.95</v>
      </c>
      <c r="C50" s="5">
        <f>Table4[[#This Row],[Jan]]*$B50</f>
        <v>12489.554999999998</v>
      </c>
      <c r="D50" s="5">
        <f>Table4[[#This Row],[Feb]]*$B50</f>
        <v>10877.69</v>
      </c>
      <c r="E50" s="5">
        <f>Table4[[#This Row],[Mar]]*$B50</f>
        <v>10897.355</v>
      </c>
      <c r="F50" s="5">
        <f>Table4[[#This Row],[Apr]]*$B50</f>
        <v>8757.9549999999999</v>
      </c>
      <c r="G50" s="5">
        <f>Table4[[#This Row],[May]]*$B50</f>
        <v>7449.4249999999993</v>
      </c>
      <c r="H50" s="5">
        <f>Table4[[#This Row],[Jun]]*$B50</f>
        <v>6752.6949999999997</v>
      </c>
      <c r="I50" s="5">
        <f>Table4[[#This Row],[Jul]]*$B50</f>
        <v>7274.2449999999999</v>
      </c>
      <c r="J50" s="5">
        <f>Table4[[#This Row],[Aug]]*$B50</f>
        <v>8568.7150000000001</v>
      </c>
      <c r="K50" s="5">
        <f>Table4[[#This Row],[Sep]]*$B50</f>
        <v>9196</v>
      </c>
      <c r="L50" s="5">
        <f>Table4[[#This Row],[Oct]]*$B50</f>
        <v>10753.525</v>
      </c>
      <c r="M50" s="5">
        <f>Table4[[#This Row],[Nov]]*$B50</f>
        <v>11159.27</v>
      </c>
      <c r="N50" s="5">
        <f>Table4[[#This Row],[Dec]]*$B50</f>
        <v>12687.82</v>
      </c>
    </row>
    <row r="51" spans="1:14" ht="14.25" customHeight="1" x14ac:dyDescent="0.3">
      <c r="A51" t="s">
        <v>172</v>
      </c>
      <c r="B51">
        <v>0.95</v>
      </c>
      <c r="C51" s="5">
        <f>Table4[[#This Row],[Jan]]*$B51</f>
        <v>13218.014999999999</v>
      </c>
      <c r="D51" s="5">
        <f>Table4[[#This Row],[Feb]]*$B51</f>
        <v>10966.134999999998</v>
      </c>
      <c r="E51" s="5">
        <f>Table4[[#This Row],[Mar]]*$B51</f>
        <v>11441.134999999998</v>
      </c>
      <c r="F51" s="5">
        <f>Table4[[#This Row],[Apr]]*$B51</f>
        <v>10004.07</v>
      </c>
      <c r="G51" s="5">
        <f>Table4[[#This Row],[May]]*$B51</f>
        <v>8979.59</v>
      </c>
      <c r="H51" s="5">
        <f>Table4[[#This Row],[Jun]]*$B51</f>
        <v>7800.2599999999993</v>
      </c>
      <c r="I51" s="5">
        <f>Table4[[#This Row],[Jul]]*$B51</f>
        <v>8635.69</v>
      </c>
      <c r="J51" s="5">
        <f>Table4[[#This Row],[Aug]]*$B51</f>
        <v>9829.9349999999995</v>
      </c>
      <c r="K51" s="5">
        <f>Table4[[#This Row],[Sep]]*$B51</f>
        <v>10568.94</v>
      </c>
      <c r="L51" s="5">
        <f>Table4[[#This Row],[Oct]]*$B51</f>
        <v>11606.34</v>
      </c>
      <c r="M51" s="5">
        <f>Table4[[#This Row],[Nov]]*$B51</f>
        <v>12483.284999999998</v>
      </c>
      <c r="N51" s="5">
        <f>Table4[[#This Row],[Dec]]*$B51</f>
        <v>13393.574999999999</v>
      </c>
    </row>
    <row r="52" spans="1:14" ht="14.25" customHeight="1" x14ac:dyDescent="0.3">
      <c r="A52" t="s">
        <v>265</v>
      </c>
      <c r="B52">
        <v>0.9</v>
      </c>
      <c r="C52" s="5">
        <f>Table4[[#This Row],[Jan]]*$B52</f>
        <v>23065.02</v>
      </c>
      <c r="D52" s="5">
        <f>Table4[[#This Row],[Feb]]*$B52</f>
        <v>20354.850000000002</v>
      </c>
      <c r="E52" s="5">
        <f>Table4[[#This Row],[Mar]]*$B52</f>
        <v>21716.37</v>
      </c>
      <c r="F52" s="5">
        <f>Table4[[#This Row],[Apr]]*$B52</f>
        <v>18847.89</v>
      </c>
      <c r="G52" s="5">
        <f>Table4[[#This Row],[May]]*$B52</f>
        <v>18700.919999999998</v>
      </c>
      <c r="H52" s="5">
        <f>Table4[[#This Row],[Jun]]*$B52</f>
        <v>17164.439999999999</v>
      </c>
      <c r="I52" s="5">
        <f>Table4[[#This Row],[Jul]]*$B52</f>
        <v>18821.97</v>
      </c>
      <c r="J52" s="5">
        <f>Table4[[#This Row],[Aug]]*$B52</f>
        <v>21497.67</v>
      </c>
      <c r="K52" s="5">
        <f>Table4[[#This Row],[Sep]]*$B52</f>
        <v>22688.37</v>
      </c>
      <c r="L52" s="5">
        <f>Table4[[#This Row],[Oct]]*$B52</f>
        <v>22841.55</v>
      </c>
      <c r="M52" s="5">
        <f>Table4[[#This Row],[Nov]]*$B52</f>
        <v>22507.919999999998</v>
      </c>
      <c r="N52" s="5">
        <f>Table4[[#This Row],[Dec]]*$B52</f>
        <v>23494.59</v>
      </c>
    </row>
    <row r="53" spans="1:14" ht="14.25" customHeight="1" x14ac:dyDescent="0.3">
      <c r="A53" t="s">
        <v>177</v>
      </c>
      <c r="B53">
        <v>0.9</v>
      </c>
      <c r="C53" s="5">
        <f>Table4[[#This Row],[Jan]]*$B53</f>
        <v>4359.6000000000004</v>
      </c>
      <c r="D53" s="5">
        <f>Table4[[#This Row],[Feb]]*$B53</f>
        <v>3825.9</v>
      </c>
      <c r="E53" s="5">
        <f>Table4[[#This Row],[Mar]]*$B53</f>
        <v>4077</v>
      </c>
      <c r="F53" s="5">
        <f>Table4[[#This Row],[Apr]]*$B53</f>
        <v>3573.9</v>
      </c>
      <c r="G53" s="5">
        <f>Table4[[#This Row],[May]]*$B53</f>
        <v>3623.4</v>
      </c>
      <c r="H53" s="5">
        <f>Table4[[#This Row],[Jun]]*$B53</f>
        <v>3360.6</v>
      </c>
      <c r="I53" s="5">
        <f>Table4[[#This Row],[Jul]]*$B53</f>
        <v>3665.7000000000003</v>
      </c>
      <c r="J53" s="5">
        <f>Table4[[#This Row],[Aug]]*$B53</f>
        <v>4104</v>
      </c>
      <c r="K53" s="5">
        <f>Table4[[#This Row],[Sep]]*$B53</f>
        <v>4274.1000000000004</v>
      </c>
      <c r="L53" s="5">
        <f>Table4[[#This Row],[Oct]]*$B53</f>
        <v>4289.4000000000005</v>
      </c>
      <c r="M53" s="5">
        <f>Table4[[#This Row],[Nov]]*$B53</f>
        <v>4249.8</v>
      </c>
      <c r="N53" s="5">
        <f>Table4[[#This Row],[Dec]]*$B53</f>
        <v>4446</v>
      </c>
    </row>
    <row r="54" spans="1:14" ht="14.25" customHeight="1" x14ac:dyDescent="0.3">
      <c r="A54" t="s">
        <v>180</v>
      </c>
      <c r="B54">
        <v>0.9</v>
      </c>
      <c r="C54" s="5">
        <f>Table4[[#This Row],[Jan]]*$B54</f>
        <v>23724</v>
      </c>
      <c r="D54" s="5">
        <f>Table4[[#This Row],[Feb]]*$B54</f>
        <v>20448</v>
      </c>
      <c r="E54" s="5">
        <f>Table4[[#This Row],[Mar]]*$B54</f>
        <v>19986.3</v>
      </c>
      <c r="F54" s="5">
        <f>Table4[[#This Row],[Apr]]*$B54</f>
        <v>17181.900000000001</v>
      </c>
      <c r="G54" s="5">
        <f>Table4[[#This Row],[May]]*$B54</f>
        <v>15369.300000000001</v>
      </c>
      <c r="H54" s="5">
        <f>Table4[[#This Row],[Jun]]*$B54</f>
        <v>13381.2</v>
      </c>
      <c r="I54" s="5">
        <f>Table4[[#This Row],[Jul]]*$B54</f>
        <v>15023.7</v>
      </c>
      <c r="J54" s="5">
        <f>Table4[[#This Row],[Aug]]*$B54</f>
        <v>18071.100000000002</v>
      </c>
      <c r="K54" s="5">
        <f>Table4[[#This Row],[Sep]]*$B54</f>
        <v>20545.2</v>
      </c>
      <c r="L54" s="5">
        <f>Table4[[#This Row],[Oct]]*$B54</f>
        <v>23411.7</v>
      </c>
      <c r="M54" s="5">
        <f>Table4[[#This Row],[Nov]]*$B54</f>
        <v>23583.600000000002</v>
      </c>
      <c r="N54" s="5">
        <f>Table4[[#This Row],[Dec]]*$B54</f>
        <v>24027.3</v>
      </c>
    </row>
    <row r="55" spans="1:14" ht="14.25" customHeight="1" x14ac:dyDescent="0.3">
      <c r="A55" t="s">
        <v>182</v>
      </c>
      <c r="B55">
        <v>0.95</v>
      </c>
      <c r="C55" s="5">
        <f>Table4[[#This Row],[Jan]]*$B55</f>
        <v>20564.649999999998</v>
      </c>
      <c r="D55" s="5">
        <f>Table4[[#This Row],[Feb]]*$B55</f>
        <v>17491.399999999998</v>
      </c>
      <c r="E55" s="5">
        <f>Table4[[#This Row],[Mar]]*$B55</f>
        <v>18246.649999999998</v>
      </c>
      <c r="F55" s="5">
        <f>Table4[[#This Row],[Apr]]*$B55</f>
        <v>15297.849999999999</v>
      </c>
      <c r="G55" s="5">
        <f>Table4[[#This Row],[May]]*$B55</f>
        <v>14953</v>
      </c>
      <c r="H55" s="5">
        <f>Table4[[#This Row],[Jun]]*$B55</f>
        <v>13275.3</v>
      </c>
      <c r="I55" s="5">
        <f>Table4[[#This Row],[Jul]]*$B55</f>
        <v>14678.449999999999</v>
      </c>
      <c r="J55" s="5">
        <f>Table4[[#This Row],[Aug]]*$B55</f>
        <v>17062.95</v>
      </c>
      <c r="K55" s="5">
        <f>Table4[[#This Row],[Sep]]*$B55</f>
        <v>18937.3</v>
      </c>
      <c r="L55" s="5">
        <f>Table4[[#This Row],[Oct]]*$B55</f>
        <v>20481.05</v>
      </c>
      <c r="M55" s="5">
        <f>Table4[[#This Row],[Nov]]*$B55</f>
        <v>20366.099999999999</v>
      </c>
      <c r="N55" s="5">
        <f>Table4[[#This Row],[Dec]]*$B55</f>
        <v>21890.85</v>
      </c>
    </row>
    <row r="56" spans="1:14" ht="14.25" customHeight="1" x14ac:dyDescent="0.3">
      <c r="A56" t="s">
        <v>184</v>
      </c>
      <c r="B56">
        <v>0.95</v>
      </c>
      <c r="C56" s="5">
        <f>Table4[[#This Row],[Jan]]*$B56</f>
        <v>37513.599999999999</v>
      </c>
      <c r="D56" s="5">
        <f>Table4[[#This Row],[Feb]]*$B56</f>
        <v>31212.25</v>
      </c>
      <c r="E56" s="5">
        <f>Table4[[#This Row],[Mar]]*$B56</f>
        <v>29700.134999999998</v>
      </c>
      <c r="F56" s="5">
        <f>Table4[[#This Row],[Apr]]*$B56</f>
        <v>24898.55</v>
      </c>
      <c r="G56" s="5">
        <f>Table4[[#This Row],[May]]*$B56</f>
        <v>21981.1</v>
      </c>
      <c r="H56" s="5">
        <f>Table4[[#This Row],[Jun]]*$B56</f>
        <v>18982.899999999998</v>
      </c>
      <c r="I56" s="5">
        <f>Table4[[#This Row],[Jul]]*$B56</f>
        <v>21551.7</v>
      </c>
      <c r="J56" s="5">
        <f>Table4[[#This Row],[Aug]]*$B56</f>
        <v>26041.399999999998</v>
      </c>
      <c r="K56" s="5">
        <f>Table4[[#This Row],[Sep]]*$B56</f>
        <v>29888.899999999998</v>
      </c>
      <c r="L56" s="5">
        <f>Table4[[#This Row],[Oct]]*$B56</f>
        <v>34705.4</v>
      </c>
      <c r="M56" s="5">
        <f>Table4[[#This Row],[Nov]]*$B56</f>
        <v>36881.85</v>
      </c>
      <c r="N56" s="5">
        <f>Table4[[#This Row],[Dec]]*$B56</f>
        <v>40110.9</v>
      </c>
    </row>
    <row r="57" spans="1:14" ht="14.25" customHeight="1" x14ac:dyDescent="0.3">
      <c r="A57" t="s">
        <v>186</v>
      </c>
      <c r="B57">
        <v>0.9</v>
      </c>
      <c r="C57" s="5">
        <f>Table4[[#This Row],[Jan]]*$B57</f>
        <v>34074.9</v>
      </c>
      <c r="D57" s="5">
        <f>Table4[[#This Row],[Feb]]*$B57</f>
        <v>28396.799999999999</v>
      </c>
      <c r="E57" s="5">
        <f>Table4[[#This Row],[Mar]]*$B57</f>
        <v>28665.9</v>
      </c>
      <c r="F57" s="5">
        <f>Table4[[#This Row],[Apr]]*$B57</f>
        <v>24411.600000000002</v>
      </c>
      <c r="G57" s="5">
        <f>Table4[[#This Row],[May]]*$B57</f>
        <v>22266.9</v>
      </c>
      <c r="H57" s="5">
        <f>Table4[[#This Row],[Jun]]*$B57</f>
        <v>19791.900000000001</v>
      </c>
      <c r="I57" s="5">
        <f>Table4[[#This Row],[Jul]]*$B57</f>
        <v>21774.600000000002</v>
      </c>
      <c r="J57" s="5">
        <f>Table4[[#This Row],[Aug]]*$B57</f>
        <v>25973.100000000002</v>
      </c>
      <c r="K57" s="5">
        <f>Table4[[#This Row],[Sep]]*$B57</f>
        <v>28984.5</v>
      </c>
      <c r="L57" s="5">
        <f>Table4[[#This Row],[Oct]]*$B57</f>
        <v>33058.800000000003</v>
      </c>
      <c r="M57" s="5">
        <f>Table4[[#This Row],[Nov]]*$B57</f>
        <v>34366.5</v>
      </c>
      <c r="N57" s="5">
        <f>Table4[[#This Row],[Dec]]*$B57</f>
        <v>36320.400000000001</v>
      </c>
    </row>
    <row r="58" spans="1:14" ht="14.25" customHeight="1" x14ac:dyDescent="0.3">
      <c r="A58" t="s">
        <v>188</v>
      </c>
      <c r="B58">
        <v>0.9</v>
      </c>
      <c r="C58" s="5">
        <f>Table4[[#This Row],[Jan]]*$B58</f>
        <v>20588.400000000001</v>
      </c>
      <c r="D58" s="5">
        <f>Table4[[#This Row],[Feb]]*$B58</f>
        <v>17538.3</v>
      </c>
      <c r="E58" s="5">
        <f>Table4[[#This Row],[Mar]]*$B58</f>
        <v>17897.400000000001</v>
      </c>
      <c r="F58" s="5">
        <f>Table4[[#This Row],[Apr]]*$B58</f>
        <v>14674.5</v>
      </c>
      <c r="G58" s="5">
        <f>Table4[[#This Row],[May]]*$B58</f>
        <v>13272.300000000001</v>
      </c>
      <c r="H58" s="5">
        <f>Table4[[#This Row],[Jun]]*$B58</f>
        <v>11571.300000000001</v>
      </c>
      <c r="I58" s="5">
        <f>Table4[[#This Row],[Jul]]*$B58</f>
        <v>12990.6</v>
      </c>
      <c r="J58" s="5">
        <f>Table4[[#This Row],[Aug]]*$B58</f>
        <v>15871.5</v>
      </c>
      <c r="K58" s="5">
        <f>Table4[[#This Row],[Sep]]*$B58</f>
        <v>18317.7</v>
      </c>
      <c r="L58" s="5">
        <f>Table4[[#This Row],[Oct]]*$B58</f>
        <v>20121.3</v>
      </c>
      <c r="M58" s="5">
        <f>Table4[[#This Row],[Nov]]*$B58</f>
        <v>20573.100000000002</v>
      </c>
      <c r="N58" s="5">
        <f>Table4[[#This Row],[Dec]]*$B58</f>
        <v>21930.3</v>
      </c>
    </row>
    <row r="59" spans="1:14" ht="14.25" customHeight="1" x14ac:dyDescent="0.3">
      <c r="A59" t="s">
        <v>226</v>
      </c>
      <c r="B59">
        <v>0.9</v>
      </c>
      <c r="C59" s="5">
        <f>Table4[[#This Row],[Jan]]*$B59</f>
        <v>30721.5</v>
      </c>
      <c r="D59" s="5">
        <f>Table4[[#This Row],[Feb]]*$B59</f>
        <v>24282.9</v>
      </c>
      <c r="E59" s="5">
        <f>Table4[[#This Row],[Mar]]*$B59</f>
        <v>24146.100000000002</v>
      </c>
      <c r="F59" s="5">
        <f>Table4[[#This Row],[Apr]]*$B59</f>
        <v>18389.7</v>
      </c>
      <c r="G59" s="5">
        <f>Table4[[#This Row],[May]]*$B59</f>
        <v>18961.2</v>
      </c>
      <c r="H59" s="5">
        <f>Table4[[#This Row],[Jun]]*$B59</f>
        <v>15280.2</v>
      </c>
      <c r="I59" s="5">
        <f>Table4[[#This Row],[Jul]]*$B59</f>
        <v>17361.900000000001</v>
      </c>
      <c r="J59" s="5">
        <f>Table4[[#This Row],[Aug]]*$B59</f>
        <v>19303.2</v>
      </c>
      <c r="K59" s="5">
        <f>Table4[[#This Row],[Sep]]*$B59</f>
        <v>18141.3</v>
      </c>
      <c r="L59" s="5">
        <f>Table4[[#This Row],[Oct]]*$B59</f>
        <v>22548.600000000002</v>
      </c>
      <c r="M59" s="5">
        <f>Table4[[#This Row],[Nov]]*$B59</f>
        <v>22923.9</v>
      </c>
      <c r="N59" s="5">
        <f>Table4[[#This Row],[Dec]]*$B59</f>
        <v>28392.3</v>
      </c>
    </row>
    <row r="60" spans="1:14" ht="14.25" customHeight="1" x14ac:dyDescent="0.3">
      <c r="A60" t="s">
        <v>208</v>
      </c>
      <c r="B60">
        <v>0.9</v>
      </c>
      <c r="C60" s="5">
        <f>Table4[[#This Row],[Jan]]*$B60</f>
        <v>18584.100000000002</v>
      </c>
      <c r="D60" s="5">
        <f>Table4[[#This Row],[Feb]]*$B60</f>
        <v>16101.9</v>
      </c>
      <c r="E60" s="5">
        <f>Table4[[#This Row],[Mar]]*$B60</f>
        <v>15901.2</v>
      </c>
      <c r="F60" s="5">
        <f>Table4[[#This Row],[Apr]]*$B60</f>
        <v>13660.2</v>
      </c>
      <c r="G60" s="5">
        <f>Table4[[#This Row],[May]]*$B60</f>
        <v>12620.7</v>
      </c>
      <c r="H60" s="5">
        <f>Table4[[#This Row],[Jun]]*$B60</f>
        <v>11094.300000000001</v>
      </c>
      <c r="I60" s="5">
        <f>Table4[[#This Row],[Jul]]*$B60</f>
        <v>12367.800000000001</v>
      </c>
      <c r="J60" s="5">
        <f>Table4[[#This Row],[Aug]]*$B60</f>
        <v>14484.6</v>
      </c>
      <c r="K60" s="5">
        <f>Table4[[#This Row],[Sep]]*$B60</f>
        <v>16189.2</v>
      </c>
      <c r="L60" s="5">
        <f>Table4[[#This Row],[Oct]]*$B60</f>
        <v>18663.3</v>
      </c>
      <c r="M60" s="5">
        <f>Table4[[#This Row],[Nov]]*$B60</f>
        <v>18589.5</v>
      </c>
      <c r="N60" s="5">
        <f>Table4[[#This Row],[Dec]]*$B60</f>
        <v>19022.400000000001</v>
      </c>
    </row>
    <row r="61" spans="1:14" ht="14.25" customHeight="1" x14ac:dyDescent="0.3">
      <c r="A61" t="s">
        <v>190</v>
      </c>
      <c r="B61">
        <v>0.85</v>
      </c>
      <c r="C61" s="5">
        <f>Table4[[#This Row],[Jan]]*$B61</f>
        <v>16638.665000000001</v>
      </c>
      <c r="D61" s="5">
        <f>Table4[[#This Row],[Feb]]*$B61</f>
        <v>14215.059999999998</v>
      </c>
      <c r="E61" s="5">
        <f>Table4[[#This Row],[Mar]]*$B61</f>
        <v>15137.309999999998</v>
      </c>
      <c r="F61" s="5">
        <f>Table4[[#This Row],[Apr]]*$B61</f>
        <v>13176.87</v>
      </c>
      <c r="G61" s="5">
        <f>Table4[[#This Row],[May]]*$B61</f>
        <v>12813.75</v>
      </c>
      <c r="H61" s="5">
        <f>Table4[[#This Row],[Jun]]*$B61</f>
        <v>11578.87</v>
      </c>
      <c r="I61" s="5">
        <f>Table4[[#This Row],[Jul]]*$B61</f>
        <v>12892.545</v>
      </c>
      <c r="J61" s="5">
        <f>Table4[[#This Row],[Aug]]*$B61</f>
        <v>14836.92</v>
      </c>
      <c r="K61" s="5">
        <f>Table4[[#This Row],[Sep]]*$B61</f>
        <v>15996.15</v>
      </c>
      <c r="L61" s="5">
        <f>Table4[[#This Row],[Oct]]*$B61</f>
        <v>16796.170000000002</v>
      </c>
      <c r="M61" s="5">
        <f>Table4[[#This Row],[Nov]]*$B61</f>
        <v>16463.224999999999</v>
      </c>
      <c r="N61" s="5">
        <f>Table4[[#This Row],[Dec]]*$B61</f>
        <v>17398.904999999999</v>
      </c>
    </row>
    <row r="62" spans="1:14" ht="14.25" customHeight="1" x14ac:dyDescent="0.3">
      <c r="A62" t="s">
        <v>213</v>
      </c>
      <c r="B62">
        <v>0.9</v>
      </c>
      <c r="C62" s="5">
        <f>Table4[[#This Row],[Jan]]*$B62</f>
        <v>9307.8000000000011</v>
      </c>
      <c r="D62" s="5">
        <f>Table4[[#This Row],[Feb]]*$B62</f>
        <v>8001.9000000000005</v>
      </c>
      <c r="E62" s="5">
        <f>Table4[[#This Row],[Mar]]*$B62</f>
        <v>7803.9000000000005</v>
      </c>
      <c r="F62" s="5">
        <f>Table4[[#This Row],[Apr]]*$B62</f>
        <v>6785.1</v>
      </c>
      <c r="G62" s="5">
        <f>Table4[[#This Row],[May]]*$B62</f>
        <v>6244.2</v>
      </c>
      <c r="H62" s="5">
        <f>Table4[[#This Row],[Jun]]*$B62</f>
        <v>5524.2</v>
      </c>
      <c r="I62" s="5">
        <f>Table4[[#This Row],[Jul]]*$B62</f>
        <v>6086.7</v>
      </c>
      <c r="J62" s="5">
        <f>Table4[[#This Row],[Aug]]*$B62</f>
        <v>7124.4000000000005</v>
      </c>
      <c r="K62" s="5">
        <f>Table4[[#This Row],[Sep]]*$B62</f>
        <v>7864.2</v>
      </c>
      <c r="L62" s="5">
        <f>Table4[[#This Row],[Oct]]*$B62</f>
        <v>9007.2000000000007</v>
      </c>
      <c r="M62" s="5">
        <f>Table4[[#This Row],[Nov]]*$B62</f>
        <v>8999.1</v>
      </c>
      <c r="N62" s="5">
        <f>Table4[[#This Row],[Dec]]*$B62</f>
        <v>9241.2000000000007</v>
      </c>
    </row>
    <row r="63" spans="1:14" ht="14.25" customHeight="1" x14ac:dyDescent="0.3">
      <c r="A63" t="s">
        <v>216</v>
      </c>
      <c r="B63">
        <v>0.9</v>
      </c>
      <c r="C63" s="5">
        <f>Table4[[#This Row],[Jan]]*$B63</f>
        <v>28699.56</v>
      </c>
      <c r="D63" s="5">
        <f>Table4[[#This Row],[Feb]]*$B63</f>
        <v>24909.3</v>
      </c>
      <c r="E63" s="5">
        <f>Table4[[#This Row],[Mar]]*$B63</f>
        <v>24570</v>
      </c>
      <c r="F63" s="5">
        <f>Table4[[#This Row],[Apr]]*$B63</f>
        <v>21388.5</v>
      </c>
      <c r="G63" s="5">
        <f>Table4[[#This Row],[May]]*$B63</f>
        <v>19723.5</v>
      </c>
      <c r="H63" s="5">
        <f>Table4[[#This Row],[Jun]]*$B63</f>
        <v>17431.2</v>
      </c>
      <c r="I63" s="5">
        <f>Table4[[#This Row],[Jul]]*$B63</f>
        <v>19181.7</v>
      </c>
      <c r="J63" s="5">
        <f>Table4[[#This Row],[Aug]]*$B63</f>
        <v>22417.200000000001</v>
      </c>
      <c r="K63" s="5">
        <f>Table4[[#This Row],[Sep]]*$B63</f>
        <v>24780.600000000002</v>
      </c>
      <c r="L63" s="5">
        <f>Table4[[#This Row],[Oct]]*$B63</f>
        <v>28127.7</v>
      </c>
      <c r="M63" s="5">
        <f>Table4[[#This Row],[Nov]]*$B63</f>
        <v>28061.100000000002</v>
      </c>
      <c r="N63" s="5">
        <f>Table4[[#This Row],[Dec]]*$B63</f>
        <v>28703.7</v>
      </c>
    </row>
    <row r="64" spans="1:14" ht="14.25" customHeight="1" x14ac:dyDescent="0.3">
      <c r="A64" t="s">
        <v>218</v>
      </c>
      <c r="B64">
        <v>0.9</v>
      </c>
      <c r="C64" s="5">
        <f>Table4[[#This Row],[Jan]]*$B64</f>
        <v>9601.92</v>
      </c>
      <c r="D64" s="5">
        <f>Table4[[#This Row],[Feb]]*$B64</f>
        <v>8296.74</v>
      </c>
      <c r="E64" s="5">
        <f>Table4[[#This Row],[Mar]]*$B64</f>
        <v>8140.5</v>
      </c>
      <c r="F64" s="5">
        <f>Table4[[#This Row],[Apr]]*$B64</f>
        <v>7017.3</v>
      </c>
      <c r="G64" s="5">
        <f>Table4[[#This Row],[May]]*$B64</f>
        <v>6430.3200000000006</v>
      </c>
      <c r="H64" s="5">
        <f>Table4[[#This Row],[Jun]]*$B64</f>
        <v>5669.28</v>
      </c>
      <c r="I64" s="5">
        <f>Table4[[#This Row],[Jul]]*$B64</f>
        <v>6247.4400000000005</v>
      </c>
      <c r="J64" s="5">
        <f>Table4[[#This Row],[Aug]]*$B64</f>
        <v>7340.13</v>
      </c>
      <c r="K64" s="5">
        <f>Table4[[#This Row],[Sep]]*$B64</f>
        <v>8154</v>
      </c>
      <c r="L64" s="5">
        <f>Table4[[#This Row],[Oct]]*$B64</f>
        <v>9352.8000000000011</v>
      </c>
      <c r="M64" s="5">
        <f>Table4[[#This Row],[Nov]]*$B64</f>
        <v>9353.7000000000007</v>
      </c>
      <c r="N64" s="5">
        <f>Table4[[#This Row],[Dec]]*$B64</f>
        <v>9582.3000000000011</v>
      </c>
    </row>
    <row r="65" spans="1:14" ht="14.25" customHeight="1" x14ac:dyDescent="0.3">
      <c r="A65" t="s">
        <v>192</v>
      </c>
      <c r="C65" s="5">
        <f>Table4[[#This Row],[Jan]]*$B65</f>
        <v>0</v>
      </c>
      <c r="D65" s="5">
        <f>Table4[[#This Row],[Feb]]*$B65</f>
        <v>0</v>
      </c>
      <c r="E65" s="5">
        <f>Table4[[#This Row],[Mar]]*$B65</f>
        <v>0</v>
      </c>
      <c r="F65" s="5">
        <f>Table4[[#This Row],[Apr]]*$B65</f>
        <v>0</v>
      </c>
      <c r="G65" s="5">
        <f>Table4[[#This Row],[May]]*$B65</f>
        <v>0</v>
      </c>
      <c r="H65" s="5">
        <f>Table4[[#This Row],[Jun]]*$B65</f>
        <v>0</v>
      </c>
      <c r="I65" s="5">
        <f>Table4[[#This Row],[Jul]]*$B65</f>
        <v>0</v>
      </c>
      <c r="J65" s="5">
        <f>Table4[[#This Row],[Aug]]*$B65</f>
        <v>0</v>
      </c>
      <c r="K65" s="5">
        <f>Table4[[#This Row],[Sep]]*$B65</f>
        <v>0</v>
      </c>
      <c r="L65" s="5">
        <f>Table4[[#This Row],[Oct]]*$B65</f>
        <v>0</v>
      </c>
      <c r="M65" s="5">
        <f>Table4[[#This Row],[Nov]]*$B65</f>
        <v>0</v>
      </c>
      <c r="N65" s="5">
        <f>Table4[[#This Row],[Dec]]*$B65</f>
        <v>0</v>
      </c>
    </row>
    <row r="66" spans="1:14" ht="14.25" customHeight="1" x14ac:dyDescent="0.3">
      <c r="A66" t="s">
        <v>194</v>
      </c>
      <c r="B66">
        <v>0.92500000000000004</v>
      </c>
      <c r="C66" s="5">
        <f>Table4[[#This Row],[Jan]]*$B66</f>
        <v>7605.35</v>
      </c>
      <c r="D66" s="5">
        <f>Table4[[#This Row],[Feb]]*$B66</f>
        <v>6473.1500000000005</v>
      </c>
      <c r="E66" s="5">
        <f>Table4[[#This Row],[Mar]]*$B66</f>
        <v>6529.5750000000007</v>
      </c>
      <c r="F66" s="5">
        <f>Table4[[#This Row],[Apr]]*$B66</f>
        <v>5155.95</v>
      </c>
      <c r="G66" s="5">
        <f>Table4[[#This Row],[May]]*$B66</f>
        <v>4885.8500000000004</v>
      </c>
      <c r="H66" s="5">
        <f>Table4[[#This Row],[Jun]]*$B66</f>
        <v>4375.25</v>
      </c>
      <c r="I66" s="5">
        <f>Table4[[#This Row],[Jul]]*$B66</f>
        <v>4861.8</v>
      </c>
      <c r="J66" s="5">
        <f>Table4[[#This Row],[Aug]]*$B66</f>
        <v>5591.625</v>
      </c>
      <c r="K66" s="5">
        <f>Table4[[#This Row],[Sep]]*$B66</f>
        <v>6522.1750000000002</v>
      </c>
      <c r="L66" s="5">
        <f>Table4[[#This Row],[Oct]]*$B66</f>
        <v>7451.8</v>
      </c>
      <c r="M66" s="5">
        <f>Table4[[#This Row],[Nov]]*$B66</f>
        <v>7534.125</v>
      </c>
      <c r="N66" s="5">
        <f>Table4[[#This Row],[Dec]]*$B66</f>
        <v>8084.5</v>
      </c>
    </row>
    <row r="67" spans="1:14" ht="14.25" customHeight="1" x14ac:dyDescent="0.3">
      <c r="A67" t="s">
        <v>196</v>
      </c>
      <c r="B67">
        <v>0.75</v>
      </c>
      <c r="C67" s="5">
        <f>Table4[[#This Row],[Jan]]*$B67</f>
        <v>4274.1000000000004</v>
      </c>
      <c r="D67" s="5">
        <f>Table4[[#This Row],[Feb]]*$B67</f>
        <v>3810.6000000000004</v>
      </c>
      <c r="E67" s="5">
        <f>Table4[[#This Row],[Mar]]*$B67</f>
        <v>3907.2749999999996</v>
      </c>
      <c r="F67" s="5">
        <f>Table4[[#This Row],[Apr]]*$B67</f>
        <v>3268.125</v>
      </c>
      <c r="G67" s="5">
        <f>Table4[[#This Row],[May]]*$B67</f>
        <v>2929.95</v>
      </c>
      <c r="H67" s="5">
        <f>Table4[[#This Row],[Jun]]*$B67</f>
        <v>2664.75</v>
      </c>
      <c r="I67" s="5">
        <f>Table4[[#This Row],[Jul]]*$B67</f>
        <v>2851.125</v>
      </c>
      <c r="J67" s="5">
        <f>Table4[[#This Row],[Aug]]*$B67</f>
        <v>3237</v>
      </c>
      <c r="K67" s="5">
        <f>Table4[[#This Row],[Sep]]*$B67</f>
        <v>3327.75</v>
      </c>
      <c r="L67" s="5">
        <f>Table4[[#This Row],[Oct]]*$B67</f>
        <v>3775.7250000000004</v>
      </c>
      <c r="M67" s="5">
        <f>Table4[[#This Row],[Nov]]*$B67</f>
        <v>3829.5750000000003</v>
      </c>
      <c r="N67" s="5">
        <f>Table4[[#This Row],[Dec]]*$B67</f>
        <v>4315.6499999999996</v>
      </c>
    </row>
    <row r="68" spans="1:14" ht="14.25" customHeight="1" x14ac:dyDescent="0.3">
      <c r="A68" t="s">
        <v>199</v>
      </c>
      <c r="B68">
        <v>0.75</v>
      </c>
      <c r="C68" s="5">
        <f>Table4[[#This Row],[Jan]]*$B68</f>
        <v>3784.4249999999997</v>
      </c>
      <c r="D68" s="5">
        <f>Table4[[#This Row],[Feb]]*$B68</f>
        <v>3270.1499999999996</v>
      </c>
      <c r="E68" s="5">
        <f>Table4[[#This Row],[Mar]]*$B68</f>
        <v>3533.3250000000003</v>
      </c>
      <c r="F68" s="5">
        <f>Table4[[#This Row],[Apr]]*$B68</f>
        <v>3063.0749999999998</v>
      </c>
      <c r="G68" s="5">
        <f>Table4[[#This Row],[May]]*$B68</f>
        <v>3093.8250000000003</v>
      </c>
      <c r="H68" s="5">
        <f>Table4[[#This Row],[Jun]]*$B68</f>
        <v>2834.0249999999996</v>
      </c>
      <c r="I68" s="5">
        <f>Table4[[#This Row],[Jul]]*$B68</f>
        <v>3103.3500000000004</v>
      </c>
      <c r="J68" s="5">
        <f>Table4[[#This Row],[Aug]]*$B68</f>
        <v>3491.5499999999997</v>
      </c>
      <c r="K68" s="5">
        <f>Table4[[#This Row],[Sep]]*$B68</f>
        <v>3723.4500000000003</v>
      </c>
      <c r="L68" s="5">
        <f>Table4[[#This Row],[Oct]]*$B68</f>
        <v>3899.3999999999996</v>
      </c>
      <c r="M68" s="5">
        <f>Table4[[#This Row],[Nov]]*$B68</f>
        <v>3732.75</v>
      </c>
      <c r="N68" s="5">
        <f>Table4[[#This Row],[Dec]]*$B68</f>
        <v>4016.1749999999997</v>
      </c>
    </row>
    <row r="69" spans="1:14" ht="14.25" customHeight="1" x14ac:dyDescent="0.3">
      <c r="A69" t="s">
        <v>201</v>
      </c>
      <c r="B69">
        <v>0.85</v>
      </c>
      <c r="C69" s="5">
        <f>Table4[[#This Row],[Jan]]*$B69</f>
        <v>13441.985000000001</v>
      </c>
      <c r="D69" s="5">
        <f>Table4[[#This Row],[Feb]]*$B69</f>
        <v>12055.125</v>
      </c>
      <c r="E69" s="5">
        <f>Table4[[#This Row],[Mar]]*$B69</f>
        <v>12858.46</v>
      </c>
      <c r="F69" s="5">
        <f>Table4[[#This Row],[Apr]]*$B69</f>
        <v>11531.27</v>
      </c>
      <c r="G69" s="5">
        <f>Table4[[#This Row],[May]]*$B69</f>
        <v>11785.929999999998</v>
      </c>
      <c r="H69" s="5">
        <f>Table4[[#This Row],[Jun]]*$B69</f>
        <v>11018.635</v>
      </c>
      <c r="I69" s="5">
        <f>Table4[[#This Row],[Jul]]*$B69</f>
        <v>12024.27</v>
      </c>
      <c r="J69" s="5">
        <f>Table4[[#This Row],[Aug]]*$B69</f>
        <v>13262.635</v>
      </c>
      <c r="K69" s="5">
        <f>Table4[[#This Row],[Sep]]*$B69</f>
        <v>13540.33</v>
      </c>
      <c r="L69" s="5">
        <f>Table4[[#This Row],[Oct]]*$B69</f>
        <v>13925.295</v>
      </c>
      <c r="M69" s="5">
        <f>Table4[[#This Row],[Nov]]*$B69</f>
        <v>13508.37</v>
      </c>
      <c r="N69" s="5">
        <f>Table4[[#This Row],[Dec]]*$B69</f>
        <v>14234.525</v>
      </c>
    </row>
    <row r="70" spans="1:14" ht="14.25" customHeight="1" x14ac:dyDescent="0.3">
      <c r="A70" t="s">
        <v>211</v>
      </c>
      <c r="B70">
        <v>0.9</v>
      </c>
      <c r="C70" s="5">
        <f>Table4[[#This Row],[Jan]]*$B70</f>
        <v>7299.9000000000005</v>
      </c>
      <c r="D70" s="5">
        <f>Table4[[#This Row],[Feb]]*$B70</f>
        <v>6223.5</v>
      </c>
      <c r="E70" s="5">
        <f>Table4[[#This Row],[Mar]]*$B70</f>
        <v>6048.9000000000005</v>
      </c>
      <c r="F70" s="5">
        <f>Table4[[#This Row],[Apr]]*$B70</f>
        <v>5130.9000000000005</v>
      </c>
      <c r="G70" s="5">
        <f>Table4[[#This Row],[May]]*$B70</f>
        <v>4621.5</v>
      </c>
      <c r="H70" s="5">
        <f>Table4[[#This Row],[Jun]]*$B70</f>
        <v>3931.2000000000003</v>
      </c>
      <c r="I70" s="5">
        <f>Table4[[#This Row],[Jul]]*$B70</f>
        <v>4065.3</v>
      </c>
      <c r="J70" s="5">
        <f>Table4[[#This Row],[Aug]]*$B70</f>
        <v>4723.2</v>
      </c>
      <c r="K70" s="5">
        <f>Table4[[#This Row],[Sep]]*$B70</f>
        <v>5251.5</v>
      </c>
      <c r="L70" s="5">
        <f>Table4[[#This Row],[Oct]]*$B70</f>
        <v>6489.9000000000005</v>
      </c>
      <c r="M70" s="5">
        <f>Table4[[#This Row],[Nov]]*$B70</f>
        <v>6813.9000000000005</v>
      </c>
      <c r="N70" s="5">
        <f>Table4[[#This Row],[Dec]]*$B70</f>
        <v>7296.3</v>
      </c>
    </row>
    <row r="71" spans="1:14" ht="14.25" customHeight="1" x14ac:dyDescent="0.3">
      <c r="A71" t="s">
        <v>202</v>
      </c>
      <c r="B71">
        <v>0.9</v>
      </c>
      <c r="C71" s="5">
        <f>Table4[[#This Row],[Jan]]*$B71</f>
        <v>28027.8</v>
      </c>
      <c r="D71" s="5">
        <f>Table4[[#This Row],[Feb]]*$B71</f>
        <v>23853.600000000002</v>
      </c>
      <c r="E71" s="5">
        <f>Table4[[#This Row],[Mar]]*$B71</f>
        <v>24144.3</v>
      </c>
      <c r="F71" s="5">
        <f>Table4[[#This Row],[Apr]]*$B71</f>
        <v>20043</v>
      </c>
      <c r="G71" s="5">
        <f>Table4[[#This Row],[May]]*$B71</f>
        <v>19021.5</v>
      </c>
      <c r="H71" s="5">
        <f>Table4[[#This Row],[Jun]]*$B71</f>
        <v>17054.100000000002</v>
      </c>
      <c r="I71" s="5">
        <f>Table4[[#This Row],[Jul]]*$B71</f>
        <v>18900</v>
      </c>
      <c r="J71" s="5">
        <f>Table4[[#This Row],[Aug]]*$B71</f>
        <v>22066.2</v>
      </c>
      <c r="K71" s="5">
        <f>Table4[[#This Row],[Sep]]*$B71</f>
        <v>24526.799999999999</v>
      </c>
      <c r="L71" s="5">
        <f>Table4[[#This Row],[Oct]]*$B71</f>
        <v>27256.5</v>
      </c>
      <c r="M71" s="5">
        <f>Table4[[#This Row],[Nov]]*$B71</f>
        <v>26973.9</v>
      </c>
      <c r="N71" s="5">
        <f>Table4[[#This Row],[Dec]]*$B71</f>
        <v>29028.600000000002</v>
      </c>
    </row>
    <row r="72" spans="1:14" ht="14.25" customHeight="1" x14ac:dyDescent="0.3">
      <c r="A72" t="s">
        <v>206</v>
      </c>
      <c r="B72">
        <v>0.9</v>
      </c>
      <c r="C72" s="5" t="e">
        <f>Table4[[#This Row],[Jan]]*$B72</f>
        <v>#VALUE!</v>
      </c>
      <c r="D72" s="5" t="e">
        <f>Table4[[#This Row],[Feb]]*$B72</f>
        <v>#VALUE!</v>
      </c>
      <c r="E72" s="5" t="e">
        <f>Table4[[#This Row],[Mar]]*$B72</f>
        <v>#VALUE!</v>
      </c>
      <c r="F72" s="5" t="e">
        <f>Table4[[#This Row],[Apr]]*$B72</f>
        <v>#VALUE!</v>
      </c>
      <c r="G72" s="5" t="e">
        <f>Table4[[#This Row],[May]]*$B72</f>
        <v>#VALUE!</v>
      </c>
      <c r="H72" s="5" t="e">
        <f>Table4[[#This Row],[Jun]]*$B72</f>
        <v>#VALUE!</v>
      </c>
      <c r="I72" s="5" t="e">
        <f>Table4[[#This Row],[Jul]]*$B72</f>
        <v>#VALUE!</v>
      </c>
      <c r="J72" s="5" t="e">
        <f>Table4[[#This Row],[Aug]]*$B72</f>
        <v>#VALUE!</v>
      </c>
      <c r="K72" s="5" t="e">
        <f>Table4[[#This Row],[Sep]]*$B72</f>
        <v>#VALUE!</v>
      </c>
      <c r="L72" s="5" t="e">
        <f>Table4[[#This Row],[Oct]]*$B72</f>
        <v>#VALUE!</v>
      </c>
      <c r="M72" s="5" t="e">
        <f>Table4[[#This Row],[Nov]]*$B72</f>
        <v>#VALUE!</v>
      </c>
      <c r="N72" s="5" t="e">
        <f>Table4[[#This Row],[Dec]]*$B72</f>
        <v>#VALUE!</v>
      </c>
    </row>
    <row r="73" spans="1:14" ht="14.25" customHeight="1" x14ac:dyDescent="0.3">
      <c r="A73" t="s">
        <v>241</v>
      </c>
      <c r="B73">
        <v>0.9</v>
      </c>
      <c r="C73" s="5">
        <f>Table4[[#This Row],[Jan]]*$B73</f>
        <v>28380.600000000002</v>
      </c>
      <c r="D73" s="5">
        <f>Table4[[#This Row],[Feb]]*$B73</f>
        <v>24379.200000000001</v>
      </c>
      <c r="E73" s="5">
        <f>Table4[[#This Row],[Mar]]*$B73</f>
        <v>23351.4</v>
      </c>
      <c r="F73" s="5">
        <f>Table4[[#This Row],[Apr]]*$B73</f>
        <v>19887.3</v>
      </c>
      <c r="G73" s="5">
        <f>Table4[[#This Row],[May]]*$B73</f>
        <v>17745.3</v>
      </c>
      <c r="H73" s="5">
        <f>Table4[[#This Row],[Jun]]*$B73</f>
        <v>15502.5</v>
      </c>
      <c r="I73" s="5">
        <f>Table4[[#This Row],[Jul]]*$B73</f>
        <v>17358.3</v>
      </c>
      <c r="J73" s="5">
        <f>Table4[[#This Row],[Aug]]*$B73</f>
        <v>20842.2</v>
      </c>
      <c r="K73" s="5">
        <f>Table4[[#This Row],[Sep]]*$B73</f>
        <v>23841</v>
      </c>
      <c r="L73" s="5">
        <f>Table4[[#This Row],[Oct]]*$B73</f>
        <v>27285.3</v>
      </c>
      <c r="M73" s="5">
        <f>Table4[[#This Row],[Nov]]*$B73</f>
        <v>27841.5</v>
      </c>
      <c r="N73" s="5">
        <f>Table4[[#This Row],[Dec]]*$B73</f>
        <v>28779.3</v>
      </c>
    </row>
    <row r="74" spans="1:14" ht="14.25" customHeight="1" x14ac:dyDescent="0.3">
      <c r="A74" t="s">
        <v>228</v>
      </c>
      <c r="B74">
        <v>0.9</v>
      </c>
      <c r="C74" s="5">
        <f>Table4[[#This Row],[Jan]]*$B74</f>
        <v>29074.5</v>
      </c>
      <c r="D74" s="5">
        <f>Table4[[#This Row],[Feb]]*$B74</f>
        <v>26716.5</v>
      </c>
      <c r="E74" s="5">
        <f>Table4[[#This Row],[Mar]]*$B74</f>
        <v>27941.4</v>
      </c>
      <c r="F74" s="5">
        <f>Table4[[#This Row],[Apr]]*$B74</f>
        <v>25610.400000000001</v>
      </c>
      <c r="G74" s="5">
        <f>Table4[[#This Row],[May]]*$B74</f>
        <v>25802.100000000002</v>
      </c>
      <c r="H74" s="5">
        <f>Table4[[#This Row],[Jun]]*$B74</f>
        <v>23428.799999999999</v>
      </c>
      <c r="I74" s="5">
        <f>Table4[[#This Row],[Jul]]*$B74</f>
        <v>25632</v>
      </c>
      <c r="J74" s="5">
        <f>Table4[[#This Row],[Aug]]*$B74</f>
        <v>28549.8</v>
      </c>
      <c r="K74" s="5">
        <f>Table4[[#This Row],[Sep]]*$B74</f>
        <v>29561.4</v>
      </c>
      <c r="L74" s="5">
        <f>Table4[[#This Row],[Oct]]*$B74</f>
        <v>31417.200000000001</v>
      </c>
      <c r="M74" s="5">
        <f>Table4[[#This Row],[Nov]]*$B74</f>
        <v>30121.200000000001</v>
      </c>
      <c r="N74" s="5">
        <f>Table4[[#This Row],[Dec]]*$B74</f>
        <v>29445.3</v>
      </c>
    </row>
    <row r="75" spans="1:14" ht="14.25" customHeight="1" x14ac:dyDescent="0.3">
      <c r="A75" t="s">
        <v>244</v>
      </c>
      <c r="B75">
        <v>1</v>
      </c>
      <c r="C75" s="5">
        <f>Table4[[#This Row],[Jan]]*$B75</f>
        <v>20178</v>
      </c>
      <c r="D75" s="5">
        <f>Table4[[#This Row],[Feb]]*$B75</f>
        <v>17954</v>
      </c>
      <c r="E75" s="5">
        <f>Table4[[#This Row],[Mar]]*$B75</f>
        <v>19150</v>
      </c>
      <c r="F75" s="5">
        <f>Table4[[#This Row],[Apr]]*$B75</f>
        <v>18060</v>
      </c>
      <c r="G75" s="5">
        <f>Table4[[#This Row],[May]]*$B75</f>
        <v>18124</v>
      </c>
      <c r="H75" s="5">
        <f>Table4[[#This Row],[Jun]]*$B75</f>
        <v>15908</v>
      </c>
      <c r="I75" s="5">
        <f>Table4[[#This Row],[Jul]]*$B75</f>
        <v>16827</v>
      </c>
      <c r="J75" s="5">
        <f>Table4[[#This Row],[Aug]]*$B75</f>
        <v>19405</v>
      </c>
      <c r="K75" s="5">
        <f>Table4[[#This Row],[Sep]]*$B75</f>
        <v>19981</v>
      </c>
      <c r="L75" s="5">
        <f>Table4[[#This Row],[Oct]]*$B75</f>
        <v>22401</v>
      </c>
      <c r="M75" s="5">
        <f>Table4[[#This Row],[Nov]]*$B75</f>
        <v>20125</v>
      </c>
      <c r="N75" s="5">
        <f>Table4[[#This Row],[Dec]]*$B75</f>
        <v>20771</v>
      </c>
    </row>
    <row r="76" spans="1:14" x14ac:dyDescent="0.3">
      <c r="A76" t="s">
        <v>271</v>
      </c>
      <c r="B76">
        <v>0.9</v>
      </c>
      <c r="C76" s="5">
        <f>Table4[[#This Row],[Jan]]*$B76</f>
        <v>17370.900000000001</v>
      </c>
      <c r="D76" s="5">
        <f>Table4[[#This Row],[Feb]]*$B76</f>
        <v>15077.7</v>
      </c>
      <c r="E76" s="5">
        <f>Table4[[#This Row],[Mar]]*$B76</f>
        <v>14634</v>
      </c>
      <c r="F76" s="5">
        <f>Table4[[#This Row],[Apr]]*$B76</f>
        <v>12420</v>
      </c>
      <c r="G76" s="5">
        <f>Table4[[#This Row],[May]]*$B76</f>
        <v>11402.1</v>
      </c>
      <c r="H76" s="5">
        <f>Table4[[#This Row],[Jun]]*$B76</f>
        <v>9989.1</v>
      </c>
      <c r="I76" s="5">
        <f>Table4[[#This Row],[Jul]]*$B76</f>
        <v>10986.300000000001</v>
      </c>
      <c r="J76" s="5">
        <f>Table4[[#This Row],[Aug]]*$B76</f>
        <v>13108.77</v>
      </c>
      <c r="K76" s="5">
        <f>Table4[[#This Row],[Sep]]*$B76</f>
        <v>14833.17</v>
      </c>
      <c r="L76" s="5">
        <f>Table4[[#This Row],[Oct]]*$B76</f>
        <v>17053.2</v>
      </c>
      <c r="M76" s="5">
        <f>Table4[[#This Row],[Nov]]*$B76</f>
        <v>17239.5</v>
      </c>
      <c r="N76" s="5">
        <f>Table4[[#This Row],[Dec]]*$B76</f>
        <v>17465.400000000001</v>
      </c>
    </row>
    <row r="77" spans="1:14" x14ac:dyDescent="0.3">
      <c r="A77" t="s">
        <v>251</v>
      </c>
      <c r="B77">
        <v>0.9</v>
      </c>
      <c r="C77" s="5">
        <f>Table4[[#This Row],[Jan]]*$B77</f>
        <v>26451</v>
      </c>
      <c r="D77" s="5">
        <f>Table4[[#This Row],[Feb]]*$B77</f>
        <v>23215.5</v>
      </c>
      <c r="E77" s="5">
        <f>Table4[[#This Row],[Mar]]*$B77</f>
        <v>23034.600000000002</v>
      </c>
      <c r="F77" s="5">
        <f>Table4[[#This Row],[Apr]]*$B77</f>
        <v>19930.5</v>
      </c>
      <c r="G77" s="5">
        <f>Table4[[#This Row],[May]]*$B77</f>
        <v>18754.2</v>
      </c>
      <c r="H77" s="5">
        <f>Table4[[#This Row],[Jun]]*$B77</f>
        <v>16767.900000000001</v>
      </c>
      <c r="I77" s="5">
        <f>Table4[[#This Row],[Jul]]*$B77</f>
        <v>18261</v>
      </c>
      <c r="J77" s="5">
        <f>Table4[[#This Row],[Aug]]*$B77</f>
        <v>21311.100000000002</v>
      </c>
      <c r="K77" s="5">
        <f>Table4[[#This Row],[Sep]]*$B77</f>
        <v>23659.200000000001</v>
      </c>
      <c r="L77" s="5">
        <f>Table4[[#This Row],[Oct]]*$B77</f>
        <v>26865.9</v>
      </c>
      <c r="M77" s="5">
        <f>Table4[[#This Row],[Nov]]*$B77</f>
        <v>27153.9</v>
      </c>
      <c r="N77" s="5">
        <f>Table4[[#This Row],[Dec]]*$B77</f>
        <v>27402.3</v>
      </c>
    </row>
    <row r="78" spans="1:14" x14ac:dyDescent="0.3">
      <c r="A78" t="s">
        <v>250</v>
      </c>
      <c r="B78">
        <v>0.9</v>
      </c>
      <c r="C78" s="5">
        <f>Table4[[#This Row],[Jan]]*$B78</f>
        <v>28877.4</v>
      </c>
      <c r="D78" s="5">
        <f>Table4[[#This Row],[Feb]]*$B78</f>
        <v>25884.9</v>
      </c>
      <c r="E78" s="5">
        <f>Table4[[#This Row],[Mar]]*$B78</f>
        <v>27341.100000000002</v>
      </c>
      <c r="F78" s="5">
        <f>Table4[[#This Row],[Apr]]*$B78</f>
        <v>27823.5</v>
      </c>
      <c r="G78" s="5">
        <f>Table4[[#This Row],[May]]*$B78</f>
        <v>29920.5</v>
      </c>
      <c r="H78" s="5">
        <f>Table4[[#This Row],[Jun]]*$B78</f>
        <v>28644.3</v>
      </c>
      <c r="I78" s="5">
        <f>Table4[[#This Row],[Jul]]*$B78</f>
        <v>28051.200000000001</v>
      </c>
      <c r="J78" s="5">
        <f>Table4[[#This Row],[Aug]]*$B78</f>
        <v>31649.4</v>
      </c>
      <c r="K78" s="5">
        <f>Table4[[#This Row],[Sep]]*$B78</f>
        <v>28250.100000000002</v>
      </c>
      <c r="L78" s="5">
        <f>Table4[[#This Row],[Oct]]*$B78</f>
        <v>28466.100000000002</v>
      </c>
      <c r="M78" s="5">
        <f>Table4[[#This Row],[Nov]]*$B78</f>
        <v>28991.7</v>
      </c>
      <c r="N78" s="5">
        <f>Table4[[#This Row],[Dec]]*$B78</f>
        <v>28903.5</v>
      </c>
    </row>
    <row r="79" spans="1:14" x14ac:dyDescent="0.3">
      <c r="A79" t="s">
        <v>1004</v>
      </c>
      <c r="B79">
        <v>0.9</v>
      </c>
      <c r="C79">
        <f>Table4[[#This Row],[Jan]]*$B79</f>
        <v>5973.3</v>
      </c>
      <c r="D79">
        <f>Table4[[#This Row],[Feb]]*$B79</f>
        <v>5271.3</v>
      </c>
      <c r="E79">
        <f>Table4[[#This Row],[Mar]]*$B79</f>
        <v>5330.7</v>
      </c>
      <c r="F79">
        <f>Table4[[#This Row],[Apr]]*$B79</f>
        <v>4826.7</v>
      </c>
      <c r="G79">
        <f>Table4[[#This Row],[May]]*$B79</f>
        <v>4649.4000000000005</v>
      </c>
      <c r="H79">
        <f>Table4[[#This Row],[Jun]]*$B79</f>
        <v>4253.4000000000005</v>
      </c>
      <c r="I79">
        <f>Table4[[#This Row],[Jul]]*$B79</f>
        <v>4644.9000000000005</v>
      </c>
      <c r="J79">
        <f>Table4[[#This Row],[Aug]]*$B79</f>
        <v>5254.2</v>
      </c>
      <c r="K79">
        <f>Table4[[#This Row],[Sep]]*$B79</f>
        <v>5567.4000000000005</v>
      </c>
      <c r="L79">
        <f>Table4[[#This Row],[Oct]]*$B79</f>
        <v>6030.9000000000005</v>
      </c>
      <c r="M79">
        <f>Table4[[#This Row],[Nov]]*$B79</f>
        <v>5897.7</v>
      </c>
      <c r="N79">
        <f>Table4[[#This Row],[Dec]]*$B79</f>
        <v>5989.5</v>
      </c>
    </row>
    <row r="84" spans="6:6" x14ac:dyDescent="0.3">
      <c r="F84">
        <f>19931/30</f>
        <v>664.36666666666667</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780"/>
  <sheetViews>
    <sheetView topLeftCell="A465" zoomScaleNormal="100" workbookViewId="0">
      <selection activeCell="A790" sqref="A790:XFD790"/>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hidden="1" customHeight="1" x14ac:dyDescent="0.3">
      <c r="A32" t="s">
        <v>31</v>
      </c>
      <c r="B32" s="2">
        <v>46204</v>
      </c>
      <c r="C32">
        <v>1814.4</v>
      </c>
    </row>
    <row r="33" spans="1:3" ht="15"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hidden="1" customHeight="1" x14ac:dyDescent="0.3">
      <c r="A68" t="s">
        <v>43</v>
      </c>
      <c r="B68" s="2">
        <v>46204</v>
      </c>
      <c r="C68">
        <v>15907.665000000001</v>
      </c>
    </row>
    <row r="69" spans="1:3" ht="15"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hidden="1" customHeight="1" x14ac:dyDescent="0.3">
      <c r="A104" t="s">
        <v>49</v>
      </c>
      <c r="B104" s="2">
        <v>46204</v>
      </c>
      <c r="C104">
        <v>4680.8999999999996</v>
      </c>
    </row>
    <row r="105" spans="1:3" ht="15"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hidden="1" customHeight="1" x14ac:dyDescent="0.3">
      <c r="A140" t="s">
        <v>64</v>
      </c>
      <c r="B140" s="2">
        <v>46204</v>
      </c>
      <c r="C140">
        <v>5360.4</v>
      </c>
    </row>
    <row r="141" spans="1:3" ht="15"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hidden="1" customHeight="1" x14ac:dyDescent="0.3">
      <c r="A176" t="s">
        <v>55</v>
      </c>
      <c r="B176" s="2">
        <v>46204</v>
      </c>
      <c r="C176">
        <v>13735.15</v>
      </c>
    </row>
    <row r="177" spans="1:3" ht="15"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hidden="1" customHeight="1" x14ac:dyDescent="0.3">
      <c r="A212" t="s">
        <v>60</v>
      </c>
      <c r="B212" s="2">
        <v>46204</v>
      </c>
      <c r="C212">
        <v>43112.802960000001</v>
      </c>
    </row>
    <row r="213" spans="1:3" ht="15"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hidden="1" customHeight="1" x14ac:dyDescent="0.3">
      <c r="A248" t="s">
        <v>61</v>
      </c>
      <c r="B248" s="2">
        <v>46204</v>
      </c>
      <c r="C248">
        <v>5564.7</v>
      </c>
    </row>
    <row r="249" spans="1:3" ht="15"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hidden="1" customHeight="1" x14ac:dyDescent="0.3">
      <c r="A284" t="s">
        <v>66</v>
      </c>
      <c r="B284" s="2">
        <v>46204</v>
      </c>
      <c r="C284">
        <v>1612.8</v>
      </c>
    </row>
    <row r="285" spans="1:3" ht="15"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hidden="1" customHeight="1" x14ac:dyDescent="0.3">
      <c r="A320" t="s">
        <v>71</v>
      </c>
      <c r="B320" s="2">
        <v>46204</v>
      </c>
      <c r="C320">
        <v>13589.1</v>
      </c>
    </row>
    <row r="321" spans="1:3" ht="15"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hidden="1" customHeight="1" x14ac:dyDescent="0.3">
      <c r="A356" t="s">
        <v>77</v>
      </c>
      <c r="B356" s="2">
        <v>46204</v>
      </c>
      <c r="C356">
        <v>14002.2</v>
      </c>
    </row>
    <row r="357" spans="1:3" ht="15"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hidden="1" customHeight="1" x14ac:dyDescent="0.3">
      <c r="A392" t="s">
        <v>80</v>
      </c>
      <c r="B392" s="2">
        <v>46204</v>
      </c>
      <c r="C392">
        <v>14002.2</v>
      </c>
    </row>
    <row r="393" spans="1:3" ht="15"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hidden="1" customHeight="1" x14ac:dyDescent="0.3">
      <c r="A428" t="s">
        <v>81</v>
      </c>
      <c r="B428" s="2">
        <v>46204</v>
      </c>
      <c r="C428">
        <v>5372.1</v>
      </c>
    </row>
    <row r="429" spans="1:3" ht="15"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hidden="1" customHeight="1" x14ac:dyDescent="0.3">
      <c r="A464" t="s">
        <v>85</v>
      </c>
      <c r="B464" s="2">
        <v>46204</v>
      </c>
      <c r="C464">
        <v>3874.5</v>
      </c>
    </row>
    <row r="465" spans="1:3" ht="15"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hidden="1" customHeight="1" x14ac:dyDescent="0.3">
      <c r="A500" t="s">
        <v>90</v>
      </c>
      <c r="B500" s="2">
        <v>46204</v>
      </c>
      <c r="C500">
        <v>3416.15</v>
      </c>
    </row>
    <row r="501" spans="1:3" ht="15"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hidden="1" customHeight="1" x14ac:dyDescent="0.3">
      <c r="A536" t="s">
        <v>93</v>
      </c>
      <c r="B536" s="2">
        <v>46204</v>
      </c>
      <c r="C536">
        <v>6453</v>
      </c>
    </row>
    <row r="537" spans="1:3" ht="15"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hidden="1" customHeight="1" x14ac:dyDescent="0.3">
      <c r="A572" t="s">
        <v>95</v>
      </c>
      <c r="B572" s="2">
        <v>46204</v>
      </c>
      <c r="C572">
        <v>23255.200000000001</v>
      </c>
    </row>
    <row r="573" spans="1:3" ht="15"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hidden="1" customHeight="1" x14ac:dyDescent="0.3">
      <c r="A608" t="s">
        <v>239</v>
      </c>
      <c r="B608" s="2">
        <v>46204</v>
      </c>
      <c r="C608">
        <v>2349.9</v>
      </c>
    </row>
    <row r="609" spans="1:3" ht="15"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hidden="1" customHeight="1" x14ac:dyDescent="0.3">
      <c r="A644" t="s">
        <v>98</v>
      </c>
      <c r="B644" s="2">
        <v>46204</v>
      </c>
      <c r="C644">
        <v>9756.08</v>
      </c>
    </row>
    <row r="645" spans="1:3" ht="15"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hidden="1" customHeight="1" x14ac:dyDescent="0.3">
      <c r="A680" t="s">
        <v>102</v>
      </c>
      <c r="B680" s="2">
        <v>46204</v>
      </c>
      <c r="C680">
        <v>7865.1750000000002</v>
      </c>
    </row>
    <row r="681" spans="1:3" ht="15"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hidden="1" customHeight="1" x14ac:dyDescent="0.3">
      <c r="A716" t="s">
        <v>104</v>
      </c>
      <c r="B716" s="2">
        <v>46204</v>
      </c>
      <c r="C716">
        <v>3044.7</v>
      </c>
    </row>
    <row r="717" spans="1:3" ht="15"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hidden="1" customHeight="1" x14ac:dyDescent="0.3">
      <c r="A752" t="s">
        <v>107</v>
      </c>
      <c r="B752" s="2">
        <v>46204</v>
      </c>
      <c r="C752">
        <v>2701.8</v>
      </c>
    </row>
    <row r="753" spans="1:3" ht="15"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29074.5</v>
      </c>
    </row>
    <row r="759" spans="1:3" ht="15" hidden="1" customHeight="1" x14ac:dyDescent="0.3">
      <c r="A759" t="s">
        <v>228</v>
      </c>
      <c r="B759" s="2">
        <v>45323</v>
      </c>
      <c r="C759">
        <v>26716.5</v>
      </c>
    </row>
    <row r="760" spans="1:3" ht="15" hidden="1" customHeight="1" x14ac:dyDescent="0.3">
      <c r="A760" t="s">
        <v>228</v>
      </c>
      <c r="B760" s="2">
        <v>45352</v>
      </c>
      <c r="C760">
        <v>27941.4</v>
      </c>
    </row>
    <row r="761" spans="1:3" ht="15" hidden="1" customHeight="1" x14ac:dyDescent="0.3">
      <c r="A761" t="s">
        <v>228</v>
      </c>
      <c r="B761" s="2">
        <v>45383</v>
      </c>
      <c r="C761">
        <v>25610.400000000001</v>
      </c>
    </row>
    <row r="762" spans="1:3" ht="15" hidden="1" customHeight="1" x14ac:dyDescent="0.3">
      <c r="A762" t="s">
        <v>228</v>
      </c>
      <c r="B762" s="2">
        <v>45413</v>
      </c>
      <c r="C762">
        <v>25802.1</v>
      </c>
    </row>
    <row r="763" spans="1:3" ht="15" hidden="1" customHeight="1" x14ac:dyDescent="0.3">
      <c r="A763" t="s">
        <v>228</v>
      </c>
      <c r="B763" s="2">
        <v>45444</v>
      </c>
      <c r="C763">
        <v>23428.799999999999</v>
      </c>
    </row>
    <row r="764" spans="1:3" ht="15" hidden="1" customHeight="1" x14ac:dyDescent="0.3">
      <c r="A764" t="s">
        <v>228</v>
      </c>
      <c r="B764" s="2">
        <v>45474</v>
      </c>
      <c r="C764">
        <v>25632</v>
      </c>
    </row>
    <row r="765" spans="1:3" ht="15" hidden="1" customHeight="1" x14ac:dyDescent="0.3">
      <c r="A765" t="s">
        <v>228</v>
      </c>
      <c r="B765" s="2">
        <v>45505</v>
      </c>
      <c r="C765">
        <v>28549.8</v>
      </c>
    </row>
    <row r="766" spans="1:3" ht="15" hidden="1" customHeight="1" x14ac:dyDescent="0.3">
      <c r="A766" t="s">
        <v>228</v>
      </c>
      <c r="B766" s="2">
        <v>45536</v>
      </c>
      <c r="C766">
        <v>29561.4</v>
      </c>
    </row>
    <row r="767" spans="1:3" ht="15" hidden="1" customHeight="1" x14ac:dyDescent="0.3">
      <c r="A767" t="s">
        <v>228</v>
      </c>
      <c r="B767" s="2">
        <v>45566</v>
      </c>
      <c r="C767">
        <v>31417.200000000001</v>
      </c>
    </row>
    <row r="768" spans="1:3" ht="15" hidden="1" customHeight="1" x14ac:dyDescent="0.3">
      <c r="A768" t="s">
        <v>228</v>
      </c>
      <c r="B768" s="2">
        <v>45597</v>
      </c>
      <c r="C768">
        <v>30121.200000000001</v>
      </c>
    </row>
    <row r="769" spans="1:3" ht="15" hidden="1" customHeight="1" x14ac:dyDescent="0.3">
      <c r="A769" t="s">
        <v>228</v>
      </c>
      <c r="B769" s="2">
        <v>45627</v>
      </c>
      <c r="C769">
        <v>29445.3</v>
      </c>
    </row>
    <row r="770" spans="1:3" ht="15" hidden="1" customHeight="1" x14ac:dyDescent="0.3">
      <c r="A770" t="s">
        <v>228</v>
      </c>
      <c r="B770" s="2">
        <v>45658</v>
      </c>
      <c r="C770">
        <v>29074.5</v>
      </c>
    </row>
    <row r="771" spans="1:3" ht="15" hidden="1" customHeight="1" x14ac:dyDescent="0.3">
      <c r="A771" t="s">
        <v>228</v>
      </c>
      <c r="B771" s="2">
        <v>45689</v>
      </c>
      <c r="C771">
        <v>26716.5</v>
      </c>
    </row>
    <row r="772" spans="1:3" ht="15" hidden="1" customHeight="1" x14ac:dyDescent="0.3">
      <c r="A772" t="s">
        <v>228</v>
      </c>
      <c r="B772" s="2">
        <v>45717</v>
      </c>
      <c r="C772">
        <v>27941.4</v>
      </c>
    </row>
    <row r="773" spans="1:3" ht="15" hidden="1" customHeight="1" x14ac:dyDescent="0.3">
      <c r="A773" t="s">
        <v>228</v>
      </c>
      <c r="B773" s="2">
        <v>45748</v>
      </c>
      <c r="C773">
        <v>25610.400000000001</v>
      </c>
    </row>
    <row r="774" spans="1:3" ht="15" hidden="1" customHeight="1" x14ac:dyDescent="0.3">
      <c r="A774" t="s">
        <v>228</v>
      </c>
      <c r="B774" s="2">
        <v>45778</v>
      </c>
      <c r="C774">
        <v>25802.1</v>
      </c>
    </row>
    <row r="775" spans="1:3" ht="15" hidden="1" customHeight="1" x14ac:dyDescent="0.3">
      <c r="A775" t="s">
        <v>228</v>
      </c>
      <c r="B775" s="2">
        <v>45809</v>
      </c>
      <c r="C775">
        <v>23428.799999999999</v>
      </c>
    </row>
    <row r="776" spans="1:3" ht="15" hidden="1" customHeight="1" x14ac:dyDescent="0.3">
      <c r="A776" t="s">
        <v>228</v>
      </c>
      <c r="B776" s="2">
        <v>45839</v>
      </c>
      <c r="C776">
        <v>25632</v>
      </c>
    </row>
    <row r="777" spans="1:3" ht="15" hidden="1" customHeight="1" x14ac:dyDescent="0.3">
      <c r="A777" t="s">
        <v>228</v>
      </c>
      <c r="B777" s="2">
        <v>45870</v>
      </c>
      <c r="C777">
        <v>28549.8</v>
      </c>
    </row>
    <row r="778" spans="1:3" ht="15" hidden="1" customHeight="1" x14ac:dyDescent="0.3">
      <c r="A778" t="s">
        <v>228</v>
      </c>
      <c r="B778" s="2">
        <v>45901</v>
      </c>
      <c r="C778">
        <v>29561.4</v>
      </c>
    </row>
    <row r="779" spans="1:3" ht="15" hidden="1" customHeight="1" x14ac:dyDescent="0.3">
      <c r="A779" t="s">
        <v>228</v>
      </c>
      <c r="B779" s="2">
        <v>45931</v>
      </c>
      <c r="C779">
        <v>31417.200000000001</v>
      </c>
    </row>
    <row r="780" spans="1:3" ht="15" hidden="1" customHeight="1" x14ac:dyDescent="0.3">
      <c r="A780" t="s">
        <v>228</v>
      </c>
      <c r="B780" s="2">
        <v>45962</v>
      </c>
      <c r="C780">
        <v>30121.200000000001</v>
      </c>
    </row>
    <row r="781" spans="1:3" ht="15" hidden="1" customHeight="1" x14ac:dyDescent="0.3">
      <c r="A781" t="s">
        <v>228</v>
      </c>
      <c r="B781" s="2">
        <v>45992</v>
      </c>
      <c r="C781">
        <v>29445.3</v>
      </c>
    </row>
    <row r="782" spans="1:3" ht="15" hidden="1" customHeight="1" x14ac:dyDescent="0.3">
      <c r="A782" t="s">
        <v>228</v>
      </c>
      <c r="B782" s="2">
        <v>46023</v>
      </c>
      <c r="C782">
        <v>29074.5</v>
      </c>
    </row>
    <row r="783" spans="1:3" ht="15" hidden="1" customHeight="1" x14ac:dyDescent="0.3">
      <c r="A783" t="s">
        <v>228</v>
      </c>
      <c r="B783" s="2">
        <v>46054</v>
      </c>
      <c r="C783">
        <v>26716.5</v>
      </c>
    </row>
    <row r="784" spans="1:3" ht="15" hidden="1" customHeight="1" x14ac:dyDescent="0.3">
      <c r="A784" t="s">
        <v>228</v>
      </c>
      <c r="B784" s="2">
        <v>46082</v>
      </c>
      <c r="C784">
        <v>27941.4</v>
      </c>
    </row>
    <row r="785" spans="1:3" ht="15" hidden="1" customHeight="1" x14ac:dyDescent="0.3">
      <c r="A785" t="s">
        <v>228</v>
      </c>
      <c r="B785" s="2">
        <v>46113</v>
      </c>
      <c r="C785">
        <v>25610.400000000001</v>
      </c>
    </row>
    <row r="786" spans="1:3" ht="15" hidden="1" customHeight="1" x14ac:dyDescent="0.3">
      <c r="A786" t="s">
        <v>228</v>
      </c>
      <c r="B786" s="2">
        <v>46113</v>
      </c>
      <c r="C786">
        <v>25610.400000000001</v>
      </c>
    </row>
    <row r="787" spans="1:3" ht="15" hidden="1" customHeight="1" x14ac:dyDescent="0.3">
      <c r="A787" t="s">
        <v>228</v>
      </c>
      <c r="B787" s="2">
        <v>46143</v>
      </c>
      <c r="C787">
        <v>25802.1</v>
      </c>
    </row>
    <row r="788" spans="1:3" ht="15" hidden="1" customHeight="1" x14ac:dyDescent="0.3">
      <c r="A788" t="s">
        <v>228</v>
      </c>
      <c r="B788" s="2">
        <v>46174</v>
      </c>
      <c r="C788">
        <v>23428.799999999999</v>
      </c>
    </row>
    <row r="789" spans="1:3" ht="15" hidden="1" customHeight="1" x14ac:dyDescent="0.3">
      <c r="A789" t="s">
        <v>228</v>
      </c>
      <c r="B789" s="2">
        <v>46204</v>
      </c>
      <c r="C789">
        <v>25632</v>
      </c>
    </row>
    <row r="790" spans="1:3" ht="15" customHeight="1" x14ac:dyDescent="0.3">
      <c r="A790" t="s">
        <v>228</v>
      </c>
      <c r="B790" s="2">
        <v>46235</v>
      </c>
      <c r="C790">
        <v>28549.8</v>
      </c>
    </row>
    <row r="791" spans="1:3" ht="15" hidden="1" customHeight="1" x14ac:dyDescent="0.3">
      <c r="A791" t="s">
        <v>228</v>
      </c>
      <c r="B791" s="2">
        <v>46266</v>
      </c>
      <c r="C791">
        <v>29561.4</v>
      </c>
    </row>
    <row r="792" spans="1:3" ht="15" hidden="1" customHeight="1" x14ac:dyDescent="0.3">
      <c r="A792" t="s">
        <v>228</v>
      </c>
      <c r="B792" s="2">
        <v>46296</v>
      </c>
      <c r="C792">
        <v>31417.200000000001</v>
      </c>
    </row>
    <row r="793" spans="1:3" ht="15" hidden="1" customHeight="1" x14ac:dyDescent="0.3">
      <c r="A793" t="s">
        <v>228</v>
      </c>
      <c r="B793" s="2">
        <v>46327</v>
      </c>
      <c r="C793">
        <v>30121.200000000001</v>
      </c>
    </row>
    <row r="794" spans="1:3" ht="15" hidden="1" customHeight="1" x14ac:dyDescent="0.3">
      <c r="A794" t="s">
        <v>228</v>
      </c>
      <c r="B794" s="2">
        <v>46357</v>
      </c>
      <c r="C794">
        <v>29445.3</v>
      </c>
    </row>
    <row r="795" spans="1:3" ht="15" hidden="1" customHeight="1" x14ac:dyDescent="0.3">
      <c r="A795" t="s">
        <v>109</v>
      </c>
      <c r="B795" s="2">
        <v>45292</v>
      </c>
      <c r="C795">
        <v>4235.3999999999996</v>
      </c>
    </row>
    <row r="796" spans="1:3" ht="15" hidden="1" customHeight="1" x14ac:dyDescent="0.3">
      <c r="A796" t="s">
        <v>109</v>
      </c>
      <c r="B796" s="2">
        <v>45323</v>
      </c>
      <c r="C796">
        <v>3699</v>
      </c>
    </row>
    <row r="797" spans="1:3" ht="15" hidden="1" customHeight="1" x14ac:dyDescent="0.3">
      <c r="A797" t="s">
        <v>109</v>
      </c>
      <c r="B797" s="2">
        <v>45352</v>
      </c>
      <c r="C797">
        <v>3788.1</v>
      </c>
    </row>
    <row r="798" spans="1:3" ht="15" hidden="1" customHeight="1" x14ac:dyDescent="0.3">
      <c r="A798" t="s">
        <v>109</v>
      </c>
      <c r="B798" s="2">
        <v>45383</v>
      </c>
      <c r="C798">
        <v>3184.2</v>
      </c>
    </row>
    <row r="799" spans="1:3" ht="15" hidden="1" customHeight="1" x14ac:dyDescent="0.3">
      <c r="A799" t="s">
        <v>109</v>
      </c>
      <c r="B799" s="2">
        <v>45413</v>
      </c>
      <c r="C799">
        <v>3052.8</v>
      </c>
    </row>
    <row r="800" spans="1:3" ht="15" hidden="1" customHeight="1" x14ac:dyDescent="0.3">
      <c r="A800" t="s">
        <v>109</v>
      </c>
      <c r="B800" s="2">
        <v>45444</v>
      </c>
      <c r="C800">
        <v>2752.2</v>
      </c>
    </row>
    <row r="801" spans="1:3" ht="15" hidden="1" customHeight="1" x14ac:dyDescent="0.3">
      <c r="A801" t="s">
        <v>109</v>
      </c>
      <c r="B801" s="2">
        <v>45474</v>
      </c>
      <c r="C801">
        <v>3029.4</v>
      </c>
    </row>
    <row r="802" spans="1:3" ht="15" hidden="1" customHeight="1" x14ac:dyDescent="0.3">
      <c r="A802" t="s">
        <v>109</v>
      </c>
      <c r="B802" s="2">
        <v>45505</v>
      </c>
      <c r="C802">
        <v>3546.9</v>
      </c>
    </row>
    <row r="803" spans="1:3" ht="15" hidden="1" customHeight="1" x14ac:dyDescent="0.3">
      <c r="A803" t="s">
        <v>109</v>
      </c>
      <c r="B803" s="2">
        <v>45536</v>
      </c>
      <c r="C803">
        <v>3911.4</v>
      </c>
    </row>
    <row r="804" spans="1:3" ht="15" hidden="1" customHeight="1" x14ac:dyDescent="0.3">
      <c r="A804" t="s">
        <v>109</v>
      </c>
      <c r="B804" s="2">
        <v>45566</v>
      </c>
      <c r="C804">
        <v>4103.1000000000004</v>
      </c>
    </row>
    <row r="805" spans="1:3" ht="15" hidden="1" customHeight="1" x14ac:dyDescent="0.3">
      <c r="A805" t="s">
        <v>109</v>
      </c>
      <c r="B805" s="2">
        <v>45597</v>
      </c>
      <c r="C805">
        <v>4120.2</v>
      </c>
    </row>
    <row r="806" spans="1:3" ht="15" hidden="1" customHeight="1" x14ac:dyDescent="0.3">
      <c r="A806" t="s">
        <v>109</v>
      </c>
      <c r="B806" s="2">
        <v>45627</v>
      </c>
      <c r="C806">
        <v>4377.6000000000004</v>
      </c>
    </row>
    <row r="807" spans="1:3" ht="15" hidden="1" customHeight="1" x14ac:dyDescent="0.3">
      <c r="A807" t="s">
        <v>109</v>
      </c>
      <c r="B807" s="2">
        <v>45658</v>
      </c>
      <c r="C807">
        <v>4235.3999999999996</v>
      </c>
    </row>
    <row r="808" spans="1:3" ht="15" hidden="1" customHeight="1" x14ac:dyDescent="0.3">
      <c r="A808" t="s">
        <v>109</v>
      </c>
      <c r="B808" s="2">
        <v>45689</v>
      </c>
      <c r="C808">
        <v>3699</v>
      </c>
    </row>
    <row r="809" spans="1:3" ht="15" hidden="1" customHeight="1" x14ac:dyDescent="0.3">
      <c r="A809" t="s">
        <v>109</v>
      </c>
      <c r="B809" s="2">
        <v>45717</v>
      </c>
      <c r="C809">
        <v>3788.1</v>
      </c>
    </row>
    <row r="810" spans="1:3" ht="15" hidden="1" customHeight="1" x14ac:dyDescent="0.3">
      <c r="A810" t="s">
        <v>109</v>
      </c>
      <c r="B810" s="2">
        <v>45748</v>
      </c>
      <c r="C810">
        <v>3184.2</v>
      </c>
    </row>
    <row r="811" spans="1:3" ht="15" hidden="1" customHeight="1" x14ac:dyDescent="0.3">
      <c r="A811" t="s">
        <v>109</v>
      </c>
      <c r="B811" s="2">
        <v>45778</v>
      </c>
      <c r="C811">
        <v>3052.8</v>
      </c>
    </row>
    <row r="812" spans="1:3" ht="15" hidden="1" customHeight="1" x14ac:dyDescent="0.3">
      <c r="A812" t="s">
        <v>109</v>
      </c>
      <c r="B812" s="2">
        <v>45809</v>
      </c>
      <c r="C812">
        <v>2752.2</v>
      </c>
    </row>
    <row r="813" spans="1:3" ht="15" hidden="1" customHeight="1" x14ac:dyDescent="0.3">
      <c r="A813" t="s">
        <v>109</v>
      </c>
      <c r="B813" s="2">
        <v>45839</v>
      </c>
      <c r="C813">
        <v>3029.4</v>
      </c>
    </row>
    <row r="814" spans="1:3" ht="15" hidden="1" customHeight="1" x14ac:dyDescent="0.3">
      <c r="A814" t="s">
        <v>109</v>
      </c>
      <c r="B814" s="2">
        <v>45870</v>
      </c>
      <c r="C814">
        <v>3546.9</v>
      </c>
    </row>
    <row r="815" spans="1:3" ht="15" hidden="1" customHeight="1" x14ac:dyDescent="0.3">
      <c r="A815" t="s">
        <v>109</v>
      </c>
      <c r="B815" s="2">
        <v>45901</v>
      </c>
      <c r="C815">
        <v>3911.4</v>
      </c>
    </row>
    <row r="816" spans="1:3" ht="15" hidden="1" customHeight="1" x14ac:dyDescent="0.3">
      <c r="A816" t="s">
        <v>109</v>
      </c>
      <c r="B816" s="2">
        <v>45931</v>
      </c>
      <c r="C816">
        <v>4103.1000000000004</v>
      </c>
    </row>
    <row r="817" spans="1:3" ht="15" hidden="1" customHeight="1" x14ac:dyDescent="0.3">
      <c r="A817" t="s">
        <v>109</v>
      </c>
      <c r="B817" s="2">
        <v>45962</v>
      </c>
      <c r="C817">
        <v>4120.2</v>
      </c>
    </row>
    <row r="818" spans="1:3" ht="15" hidden="1" customHeight="1" x14ac:dyDescent="0.3">
      <c r="A818" t="s">
        <v>109</v>
      </c>
      <c r="B818" s="2">
        <v>45992</v>
      </c>
      <c r="C818">
        <v>4377.6000000000004</v>
      </c>
    </row>
    <row r="819" spans="1:3" ht="15" hidden="1" customHeight="1" x14ac:dyDescent="0.3">
      <c r="A819" t="s">
        <v>109</v>
      </c>
      <c r="B819" s="2">
        <v>46023</v>
      </c>
      <c r="C819">
        <v>4235.3999999999996</v>
      </c>
    </row>
    <row r="820" spans="1:3" ht="15" hidden="1" customHeight="1" x14ac:dyDescent="0.3">
      <c r="A820" t="s">
        <v>109</v>
      </c>
      <c r="B820" s="2">
        <v>46054</v>
      </c>
      <c r="C820">
        <v>3699</v>
      </c>
    </row>
    <row r="821" spans="1:3" ht="15" hidden="1" customHeight="1" x14ac:dyDescent="0.3">
      <c r="A821" t="s">
        <v>109</v>
      </c>
      <c r="B821" s="2">
        <v>46082</v>
      </c>
      <c r="C821">
        <v>3788.1</v>
      </c>
    </row>
    <row r="822" spans="1:3" ht="15" hidden="1" customHeight="1" x14ac:dyDescent="0.3">
      <c r="A822" t="s">
        <v>109</v>
      </c>
      <c r="B822" s="2">
        <v>46113</v>
      </c>
      <c r="C822">
        <v>3184.2</v>
      </c>
    </row>
    <row r="823" spans="1:3" ht="15" hidden="1" customHeight="1" x14ac:dyDescent="0.3">
      <c r="A823" t="s">
        <v>109</v>
      </c>
      <c r="B823" s="2">
        <v>46143</v>
      </c>
      <c r="C823">
        <v>3052.8</v>
      </c>
    </row>
    <row r="824" spans="1:3" ht="15" hidden="1" customHeight="1" x14ac:dyDescent="0.3">
      <c r="A824" t="s">
        <v>109</v>
      </c>
      <c r="B824" s="2">
        <v>46174</v>
      </c>
      <c r="C824">
        <v>2752.2</v>
      </c>
    </row>
    <row r="825" spans="1:3" ht="15" hidden="1" customHeight="1" x14ac:dyDescent="0.3">
      <c r="A825" t="s">
        <v>109</v>
      </c>
      <c r="B825" s="2">
        <v>46204</v>
      </c>
      <c r="C825">
        <v>3029.4</v>
      </c>
    </row>
    <row r="826" spans="1:3" ht="15" customHeight="1" x14ac:dyDescent="0.3">
      <c r="A826" t="s">
        <v>109</v>
      </c>
      <c r="B826" s="2">
        <v>46235</v>
      </c>
      <c r="C826">
        <v>3546.9</v>
      </c>
    </row>
    <row r="827" spans="1:3" ht="15" hidden="1" customHeight="1" x14ac:dyDescent="0.3">
      <c r="A827" t="s">
        <v>109</v>
      </c>
      <c r="B827" s="2">
        <v>46266</v>
      </c>
      <c r="C827">
        <v>3911.4</v>
      </c>
    </row>
    <row r="828" spans="1:3" ht="15" hidden="1" customHeight="1" x14ac:dyDescent="0.3">
      <c r="A828" t="s">
        <v>109</v>
      </c>
      <c r="B828" s="2">
        <v>46296</v>
      </c>
      <c r="C828">
        <v>4103.1000000000004</v>
      </c>
    </row>
    <row r="829" spans="1:3" ht="15" hidden="1" customHeight="1" x14ac:dyDescent="0.3">
      <c r="A829" t="s">
        <v>109</v>
      </c>
      <c r="B829" s="2">
        <v>46327</v>
      </c>
      <c r="C829">
        <v>4120.2</v>
      </c>
    </row>
    <row r="830" spans="1:3" ht="15" hidden="1" customHeight="1" x14ac:dyDescent="0.3">
      <c r="A830" t="s">
        <v>109</v>
      </c>
      <c r="B830" s="2">
        <v>46357</v>
      </c>
      <c r="C830">
        <v>4377.6000000000004</v>
      </c>
    </row>
    <row r="831" spans="1:3" ht="15" hidden="1" customHeight="1" x14ac:dyDescent="0.3">
      <c r="A831" t="s">
        <v>113</v>
      </c>
      <c r="B831" s="2">
        <v>45292</v>
      </c>
      <c r="C831">
        <v>39600.81</v>
      </c>
    </row>
    <row r="832" spans="1:3" ht="15" hidden="1" customHeight="1" x14ac:dyDescent="0.3">
      <c r="A832" t="s">
        <v>113</v>
      </c>
      <c r="B832" s="2">
        <v>45323</v>
      </c>
      <c r="C832">
        <v>33064.92</v>
      </c>
    </row>
    <row r="833" spans="1:3" ht="15" hidden="1" customHeight="1" x14ac:dyDescent="0.3">
      <c r="A833" t="s">
        <v>113</v>
      </c>
      <c r="B833" s="2">
        <v>45352</v>
      </c>
      <c r="C833">
        <v>32219.55</v>
      </c>
    </row>
    <row r="834" spans="1:3" ht="15" hidden="1" customHeight="1" x14ac:dyDescent="0.3">
      <c r="A834" t="s">
        <v>113</v>
      </c>
      <c r="B834" s="2">
        <v>45383</v>
      </c>
      <c r="C834">
        <v>23614.38</v>
      </c>
    </row>
    <row r="835" spans="1:3" ht="15" hidden="1" customHeight="1" x14ac:dyDescent="0.3">
      <c r="A835" t="s">
        <v>113</v>
      </c>
      <c r="B835" s="2">
        <v>45413</v>
      </c>
      <c r="C835">
        <v>17952.57</v>
      </c>
    </row>
    <row r="836" spans="1:3" ht="15" hidden="1" customHeight="1" x14ac:dyDescent="0.3">
      <c r="A836" t="s">
        <v>113</v>
      </c>
      <c r="B836" s="2">
        <v>45444</v>
      </c>
      <c r="C836">
        <v>14925.6</v>
      </c>
    </row>
    <row r="837" spans="1:3" ht="15" hidden="1" customHeight="1" x14ac:dyDescent="0.3">
      <c r="A837" t="s">
        <v>113</v>
      </c>
      <c r="B837" s="2">
        <v>45474</v>
      </c>
      <c r="C837">
        <v>16774.830000000002</v>
      </c>
    </row>
    <row r="838" spans="1:3" ht="15" hidden="1" customHeight="1" x14ac:dyDescent="0.3">
      <c r="A838" t="s">
        <v>113</v>
      </c>
      <c r="B838" s="2">
        <v>45505</v>
      </c>
      <c r="C838">
        <v>20886.75</v>
      </c>
    </row>
    <row r="839" spans="1:3" ht="15" hidden="1" customHeight="1" x14ac:dyDescent="0.3">
      <c r="A839" t="s">
        <v>113</v>
      </c>
      <c r="B839" s="2">
        <v>45536</v>
      </c>
      <c r="C839">
        <v>26689.95</v>
      </c>
    </row>
    <row r="840" spans="1:3" ht="15" hidden="1" customHeight="1" x14ac:dyDescent="0.3">
      <c r="A840" t="s">
        <v>113</v>
      </c>
      <c r="B840" s="2">
        <v>45566</v>
      </c>
      <c r="C840">
        <v>33024.69</v>
      </c>
    </row>
    <row r="841" spans="1:3" ht="15" hidden="1" customHeight="1" x14ac:dyDescent="0.3">
      <c r="A841" t="s">
        <v>113</v>
      </c>
      <c r="B841" s="2">
        <v>45597</v>
      </c>
      <c r="C841">
        <v>37111.769999999997</v>
      </c>
    </row>
    <row r="842" spans="1:3" ht="15" hidden="1" customHeight="1" x14ac:dyDescent="0.3">
      <c r="A842" t="s">
        <v>113</v>
      </c>
      <c r="B842" s="2">
        <v>45627</v>
      </c>
      <c r="C842">
        <v>40125.69</v>
      </c>
    </row>
    <row r="843" spans="1:3" ht="15" hidden="1" customHeight="1" x14ac:dyDescent="0.3">
      <c r="A843" t="s">
        <v>113</v>
      </c>
      <c r="B843" s="2">
        <v>45658</v>
      </c>
      <c r="C843">
        <v>39600.81</v>
      </c>
    </row>
    <row r="844" spans="1:3" ht="15" hidden="1" customHeight="1" x14ac:dyDescent="0.3">
      <c r="A844" t="s">
        <v>113</v>
      </c>
      <c r="B844" s="2">
        <v>45689</v>
      </c>
      <c r="C844">
        <v>33064.92</v>
      </c>
    </row>
    <row r="845" spans="1:3" ht="15" hidden="1" customHeight="1" x14ac:dyDescent="0.3">
      <c r="A845" t="s">
        <v>113</v>
      </c>
      <c r="B845" s="2">
        <v>45717</v>
      </c>
      <c r="C845">
        <v>32219.55</v>
      </c>
    </row>
    <row r="846" spans="1:3" ht="15" hidden="1" customHeight="1" x14ac:dyDescent="0.3">
      <c r="A846" t="s">
        <v>113</v>
      </c>
      <c r="B846" s="2">
        <v>45748</v>
      </c>
      <c r="C846">
        <v>23614.38</v>
      </c>
    </row>
    <row r="847" spans="1:3" ht="15" hidden="1" customHeight="1" x14ac:dyDescent="0.3">
      <c r="A847" t="s">
        <v>113</v>
      </c>
      <c r="B847" s="2">
        <v>45778</v>
      </c>
      <c r="C847">
        <v>17952.57</v>
      </c>
    </row>
    <row r="848" spans="1:3" ht="15" hidden="1" customHeight="1" x14ac:dyDescent="0.3">
      <c r="A848" t="s">
        <v>113</v>
      </c>
      <c r="B848" s="2">
        <v>45809</v>
      </c>
      <c r="C848">
        <v>14925.6</v>
      </c>
    </row>
    <row r="849" spans="1:3" ht="15" hidden="1" customHeight="1" x14ac:dyDescent="0.3">
      <c r="A849" t="s">
        <v>113</v>
      </c>
      <c r="B849" s="2">
        <v>45839</v>
      </c>
      <c r="C849">
        <v>16774.830000000002</v>
      </c>
    </row>
    <row r="850" spans="1:3" ht="15" hidden="1" customHeight="1" x14ac:dyDescent="0.3">
      <c r="A850" t="s">
        <v>113</v>
      </c>
      <c r="B850" s="2">
        <v>45870</v>
      </c>
      <c r="C850">
        <v>20886.75</v>
      </c>
    </row>
    <row r="851" spans="1:3" ht="15" hidden="1" customHeight="1" x14ac:dyDescent="0.3">
      <c r="A851" t="s">
        <v>113</v>
      </c>
      <c r="B851" s="2">
        <v>45901</v>
      </c>
      <c r="C851">
        <v>26689.95</v>
      </c>
    </row>
    <row r="852" spans="1:3" ht="15" hidden="1" customHeight="1" x14ac:dyDescent="0.3">
      <c r="A852" t="s">
        <v>113</v>
      </c>
      <c r="B852" s="2">
        <v>45931</v>
      </c>
      <c r="C852">
        <v>33024.69</v>
      </c>
    </row>
    <row r="853" spans="1:3" ht="15" hidden="1" customHeight="1" x14ac:dyDescent="0.3">
      <c r="A853" t="s">
        <v>113</v>
      </c>
      <c r="B853" s="2">
        <v>45962</v>
      </c>
      <c r="C853">
        <v>37111.769999999997</v>
      </c>
    </row>
    <row r="854" spans="1:3" ht="15" hidden="1" customHeight="1" x14ac:dyDescent="0.3">
      <c r="A854" t="s">
        <v>113</v>
      </c>
      <c r="B854" s="2">
        <v>45992</v>
      </c>
      <c r="C854">
        <v>40125.69</v>
      </c>
    </row>
    <row r="855" spans="1:3" ht="15" hidden="1" customHeight="1" x14ac:dyDescent="0.3">
      <c r="A855" t="s">
        <v>113</v>
      </c>
      <c r="B855" s="2">
        <v>46023</v>
      </c>
      <c r="C855">
        <v>39600.81</v>
      </c>
    </row>
    <row r="856" spans="1:3" ht="15" hidden="1" customHeight="1" x14ac:dyDescent="0.3">
      <c r="A856" t="s">
        <v>113</v>
      </c>
      <c r="B856" s="2">
        <v>46054</v>
      </c>
      <c r="C856">
        <v>33064.92</v>
      </c>
    </row>
    <row r="857" spans="1:3" ht="15" hidden="1" customHeight="1" x14ac:dyDescent="0.3">
      <c r="A857" t="s">
        <v>113</v>
      </c>
      <c r="B857" s="2">
        <v>46082</v>
      </c>
      <c r="C857">
        <v>32219.55</v>
      </c>
    </row>
    <row r="858" spans="1:3" ht="15" hidden="1" customHeight="1" x14ac:dyDescent="0.3">
      <c r="A858" t="s">
        <v>113</v>
      </c>
      <c r="B858" s="2">
        <v>46113</v>
      </c>
      <c r="C858">
        <v>23614.38</v>
      </c>
    </row>
    <row r="859" spans="1:3" ht="15" hidden="1" customHeight="1" x14ac:dyDescent="0.3">
      <c r="A859" t="s">
        <v>113</v>
      </c>
      <c r="B859" s="2">
        <v>46143</v>
      </c>
      <c r="C859">
        <v>17952.57</v>
      </c>
    </row>
    <row r="860" spans="1:3" ht="15" hidden="1" customHeight="1" x14ac:dyDescent="0.3">
      <c r="A860" t="s">
        <v>113</v>
      </c>
      <c r="B860" s="2">
        <v>46174</v>
      </c>
      <c r="C860">
        <v>14925.6</v>
      </c>
    </row>
    <row r="861" spans="1:3" ht="15" hidden="1" customHeight="1" x14ac:dyDescent="0.3">
      <c r="A861" t="s">
        <v>113</v>
      </c>
      <c r="B861" s="2">
        <v>46204</v>
      </c>
      <c r="C861">
        <v>16774.830000000002</v>
      </c>
    </row>
    <row r="862" spans="1:3" ht="15" customHeight="1" x14ac:dyDescent="0.3">
      <c r="A862" t="s">
        <v>113</v>
      </c>
      <c r="B862" s="2">
        <v>46235</v>
      </c>
      <c r="C862">
        <v>20886.75</v>
      </c>
    </row>
    <row r="863" spans="1:3" ht="15" hidden="1" customHeight="1" x14ac:dyDescent="0.3">
      <c r="A863" t="s">
        <v>113</v>
      </c>
      <c r="B863" s="2">
        <v>46266</v>
      </c>
      <c r="C863">
        <v>26689.95</v>
      </c>
    </row>
    <row r="864" spans="1:3" ht="15" hidden="1" customHeight="1" x14ac:dyDescent="0.3">
      <c r="A864" t="s">
        <v>113</v>
      </c>
      <c r="B864" s="2">
        <v>46296</v>
      </c>
      <c r="C864">
        <v>33024.69</v>
      </c>
    </row>
    <row r="865" spans="1:3" ht="15" hidden="1" customHeight="1" x14ac:dyDescent="0.3">
      <c r="A865" t="s">
        <v>113</v>
      </c>
      <c r="B865" s="2">
        <v>46327</v>
      </c>
      <c r="C865">
        <v>37111.769999999997</v>
      </c>
    </row>
    <row r="866" spans="1:3" ht="15" hidden="1" customHeight="1" x14ac:dyDescent="0.3">
      <c r="A866" t="s">
        <v>113</v>
      </c>
      <c r="B866" s="2">
        <v>46357</v>
      </c>
      <c r="C866">
        <v>40125.69</v>
      </c>
    </row>
    <row r="867" spans="1:3" ht="15" hidden="1" customHeight="1" x14ac:dyDescent="0.3">
      <c r="A867" t="s">
        <v>114</v>
      </c>
      <c r="B867" s="2">
        <v>45292</v>
      </c>
      <c r="C867">
        <v>29391.3</v>
      </c>
    </row>
    <row r="868" spans="1:3" ht="15" hidden="1" customHeight="1" x14ac:dyDescent="0.3">
      <c r="A868" t="s">
        <v>114</v>
      </c>
      <c r="B868" s="2">
        <v>45323</v>
      </c>
      <c r="C868">
        <v>25677</v>
      </c>
    </row>
    <row r="869" spans="1:3" ht="15" hidden="1" customHeight="1" x14ac:dyDescent="0.3">
      <c r="A869" t="s">
        <v>114</v>
      </c>
      <c r="B869" s="2">
        <v>45352</v>
      </c>
      <c r="C869">
        <v>24204.6</v>
      </c>
    </row>
    <row r="870" spans="1:3" ht="15" hidden="1" customHeight="1" x14ac:dyDescent="0.3">
      <c r="A870" t="s">
        <v>114</v>
      </c>
      <c r="B870" s="2">
        <v>45383</v>
      </c>
      <c r="C870">
        <v>21550.5</v>
      </c>
    </row>
    <row r="871" spans="1:3" ht="15" hidden="1" customHeight="1" x14ac:dyDescent="0.3">
      <c r="A871" t="s">
        <v>114</v>
      </c>
      <c r="B871" s="2">
        <v>45413</v>
      </c>
      <c r="C871">
        <v>19301.400000000001</v>
      </c>
    </row>
    <row r="872" spans="1:3" ht="15" hidden="1" customHeight="1" x14ac:dyDescent="0.3">
      <c r="A872" t="s">
        <v>114</v>
      </c>
      <c r="B872" s="2">
        <v>45444</v>
      </c>
      <c r="C872">
        <v>17076.599999999999</v>
      </c>
    </row>
    <row r="873" spans="1:3" ht="15" hidden="1" customHeight="1" x14ac:dyDescent="0.3">
      <c r="A873" t="s">
        <v>114</v>
      </c>
      <c r="B873" s="2">
        <v>45474</v>
      </c>
      <c r="C873">
        <v>19010.7</v>
      </c>
    </row>
    <row r="874" spans="1:3" ht="15" hidden="1" customHeight="1" x14ac:dyDescent="0.3">
      <c r="A874" t="s">
        <v>114</v>
      </c>
      <c r="B874" s="2">
        <v>45505</v>
      </c>
      <c r="C874">
        <v>22169.7</v>
      </c>
    </row>
    <row r="875" spans="1:3" ht="15" hidden="1" customHeight="1" x14ac:dyDescent="0.3">
      <c r="A875" t="s">
        <v>114</v>
      </c>
      <c r="B875" s="2">
        <v>45536</v>
      </c>
      <c r="C875">
        <v>24661.8</v>
      </c>
    </row>
    <row r="876" spans="1:3" ht="15" hidden="1" customHeight="1" x14ac:dyDescent="0.3">
      <c r="A876" t="s">
        <v>114</v>
      </c>
      <c r="B876" s="2">
        <v>45566</v>
      </c>
      <c r="C876">
        <v>27450.9</v>
      </c>
    </row>
    <row r="877" spans="1:3" ht="15" hidden="1" customHeight="1" x14ac:dyDescent="0.3">
      <c r="A877" t="s">
        <v>114</v>
      </c>
      <c r="B877" s="2">
        <v>45597</v>
      </c>
      <c r="C877">
        <v>28825.200000000001</v>
      </c>
    </row>
    <row r="878" spans="1:3" ht="15" hidden="1" customHeight="1" x14ac:dyDescent="0.3">
      <c r="A878" t="s">
        <v>114</v>
      </c>
      <c r="B878" s="2">
        <v>45627</v>
      </c>
      <c r="C878">
        <v>28327.5</v>
      </c>
    </row>
    <row r="879" spans="1:3" ht="15" hidden="1" customHeight="1" x14ac:dyDescent="0.3">
      <c r="A879" t="s">
        <v>114</v>
      </c>
      <c r="B879" s="2">
        <v>45658</v>
      </c>
      <c r="C879">
        <v>29391.3</v>
      </c>
    </row>
    <row r="880" spans="1:3" ht="15" hidden="1" customHeight="1" x14ac:dyDescent="0.3">
      <c r="A880" t="s">
        <v>114</v>
      </c>
      <c r="B880" s="2">
        <v>45689</v>
      </c>
      <c r="C880">
        <v>25677</v>
      </c>
    </row>
    <row r="881" spans="1:3" ht="15" hidden="1" customHeight="1" x14ac:dyDescent="0.3">
      <c r="A881" t="s">
        <v>114</v>
      </c>
      <c r="B881" s="2">
        <v>45717</v>
      </c>
      <c r="C881">
        <v>24204.6</v>
      </c>
    </row>
    <row r="882" spans="1:3" ht="15" hidden="1" customHeight="1" x14ac:dyDescent="0.3">
      <c r="A882" t="s">
        <v>114</v>
      </c>
      <c r="B882" s="2">
        <v>45748</v>
      </c>
      <c r="C882">
        <v>21550.5</v>
      </c>
    </row>
    <row r="883" spans="1:3" ht="15" hidden="1" customHeight="1" x14ac:dyDescent="0.3">
      <c r="A883" t="s">
        <v>114</v>
      </c>
      <c r="B883" s="2">
        <v>45778</v>
      </c>
      <c r="C883">
        <v>19301.400000000001</v>
      </c>
    </row>
    <row r="884" spans="1:3" ht="15" hidden="1" customHeight="1" x14ac:dyDescent="0.3">
      <c r="A884" t="s">
        <v>114</v>
      </c>
      <c r="B884" s="2">
        <v>45809</v>
      </c>
      <c r="C884">
        <v>17076.599999999999</v>
      </c>
    </row>
    <row r="885" spans="1:3" ht="15" hidden="1" customHeight="1" x14ac:dyDescent="0.3">
      <c r="A885" t="s">
        <v>114</v>
      </c>
      <c r="B885" s="2">
        <v>45839</v>
      </c>
      <c r="C885">
        <v>19010.7</v>
      </c>
    </row>
    <row r="886" spans="1:3" ht="15" hidden="1" customHeight="1" x14ac:dyDescent="0.3">
      <c r="A886" t="s">
        <v>114</v>
      </c>
      <c r="B886" s="2">
        <v>45870</v>
      </c>
      <c r="C886">
        <v>22169.7</v>
      </c>
    </row>
    <row r="887" spans="1:3" ht="15" hidden="1" customHeight="1" x14ac:dyDescent="0.3">
      <c r="A887" t="s">
        <v>114</v>
      </c>
      <c r="B887" s="2">
        <v>45901</v>
      </c>
      <c r="C887">
        <v>24661.8</v>
      </c>
    </row>
    <row r="888" spans="1:3" ht="15" hidden="1" customHeight="1" x14ac:dyDescent="0.3">
      <c r="A888" t="s">
        <v>114</v>
      </c>
      <c r="B888" s="2">
        <v>45931</v>
      </c>
      <c r="C888">
        <v>27450.9</v>
      </c>
    </row>
    <row r="889" spans="1:3" ht="15" hidden="1" customHeight="1" x14ac:dyDescent="0.3">
      <c r="A889" t="s">
        <v>114</v>
      </c>
      <c r="B889" s="2">
        <v>45962</v>
      </c>
      <c r="C889">
        <v>28825.200000000001</v>
      </c>
    </row>
    <row r="890" spans="1:3" ht="15" hidden="1" customHeight="1" x14ac:dyDescent="0.3">
      <c r="A890" t="s">
        <v>114</v>
      </c>
      <c r="B890" s="2">
        <v>45992</v>
      </c>
      <c r="C890">
        <v>28327.5</v>
      </c>
    </row>
    <row r="891" spans="1:3" ht="15" hidden="1" customHeight="1" x14ac:dyDescent="0.3">
      <c r="A891" t="s">
        <v>114</v>
      </c>
      <c r="B891" s="2">
        <v>46023</v>
      </c>
      <c r="C891">
        <v>29391.3</v>
      </c>
    </row>
    <row r="892" spans="1:3" ht="15" hidden="1" customHeight="1" x14ac:dyDescent="0.3">
      <c r="A892" t="s">
        <v>114</v>
      </c>
      <c r="B892" s="2">
        <v>46054</v>
      </c>
      <c r="C892">
        <v>25677</v>
      </c>
    </row>
    <row r="893" spans="1:3" ht="15" hidden="1" customHeight="1" x14ac:dyDescent="0.3">
      <c r="A893" t="s">
        <v>114</v>
      </c>
      <c r="B893" s="2">
        <v>46082</v>
      </c>
      <c r="C893">
        <v>24204.6</v>
      </c>
    </row>
    <row r="894" spans="1:3" ht="15" hidden="1" customHeight="1" x14ac:dyDescent="0.3">
      <c r="A894" t="s">
        <v>114</v>
      </c>
      <c r="B894" s="2">
        <v>46113</v>
      </c>
      <c r="C894">
        <v>21550.5</v>
      </c>
    </row>
    <row r="895" spans="1:3" ht="15" hidden="1" customHeight="1" x14ac:dyDescent="0.3">
      <c r="A895" t="s">
        <v>114</v>
      </c>
      <c r="B895" s="2">
        <v>46143</v>
      </c>
      <c r="C895">
        <v>19301.400000000001</v>
      </c>
    </row>
    <row r="896" spans="1:3" ht="15" hidden="1" customHeight="1" x14ac:dyDescent="0.3">
      <c r="A896" t="s">
        <v>114</v>
      </c>
      <c r="B896" s="2">
        <v>46174</v>
      </c>
      <c r="C896">
        <v>17076.599999999999</v>
      </c>
    </row>
    <row r="897" spans="1:3" ht="15" hidden="1" customHeight="1" x14ac:dyDescent="0.3">
      <c r="A897" t="s">
        <v>114</v>
      </c>
      <c r="B897" s="2">
        <v>46204</v>
      </c>
      <c r="C897">
        <v>19010.7</v>
      </c>
    </row>
    <row r="898" spans="1:3" ht="15" customHeight="1" x14ac:dyDescent="0.3">
      <c r="A898" t="s">
        <v>114</v>
      </c>
      <c r="B898" s="2">
        <v>46235</v>
      </c>
      <c r="C898">
        <v>22169.7</v>
      </c>
    </row>
    <row r="899" spans="1:3" ht="15" hidden="1" customHeight="1" x14ac:dyDescent="0.3">
      <c r="A899" t="s">
        <v>114</v>
      </c>
      <c r="B899" s="2">
        <v>46266</v>
      </c>
      <c r="C899">
        <v>24661.8</v>
      </c>
    </row>
    <row r="900" spans="1:3" ht="15" hidden="1" customHeight="1" x14ac:dyDescent="0.3">
      <c r="A900" t="s">
        <v>114</v>
      </c>
      <c r="B900" s="2">
        <v>46296</v>
      </c>
      <c r="C900">
        <v>27450.9</v>
      </c>
    </row>
    <row r="901" spans="1:3" ht="15" hidden="1" customHeight="1" x14ac:dyDescent="0.3">
      <c r="A901" t="s">
        <v>114</v>
      </c>
      <c r="B901" s="2">
        <v>46327</v>
      </c>
      <c r="C901">
        <v>28825.200000000001</v>
      </c>
    </row>
    <row r="902" spans="1:3" ht="15" hidden="1" customHeight="1" x14ac:dyDescent="0.3">
      <c r="A902" t="s">
        <v>114</v>
      </c>
      <c r="B902" s="2">
        <v>46357</v>
      </c>
      <c r="C902">
        <v>28327.5</v>
      </c>
    </row>
    <row r="903" spans="1:3" ht="15" hidden="1" customHeight="1" x14ac:dyDescent="0.3">
      <c r="A903" t="s">
        <v>117</v>
      </c>
      <c r="B903" s="2">
        <v>45292</v>
      </c>
      <c r="C903">
        <v>30214.799999999999</v>
      </c>
    </row>
    <row r="904" spans="1:3" ht="15" hidden="1" customHeight="1" x14ac:dyDescent="0.3">
      <c r="A904" t="s">
        <v>117</v>
      </c>
      <c r="B904" s="2">
        <v>45323</v>
      </c>
      <c r="C904">
        <v>26381.7</v>
      </c>
    </row>
    <row r="905" spans="1:3" ht="15" hidden="1" customHeight="1" x14ac:dyDescent="0.3">
      <c r="A905" t="s">
        <v>117</v>
      </c>
      <c r="B905" s="2">
        <v>45352</v>
      </c>
      <c r="C905">
        <v>27566.1</v>
      </c>
    </row>
    <row r="906" spans="1:3" ht="15" hidden="1" customHeight="1" x14ac:dyDescent="0.3">
      <c r="A906" t="s">
        <v>117</v>
      </c>
      <c r="B906" s="2">
        <v>45383</v>
      </c>
      <c r="C906">
        <v>23747.4</v>
      </c>
    </row>
    <row r="907" spans="1:3" ht="15" hidden="1" customHeight="1" x14ac:dyDescent="0.3">
      <c r="A907" t="s">
        <v>117</v>
      </c>
      <c r="B907" s="2">
        <v>45413</v>
      </c>
      <c r="C907">
        <v>22569.3</v>
      </c>
    </row>
    <row r="908" spans="1:3" ht="15" hidden="1" customHeight="1" x14ac:dyDescent="0.3">
      <c r="A908" t="s">
        <v>117</v>
      </c>
      <c r="B908" s="2">
        <v>45444</v>
      </c>
      <c r="C908">
        <v>20228.400000000001</v>
      </c>
    </row>
    <row r="909" spans="1:3" ht="15" hidden="1" customHeight="1" x14ac:dyDescent="0.3">
      <c r="A909" t="s">
        <v>117</v>
      </c>
      <c r="B909" s="2">
        <v>45474</v>
      </c>
      <c r="C909">
        <v>22354.2</v>
      </c>
    </row>
    <row r="910" spans="1:3" ht="15" hidden="1" customHeight="1" x14ac:dyDescent="0.3">
      <c r="A910" t="s">
        <v>117</v>
      </c>
      <c r="B910" s="2">
        <v>45505</v>
      </c>
      <c r="C910">
        <v>26968.5</v>
      </c>
    </row>
    <row r="911" spans="1:3" ht="15" hidden="1" customHeight="1" x14ac:dyDescent="0.3">
      <c r="A911" t="s">
        <v>117</v>
      </c>
      <c r="B911" s="2">
        <v>45536</v>
      </c>
      <c r="C911">
        <v>28840.5</v>
      </c>
    </row>
    <row r="912" spans="1:3" ht="15" hidden="1" customHeight="1" x14ac:dyDescent="0.3">
      <c r="A912" t="s">
        <v>117</v>
      </c>
      <c r="B912" s="2">
        <v>45566</v>
      </c>
      <c r="C912">
        <v>30258</v>
      </c>
    </row>
    <row r="913" spans="1:3" ht="15" hidden="1" customHeight="1" x14ac:dyDescent="0.3">
      <c r="A913" t="s">
        <v>117</v>
      </c>
      <c r="B913" s="2">
        <v>45597</v>
      </c>
      <c r="C913">
        <v>29380.5</v>
      </c>
    </row>
    <row r="914" spans="1:3" ht="15" hidden="1" customHeight="1" x14ac:dyDescent="0.3">
      <c r="A914" t="s">
        <v>117</v>
      </c>
      <c r="B914" s="2">
        <v>45627</v>
      </c>
      <c r="C914">
        <v>31219.200000000001</v>
      </c>
    </row>
    <row r="915" spans="1:3" ht="15" hidden="1" customHeight="1" x14ac:dyDescent="0.3">
      <c r="A915" t="s">
        <v>117</v>
      </c>
      <c r="B915" s="2">
        <v>45658</v>
      </c>
      <c r="C915">
        <v>30214.799999999999</v>
      </c>
    </row>
    <row r="916" spans="1:3" ht="15" hidden="1" customHeight="1" x14ac:dyDescent="0.3">
      <c r="A916" t="s">
        <v>117</v>
      </c>
      <c r="B916" s="2">
        <v>45689</v>
      </c>
      <c r="C916">
        <v>26381.7</v>
      </c>
    </row>
    <row r="917" spans="1:3" ht="15" hidden="1" customHeight="1" x14ac:dyDescent="0.3">
      <c r="A917" t="s">
        <v>117</v>
      </c>
      <c r="B917" s="2">
        <v>45717</v>
      </c>
      <c r="C917">
        <v>27566.1</v>
      </c>
    </row>
    <row r="918" spans="1:3" ht="15" hidden="1" customHeight="1" x14ac:dyDescent="0.3">
      <c r="A918" t="s">
        <v>117</v>
      </c>
      <c r="B918" s="2">
        <v>45748</v>
      </c>
      <c r="C918">
        <v>23747.4</v>
      </c>
    </row>
    <row r="919" spans="1:3" ht="15" hidden="1" customHeight="1" x14ac:dyDescent="0.3">
      <c r="A919" t="s">
        <v>117</v>
      </c>
      <c r="B919" s="2">
        <v>45778</v>
      </c>
      <c r="C919">
        <v>22569.3</v>
      </c>
    </row>
    <row r="920" spans="1:3" ht="15" hidden="1" customHeight="1" x14ac:dyDescent="0.3">
      <c r="A920" t="s">
        <v>117</v>
      </c>
      <c r="B920" s="2">
        <v>45809</v>
      </c>
      <c r="C920">
        <v>20228.400000000001</v>
      </c>
    </row>
    <row r="921" spans="1:3" ht="15" hidden="1" customHeight="1" x14ac:dyDescent="0.3">
      <c r="A921" t="s">
        <v>117</v>
      </c>
      <c r="B921" s="2">
        <v>45839</v>
      </c>
      <c r="C921">
        <v>22354.2</v>
      </c>
    </row>
    <row r="922" spans="1:3" ht="15" hidden="1" customHeight="1" x14ac:dyDescent="0.3">
      <c r="A922" t="s">
        <v>117</v>
      </c>
      <c r="B922" s="2">
        <v>45870</v>
      </c>
      <c r="C922">
        <v>26968.5</v>
      </c>
    </row>
    <row r="923" spans="1:3" ht="15" hidden="1" customHeight="1" x14ac:dyDescent="0.3">
      <c r="A923" t="s">
        <v>117</v>
      </c>
      <c r="B923" s="2">
        <v>45901</v>
      </c>
      <c r="C923">
        <v>28840.5</v>
      </c>
    </row>
    <row r="924" spans="1:3" ht="15" hidden="1" customHeight="1" x14ac:dyDescent="0.3">
      <c r="A924" t="s">
        <v>117</v>
      </c>
      <c r="B924" s="2">
        <v>45931</v>
      </c>
      <c r="C924">
        <v>30258</v>
      </c>
    </row>
    <row r="925" spans="1:3" ht="15" hidden="1" customHeight="1" x14ac:dyDescent="0.3">
      <c r="A925" t="s">
        <v>117</v>
      </c>
      <c r="B925" s="2">
        <v>45962</v>
      </c>
      <c r="C925">
        <v>29380.5</v>
      </c>
    </row>
    <row r="926" spans="1:3" ht="15" hidden="1" customHeight="1" x14ac:dyDescent="0.3">
      <c r="A926" t="s">
        <v>117</v>
      </c>
      <c r="B926" s="2">
        <v>45992</v>
      </c>
      <c r="C926">
        <v>31219.200000000001</v>
      </c>
    </row>
    <row r="927" spans="1:3" ht="15" hidden="1" customHeight="1" x14ac:dyDescent="0.3">
      <c r="A927" t="s">
        <v>117</v>
      </c>
      <c r="B927" s="2">
        <v>46023</v>
      </c>
      <c r="C927">
        <v>30214.799999999999</v>
      </c>
    </row>
    <row r="928" spans="1:3" ht="15" hidden="1" customHeight="1" x14ac:dyDescent="0.3">
      <c r="A928" t="s">
        <v>117</v>
      </c>
      <c r="B928" s="2">
        <v>46054</v>
      </c>
      <c r="C928">
        <v>26381.7</v>
      </c>
    </row>
    <row r="929" spans="1:3" ht="15" hidden="1" customHeight="1" x14ac:dyDescent="0.3">
      <c r="A929" t="s">
        <v>117</v>
      </c>
      <c r="B929" s="2">
        <v>46082</v>
      </c>
      <c r="C929">
        <v>27566.1</v>
      </c>
    </row>
    <row r="930" spans="1:3" ht="15" hidden="1" customHeight="1" x14ac:dyDescent="0.3">
      <c r="A930" t="s">
        <v>117</v>
      </c>
      <c r="B930" s="2">
        <v>46113</v>
      </c>
      <c r="C930">
        <v>23747.4</v>
      </c>
    </row>
    <row r="931" spans="1:3" ht="15" hidden="1" customHeight="1" x14ac:dyDescent="0.3">
      <c r="A931" t="s">
        <v>117</v>
      </c>
      <c r="B931" s="2">
        <v>46143</v>
      </c>
      <c r="C931">
        <v>22569.3</v>
      </c>
    </row>
    <row r="932" spans="1:3" ht="15" hidden="1" customHeight="1" x14ac:dyDescent="0.3">
      <c r="A932" t="s">
        <v>117</v>
      </c>
      <c r="B932" s="2">
        <v>46174</v>
      </c>
      <c r="C932">
        <v>20228.400000000001</v>
      </c>
    </row>
    <row r="933" spans="1:3" ht="15" hidden="1" customHeight="1" x14ac:dyDescent="0.3">
      <c r="A933" t="s">
        <v>117</v>
      </c>
      <c r="B933" s="2">
        <v>46204</v>
      </c>
      <c r="C933">
        <v>22354.2</v>
      </c>
    </row>
    <row r="934" spans="1:3" ht="15" customHeight="1" x14ac:dyDescent="0.3">
      <c r="A934" t="s">
        <v>117</v>
      </c>
      <c r="B934" s="2">
        <v>46235</v>
      </c>
      <c r="C934">
        <v>26968.5</v>
      </c>
    </row>
    <row r="935" spans="1:3" ht="15" hidden="1" customHeight="1" x14ac:dyDescent="0.3">
      <c r="A935" t="s">
        <v>117</v>
      </c>
      <c r="B935" s="2">
        <v>46266</v>
      </c>
      <c r="C935">
        <v>28840.5</v>
      </c>
    </row>
    <row r="936" spans="1:3" ht="15" hidden="1" customHeight="1" x14ac:dyDescent="0.3">
      <c r="A936" t="s">
        <v>117</v>
      </c>
      <c r="B936" s="2">
        <v>46296</v>
      </c>
      <c r="C936">
        <v>30258</v>
      </c>
    </row>
    <row r="937" spans="1:3" ht="15" hidden="1" customHeight="1" x14ac:dyDescent="0.3">
      <c r="A937" t="s">
        <v>117</v>
      </c>
      <c r="B937" s="2">
        <v>46327</v>
      </c>
      <c r="C937">
        <v>29380.5</v>
      </c>
    </row>
    <row r="938" spans="1:3" ht="15" hidden="1" customHeight="1" x14ac:dyDescent="0.3">
      <c r="A938" t="s">
        <v>117</v>
      </c>
      <c r="B938" s="2">
        <v>46357</v>
      </c>
      <c r="C938">
        <v>31219.200000000001</v>
      </c>
    </row>
    <row r="939" spans="1:3" ht="15" hidden="1" customHeight="1" x14ac:dyDescent="0.3">
      <c r="A939" t="s">
        <v>225</v>
      </c>
      <c r="B939" s="2">
        <v>45292</v>
      </c>
      <c r="C939">
        <v>7573.5</v>
      </c>
    </row>
    <row r="940" spans="1:3" ht="15" hidden="1" customHeight="1" x14ac:dyDescent="0.3">
      <c r="A940" t="s">
        <v>225</v>
      </c>
      <c r="B940" s="2">
        <v>45323</v>
      </c>
      <c r="C940">
        <v>6513.75</v>
      </c>
    </row>
    <row r="941" spans="1:3" ht="15" hidden="1" customHeight="1" x14ac:dyDescent="0.3">
      <c r="A941" t="s">
        <v>225</v>
      </c>
      <c r="B941" s="2">
        <v>45352</v>
      </c>
      <c r="C941">
        <v>6841.35</v>
      </c>
    </row>
    <row r="942" spans="1:3" ht="15" hidden="1" customHeight="1" x14ac:dyDescent="0.3">
      <c r="A942" t="s">
        <v>225</v>
      </c>
      <c r="B942" s="2">
        <v>45383</v>
      </c>
      <c r="C942">
        <v>618.29999999999995</v>
      </c>
    </row>
    <row r="943" spans="1:3" ht="15" hidden="1" customHeight="1" x14ac:dyDescent="0.3">
      <c r="A943" t="s">
        <v>225</v>
      </c>
      <c r="B943" s="2">
        <v>45413</v>
      </c>
      <c r="C943">
        <v>5924.7</v>
      </c>
    </row>
    <row r="944" spans="1:3" ht="15" hidden="1" customHeight="1" x14ac:dyDescent="0.3">
      <c r="A944" t="s">
        <v>225</v>
      </c>
      <c r="B944" s="2">
        <v>45444</v>
      </c>
      <c r="C944">
        <v>5295.6</v>
      </c>
    </row>
    <row r="945" spans="1:3" ht="15" hidden="1" customHeight="1" x14ac:dyDescent="0.3">
      <c r="A945" t="s">
        <v>225</v>
      </c>
      <c r="B945" s="2">
        <v>45474</v>
      </c>
      <c r="C945">
        <v>5785.2</v>
      </c>
    </row>
    <row r="946" spans="1:3" ht="15" hidden="1" customHeight="1" x14ac:dyDescent="0.3">
      <c r="A946" t="s">
        <v>225</v>
      </c>
      <c r="B946" s="2">
        <v>45505</v>
      </c>
      <c r="C946">
        <v>6585.3</v>
      </c>
    </row>
    <row r="947" spans="1:3" ht="15" hidden="1" customHeight="1" x14ac:dyDescent="0.3">
      <c r="A947" t="s">
        <v>225</v>
      </c>
      <c r="B947" s="2">
        <v>45536</v>
      </c>
      <c r="C947">
        <v>7018.65</v>
      </c>
    </row>
    <row r="948" spans="1:3" ht="15" hidden="1" customHeight="1" x14ac:dyDescent="0.3">
      <c r="A948" t="s">
        <v>225</v>
      </c>
      <c r="B948" s="2">
        <v>45566</v>
      </c>
      <c r="C948">
        <v>7479.45</v>
      </c>
    </row>
    <row r="949" spans="1:3" ht="15" hidden="1" customHeight="1" x14ac:dyDescent="0.3">
      <c r="A949" t="s">
        <v>225</v>
      </c>
      <c r="B949" s="2">
        <v>45597</v>
      </c>
      <c r="C949">
        <v>7552.8</v>
      </c>
    </row>
    <row r="950" spans="1:3" ht="15" hidden="1" customHeight="1" x14ac:dyDescent="0.3">
      <c r="A950" t="s">
        <v>225</v>
      </c>
      <c r="B950" s="2">
        <v>45627</v>
      </c>
      <c r="C950">
        <v>7415.1</v>
      </c>
    </row>
    <row r="951" spans="1:3" ht="15" hidden="1" customHeight="1" x14ac:dyDescent="0.3">
      <c r="A951" t="s">
        <v>225</v>
      </c>
      <c r="B951" s="2">
        <v>45658</v>
      </c>
      <c r="C951">
        <v>7573.5</v>
      </c>
    </row>
    <row r="952" spans="1:3" ht="15" hidden="1" customHeight="1" x14ac:dyDescent="0.3">
      <c r="A952" t="s">
        <v>225</v>
      </c>
      <c r="B952" s="2">
        <v>45689</v>
      </c>
      <c r="C952">
        <v>6513.75</v>
      </c>
    </row>
    <row r="953" spans="1:3" ht="15" hidden="1" customHeight="1" x14ac:dyDescent="0.3">
      <c r="A953" t="s">
        <v>225</v>
      </c>
      <c r="B953" s="2">
        <v>45717</v>
      </c>
      <c r="C953">
        <v>6841.35</v>
      </c>
    </row>
    <row r="954" spans="1:3" ht="15" hidden="1" customHeight="1" x14ac:dyDescent="0.3">
      <c r="A954" t="s">
        <v>225</v>
      </c>
      <c r="B954" s="2">
        <v>45748</v>
      </c>
      <c r="C954">
        <v>618.29999999999995</v>
      </c>
    </row>
    <row r="955" spans="1:3" ht="15" hidden="1" customHeight="1" x14ac:dyDescent="0.3">
      <c r="A955" t="s">
        <v>225</v>
      </c>
      <c r="B955" s="2">
        <v>45778</v>
      </c>
      <c r="C955">
        <v>5924.7</v>
      </c>
    </row>
    <row r="956" spans="1:3" ht="15" hidden="1" customHeight="1" x14ac:dyDescent="0.3">
      <c r="A956" t="s">
        <v>225</v>
      </c>
      <c r="B956" s="2">
        <v>45809</v>
      </c>
      <c r="C956">
        <v>5295.6</v>
      </c>
    </row>
    <row r="957" spans="1:3" ht="15" hidden="1" customHeight="1" x14ac:dyDescent="0.3">
      <c r="A957" t="s">
        <v>225</v>
      </c>
      <c r="B957" s="2">
        <v>45839</v>
      </c>
      <c r="C957">
        <v>5785.2</v>
      </c>
    </row>
    <row r="958" spans="1:3" ht="15" hidden="1" customHeight="1" x14ac:dyDescent="0.3">
      <c r="A958" t="s">
        <v>225</v>
      </c>
      <c r="B958" s="2">
        <v>45870</v>
      </c>
      <c r="C958">
        <v>6585.3</v>
      </c>
    </row>
    <row r="959" spans="1:3" ht="15" hidden="1" customHeight="1" x14ac:dyDescent="0.3">
      <c r="A959" t="s">
        <v>225</v>
      </c>
      <c r="B959" s="2">
        <v>45901</v>
      </c>
      <c r="C959">
        <v>7018.65</v>
      </c>
    </row>
    <row r="960" spans="1:3" ht="15" hidden="1" customHeight="1" x14ac:dyDescent="0.3">
      <c r="A960" t="s">
        <v>225</v>
      </c>
      <c r="B960" s="2">
        <v>45931</v>
      </c>
      <c r="C960">
        <v>7479.45</v>
      </c>
    </row>
    <row r="961" spans="1:3" ht="15" hidden="1" customHeight="1" x14ac:dyDescent="0.3">
      <c r="A961" t="s">
        <v>225</v>
      </c>
      <c r="B961" s="2">
        <v>45962</v>
      </c>
      <c r="C961">
        <v>7552.8</v>
      </c>
    </row>
    <row r="962" spans="1:3" ht="15" hidden="1" customHeight="1" x14ac:dyDescent="0.3">
      <c r="A962" t="s">
        <v>225</v>
      </c>
      <c r="B962" s="2">
        <v>45992</v>
      </c>
      <c r="C962">
        <v>7415.1</v>
      </c>
    </row>
    <row r="963" spans="1:3" ht="15" hidden="1" customHeight="1" x14ac:dyDescent="0.3">
      <c r="A963" t="s">
        <v>225</v>
      </c>
      <c r="B963" s="2">
        <v>46023</v>
      </c>
      <c r="C963">
        <v>7573.5</v>
      </c>
    </row>
    <row r="964" spans="1:3" ht="15" hidden="1" customHeight="1" x14ac:dyDescent="0.3">
      <c r="A964" t="s">
        <v>225</v>
      </c>
      <c r="B964" s="2">
        <v>46054</v>
      </c>
      <c r="C964">
        <v>6513.75</v>
      </c>
    </row>
    <row r="965" spans="1:3" ht="15" hidden="1" customHeight="1" x14ac:dyDescent="0.3">
      <c r="A965" t="s">
        <v>225</v>
      </c>
      <c r="B965" s="2">
        <v>46082</v>
      </c>
      <c r="C965">
        <v>6841.35</v>
      </c>
    </row>
    <row r="966" spans="1:3" ht="15" hidden="1" customHeight="1" x14ac:dyDescent="0.3">
      <c r="A966" t="s">
        <v>225</v>
      </c>
      <c r="B966" s="2">
        <v>46113</v>
      </c>
      <c r="C966">
        <v>6183</v>
      </c>
    </row>
    <row r="967" spans="1:3" ht="15" hidden="1" customHeight="1" x14ac:dyDescent="0.3">
      <c r="A967" t="s">
        <v>225</v>
      </c>
      <c r="B967" s="2">
        <v>46143</v>
      </c>
      <c r="C967">
        <v>5924.7</v>
      </c>
    </row>
    <row r="968" spans="1:3" ht="15" hidden="1" customHeight="1" x14ac:dyDescent="0.3">
      <c r="A968" t="s">
        <v>225</v>
      </c>
      <c r="B968" s="2">
        <v>46174</v>
      </c>
      <c r="C968">
        <v>5295.6</v>
      </c>
    </row>
    <row r="969" spans="1:3" ht="15" hidden="1" customHeight="1" x14ac:dyDescent="0.3">
      <c r="A969" t="s">
        <v>225</v>
      </c>
      <c r="B969" s="2">
        <v>46204</v>
      </c>
      <c r="C969">
        <v>5785.2</v>
      </c>
    </row>
    <row r="970" spans="1:3" ht="15" customHeight="1" x14ac:dyDescent="0.3">
      <c r="A970" t="s">
        <v>225</v>
      </c>
      <c r="B970" s="2">
        <v>46235</v>
      </c>
      <c r="C970">
        <v>6585.3</v>
      </c>
    </row>
    <row r="971" spans="1:3" ht="15" hidden="1" customHeight="1" x14ac:dyDescent="0.3">
      <c r="A971" t="s">
        <v>225</v>
      </c>
      <c r="B971" s="2">
        <v>46266</v>
      </c>
      <c r="C971">
        <v>7018.65</v>
      </c>
    </row>
    <row r="972" spans="1:3" ht="15" hidden="1" customHeight="1" x14ac:dyDescent="0.3">
      <c r="A972" t="s">
        <v>225</v>
      </c>
      <c r="B972" s="2">
        <v>46296</v>
      </c>
      <c r="C972">
        <v>7479.45</v>
      </c>
    </row>
    <row r="973" spans="1:3" ht="15" hidden="1" customHeight="1" x14ac:dyDescent="0.3">
      <c r="A973" t="s">
        <v>225</v>
      </c>
      <c r="B973" s="2">
        <v>46327</v>
      </c>
      <c r="C973">
        <v>7552.8</v>
      </c>
    </row>
    <row r="974" spans="1:3" ht="15" hidden="1" customHeight="1" x14ac:dyDescent="0.3">
      <c r="A974" t="s">
        <v>225</v>
      </c>
      <c r="B974" s="2">
        <v>46357</v>
      </c>
      <c r="C974">
        <v>7415.1</v>
      </c>
    </row>
    <row r="975" spans="1:3" ht="15" hidden="1" customHeight="1" x14ac:dyDescent="0.3">
      <c r="A975" t="s">
        <v>223</v>
      </c>
      <c r="B975" s="2">
        <v>45292</v>
      </c>
      <c r="C975">
        <v>7573.5</v>
      </c>
    </row>
    <row r="976" spans="1:3" ht="15" hidden="1" customHeight="1" x14ac:dyDescent="0.3">
      <c r="A976" t="s">
        <v>223</v>
      </c>
      <c r="B976" s="2">
        <v>45323</v>
      </c>
      <c r="C976">
        <v>6513.75</v>
      </c>
    </row>
    <row r="977" spans="1:3" ht="15" hidden="1" customHeight="1" x14ac:dyDescent="0.3">
      <c r="A977" t="s">
        <v>223</v>
      </c>
      <c r="B977" s="2">
        <v>45352</v>
      </c>
      <c r="C977">
        <v>6841.35</v>
      </c>
    </row>
    <row r="978" spans="1:3" ht="15" hidden="1" customHeight="1" x14ac:dyDescent="0.3">
      <c r="A978" t="s">
        <v>223</v>
      </c>
      <c r="B978" s="2">
        <v>45383</v>
      </c>
      <c r="C978">
        <v>618.29999999999995</v>
      </c>
    </row>
    <row r="979" spans="1:3" ht="15" hidden="1" customHeight="1" x14ac:dyDescent="0.3">
      <c r="A979" t="s">
        <v>223</v>
      </c>
      <c r="B979" s="2">
        <v>45413</v>
      </c>
      <c r="C979">
        <v>5924.7</v>
      </c>
    </row>
    <row r="980" spans="1:3" ht="15" hidden="1" customHeight="1" x14ac:dyDescent="0.3">
      <c r="A980" t="s">
        <v>223</v>
      </c>
      <c r="B980" s="2">
        <v>45444</v>
      </c>
      <c r="C980">
        <v>5295.6</v>
      </c>
    </row>
    <row r="981" spans="1:3" ht="15" hidden="1" customHeight="1" x14ac:dyDescent="0.3">
      <c r="A981" t="s">
        <v>223</v>
      </c>
      <c r="B981" s="2">
        <v>45474</v>
      </c>
      <c r="C981">
        <v>5785.2</v>
      </c>
    </row>
    <row r="982" spans="1:3" ht="15" hidden="1" customHeight="1" x14ac:dyDescent="0.3">
      <c r="A982" t="s">
        <v>223</v>
      </c>
      <c r="B982" s="2">
        <v>45505</v>
      </c>
      <c r="C982">
        <v>6585.3</v>
      </c>
    </row>
    <row r="983" spans="1:3" ht="15" hidden="1" customHeight="1" x14ac:dyDescent="0.3">
      <c r="A983" t="s">
        <v>223</v>
      </c>
      <c r="B983" s="2">
        <v>45536</v>
      </c>
      <c r="C983">
        <v>7018.65</v>
      </c>
    </row>
    <row r="984" spans="1:3" ht="15" hidden="1" customHeight="1" x14ac:dyDescent="0.3">
      <c r="A984" t="s">
        <v>223</v>
      </c>
      <c r="B984" s="2">
        <v>45566</v>
      </c>
      <c r="C984">
        <v>7479.45</v>
      </c>
    </row>
    <row r="985" spans="1:3" ht="15" hidden="1" customHeight="1" x14ac:dyDescent="0.3">
      <c r="A985" t="s">
        <v>223</v>
      </c>
      <c r="B985" s="2">
        <v>45597</v>
      </c>
      <c r="C985">
        <v>7552.8</v>
      </c>
    </row>
    <row r="986" spans="1:3" ht="15" hidden="1" customHeight="1" x14ac:dyDescent="0.3">
      <c r="A986" t="s">
        <v>223</v>
      </c>
      <c r="B986" s="2">
        <v>45627</v>
      </c>
      <c r="C986">
        <v>7415.1</v>
      </c>
    </row>
    <row r="987" spans="1:3" ht="15" hidden="1" customHeight="1" x14ac:dyDescent="0.3">
      <c r="A987" t="s">
        <v>223</v>
      </c>
      <c r="B987" s="2">
        <v>45658</v>
      </c>
      <c r="C987">
        <v>7573.5</v>
      </c>
    </row>
    <row r="988" spans="1:3" ht="15" hidden="1" customHeight="1" x14ac:dyDescent="0.3">
      <c r="A988" t="s">
        <v>223</v>
      </c>
      <c r="B988" s="2">
        <v>45689</v>
      </c>
      <c r="C988">
        <v>6513.75</v>
      </c>
    </row>
    <row r="989" spans="1:3" ht="15" hidden="1" customHeight="1" x14ac:dyDescent="0.3">
      <c r="A989" t="s">
        <v>223</v>
      </c>
      <c r="B989" s="2">
        <v>45717</v>
      </c>
      <c r="C989">
        <v>6841.35</v>
      </c>
    </row>
    <row r="990" spans="1:3" ht="15" hidden="1" customHeight="1" x14ac:dyDescent="0.3">
      <c r="A990" t="s">
        <v>223</v>
      </c>
      <c r="B990" s="2">
        <v>45748</v>
      </c>
      <c r="C990">
        <v>618.29999999999995</v>
      </c>
    </row>
    <row r="991" spans="1:3" ht="15" hidden="1" customHeight="1" x14ac:dyDescent="0.3">
      <c r="A991" t="s">
        <v>223</v>
      </c>
      <c r="B991" s="2">
        <v>45778</v>
      </c>
      <c r="C991">
        <v>5924.7</v>
      </c>
    </row>
    <row r="992" spans="1:3" ht="15" hidden="1" customHeight="1" x14ac:dyDescent="0.3">
      <c r="A992" t="s">
        <v>223</v>
      </c>
      <c r="B992" s="2">
        <v>45809</v>
      </c>
      <c r="C992">
        <v>5295.6</v>
      </c>
    </row>
    <row r="993" spans="1:3" ht="15" hidden="1" customHeight="1" x14ac:dyDescent="0.3">
      <c r="A993" t="s">
        <v>223</v>
      </c>
      <c r="B993" s="2">
        <v>45839</v>
      </c>
      <c r="C993">
        <v>5785.2</v>
      </c>
    </row>
    <row r="994" spans="1:3" ht="15" hidden="1" customHeight="1" x14ac:dyDescent="0.3">
      <c r="A994" t="s">
        <v>223</v>
      </c>
      <c r="B994" s="2">
        <v>45870</v>
      </c>
      <c r="C994">
        <v>6585.3</v>
      </c>
    </row>
    <row r="995" spans="1:3" ht="15" hidden="1" customHeight="1" x14ac:dyDescent="0.3">
      <c r="A995" t="s">
        <v>223</v>
      </c>
      <c r="B995" s="2">
        <v>45901</v>
      </c>
      <c r="C995">
        <v>7018.65</v>
      </c>
    </row>
    <row r="996" spans="1:3" ht="15" hidden="1" customHeight="1" x14ac:dyDescent="0.3">
      <c r="A996" t="s">
        <v>223</v>
      </c>
      <c r="B996" s="2">
        <v>45931</v>
      </c>
      <c r="C996">
        <v>7479.45</v>
      </c>
    </row>
    <row r="997" spans="1:3" ht="15" hidden="1" customHeight="1" x14ac:dyDescent="0.3">
      <c r="A997" t="s">
        <v>223</v>
      </c>
      <c r="B997" s="2">
        <v>45962</v>
      </c>
      <c r="C997">
        <v>7552.8</v>
      </c>
    </row>
    <row r="998" spans="1:3" ht="15" hidden="1" customHeight="1" x14ac:dyDescent="0.3">
      <c r="A998" t="s">
        <v>223</v>
      </c>
      <c r="B998" s="2">
        <v>45992</v>
      </c>
      <c r="C998">
        <v>7415.1</v>
      </c>
    </row>
    <row r="999" spans="1:3" ht="15" hidden="1" customHeight="1" x14ac:dyDescent="0.3">
      <c r="A999" t="s">
        <v>223</v>
      </c>
      <c r="B999" s="2">
        <v>46023</v>
      </c>
      <c r="C999">
        <v>7573.5</v>
      </c>
    </row>
    <row r="1000" spans="1:3" ht="15" hidden="1" customHeight="1" x14ac:dyDescent="0.3">
      <c r="A1000" t="s">
        <v>223</v>
      </c>
      <c r="B1000" s="2">
        <v>46054</v>
      </c>
      <c r="C1000">
        <v>6513.75</v>
      </c>
    </row>
    <row r="1001" spans="1:3" ht="15" hidden="1" customHeight="1" x14ac:dyDescent="0.3">
      <c r="A1001" t="s">
        <v>223</v>
      </c>
      <c r="B1001" s="2">
        <v>46082</v>
      </c>
      <c r="C1001">
        <v>6841.35</v>
      </c>
    </row>
    <row r="1002" spans="1:3" ht="15" hidden="1" customHeight="1" x14ac:dyDescent="0.3">
      <c r="A1002" t="s">
        <v>223</v>
      </c>
      <c r="B1002" s="2">
        <v>46113</v>
      </c>
      <c r="C1002">
        <v>6183</v>
      </c>
    </row>
    <row r="1003" spans="1:3" ht="15" hidden="1" customHeight="1" x14ac:dyDescent="0.3">
      <c r="A1003" t="s">
        <v>223</v>
      </c>
      <c r="B1003" s="2">
        <v>46143</v>
      </c>
      <c r="C1003">
        <v>5924.7</v>
      </c>
    </row>
    <row r="1004" spans="1:3" ht="15" hidden="1" customHeight="1" x14ac:dyDescent="0.3">
      <c r="A1004" t="s">
        <v>223</v>
      </c>
      <c r="B1004" s="2">
        <v>46174</v>
      </c>
      <c r="C1004">
        <v>5295.6</v>
      </c>
    </row>
    <row r="1005" spans="1:3" ht="15" hidden="1" customHeight="1" x14ac:dyDescent="0.3">
      <c r="A1005" t="s">
        <v>223</v>
      </c>
      <c r="B1005" s="2">
        <v>46204</v>
      </c>
      <c r="C1005">
        <v>5785.2</v>
      </c>
    </row>
    <row r="1006" spans="1:3" ht="15" customHeight="1" x14ac:dyDescent="0.3">
      <c r="A1006" t="s">
        <v>223</v>
      </c>
      <c r="B1006" s="2">
        <v>46235</v>
      </c>
      <c r="C1006">
        <v>6585.3</v>
      </c>
    </row>
    <row r="1007" spans="1:3" ht="15" hidden="1" customHeight="1" x14ac:dyDescent="0.3">
      <c r="A1007" t="s">
        <v>223</v>
      </c>
      <c r="B1007" s="2">
        <v>46266</v>
      </c>
      <c r="C1007">
        <v>7018.65</v>
      </c>
    </row>
    <row r="1008" spans="1:3" ht="15" hidden="1" customHeight="1" x14ac:dyDescent="0.3">
      <c r="A1008" t="s">
        <v>223</v>
      </c>
      <c r="B1008" s="2">
        <v>46296</v>
      </c>
      <c r="C1008">
        <v>7479.45</v>
      </c>
    </row>
    <row r="1009" spans="1:3" ht="15" hidden="1" customHeight="1" x14ac:dyDescent="0.3">
      <c r="A1009" t="s">
        <v>223</v>
      </c>
      <c r="B1009" s="2">
        <v>46327</v>
      </c>
      <c r="C1009">
        <v>7552.8</v>
      </c>
    </row>
    <row r="1010" spans="1:3" ht="15" hidden="1" customHeight="1" x14ac:dyDescent="0.3">
      <c r="A1010" t="s">
        <v>223</v>
      </c>
      <c r="B1010" s="2">
        <v>46357</v>
      </c>
      <c r="C1010">
        <v>7415.1</v>
      </c>
    </row>
    <row r="1011" spans="1:3" ht="15" hidden="1" customHeight="1" x14ac:dyDescent="0.3">
      <c r="A1011" t="s">
        <v>120</v>
      </c>
      <c r="B1011" s="2">
        <v>45292</v>
      </c>
      <c r="C1011">
        <v>12213</v>
      </c>
    </row>
    <row r="1012" spans="1:3" ht="15" hidden="1" customHeight="1" x14ac:dyDescent="0.3">
      <c r="A1012" t="s">
        <v>120</v>
      </c>
      <c r="B1012" s="2">
        <v>45323</v>
      </c>
      <c r="C1012">
        <v>10570.5</v>
      </c>
    </row>
    <row r="1013" spans="1:3" ht="15" hidden="1" customHeight="1" x14ac:dyDescent="0.3">
      <c r="A1013" t="s">
        <v>120</v>
      </c>
      <c r="B1013" s="2">
        <v>45352</v>
      </c>
      <c r="C1013">
        <v>10619.1</v>
      </c>
    </row>
    <row r="1014" spans="1:3" ht="15" hidden="1" customHeight="1" x14ac:dyDescent="0.3">
      <c r="A1014" t="s">
        <v>120</v>
      </c>
      <c r="B1014" s="2">
        <v>45383</v>
      </c>
      <c r="C1014">
        <v>9139.5</v>
      </c>
    </row>
    <row r="1015" spans="1:3" ht="15" hidden="1" customHeight="1" x14ac:dyDescent="0.3">
      <c r="A1015" t="s">
        <v>120</v>
      </c>
      <c r="B1015" s="2">
        <v>45413</v>
      </c>
      <c r="C1015">
        <v>8593.2000000000007</v>
      </c>
    </row>
    <row r="1016" spans="1:3" ht="15" hidden="1" customHeight="1" x14ac:dyDescent="0.3">
      <c r="A1016" t="s">
        <v>120</v>
      </c>
      <c r="B1016" s="2">
        <v>45444</v>
      </c>
      <c r="C1016">
        <v>7680.6</v>
      </c>
    </row>
    <row r="1017" spans="1:3" ht="15" hidden="1" customHeight="1" x14ac:dyDescent="0.3">
      <c r="A1017" t="s">
        <v>120</v>
      </c>
      <c r="B1017" s="2">
        <v>45474</v>
      </c>
      <c r="C1017">
        <v>8550.9</v>
      </c>
    </row>
    <row r="1018" spans="1:3" ht="15" hidden="1" customHeight="1" x14ac:dyDescent="0.3">
      <c r="A1018" t="s">
        <v>120</v>
      </c>
      <c r="B1018" s="2">
        <v>45505</v>
      </c>
      <c r="C1018">
        <v>9997.2000000000007</v>
      </c>
    </row>
    <row r="1019" spans="1:3" ht="15" hidden="1" customHeight="1" x14ac:dyDescent="0.3">
      <c r="A1019" t="s">
        <v>120</v>
      </c>
      <c r="B1019" s="2">
        <v>45536</v>
      </c>
      <c r="C1019">
        <v>10701.9</v>
      </c>
    </row>
    <row r="1020" spans="1:3" ht="15" hidden="1" customHeight="1" x14ac:dyDescent="0.3">
      <c r="A1020" t="s">
        <v>120</v>
      </c>
      <c r="B1020" s="2">
        <v>45566</v>
      </c>
      <c r="C1020">
        <v>11834.1</v>
      </c>
    </row>
    <row r="1021" spans="1:3" ht="15" hidden="1" customHeight="1" x14ac:dyDescent="0.3">
      <c r="A1021" t="s">
        <v>120</v>
      </c>
      <c r="B1021" s="2">
        <v>45597</v>
      </c>
      <c r="C1021">
        <v>12129.3</v>
      </c>
    </row>
    <row r="1022" spans="1:3" ht="15" hidden="1" customHeight="1" x14ac:dyDescent="0.3">
      <c r="A1022" t="s">
        <v>120</v>
      </c>
      <c r="B1022" s="2">
        <v>45627</v>
      </c>
      <c r="C1022">
        <v>12998.7</v>
      </c>
    </row>
    <row r="1023" spans="1:3" ht="15" hidden="1" customHeight="1" x14ac:dyDescent="0.3">
      <c r="A1023" t="s">
        <v>120</v>
      </c>
      <c r="B1023" s="2">
        <v>45658</v>
      </c>
      <c r="C1023">
        <v>12213</v>
      </c>
    </row>
    <row r="1024" spans="1:3" ht="15" hidden="1" customHeight="1" x14ac:dyDescent="0.3">
      <c r="A1024" t="s">
        <v>120</v>
      </c>
      <c r="B1024" s="2">
        <v>45689</v>
      </c>
      <c r="C1024">
        <v>10570.5</v>
      </c>
    </row>
    <row r="1025" spans="1:3" ht="15" hidden="1" customHeight="1" x14ac:dyDescent="0.3">
      <c r="A1025" t="s">
        <v>120</v>
      </c>
      <c r="B1025" s="2">
        <v>45717</v>
      </c>
      <c r="C1025">
        <v>10619.1</v>
      </c>
    </row>
    <row r="1026" spans="1:3" ht="15" hidden="1" customHeight="1" x14ac:dyDescent="0.3">
      <c r="A1026" t="s">
        <v>120</v>
      </c>
      <c r="B1026" s="2">
        <v>45748</v>
      </c>
      <c r="C1026">
        <v>9139.5</v>
      </c>
    </row>
    <row r="1027" spans="1:3" ht="15" hidden="1" customHeight="1" x14ac:dyDescent="0.3">
      <c r="A1027" t="s">
        <v>120</v>
      </c>
      <c r="B1027" s="2">
        <v>45778</v>
      </c>
      <c r="C1027">
        <v>8593.2000000000007</v>
      </c>
    </row>
    <row r="1028" spans="1:3" ht="15" hidden="1" customHeight="1" x14ac:dyDescent="0.3">
      <c r="A1028" t="s">
        <v>120</v>
      </c>
      <c r="B1028" s="2">
        <v>45809</v>
      </c>
      <c r="C1028">
        <v>7680.6</v>
      </c>
    </row>
    <row r="1029" spans="1:3" ht="15" hidden="1" customHeight="1" x14ac:dyDescent="0.3">
      <c r="A1029" t="s">
        <v>120</v>
      </c>
      <c r="B1029" s="2">
        <v>45839</v>
      </c>
      <c r="C1029">
        <v>8550.9</v>
      </c>
    </row>
    <row r="1030" spans="1:3" ht="15" hidden="1" customHeight="1" x14ac:dyDescent="0.3">
      <c r="A1030" t="s">
        <v>120</v>
      </c>
      <c r="B1030" s="2">
        <v>45870</v>
      </c>
      <c r="C1030">
        <v>9997.2000000000007</v>
      </c>
    </row>
    <row r="1031" spans="1:3" ht="15" hidden="1" customHeight="1" x14ac:dyDescent="0.3">
      <c r="A1031" t="s">
        <v>120</v>
      </c>
      <c r="B1031" s="2">
        <v>45901</v>
      </c>
      <c r="C1031">
        <v>10701.9</v>
      </c>
    </row>
    <row r="1032" spans="1:3" ht="15" hidden="1" customHeight="1" x14ac:dyDescent="0.3">
      <c r="A1032" t="s">
        <v>120</v>
      </c>
      <c r="B1032" s="2">
        <v>45931</v>
      </c>
      <c r="C1032">
        <v>11834.1</v>
      </c>
    </row>
    <row r="1033" spans="1:3" ht="15" hidden="1" customHeight="1" x14ac:dyDescent="0.3">
      <c r="A1033" t="s">
        <v>120</v>
      </c>
      <c r="B1033" s="2">
        <v>45962</v>
      </c>
      <c r="C1033">
        <v>12129.3</v>
      </c>
    </row>
    <row r="1034" spans="1:3" ht="15" hidden="1" customHeight="1" x14ac:dyDescent="0.3">
      <c r="A1034" t="s">
        <v>120</v>
      </c>
      <c r="B1034" s="2">
        <v>45992</v>
      </c>
      <c r="C1034">
        <v>12998.7</v>
      </c>
    </row>
    <row r="1035" spans="1:3" ht="15" hidden="1" customHeight="1" x14ac:dyDescent="0.3">
      <c r="A1035" t="s">
        <v>120</v>
      </c>
      <c r="B1035" s="2">
        <v>46023</v>
      </c>
      <c r="C1035">
        <v>12213</v>
      </c>
    </row>
    <row r="1036" spans="1:3" ht="15" hidden="1" customHeight="1" x14ac:dyDescent="0.3">
      <c r="A1036" t="s">
        <v>120</v>
      </c>
      <c r="B1036" s="2">
        <v>46054</v>
      </c>
      <c r="C1036">
        <v>10570.5</v>
      </c>
    </row>
    <row r="1037" spans="1:3" ht="15" hidden="1" customHeight="1" x14ac:dyDescent="0.3">
      <c r="A1037" t="s">
        <v>120</v>
      </c>
      <c r="B1037" s="2">
        <v>46082</v>
      </c>
      <c r="C1037">
        <v>10619.1</v>
      </c>
    </row>
    <row r="1038" spans="1:3" ht="15" hidden="1" customHeight="1" x14ac:dyDescent="0.3">
      <c r="A1038" t="s">
        <v>120</v>
      </c>
      <c r="B1038" s="2">
        <v>46113</v>
      </c>
      <c r="C1038">
        <v>9139.5</v>
      </c>
    </row>
    <row r="1039" spans="1:3" ht="15" hidden="1" customHeight="1" x14ac:dyDescent="0.3">
      <c r="A1039" t="s">
        <v>120</v>
      </c>
      <c r="B1039" s="2">
        <v>46143</v>
      </c>
      <c r="C1039">
        <v>8593.2000000000007</v>
      </c>
    </row>
    <row r="1040" spans="1:3" ht="15" hidden="1" customHeight="1" x14ac:dyDescent="0.3">
      <c r="A1040" t="s">
        <v>120</v>
      </c>
      <c r="B1040" s="2">
        <v>46174</v>
      </c>
      <c r="C1040">
        <v>7680.6</v>
      </c>
    </row>
    <row r="1041" spans="1:3" ht="15" hidden="1" customHeight="1" x14ac:dyDescent="0.3">
      <c r="A1041" t="s">
        <v>120</v>
      </c>
      <c r="B1041" s="2">
        <v>46204</v>
      </c>
      <c r="C1041">
        <v>8550.9</v>
      </c>
    </row>
    <row r="1042" spans="1:3" ht="15" customHeight="1" x14ac:dyDescent="0.3">
      <c r="A1042" t="s">
        <v>120</v>
      </c>
      <c r="B1042" s="2">
        <v>46235</v>
      </c>
      <c r="C1042">
        <v>9997.2000000000007</v>
      </c>
    </row>
    <row r="1043" spans="1:3" ht="15" hidden="1" customHeight="1" x14ac:dyDescent="0.3">
      <c r="A1043" t="s">
        <v>120</v>
      </c>
      <c r="B1043" s="2">
        <v>46266</v>
      </c>
      <c r="C1043">
        <v>10701.9</v>
      </c>
    </row>
    <row r="1044" spans="1:3" ht="15" hidden="1" customHeight="1" x14ac:dyDescent="0.3">
      <c r="A1044" t="s">
        <v>120</v>
      </c>
      <c r="B1044" s="2">
        <v>46296</v>
      </c>
      <c r="C1044">
        <v>11834.1</v>
      </c>
    </row>
    <row r="1045" spans="1:3" ht="15" hidden="1" customHeight="1" x14ac:dyDescent="0.3">
      <c r="A1045" t="s">
        <v>120</v>
      </c>
      <c r="B1045" s="2">
        <v>46327</v>
      </c>
      <c r="C1045">
        <v>12129.3</v>
      </c>
    </row>
    <row r="1046" spans="1:3" ht="15" hidden="1" customHeight="1" x14ac:dyDescent="0.3">
      <c r="A1046" t="s">
        <v>120</v>
      </c>
      <c r="B1046" s="2">
        <v>46357</v>
      </c>
      <c r="C1046">
        <v>12998.7</v>
      </c>
    </row>
    <row r="1047" spans="1:3" ht="15" hidden="1" customHeight="1" x14ac:dyDescent="0.3">
      <c r="A1047" t="s">
        <v>236</v>
      </c>
      <c r="B1047" s="2">
        <v>45292</v>
      </c>
      <c r="C1047" cm="1">
        <f t="array" ref="C1047">IFERROR(INDEX('Expected Production'!$C$2:$N$79,MATCH($A1047,'Expected Production'!$A$2:$A$79,0),MONTH($B1047)),"")</f>
        <v>16602.939455286778</v>
      </c>
    </row>
    <row r="1048" spans="1:3" ht="15" hidden="1" customHeight="1" x14ac:dyDescent="0.3">
      <c r="A1048" t="s">
        <v>236</v>
      </c>
      <c r="B1048" s="2">
        <v>45323</v>
      </c>
      <c r="C1048" cm="1">
        <f t="array" ref="C1048">IFERROR(INDEX('Expected Production'!$C$2:$N$79,MATCH($A1048,'Expected Production'!$A$2:$A$79,0),MONTH($B1048)),"")</f>
        <v>14966.051031447027</v>
      </c>
    </row>
    <row r="1049" spans="1:3" ht="15" hidden="1" customHeight="1" x14ac:dyDescent="0.3">
      <c r="A1049" t="s">
        <v>236</v>
      </c>
      <c r="B1049" s="2">
        <v>45352</v>
      </c>
      <c r="C1049" cm="1">
        <f t="array" ref="C1049">IFERROR(INDEX('Expected Production'!$C$2:$N$79,MATCH($A1049,'Expected Production'!$A$2:$A$79,0),MONTH($B1049)),"")</f>
        <v>16335.485545927229</v>
      </c>
    </row>
    <row r="1050" spans="1:3" ht="15" hidden="1" customHeight="1" x14ac:dyDescent="0.3">
      <c r="A1050" t="s">
        <v>236</v>
      </c>
      <c r="B1050" s="2">
        <v>45383</v>
      </c>
      <c r="C1050" cm="1">
        <f t="array" ref="C1050">IFERROR(INDEX('Expected Production'!$C$2:$N$79,MATCH($A1050,'Expected Production'!$A$2:$A$79,0),MONTH($B1050)),"")</f>
        <v>15100.35078692115</v>
      </c>
    </row>
    <row r="1051" spans="1:3" ht="15" hidden="1" customHeight="1" x14ac:dyDescent="0.3">
      <c r="A1051" t="s">
        <v>236</v>
      </c>
      <c r="B1051" s="2">
        <v>45413</v>
      </c>
      <c r="C1051" cm="1">
        <f t="array" ref="C1051">IFERROR(INDEX('Expected Production'!$C$2:$N$79,MATCH($A1051,'Expected Production'!$A$2:$A$79,0),MONTH($B1051)),"")</f>
        <v>15271.045423635958</v>
      </c>
    </row>
    <row r="1052" spans="1:3" ht="15" hidden="1" customHeight="1" x14ac:dyDescent="0.3">
      <c r="A1052" t="s">
        <v>236</v>
      </c>
      <c r="B1052" s="2">
        <v>45444</v>
      </c>
      <c r="C1052" cm="1">
        <f t="array" ref="C1052">IFERROR(INDEX('Expected Production'!$C$2:$N$79,MATCH($A1052,'Expected Production'!$A$2:$A$79,0),MONTH($B1052)),"")</f>
        <v>14168.00734012575</v>
      </c>
    </row>
    <row r="1053" spans="1:3" ht="15" hidden="1" customHeight="1" x14ac:dyDescent="0.3">
      <c r="A1053" t="s">
        <v>236</v>
      </c>
      <c r="B1053" s="2">
        <v>45474</v>
      </c>
      <c r="C1053" cm="1">
        <f t="array" ref="C1053">IFERROR(INDEX('Expected Production'!$C$2:$N$79,MATCH($A1053,'Expected Production'!$A$2:$A$79,0),MONTH($B1053)),"")</f>
        <v>15171.289962220802</v>
      </c>
    </row>
    <row r="1054" spans="1:3" ht="15" hidden="1" customHeight="1" x14ac:dyDescent="0.3">
      <c r="A1054" t="s">
        <v>236</v>
      </c>
      <c r="B1054" s="2">
        <v>45505</v>
      </c>
      <c r="C1054" cm="1">
        <f t="array" ref="C1054">IFERROR(INDEX('Expected Production'!$C$2:$N$79,MATCH($A1054,'Expected Production'!$A$2:$A$79,0),MONTH($B1054)),"")</f>
        <v>16365.447433631431</v>
      </c>
    </row>
    <row r="1055" spans="1:3" ht="15" hidden="1" customHeight="1" x14ac:dyDescent="0.3">
      <c r="A1055" t="s">
        <v>236</v>
      </c>
      <c r="B1055" s="2">
        <v>45536</v>
      </c>
      <c r="C1055" cm="1">
        <f t="array" ref="C1055">IFERROR(INDEX('Expected Production'!$C$2:$N$79,MATCH($A1055,'Expected Production'!$A$2:$A$79,0),MONTH($B1055)),"")</f>
        <v>16283.93347443618</v>
      </c>
    </row>
    <row r="1056" spans="1:3" ht="15" hidden="1" customHeight="1" x14ac:dyDescent="0.3">
      <c r="A1056" t="s">
        <v>236</v>
      </c>
      <c r="B1056" s="2">
        <v>45566</v>
      </c>
      <c r="C1056" cm="1">
        <f t="array" ref="C1056">IFERROR(INDEX('Expected Production'!$C$2:$N$79,MATCH($A1056,'Expected Production'!$A$2:$A$79,0),MONTH($B1056)),"")</f>
        <v>15891.080252714639</v>
      </c>
    </row>
    <row r="1057" spans="1:3" ht="15" hidden="1" customHeight="1" x14ac:dyDescent="0.3">
      <c r="A1057" t="s">
        <v>236</v>
      </c>
      <c r="B1057" s="2">
        <v>45597</v>
      </c>
      <c r="C1057" cm="1">
        <f t="array" ref="C1057">IFERROR(INDEX('Expected Production'!$C$2:$N$79,MATCH($A1057,'Expected Production'!$A$2:$A$79,0),MONTH($B1057)),"")</f>
        <v>15343.218323723426</v>
      </c>
    </row>
    <row r="1058" spans="1:3" ht="15" hidden="1" customHeight="1" x14ac:dyDescent="0.3">
      <c r="A1058" t="s">
        <v>236</v>
      </c>
      <c r="B1058" s="2">
        <v>45627</v>
      </c>
      <c r="C1058" cm="1">
        <f t="array" ref="C1058">IFERROR(INDEX('Expected Production'!$C$2:$N$79,MATCH($A1058,'Expected Production'!$A$2:$A$79,0),MONTH($B1058)),"")</f>
        <v>16261.638305056289</v>
      </c>
    </row>
    <row r="1059" spans="1:3" ht="15" hidden="1" customHeight="1" x14ac:dyDescent="0.3">
      <c r="A1059" t="s">
        <v>236</v>
      </c>
      <c r="B1059" s="2">
        <v>45658</v>
      </c>
      <c r="C1059" cm="1">
        <f t="array" ref="C1059">IFERROR(INDEX('Expected Production'!$C$2:$N$79,MATCH($A1059,'Expected Production'!$A$2:$A$79,0),MONTH($B1059)),"")</f>
        <v>16602.939455286778</v>
      </c>
    </row>
    <row r="1060" spans="1:3" ht="15" hidden="1" customHeight="1" x14ac:dyDescent="0.3">
      <c r="A1060" t="s">
        <v>236</v>
      </c>
      <c r="B1060" s="2">
        <v>45689</v>
      </c>
      <c r="C1060" cm="1">
        <f t="array" ref="C1060">IFERROR(INDEX('Expected Production'!$C$2:$N$79,MATCH($A1060,'Expected Production'!$A$2:$A$79,0),MONTH($B1060)),"")</f>
        <v>14966.051031447027</v>
      </c>
    </row>
    <row r="1061" spans="1:3" ht="15" hidden="1" customHeight="1" x14ac:dyDescent="0.3">
      <c r="A1061" t="s">
        <v>236</v>
      </c>
      <c r="B1061" s="2">
        <v>45717</v>
      </c>
      <c r="C1061" cm="1">
        <f t="array" ref="C1061">IFERROR(INDEX('Expected Production'!$C$2:$N$79,MATCH($A1061,'Expected Production'!$A$2:$A$79,0),MONTH($B1061)),"")</f>
        <v>16335.485545927229</v>
      </c>
    </row>
    <row r="1062" spans="1:3" ht="15" hidden="1" customHeight="1" x14ac:dyDescent="0.3">
      <c r="A1062" t="s">
        <v>236</v>
      </c>
      <c r="B1062" s="2">
        <v>45748</v>
      </c>
      <c r="C1062" cm="1">
        <f t="array" ref="C1062">IFERROR(INDEX('Expected Production'!$C$2:$N$79,MATCH($A1062,'Expected Production'!$A$2:$A$79,0),MONTH($B1062)),"")</f>
        <v>15100.35078692115</v>
      </c>
    </row>
    <row r="1063" spans="1:3" ht="15" hidden="1" customHeight="1" x14ac:dyDescent="0.3">
      <c r="A1063" t="s">
        <v>236</v>
      </c>
      <c r="B1063" s="2">
        <v>45778</v>
      </c>
      <c r="C1063" cm="1">
        <f t="array" ref="C1063">IFERROR(INDEX('Expected Production'!$C$2:$N$79,MATCH($A1063,'Expected Production'!$A$2:$A$79,0),MONTH($B1063)),"")</f>
        <v>15271.045423635958</v>
      </c>
    </row>
    <row r="1064" spans="1:3" ht="15" hidden="1" customHeight="1" x14ac:dyDescent="0.3">
      <c r="A1064" t="s">
        <v>236</v>
      </c>
      <c r="B1064" s="2">
        <v>45809</v>
      </c>
      <c r="C1064" cm="1">
        <f t="array" ref="C1064">IFERROR(INDEX('Expected Production'!$C$2:$N$79,MATCH($A1064,'Expected Production'!$A$2:$A$79,0),MONTH($B1064)),"")</f>
        <v>14168.00734012575</v>
      </c>
    </row>
    <row r="1065" spans="1:3" ht="15" hidden="1" customHeight="1" x14ac:dyDescent="0.3">
      <c r="A1065" t="s">
        <v>236</v>
      </c>
      <c r="B1065" s="2">
        <v>45839</v>
      </c>
      <c r="C1065" cm="1">
        <f t="array" ref="C1065">IFERROR(INDEX('Expected Production'!$C$2:$N$79,MATCH($A1065,'Expected Production'!$A$2:$A$79,0),MONTH($B1065)),"")</f>
        <v>15171.289962220802</v>
      </c>
    </row>
    <row r="1066" spans="1:3" ht="15" hidden="1" customHeight="1" x14ac:dyDescent="0.3">
      <c r="A1066" t="s">
        <v>236</v>
      </c>
      <c r="B1066" s="2">
        <v>45870</v>
      </c>
      <c r="C1066" cm="1">
        <f t="array" ref="C1066">IFERROR(INDEX('Expected Production'!$C$2:$N$79,MATCH($A1066,'Expected Production'!$A$2:$A$79,0),MONTH($B1066)),"")</f>
        <v>16365.447433631431</v>
      </c>
    </row>
    <row r="1067" spans="1:3" ht="15" hidden="1" customHeight="1" x14ac:dyDescent="0.3">
      <c r="A1067" t="s">
        <v>236</v>
      </c>
      <c r="B1067" s="2">
        <v>45901</v>
      </c>
      <c r="C1067" cm="1">
        <f t="array" ref="C1067">IFERROR(INDEX('Expected Production'!$C$2:$N$79,MATCH($A1067,'Expected Production'!$A$2:$A$79,0),MONTH($B1067)),"")</f>
        <v>16283.93347443618</v>
      </c>
    </row>
    <row r="1068" spans="1:3" ht="15" hidden="1" customHeight="1" x14ac:dyDescent="0.3">
      <c r="A1068" t="s">
        <v>236</v>
      </c>
      <c r="B1068" s="2">
        <v>45931</v>
      </c>
      <c r="C1068" cm="1">
        <f t="array" ref="C1068">IFERROR(INDEX('Expected Production'!$C$2:$N$79,MATCH($A1068,'Expected Production'!$A$2:$A$79,0),MONTH($B1068)),"")</f>
        <v>15891.080252714639</v>
      </c>
    </row>
    <row r="1069" spans="1:3" ht="15" hidden="1" customHeight="1" x14ac:dyDescent="0.3">
      <c r="A1069" t="s">
        <v>236</v>
      </c>
      <c r="B1069" s="2">
        <v>45962</v>
      </c>
      <c r="C1069" cm="1">
        <f t="array" ref="C1069">IFERROR(INDEX('Expected Production'!$C$2:$N$79,MATCH($A1069,'Expected Production'!$A$2:$A$79,0),MONTH($B1069)),"")</f>
        <v>15343.218323723426</v>
      </c>
    </row>
    <row r="1070" spans="1:3" ht="15" hidden="1" customHeight="1" x14ac:dyDescent="0.3">
      <c r="A1070" t="s">
        <v>236</v>
      </c>
      <c r="B1070" s="2">
        <v>45992</v>
      </c>
      <c r="C1070" cm="1">
        <f t="array" ref="C1070">IFERROR(INDEX('Expected Production'!$C$2:$N$79,MATCH($A1070,'Expected Production'!$A$2:$A$79,0),MONTH($B1070)),"")</f>
        <v>16261.638305056289</v>
      </c>
    </row>
    <row r="1071" spans="1:3" ht="15" hidden="1" customHeight="1" x14ac:dyDescent="0.3">
      <c r="A1071" t="s">
        <v>236</v>
      </c>
      <c r="B1071" s="2">
        <v>46023</v>
      </c>
      <c r="C1071" cm="1">
        <f t="array" ref="C1071">IFERROR(INDEX('Expected Production'!$C$2:$N$79,MATCH($A1071,'Expected Production'!$A$2:$A$79,0),MONTH($B1071)),"")</f>
        <v>16602.939455286778</v>
      </c>
    </row>
    <row r="1072" spans="1:3" ht="15" hidden="1" customHeight="1" x14ac:dyDescent="0.3">
      <c r="A1072" t="s">
        <v>236</v>
      </c>
      <c r="B1072" s="2">
        <v>46054</v>
      </c>
      <c r="C1072" cm="1">
        <f t="array" ref="C1072">IFERROR(INDEX('Expected Production'!$C$2:$N$79,MATCH($A1072,'Expected Production'!$A$2:$A$79,0),MONTH($B1072)),"")</f>
        <v>14966.051031447027</v>
      </c>
    </row>
    <row r="1073" spans="1:3" ht="15" hidden="1" customHeight="1" x14ac:dyDescent="0.3">
      <c r="A1073" t="s">
        <v>236</v>
      </c>
      <c r="B1073" s="2">
        <v>46082</v>
      </c>
      <c r="C1073" cm="1">
        <f t="array" ref="C1073">IFERROR(INDEX('Expected Production'!$C$2:$N$79,MATCH($A1073,'Expected Production'!$A$2:$A$79,0),MONTH($B1073)),"")</f>
        <v>16335.485545927229</v>
      </c>
    </row>
    <row r="1074" spans="1:3" ht="15" hidden="1" customHeight="1" x14ac:dyDescent="0.3">
      <c r="A1074" t="s">
        <v>236</v>
      </c>
      <c r="B1074" s="2">
        <v>46113</v>
      </c>
      <c r="C1074" cm="1">
        <f t="array" ref="C1074">IFERROR(INDEX('Expected Production'!$C$2:$N$79,MATCH($A1074,'Expected Production'!$A$2:$A$79,0),MONTH($B1074)),"")</f>
        <v>15100.35078692115</v>
      </c>
    </row>
    <row r="1075" spans="1:3" ht="15" hidden="1" customHeight="1" x14ac:dyDescent="0.3">
      <c r="A1075" t="s">
        <v>236</v>
      </c>
      <c r="B1075" s="2">
        <v>46143</v>
      </c>
      <c r="C1075" cm="1">
        <f t="array" ref="C1075">IFERROR(INDEX('Expected Production'!$C$2:$N$79,MATCH($A1075,'Expected Production'!$A$2:$A$79,0),MONTH($B1075)),"")</f>
        <v>15271.045423635958</v>
      </c>
    </row>
    <row r="1076" spans="1:3" ht="15" hidden="1" customHeight="1" x14ac:dyDescent="0.3">
      <c r="A1076" t="s">
        <v>236</v>
      </c>
      <c r="B1076" s="2">
        <v>46174</v>
      </c>
      <c r="C1076" cm="1">
        <f t="array" ref="C1076">IFERROR(INDEX('Expected Production'!$C$2:$N$79,MATCH($A1076,'Expected Production'!$A$2:$A$79,0),MONTH($B1076)),"")</f>
        <v>14168.00734012575</v>
      </c>
    </row>
    <row r="1077" spans="1:3" ht="15" hidden="1" customHeight="1" x14ac:dyDescent="0.3">
      <c r="A1077" t="s">
        <v>236</v>
      </c>
      <c r="B1077" s="2">
        <v>46204</v>
      </c>
      <c r="C1077" cm="1">
        <f t="array" ref="C1077">IFERROR(INDEX('Expected Production'!$C$2:$N$79,MATCH($A1077,'Expected Production'!$A$2:$A$79,0),MONTH($B1077)),"")</f>
        <v>15171.289962220802</v>
      </c>
    </row>
    <row r="1078" spans="1:3" ht="15" customHeight="1" x14ac:dyDescent="0.3">
      <c r="A1078" t="s">
        <v>236</v>
      </c>
      <c r="B1078" s="2">
        <v>46235</v>
      </c>
      <c r="C1078" cm="1">
        <f t="array" ref="C1078">IFERROR(INDEX('Expected Production'!$C$2:$N$79,MATCH($A1078,'Expected Production'!$A$2:$A$79,0),MONTH($B1078)),"")</f>
        <v>16365.447433631431</v>
      </c>
    </row>
    <row r="1079" spans="1:3" ht="15" hidden="1" customHeight="1" x14ac:dyDescent="0.3">
      <c r="A1079" t="s">
        <v>236</v>
      </c>
      <c r="B1079" s="2">
        <v>46266</v>
      </c>
      <c r="C1079" cm="1">
        <f t="array" ref="C1079">IFERROR(INDEX('Expected Production'!$C$2:$N$79,MATCH($A1079,'Expected Production'!$A$2:$A$79,0),MONTH($B1079)),"")</f>
        <v>16283.93347443618</v>
      </c>
    </row>
    <row r="1080" spans="1:3" ht="15" hidden="1" customHeight="1" x14ac:dyDescent="0.3">
      <c r="A1080" t="s">
        <v>236</v>
      </c>
      <c r="B1080" s="2">
        <v>46296</v>
      </c>
      <c r="C1080" cm="1">
        <f t="array" ref="C1080">IFERROR(INDEX('Expected Production'!$C$2:$N$79,MATCH($A1080,'Expected Production'!$A$2:$A$79,0),MONTH($B1080)),"")</f>
        <v>15891.080252714639</v>
      </c>
    </row>
    <row r="1081" spans="1:3" ht="15" hidden="1" customHeight="1" x14ac:dyDescent="0.3">
      <c r="A1081" t="s">
        <v>236</v>
      </c>
      <c r="B1081" s="2">
        <v>46327</v>
      </c>
      <c r="C1081" cm="1">
        <f t="array" ref="C1081">IFERROR(INDEX('Expected Production'!$C$2:$N$79,MATCH($A1081,'Expected Production'!$A$2:$A$79,0),MONTH($B1081)),"")</f>
        <v>15343.218323723426</v>
      </c>
    </row>
    <row r="1082" spans="1:3" ht="15" hidden="1" customHeight="1" x14ac:dyDescent="0.3">
      <c r="A1082" t="s">
        <v>236</v>
      </c>
      <c r="B1082" s="2">
        <v>46357</v>
      </c>
      <c r="C1082" cm="1">
        <f t="array" ref="C1082">IFERROR(INDEX('Expected Production'!$C$2:$N$79,MATCH($A1082,'Expected Production'!$A$2:$A$79,0),MONTH($B1082)),"")</f>
        <v>16261.638305056289</v>
      </c>
    </row>
    <row r="1083" spans="1:3" ht="15" hidden="1" customHeight="1" x14ac:dyDescent="0.3">
      <c r="A1083" t="s">
        <v>122</v>
      </c>
      <c r="B1083" s="2">
        <v>45292</v>
      </c>
      <c r="C1083">
        <v>22241.7</v>
      </c>
    </row>
    <row r="1084" spans="1:3" ht="15" hidden="1" customHeight="1" x14ac:dyDescent="0.3">
      <c r="A1084" t="s">
        <v>122</v>
      </c>
      <c r="B1084" s="2">
        <v>45323</v>
      </c>
      <c r="C1084">
        <v>19450.8</v>
      </c>
    </row>
    <row r="1085" spans="1:3" ht="15" hidden="1" customHeight="1" x14ac:dyDescent="0.3">
      <c r="A1085" t="s">
        <v>122</v>
      </c>
      <c r="B1085" s="2">
        <v>45352</v>
      </c>
      <c r="C1085">
        <v>19575</v>
      </c>
    </row>
    <row r="1086" spans="1:3" ht="15" hidden="1" customHeight="1" x14ac:dyDescent="0.3">
      <c r="A1086" t="s">
        <v>122</v>
      </c>
      <c r="B1086" s="2">
        <v>45383</v>
      </c>
      <c r="C1086">
        <v>15792.3</v>
      </c>
    </row>
    <row r="1087" spans="1:3" ht="15" hidden="1" customHeight="1" x14ac:dyDescent="0.3">
      <c r="A1087" t="s">
        <v>122</v>
      </c>
      <c r="B1087" s="2">
        <v>45413</v>
      </c>
      <c r="C1087">
        <v>13477.5</v>
      </c>
    </row>
    <row r="1088" spans="1:3" ht="15" hidden="1" customHeight="1" x14ac:dyDescent="0.3">
      <c r="A1088" t="s">
        <v>122</v>
      </c>
      <c r="B1088" s="2">
        <v>45444</v>
      </c>
      <c r="C1088">
        <v>12124.8</v>
      </c>
    </row>
    <row r="1089" spans="1:3" ht="15" hidden="1" customHeight="1" x14ac:dyDescent="0.3">
      <c r="A1089" t="s">
        <v>122</v>
      </c>
      <c r="B1089" s="2">
        <v>45474</v>
      </c>
      <c r="C1089">
        <v>13099.5</v>
      </c>
    </row>
    <row r="1090" spans="1:3" ht="15" hidden="1" customHeight="1" x14ac:dyDescent="0.3">
      <c r="A1090" t="s">
        <v>122</v>
      </c>
      <c r="B1090" s="2">
        <v>45505</v>
      </c>
      <c r="C1090">
        <v>15450.3</v>
      </c>
    </row>
    <row r="1091" spans="1:3" ht="15" hidden="1" customHeight="1" x14ac:dyDescent="0.3">
      <c r="A1091" t="s">
        <v>122</v>
      </c>
      <c r="B1091" s="2">
        <v>45536</v>
      </c>
      <c r="C1091">
        <v>16583.400000000001</v>
      </c>
    </row>
    <row r="1092" spans="1:3" ht="15" hidden="1" customHeight="1" x14ac:dyDescent="0.3">
      <c r="A1092" t="s">
        <v>122</v>
      </c>
      <c r="B1092" s="2">
        <v>45566</v>
      </c>
      <c r="C1092">
        <v>19432.8</v>
      </c>
    </row>
    <row r="1093" spans="1:3" ht="15" hidden="1" customHeight="1" x14ac:dyDescent="0.3">
      <c r="A1093" t="s">
        <v>122</v>
      </c>
      <c r="B1093" s="2">
        <v>45597</v>
      </c>
      <c r="C1093">
        <v>20010.599999999999</v>
      </c>
    </row>
    <row r="1094" spans="1:3" ht="15" hidden="1" customHeight="1" x14ac:dyDescent="0.3">
      <c r="A1094" t="s">
        <v>122</v>
      </c>
      <c r="B1094" s="2">
        <v>45627</v>
      </c>
      <c r="C1094">
        <v>22485.599999999999</v>
      </c>
    </row>
    <row r="1095" spans="1:3" ht="15" hidden="1" customHeight="1" x14ac:dyDescent="0.3">
      <c r="A1095" t="s">
        <v>122</v>
      </c>
      <c r="B1095" s="2">
        <v>45658</v>
      </c>
      <c r="C1095">
        <v>22241.7</v>
      </c>
    </row>
    <row r="1096" spans="1:3" ht="15" hidden="1" customHeight="1" x14ac:dyDescent="0.3">
      <c r="A1096" t="s">
        <v>122</v>
      </c>
      <c r="B1096" s="2">
        <v>45689</v>
      </c>
      <c r="C1096">
        <v>19450.8</v>
      </c>
    </row>
    <row r="1097" spans="1:3" ht="15" hidden="1" customHeight="1" x14ac:dyDescent="0.3">
      <c r="A1097" t="s">
        <v>122</v>
      </c>
      <c r="B1097" s="2">
        <v>45717</v>
      </c>
      <c r="C1097">
        <v>19575</v>
      </c>
    </row>
    <row r="1098" spans="1:3" ht="15" hidden="1" customHeight="1" x14ac:dyDescent="0.3">
      <c r="A1098" t="s">
        <v>122</v>
      </c>
      <c r="B1098" s="2">
        <v>45748</v>
      </c>
      <c r="C1098">
        <v>15792.3</v>
      </c>
    </row>
    <row r="1099" spans="1:3" ht="15" hidden="1" customHeight="1" x14ac:dyDescent="0.3">
      <c r="A1099" t="s">
        <v>122</v>
      </c>
      <c r="B1099" s="2">
        <v>45778</v>
      </c>
      <c r="C1099">
        <v>13477.5</v>
      </c>
    </row>
    <row r="1100" spans="1:3" ht="15" hidden="1" customHeight="1" x14ac:dyDescent="0.3">
      <c r="A1100" t="s">
        <v>122</v>
      </c>
      <c r="B1100" s="2">
        <v>45809</v>
      </c>
      <c r="C1100">
        <v>12124.8</v>
      </c>
    </row>
    <row r="1101" spans="1:3" ht="15" hidden="1" customHeight="1" x14ac:dyDescent="0.3">
      <c r="A1101" t="s">
        <v>122</v>
      </c>
      <c r="B1101" s="2">
        <v>45839</v>
      </c>
      <c r="C1101">
        <v>13099.5</v>
      </c>
    </row>
    <row r="1102" spans="1:3" ht="15" hidden="1" customHeight="1" x14ac:dyDescent="0.3">
      <c r="A1102" t="s">
        <v>122</v>
      </c>
      <c r="B1102" s="2">
        <v>45870</v>
      </c>
      <c r="C1102">
        <v>15450.3</v>
      </c>
    </row>
    <row r="1103" spans="1:3" ht="15" hidden="1" customHeight="1" x14ac:dyDescent="0.3">
      <c r="A1103" t="s">
        <v>122</v>
      </c>
      <c r="B1103" s="2">
        <v>45901</v>
      </c>
      <c r="C1103">
        <v>16583.400000000001</v>
      </c>
    </row>
    <row r="1104" spans="1:3" ht="15" hidden="1" customHeight="1" x14ac:dyDescent="0.3">
      <c r="A1104" t="s">
        <v>122</v>
      </c>
      <c r="B1104" s="2">
        <v>45931</v>
      </c>
      <c r="C1104">
        <v>19432.8</v>
      </c>
    </row>
    <row r="1105" spans="1:3" ht="15" hidden="1" customHeight="1" x14ac:dyDescent="0.3">
      <c r="A1105" t="s">
        <v>122</v>
      </c>
      <c r="B1105" s="2">
        <v>45962</v>
      </c>
      <c r="C1105">
        <v>20010.599999999999</v>
      </c>
    </row>
    <row r="1106" spans="1:3" ht="15" hidden="1" customHeight="1" x14ac:dyDescent="0.3">
      <c r="A1106" t="s">
        <v>122</v>
      </c>
      <c r="B1106" s="2">
        <v>45992</v>
      </c>
      <c r="C1106">
        <v>22485.599999999999</v>
      </c>
    </row>
    <row r="1107" spans="1:3" ht="15" hidden="1" customHeight="1" x14ac:dyDescent="0.3">
      <c r="A1107" t="s">
        <v>122</v>
      </c>
      <c r="B1107" s="2">
        <v>46023</v>
      </c>
      <c r="C1107">
        <v>22241.7</v>
      </c>
    </row>
    <row r="1108" spans="1:3" ht="15" hidden="1" customHeight="1" x14ac:dyDescent="0.3">
      <c r="A1108" t="s">
        <v>122</v>
      </c>
      <c r="B1108" s="2">
        <v>46054</v>
      </c>
      <c r="C1108">
        <v>19450.8</v>
      </c>
    </row>
    <row r="1109" spans="1:3" ht="15" hidden="1" customHeight="1" x14ac:dyDescent="0.3">
      <c r="A1109" t="s">
        <v>122</v>
      </c>
      <c r="B1109" s="2">
        <v>46082</v>
      </c>
      <c r="C1109">
        <v>19575</v>
      </c>
    </row>
    <row r="1110" spans="1:3" ht="15" hidden="1" customHeight="1" x14ac:dyDescent="0.3">
      <c r="A1110" t="s">
        <v>122</v>
      </c>
      <c r="B1110" s="2">
        <v>46113</v>
      </c>
      <c r="C1110">
        <v>15792.3</v>
      </c>
    </row>
    <row r="1111" spans="1:3" ht="15" hidden="1" customHeight="1" x14ac:dyDescent="0.3">
      <c r="A1111" t="s">
        <v>122</v>
      </c>
      <c r="B1111" s="2">
        <v>46143</v>
      </c>
      <c r="C1111">
        <v>13477.5</v>
      </c>
    </row>
    <row r="1112" spans="1:3" ht="15" hidden="1" customHeight="1" x14ac:dyDescent="0.3">
      <c r="A1112" t="s">
        <v>122</v>
      </c>
      <c r="B1112" s="2">
        <v>46174</v>
      </c>
      <c r="C1112">
        <v>12124.8</v>
      </c>
    </row>
    <row r="1113" spans="1:3" ht="15" hidden="1" customHeight="1" x14ac:dyDescent="0.3">
      <c r="A1113" t="s">
        <v>122</v>
      </c>
      <c r="B1113" s="2">
        <v>46204</v>
      </c>
      <c r="C1113">
        <v>13099.5</v>
      </c>
    </row>
    <row r="1114" spans="1:3" ht="15" customHeight="1" x14ac:dyDescent="0.3">
      <c r="A1114" t="s">
        <v>122</v>
      </c>
      <c r="B1114" s="2">
        <v>46235</v>
      </c>
      <c r="C1114">
        <v>15450.3</v>
      </c>
    </row>
    <row r="1115" spans="1:3" ht="15" hidden="1" customHeight="1" x14ac:dyDescent="0.3">
      <c r="A1115" t="s">
        <v>122</v>
      </c>
      <c r="B1115" s="2">
        <v>46266</v>
      </c>
      <c r="C1115">
        <v>16583.400000000001</v>
      </c>
    </row>
    <row r="1116" spans="1:3" ht="15" hidden="1" customHeight="1" x14ac:dyDescent="0.3">
      <c r="A1116" t="s">
        <v>122</v>
      </c>
      <c r="B1116" s="2">
        <v>46296</v>
      </c>
      <c r="C1116">
        <v>19432.8</v>
      </c>
    </row>
    <row r="1117" spans="1:3" ht="15" hidden="1" customHeight="1" x14ac:dyDescent="0.3">
      <c r="A1117" t="s">
        <v>122</v>
      </c>
      <c r="B1117" s="2">
        <v>46327</v>
      </c>
      <c r="C1117">
        <v>20010.599999999999</v>
      </c>
    </row>
    <row r="1118" spans="1:3" ht="15" hidden="1" customHeight="1" x14ac:dyDescent="0.3">
      <c r="A1118" t="s">
        <v>122</v>
      </c>
      <c r="B1118" s="2">
        <v>46357</v>
      </c>
      <c r="C1118">
        <v>22485.599999999999</v>
      </c>
    </row>
    <row r="1119" spans="1:3" ht="15" hidden="1" customHeight="1" x14ac:dyDescent="0.3">
      <c r="A1119" t="s">
        <v>124</v>
      </c>
      <c r="B1119" s="2">
        <v>45292</v>
      </c>
      <c r="C1119">
        <v>61302.85</v>
      </c>
    </row>
    <row r="1120" spans="1:3" ht="15" hidden="1" customHeight="1" x14ac:dyDescent="0.3">
      <c r="A1120" t="s">
        <v>124</v>
      </c>
      <c r="B1120" s="2">
        <v>45323</v>
      </c>
      <c r="C1120">
        <v>55639.3</v>
      </c>
    </row>
    <row r="1121" spans="1:3" ht="15" hidden="1" customHeight="1" x14ac:dyDescent="0.3">
      <c r="A1121" t="s">
        <v>124</v>
      </c>
      <c r="B1121" s="2">
        <v>45352</v>
      </c>
      <c r="C1121">
        <v>58024.4</v>
      </c>
    </row>
    <row r="1122" spans="1:3" ht="15" hidden="1" customHeight="1" x14ac:dyDescent="0.3">
      <c r="A1122" t="s">
        <v>124</v>
      </c>
      <c r="B1122" s="2">
        <v>45383</v>
      </c>
      <c r="C1122">
        <v>48946.400000000001</v>
      </c>
    </row>
    <row r="1123" spans="1:3" ht="15" hidden="1" customHeight="1" x14ac:dyDescent="0.3">
      <c r="A1123" t="s">
        <v>124</v>
      </c>
      <c r="B1123" s="2">
        <v>45413</v>
      </c>
      <c r="C1123">
        <v>44310.5</v>
      </c>
    </row>
    <row r="1124" spans="1:3" ht="15" hidden="1" customHeight="1" x14ac:dyDescent="0.3">
      <c r="A1124" t="s">
        <v>124</v>
      </c>
      <c r="B1124" s="2">
        <v>45444</v>
      </c>
      <c r="C1124">
        <v>40933.449999999997</v>
      </c>
    </row>
    <row r="1125" spans="1:3" ht="15" hidden="1" customHeight="1" x14ac:dyDescent="0.3">
      <c r="A1125" t="s">
        <v>124</v>
      </c>
      <c r="B1125" s="2">
        <v>45474</v>
      </c>
      <c r="C1125">
        <v>43977.3</v>
      </c>
    </row>
    <row r="1126" spans="1:3" ht="15" hidden="1" customHeight="1" x14ac:dyDescent="0.3">
      <c r="A1126" t="s">
        <v>124</v>
      </c>
      <c r="B1126" s="2">
        <v>45505</v>
      </c>
      <c r="C1126">
        <v>48620.85</v>
      </c>
    </row>
    <row r="1127" spans="1:3" ht="15" hidden="1" customHeight="1" x14ac:dyDescent="0.3">
      <c r="A1127" t="s">
        <v>124</v>
      </c>
      <c r="B1127" s="2">
        <v>45536</v>
      </c>
      <c r="C1127">
        <v>50331.05</v>
      </c>
    </row>
    <row r="1128" spans="1:3" ht="15" hidden="1" customHeight="1" x14ac:dyDescent="0.3">
      <c r="A1128" t="s">
        <v>124</v>
      </c>
      <c r="B1128" s="2">
        <v>45566</v>
      </c>
      <c r="C1128">
        <v>55230.45</v>
      </c>
    </row>
    <row r="1129" spans="1:3" ht="15" hidden="1" customHeight="1" x14ac:dyDescent="0.3">
      <c r="A1129" t="s">
        <v>124</v>
      </c>
      <c r="B1129" s="2">
        <v>45597</v>
      </c>
      <c r="C1129">
        <v>56583.65</v>
      </c>
    </row>
    <row r="1130" spans="1:3" ht="15" hidden="1" customHeight="1" x14ac:dyDescent="0.3">
      <c r="A1130" t="s">
        <v>124</v>
      </c>
      <c r="B1130" s="2">
        <v>45627</v>
      </c>
      <c r="C1130">
        <v>61075.9</v>
      </c>
    </row>
    <row r="1131" spans="1:3" ht="15" hidden="1" customHeight="1" x14ac:dyDescent="0.3">
      <c r="A1131" t="s">
        <v>124</v>
      </c>
      <c r="B1131" s="2">
        <v>45658</v>
      </c>
      <c r="C1131">
        <v>61302.85</v>
      </c>
    </row>
    <row r="1132" spans="1:3" ht="15" hidden="1" customHeight="1" x14ac:dyDescent="0.3">
      <c r="A1132" t="s">
        <v>124</v>
      </c>
      <c r="B1132" s="2">
        <v>45689</v>
      </c>
      <c r="C1132">
        <v>55639.3</v>
      </c>
    </row>
    <row r="1133" spans="1:3" ht="15" hidden="1" customHeight="1" x14ac:dyDescent="0.3">
      <c r="A1133" t="s">
        <v>124</v>
      </c>
      <c r="B1133" s="2">
        <v>45717</v>
      </c>
      <c r="C1133">
        <v>58024.4</v>
      </c>
    </row>
    <row r="1134" spans="1:3" ht="15" hidden="1" customHeight="1" x14ac:dyDescent="0.3">
      <c r="A1134" t="s">
        <v>124</v>
      </c>
      <c r="B1134" s="2">
        <v>45748</v>
      </c>
      <c r="C1134">
        <v>48946.400000000001</v>
      </c>
    </row>
    <row r="1135" spans="1:3" ht="15" hidden="1" customHeight="1" x14ac:dyDescent="0.3">
      <c r="A1135" t="s">
        <v>124</v>
      </c>
      <c r="B1135" s="2">
        <v>45778</v>
      </c>
      <c r="C1135">
        <v>44310.5</v>
      </c>
    </row>
    <row r="1136" spans="1:3" ht="15" hidden="1" customHeight="1" x14ac:dyDescent="0.3">
      <c r="A1136" t="s">
        <v>124</v>
      </c>
      <c r="B1136" s="2">
        <v>45809</v>
      </c>
      <c r="C1136">
        <v>40933.449999999997</v>
      </c>
    </row>
    <row r="1137" spans="1:3" ht="15" hidden="1" customHeight="1" x14ac:dyDescent="0.3">
      <c r="A1137" t="s">
        <v>124</v>
      </c>
      <c r="B1137" s="2">
        <v>45839</v>
      </c>
      <c r="C1137">
        <v>43977.3</v>
      </c>
    </row>
    <row r="1138" spans="1:3" ht="15" hidden="1" customHeight="1" x14ac:dyDescent="0.3">
      <c r="A1138" t="s">
        <v>124</v>
      </c>
      <c r="B1138" s="2">
        <v>45870</v>
      </c>
      <c r="C1138">
        <v>48620.85</v>
      </c>
    </row>
    <row r="1139" spans="1:3" ht="15" hidden="1" customHeight="1" x14ac:dyDescent="0.3">
      <c r="A1139" t="s">
        <v>124</v>
      </c>
      <c r="B1139" s="2">
        <v>45901</v>
      </c>
      <c r="C1139">
        <v>50331.05</v>
      </c>
    </row>
    <row r="1140" spans="1:3" ht="15" hidden="1" customHeight="1" x14ac:dyDescent="0.3">
      <c r="A1140" t="s">
        <v>124</v>
      </c>
      <c r="B1140" s="2">
        <v>45931</v>
      </c>
      <c r="C1140">
        <v>55230.45</v>
      </c>
    </row>
    <row r="1141" spans="1:3" ht="15" hidden="1" customHeight="1" x14ac:dyDescent="0.3">
      <c r="A1141" t="s">
        <v>124</v>
      </c>
      <c r="B1141" s="2">
        <v>45962</v>
      </c>
      <c r="C1141">
        <v>56583.65</v>
      </c>
    </row>
    <row r="1142" spans="1:3" ht="15" hidden="1" customHeight="1" x14ac:dyDescent="0.3">
      <c r="A1142" t="s">
        <v>124</v>
      </c>
      <c r="B1142" s="2">
        <v>45992</v>
      </c>
      <c r="C1142">
        <v>61075.9</v>
      </c>
    </row>
    <row r="1143" spans="1:3" ht="15" hidden="1" customHeight="1" x14ac:dyDescent="0.3">
      <c r="A1143" t="s">
        <v>124</v>
      </c>
      <c r="B1143" s="2">
        <v>46023</v>
      </c>
      <c r="C1143">
        <v>61302.85</v>
      </c>
    </row>
    <row r="1144" spans="1:3" ht="15" hidden="1" customHeight="1" x14ac:dyDescent="0.3">
      <c r="A1144" t="s">
        <v>124</v>
      </c>
      <c r="B1144" s="2">
        <v>46054</v>
      </c>
      <c r="C1144">
        <v>55639.3</v>
      </c>
    </row>
    <row r="1145" spans="1:3" ht="15" hidden="1" customHeight="1" x14ac:dyDescent="0.3">
      <c r="A1145" t="s">
        <v>124</v>
      </c>
      <c r="B1145" s="2">
        <v>46082</v>
      </c>
      <c r="C1145">
        <v>58024.4</v>
      </c>
    </row>
    <row r="1146" spans="1:3" ht="15" hidden="1" customHeight="1" x14ac:dyDescent="0.3">
      <c r="A1146" t="s">
        <v>124</v>
      </c>
      <c r="B1146" s="2">
        <v>46113</v>
      </c>
      <c r="C1146">
        <v>48946.400000000001</v>
      </c>
    </row>
    <row r="1147" spans="1:3" ht="15" hidden="1" customHeight="1" x14ac:dyDescent="0.3">
      <c r="A1147" t="s">
        <v>124</v>
      </c>
      <c r="B1147" s="2">
        <v>46143</v>
      </c>
      <c r="C1147">
        <v>44310.5</v>
      </c>
    </row>
    <row r="1148" spans="1:3" ht="15" hidden="1" customHeight="1" x14ac:dyDescent="0.3">
      <c r="A1148" t="s">
        <v>124</v>
      </c>
      <c r="B1148" s="2">
        <v>46174</v>
      </c>
      <c r="C1148">
        <v>40933.449999999997</v>
      </c>
    </row>
    <row r="1149" spans="1:3" ht="15" hidden="1" customHeight="1" x14ac:dyDescent="0.3">
      <c r="A1149" t="s">
        <v>124</v>
      </c>
      <c r="B1149" s="2">
        <v>46204</v>
      </c>
      <c r="C1149">
        <v>43977.3</v>
      </c>
    </row>
    <row r="1150" spans="1:3" ht="15" customHeight="1" x14ac:dyDescent="0.3">
      <c r="A1150" t="s">
        <v>124</v>
      </c>
      <c r="B1150" s="2">
        <v>46235</v>
      </c>
      <c r="C1150">
        <v>48620.85</v>
      </c>
    </row>
    <row r="1151" spans="1:3" ht="15" hidden="1" customHeight="1" x14ac:dyDescent="0.3">
      <c r="A1151" t="s">
        <v>124</v>
      </c>
      <c r="B1151" s="2">
        <v>46266</v>
      </c>
      <c r="C1151">
        <v>50331.05</v>
      </c>
    </row>
    <row r="1152" spans="1:3" ht="15" hidden="1" customHeight="1" x14ac:dyDescent="0.3">
      <c r="A1152" t="s">
        <v>124</v>
      </c>
      <c r="B1152" s="2">
        <v>46296</v>
      </c>
      <c r="C1152">
        <v>55230.45</v>
      </c>
    </row>
    <row r="1153" spans="1:3" ht="15" hidden="1" customHeight="1" x14ac:dyDescent="0.3">
      <c r="A1153" t="s">
        <v>124</v>
      </c>
      <c r="B1153" s="2">
        <v>46327</v>
      </c>
      <c r="C1153">
        <v>56583.65</v>
      </c>
    </row>
    <row r="1154" spans="1:3" ht="15" hidden="1" customHeight="1" x14ac:dyDescent="0.3">
      <c r="A1154" t="s">
        <v>124</v>
      </c>
      <c r="B1154" s="2">
        <v>46357</v>
      </c>
      <c r="C1154">
        <v>61075.9</v>
      </c>
    </row>
    <row r="1155" spans="1:3" ht="15" hidden="1" customHeight="1" x14ac:dyDescent="0.3">
      <c r="A1155" t="s">
        <v>127</v>
      </c>
      <c r="B1155" s="2">
        <v>45292</v>
      </c>
      <c r="C1155">
        <v>15870.6</v>
      </c>
    </row>
    <row r="1156" spans="1:3" ht="15" hidden="1" customHeight="1" x14ac:dyDescent="0.3">
      <c r="A1156" t="s">
        <v>127</v>
      </c>
      <c r="B1156" s="2">
        <v>45323</v>
      </c>
      <c r="C1156">
        <v>14825.7</v>
      </c>
    </row>
    <row r="1157" spans="1:3" ht="15" hidden="1" customHeight="1" x14ac:dyDescent="0.3">
      <c r="A1157" t="s">
        <v>127</v>
      </c>
      <c r="B1157" s="2">
        <v>45352</v>
      </c>
      <c r="C1157">
        <v>17314.2</v>
      </c>
    </row>
    <row r="1158" spans="1:3" ht="15" hidden="1" customHeight="1" x14ac:dyDescent="0.3">
      <c r="A1158" t="s">
        <v>127</v>
      </c>
      <c r="B1158" s="2">
        <v>45383</v>
      </c>
      <c r="C1158">
        <v>15358.5</v>
      </c>
    </row>
    <row r="1159" spans="1:3" ht="15" hidden="1" customHeight="1" x14ac:dyDescent="0.3">
      <c r="A1159" t="s">
        <v>127</v>
      </c>
      <c r="B1159" s="2">
        <v>45413</v>
      </c>
      <c r="C1159">
        <v>15197.4</v>
      </c>
    </row>
    <row r="1160" spans="1:3" ht="15" hidden="1" customHeight="1" x14ac:dyDescent="0.3">
      <c r="A1160" t="s">
        <v>127</v>
      </c>
      <c r="B1160" s="2">
        <v>45444</v>
      </c>
      <c r="C1160">
        <v>14489.1</v>
      </c>
    </row>
    <row r="1161" spans="1:3" ht="15" hidden="1" customHeight="1" x14ac:dyDescent="0.3">
      <c r="A1161" t="s">
        <v>127</v>
      </c>
      <c r="B1161" s="2">
        <v>45474</v>
      </c>
      <c r="C1161">
        <v>15390.9</v>
      </c>
    </row>
    <row r="1162" spans="1:3" ht="15" hidden="1" customHeight="1" x14ac:dyDescent="0.3">
      <c r="A1162" t="s">
        <v>127</v>
      </c>
      <c r="B1162" s="2">
        <v>45505</v>
      </c>
      <c r="C1162">
        <v>15613.2</v>
      </c>
    </row>
    <row r="1163" spans="1:3" ht="15" hidden="1" customHeight="1" x14ac:dyDescent="0.3">
      <c r="A1163" t="s">
        <v>127</v>
      </c>
      <c r="B1163" s="2">
        <v>45536</v>
      </c>
      <c r="C1163">
        <v>15191.1</v>
      </c>
    </row>
    <row r="1164" spans="1:3" ht="15" hidden="1" customHeight="1" x14ac:dyDescent="0.3">
      <c r="A1164" t="s">
        <v>127</v>
      </c>
      <c r="B1164" s="2">
        <v>45566</v>
      </c>
      <c r="C1164">
        <v>14349.6</v>
      </c>
    </row>
    <row r="1165" spans="1:3" ht="15" hidden="1" customHeight="1" x14ac:dyDescent="0.3">
      <c r="A1165" t="s">
        <v>127</v>
      </c>
      <c r="B1165" s="2">
        <v>45597</v>
      </c>
      <c r="C1165">
        <v>13257.9</v>
      </c>
    </row>
    <row r="1166" spans="1:3" ht="15" hidden="1" customHeight="1" x14ac:dyDescent="0.3">
      <c r="A1166" t="s">
        <v>127</v>
      </c>
      <c r="B1166" s="2">
        <v>45627</v>
      </c>
      <c r="C1166">
        <v>13839.3</v>
      </c>
    </row>
    <row r="1167" spans="1:3" ht="15" hidden="1" customHeight="1" x14ac:dyDescent="0.3">
      <c r="A1167" t="s">
        <v>127</v>
      </c>
      <c r="B1167" s="2">
        <v>45658</v>
      </c>
      <c r="C1167">
        <v>15870.6</v>
      </c>
    </row>
    <row r="1168" spans="1:3" ht="15" hidden="1" customHeight="1" x14ac:dyDescent="0.3">
      <c r="A1168" t="s">
        <v>127</v>
      </c>
      <c r="B1168" s="2">
        <v>45689</v>
      </c>
      <c r="C1168">
        <v>14825.7</v>
      </c>
    </row>
    <row r="1169" spans="1:3" ht="15" hidden="1" customHeight="1" x14ac:dyDescent="0.3">
      <c r="A1169" t="s">
        <v>127</v>
      </c>
      <c r="B1169" s="2">
        <v>45717</v>
      </c>
      <c r="C1169">
        <v>17314.2</v>
      </c>
    </row>
    <row r="1170" spans="1:3" ht="15" hidden="1" customHeight="1" x14ac:dyDescent="0.3">
      <c r="A1170" t="s">
        <v>127</v>
      </c>
      <c r="B1170" s="2">
        <v>45748</v>
      </c>
      <c r="C1170">
        <v>15358.5</v>
      </c>
    </row>
    <row r="1171" spans="1:3" ht="15" hidden="1" customHeight="1" x14ac:dyDescent="0.3">
      <c r="A1171" t="s">
        <v>127</v>
      </c>
      <c r="B1171" s="2">
        <v>45778</v>
      </c>
      <c r="C1171">
        <v>15197.4</v>
      </c>
    </row>
    <row r="1172" spans="1:3" ht="15" hidden="1" customHeight="1" x14ac:dyDescent="0.3">
      <c r="A1172" t="s">
        <v>127</v>
      </c>
      <c r="B1172" s="2">
        <v>45809</v>
      </c>
      <c r="C1172">
        <v>14489.1</v>
      </c>
    </row>
    <row r="1173" spans="1:3" ht="15" hidden="1" customHeight="1" x14ac:dyDescent="0.3">
      <c r="A1173" t="s">
        <v>127</v>
      </c>
      <c r="B1173" s="2">
        <v>45839</v>
      </c>
      <c r="C1173">
        <v>15390.9</v>
      </c>
    </row>
    <row r="1174" spans="1:3" ht="15" hidden="1" customHeight="1" x14ac:dyDescent="0.3">
      <c r="A1174" t="s">
        <v>127</v>
      </c>
      <c r="B1174" s="2">
        <v>45870</v>
      </c>
      <c r="C1174">
        <v>15613.2</v>
      </c>
    </row>
    <row r="1175" spans="1:3" ht="15" hidden="1" customHeight="1" x14ac:dyDescent="0.3">
      <c r="A1175" t="s">
        <v>127</v>
      </c>
      <c r="B1175" s="2">
        <v>45901</v>
      </c>
      <c r="C1175">
        <v>15191.1</v>
      </c>
    </row>
    <row r="1176" spans="1:3" ht="15" hidden="1" customHeight="1" x14ac:dyDescent="0.3">
      <c r="A1176" t="s">
        <v>127</v>
      </c>
      <c r="B1176" s="2">
        <v>45931</v>
      </c>
      <c r="C1176">
        <v>14349.6</v>
      </c>
    </row>
    <row r="1177" spans="1:3" ht="15" hidden="1" customHeight="1" x14ac:dyDescent="0.3">
      <c r="A1177" t="s">
        <v>127</v>
      </c>
      <c r="B1177" s="2">
        <v>45962</v>
      </c>
      <c r="C1177">
        <v>13257.9</v>
      </c>
    </row>
    <row r="1178" spans="1:3" ht="15" hidden="1" customHeight="1" x14ac:dyDescent="0.3">
      <c r="A1178" t="s">
        <v>127</v>
      </c>
      <c r="B1178" s="2">
        <v>45992</v>
      </c>
      <c r="C1178">
        <v>13839.3</v>
      </c>
    </row>
    <row r="1179" spans="1:3" ht="15" hidden="1" customHeight="1" x14ac:dyDescent="0.3">
      <c r="A1179" t="s">
        <v>127</v>
      </c>
      <c r="B1179" s="2">
        <v>46023</v>
      </c>
      <c r="C1179">
        <v>15870.6</v>
      </c>
    </row>
    <row r="1180" spans="1:3" ht="15" hidden="1" customHeight="1" x14ac:dyDescent="0.3">
      <c r="A1180" t="s">
        <v>127</v>
      </c>
      <c r="B1180" s="2">
        <v>46054</v>
      </c>
      <c r="C1180">
        <v>14825.7</v>
      </c>
    </row>
    <row r="1181" spans="1:3" ht="15" hidden="1" customHeight="1" x14ac:dyDescent="0.3">
      <c r="A1181" t="s">
        <v>127</v>
      </c>
      <c r="B1181" s="2">
        <v>46082</v>
      </c>
      <c r="C1181">
        <v>17314.2</v>
      </c>
    </row>
    <row r="1182" spans="1:3" ht="15" hidden="1" customHeight="1" x14ac:dyDescent="0.3">
      <c r="A1182" t="s">
        <v>127</v>
      </c>
      <c r="B1182" s="2">
        <v>46113</v>
      </c>
      <c r="C1182">
        <v>15358.5</v>
      </c>
    </row>
    <row r="1183" spans="1:3" ht="15" hidden="1" customHeight="1" x14ac:dyDescent="0.3">
      <c r="A1183" t="s">
        <v>127</v>
      </c>
      <c r="B1183" s="2">
        <v>46143</v>
      </c>
      <c r="C1183">
        <v>15197.4</v>
      </c>
    </row>
    <row r="1184" spans="1:3" ht="15" hidden="1" customHeight="1" x14ac:dyDescent="0.3">
      <c r="A1184" t="s">
        <v>127</v>
      </c>
      <c r="B1184" s="2">
        <v>46174</v>
      </c>
      <c r="C1184">
        <v>14489.1</v>
      </c>
    </row>
    <row r="1185" spans="1:3" ht="15" hidden="1" customHeight="1" x14ac:dyDescent="0.3">
      <c r="A1185" t="s">
        <v>127</v>
      </c>
      <c r="B1185" s="2">
        <v>46204</v>
      </c>
      <c r="C1185">
        <v>15390.9</v>
      </c>
    </row>
    <row r="1186" spans="1:3" ht="15" customHeight="1" x14ac:dyDescent="0.3">
      <c r="A1186" t="s">
        <v>127</v>
      </c>
      <c r="B1186" s="2">
        <v>46235</v>
      </c>
      <c r="C1186">
        <v>15613.2</v>
      </c>
    </row>
    <row r="1187" spans="1:3" ht="15" hidden="1" customHeight="1" x14ac:dyDescent="0.3">
      <c r="A1187" t="s">
        <v>127</v>
      </c>
      <c r="B1187" s="2">
        <v>46266</v>
      </c>
      <c r="C1187">
        <v>15191.1</v>
      </c>
    </row>
    <row r="1188" spans="1:3" ht="15" hidden="1" customHeight="1" x14ac:dyDescent="0.3">
      <c r="A1188" t="s">
        <v>127</v>
      </c>
      <c r="B1188" s="2">
        <v>46296</v>
      </c>
      <c r="C1188">
        <v>14349.6</v>
      </c>
    </row>
    <row r="1189" spans="1:3" ht="15" hidden="1" customHeight="1" x14ac:dyDescent="0.3">
      <c r="A1189" t="s">
        <v>127</v>
      </c>
      <c r="B1189" s="2">
        <v>46327</v>
      </c>
      <c r="C1189">
        <v>13257.9</v>
      </c>
    </row>
    <row r="1190" spans="1:3" ht="15" hidden="1" customHeight="1" x14ac:dyDescent="0.3">
      <c r="A1190" t="s">
        <v>127</v>
      </c>
      <c r="B1190" s="2">
        <v>46357</v>
      </c>
      <c r="C1190">
        <v>13839.3</v>
      </c>
    </row>
    <row r="1191" spans="1:3" ht="15" hidden="1" customHeight="1" x14ac:dyDescent="0.3">
      <c r="A1191" t="s">
        <v>234</v>
      </c>
      <c r="B1191" s="2">
        <v>45292</v>
      </c>
      <c r="C1191">
        <v>53361.9</v>
      </c>
    </row>
    <row r="1192" spans="1:3" ht="15" hidden="1" customHeight="1" x14ac:dyDescent="0.3">
      <c r="A1192" t="s">
        <v>234</v>
      </c>
      <c r="B1192" s="2">
        <v>45323</v>
      </c>
      <c r="C1192">
        <v>43750.8</v>
      </c>
    </row>
    <row r="1193" spans="1:3" ht="15" hidden="1" customHeight="1" x14ac:dyDescent="0.3">
      <c r="A1193" t="s">
        <v>234</v>
      </c>
      <c r="B1193" s="2">
        <v>45352</v>
      </c>
      <c r="C1193">
        <v>40931.1</v>
      </c>
    </row>
    <row r="1194" spans="1:3" ht="15" hidden="1" customHeight="1" x14ac:dyDescent="0.3">
      <c r="A1194" t="s">
        <v>234</v>
      </c>
      <c r="B1194" s="2">
        <v>45383</v>
      </c>
      <c r="C1194">
        <v>29080.799999999999</v>
      </c>
    </row>
    <row r="1195" spans="1:3" ht="15" hidden="1" customHeight="1" x14ac:dyDescent="0.3">
      <c r="A1195" t="s">
        <v>234</v>
      </c>
      <c r="B1195" s="2">
        <v>45413</v>
      </c>
      <c r="C1195">
        <v>21434.400000000001</v>
      </c>
    </row>
    <row r="1196" spans="1:3" ht="15" hidden="1" customHeight="1" x14ac:dyDescent="0.3">
      <c r="A1196" t="s">
        <v>234</v>
      </c>
      <c r="B1196" s="2">
        <v>45444</v>
      </c>
      <c r="C1196">
        <v>17483.400000000001</v>
      </c>
    </row>
    <row r="1197" spans="1:3" ht="15" hidden="1" customHeight="1" x14ac:dyDescent="0.3">
      <c r="A1197" t="s">
        <v>234</v>
      </c>
      <c r="B1197" s="2">
        <v>45474</v>
      </c>
      <c r="C1197">
        <v>19783.8</v>
      </c>
    </row>
    <row r="1198" spans="1:3" ht="15" hidden="1" customHeight="1" x14ac:dyDescent="0.3">
      <c r="A1198" t="s">
        <v>234</v>
      </c>
      <c r="B1198" s="2">
        <v>45505</v>
      </c>
      <c r="C1198">
        <v>25524</v>
      </c>
    </row>
    <row r="1199" spans="1:3" ht="15" hidden="1" customHeight="1" x14ac:dyDescent="0.3">
      <c r="A1199" t="s">
        <v>234</v>
      </c>
      <c r="B1199" s="2">
        <v>45536</v>
      </c>
      <c r="C1199">
        <v>33381.9</v>
      </c>
    </row>
    <row r="1200" spans="1:3" ht="15" hidden="1" customHeight="1" x14ac:dyDescent="0.3">
      <c r="A1200" t="s">
        <v>234</v>
      </c>
      <c r="B1200" s="2">
        <v>45566</v>
      </c>
      <c r="C1200">
        <v>43038</v>
      </c>
    </row>
    <row r="1201" spans="1:3" ht="15" hidden="1" customHeight="1" x14ac:dyDescent="0.3">
      <c r="A1201" t="s">
        <v>234</v>
      </c>
      <c r="B1201" s="2">
        <v>45597</v>
      </c>
      <c r="C1201">
        <v>49565.7</v>
      </c>
    </row>
    <row r="1202" spans="1:3" ht="15" hidden="1" customHeight="1" x14ac:dyDescent="0.3">
      <c r="A1202" t="s">
        <v>234</v>
      </c>
      <c r="B1202" s="2">
        <v>45627</v>
      </c>
      <c r="C1202">
        <v>54135.9</v>
      </c>
    </row>
    <row r="1203" spans="1:3" ht="15" hidden="1" customHeight="1" x14ac:dyDescent="0.3">
      <c r="A1203" t="s">
        <v>234</v>
      </c>
      <c r="B1203" s="2">
        <v>45658</v>
      </c>
      <c r="C1203">
        <v>53361.9</v>
      </c>
    </row>
    <row r="1204" spans="1:3" ht="15" hidden="1" customHeight="1" x14ac:dyDescent="0.3">
      <c r="A1204" t="s">
        <v>234</v>
      </c>
      <c r="B1204" s="2">
        <v>45689</v>
      </c>
      <c r="C1204">
        <v>43750.8</v>
      </c>
    </row>
    <row r="1205" spans="1:3" ht="15" hidden="1" customHeight="1" x14ac:dyDescent="0.3">
      <c r="A1205" t="s">
        <v>234</v>
      </c>
      <c r="B1205" s="2">
        <v>45717</v>
      </c>
      <c r="C1205">
        <v>40931.1</v>
      </c>
    </row>
    <row r="1206" spans="1:3" ht="15" hidden="1" customHeight="1" x14ac:dyDescent="0.3">
      <c r="A1206" t="s">
        <v>234</v>
      </c>
      <c r="B1206" s="2">
        <v>45748</v>
      </c>
      <c r="C1206">
        <v>29080.799999999999</v>
      </c>
    </row>
    <row r="1207" spans="1:3" ht="15" hidden="1" customHeight="1" x14ac:dyDescent="0.3">
      <c r="A1207" t="s">
        <v>234</v>
      </c>
      <c r="B1207" s="2">
        <v>45778</v>
      </c>
      <c r="C1207">
        <v>21434.400000000001</v>
      </c>
    </row>
    <row r="1208" spans="1:3" ht="15" hidden="1" customHeight="1" x14ac:dyDescent="0.3">
      <c r="A1208" t="s">
        <v>234</v>
      </c>
      <c r="B1208" s="2">
        <v>45809</v>
      </c>
      <c r="C1208">
        <v>17483.400000000001</v>
      </c>
    </row>
    <row r="1209" spans="1:3" ht="15" hidden="1" customHeight="1" x14ac:dyDescent="0.3">
      <c r="A1209" t="s">
        <v>234</v>
      </c>
      <c r="B1209" s="2">
        <v>45839</v>
      </c>
      <c r="C1209">
        <v>19783.8</v>
      </c>
    </row>
    <row r="1210" spans="1:3" ht="15" hidden="1" customHeight="1" x14ac:dyDescent="0.3">
      <c r="A1210" t="s">
        <v>234</v>
      </c>
      <c r="B1210" s="2">
        <v>45870</v>
      </c>
      <c r="C1210">
        <v>25524</v>
      </c>
    </row>
    <row r="1211" spans="1:3" ht="15" hidden="1" customHeight="1" x14ac:dyDescent="0.3">
      <c r="A1211" t="s">
        <v>234</v>
      </c>
      <c r="B1211" s="2">
        <v>45901</v>
      </c>
      <c r="C1211">
        <v>33381.9</v>
      </c>
    </row>
    <row r="1212" spans="1:3" ht="15" hidden="1" customHeight="1" x14ac:dyDescent="0.3">
      <c r="A1212" t="s">
        <v>234</v>
      </c>
      <c r="B1212" s="2">
        <v>45931</v>
      </c>
      <c r="C1212">
        <v>43038</v>
      </c>
    </row>
    <row r="1213" spans="1:3" ht="15" hidden="1" customHeight="1" x14ac:dyDescent="0.3">
      <c r="A1213" t="s">
        <v>234</v>
      </c>
      <c r="B1213" s="2">
        <v>45962</v>
      </c>
      <c r="C1213">
        <v>49565.7</v>
      </c>
    </row>
    <row r="1214" spans="1:3" ht="15" hidden="1" customHeight="1" x14ac:dyDescent="0.3">
      <c r="A1214" t="s">
        <v>234</v>
      </c>
      <c r="B1214" s="2">
        <v>45992</v>
      </c>
      <c r="C1214">
        <v>54135.9</v>
      </c>
    </row>
    <row r="1215" spans="1:3" ht="15" hidden="1" customHeight="1" x14ac:dyDescent="0.3">
      <c r="A1215" t="s">
        <v>234</v>
      </c>
      <c r="B1215" s="2">
        <v>46023</v>
      </c>
      <c r="C1215">
        <v>53361.9</v>
      </c>
    </row>
    <row r="1216" spans="1:3" ht="15" hidden="1" customHeight="1" x14ac:dyDescent="0.3">
      <c r="A1216" t="s">
        <v>234</v>
      </c>
      <c r="B1216" s="2">
        <v>46054</v>
      </c>
      <c r="C1216">
        <v>43750.8</v>
      </c>
    </row>
    <row r="1217" spans="1:3" ht="15" hidden="1" customHeight="1" x14ac:dyDescent="0.3">
      <c r="A1217" t="s">
        <v>234</v>
      </c>
      <c r="B1217" s="2">
        <v>46082</v>
      </c>
      <c r="C1217">
        <v>40931.1</v>
      </c>
    </row>
    <row r="1218" spans="1:3" ht="15" hidden="1" customHeight="1" x14ac:dyDescent="0.3">
      <c r="A1218" t="s">
        <v>234</v>
      </c>
      <c r="B1218" s="2">
        <v>46113</v>
      </c>
      <c r="C1218">
        <v>29080.799999999999</v>
      </c>
    </row>
    <row r="1219" spans="1:3" ht="15" hidden="1" customHeight="1" x14ac:dyDescent="0.3">
      <c r="A1219" t="s">
        <v>234</v>
      </c>
      <c r="B1219" s="2">
        <v>46143</v>
      </c>
      <c r="C1219">
        <v>21434.400000000001</v>
      </c>
    </row>
    <row r="1220" spans="1:3" ht="15" hidden="1" customHeight="1" x14ac:dyDescent="0.3">
      <c r="A1220" t="s">
        <v>234</v>
      </c>
      <c r="B1220" s="2">
        <v>46174</v>
      </c>
      <c r="C1220">
        <v>17483.400000000001</v>
      </c>
    </row>
    <row r="1221" spans="1:3" ht="15" hidden="1" customHeight="1" x14ac:dyDescent="0.3">
      <c r="A1221" t="s">
        <v>234</v>
      </c>
      <c r="B1221" s="2">
        <v>46204</v>
      </c>
      <c r="C1221">
        <v>19783.8</v>
      </c>
    </row>
    <row r="1222" spans="1:3" ht="15" customHeight="1" x14ac:dyDescent="0.3">
      <c r="A1222" t="s">
        <v>234</v>
      </c>
      <c r="B1222" s="2">
        <v>46235</v>
      </c>
      <c r="C1222">
        <v>25524</v>
      </c>
    </row>
    <row r="1223" spans="1:3" ht="15" hidden="1" customHeight="1" x14ac:dyDescent="0.3">
      <c r="A1223" t="s">
        <v>234</v>
      </c>
      <c r="B1223" s="2">
        <v>46266</v>
      </c>
      <c r="C1223">
        <v>33381.9</v>
      </c>
    </row>
    <row r="1224" spans="1:3" ht="15" hidden="1" customHeight="1" x14ac:dyDescent="0.3">
      <c r="A1224" t="s">
        <v>234</v>
      </c>
      <c r="B1224" s="2">
        <v>46296</v>
      </c>
      <c r="C1224">
        <v>43038</v>
      </c>
    </row>
    <row r="1225" spans="1:3" ht="15" hidden="1" customHeight="1" x14ac:dyDescent="0.3">
      <c r="A1225" t="s">
        <v>234</v>
      </c>
      <c r="B1225" s="2">
        <v>46327</v>
      </c>
      <c r="C1225">
        <v>49565.7</v>
      </c>
    </row>
    <row r="1226" spans="1:3" ht="15" hidden="1" customHeight="1" x14ac:dyDescent="0.3">
      <c r="A1226" t="s">
        <v>234</v>
      </c>
      <c r="B1226" s="2">
        <v>46357</v>
      </c>
      <c r="C1226">
        <v>54135.9</v>
      </c>
    </row>
    <row r="1227" spans="1:3" ht="15" hidden="1" customHeight="1" x14ac:dyDescent="0.3">
      <c r="A1227" t="s">
        <v>131</v>
      </c>
      <c r="B1227" s="2">
        <v>45292</v>
      </c>
      <c r="C1227">
        <v>5063.45</v>
      </c>
    </row>
    <row r="1228" spans="1:3" ht="15" hidden="1" customHeight="1" x14ac:dyDescent="0.3">
      <c r="A1228" t="s">
        <v>131</v>
      </c>
      <c r="B1228" s="2">
        <v>45323</v>
      </c>
      <c r="C1228">
        <v>4598.5</v>
      </c>
    </row>
    <row r="1229" spans="1:3" ht="15" hidden="1" customHeight="1" x14ac:dyDescent="0.3">
      <c r="A1229" t="s">
        <v>131</v>
      </c>
      <c r="B1229" s="2">
        <v>45352</v>
      </c>
      <c r="C1229">
        <v>5071.95</v>
      </c>
    </row>
    <row r="1230" spans="1:3" ht="15" hidden="1" customHeight="1" x14ac:dyDescent="0.3">
      <c r="A1230" t="s">
        <v>131</v>
      </c>
      <c r="B1230" s="2">
        <v>45383</v>
      </c>
      <c r="C1230">
        <v>4864.55</v>
      </c>
    </row>
    <row r="1231" spans="1:3" ht="15" hidden="1" customHeight="1" x14ac:dyDescent="0.3">
      <c r="A1231" t="s">
        <v>131</v>
      </c>
      <c r="B1231" s="2">
        <v>45413</v>
      </c>
      <c r="C1231">
        <v>5173.1000000000004</v>
      </c>
    </row>
    <row r="1232" spans="1:3" ht="15" hidden="1" customHeight="1" x14ac:dyDescent="0.3">
      <c r="A1232" t="s">
        <v>131</v>
      </c>
      <c r="B1232" s="2">
        <v>45444</v>
      </c>
      <c r="C1232">
        <v>5002.25</v>
      </c>
    </row>
    <row r="1233" spans="1:3" ht="15" hidden="1" customHeight="1" x14ac:dyDescent="0.3">
      <c r="A1233" t="s">
        <v>131</v>
      </c>
      <c r="B1233" s="2">
        <v>45474</v>
      </c>
      <c r="C1233">
        <v>5383.9</v>
      </c>
    </row>
    <row r="1234" spans="1:3" ht="15" hidden="1" customHeight="1" x14ac:dyDescent="0.3">
      <c r="A1234" t="s">
        <v>131</v>
      </c>
      <c r="B1234" s="2">
        <v>45505</v>
      </c>
      <c r="C1234">
        <v>5638.05</v>
      </c>
    </row>
    <row r="1235" spans="1:3" ht="15" hidden="1" customHeight="1" x14ac:dyDescent="0.3">
      <c r="A1235" t="s">
        <v>131</v>
      </c>
      <c r="B1235" s="2">
        <v>45536</v>
      </c>
      <c r="C1235">
        <v>5587.05</v>
      </c>
    </row>
    <row r="1236" spans="1:3" ht="15" hidden="1" customHeight="1" x14ac:dyDescent="0.3">
      <c r="A1236" t="s">
        <v>131</v>
      </c>
      <c r="B1236" s="2">
        <v>45566</v>
      </c>
      <c r="C1236">
        <v>5491.85</v>
      </c>
    </row>
    <row r="1237" spans="1:3" ht="15" hidden="1" customHeight="1" x14ac:dyDescent="0.3">
      <c r="A1237" t="s">
        <v>131</v>
      </c>
      <c r="B1237" s="2">
        <v>45597</v>
      </c>
      <c r="C1237">
        <v>5110.2</v>
      </c>
    </row>
    <row r="1238" spans="1:3" ht="15" hidden="1" customHeight="1" x14ac:dyDescent="0.3">
      <c r="A1238" t="s">
        <v>131</v>
      </c>
      <c r="B1238" s="2">
        <v>45627</v>
      </c>
      <c r="C1238">
        <v>5223.25</v>
      </c>
    </row>
    <row r="1239" spans="1:3" ht="15" hidden="1" customHeight="1" x14ac:dyDescent="0.3">
      <c r="A1239" t="s">
        <v>131</v>
      </c>
      <c r="B1239" s="2">
        <v>45658</v>
      </c>
      <c r="C1239">
        <v>5063.45</v>
      </c>
    </row>
    <row r="1240" spans="1:3" ht="15" hidden="1" customHeight="1" x14ac:dyDescent="0.3">
      <c r="A1240" t="s">
        <v>131</v>
      </c>
      <c r="B1240" s="2">
        <v>45689</v>
      </c>
      <c r="C1240">
        <v>4598.5</v>
      </c>
    </row>
    <row r="1241" spans="1:3" ht="15" hidden="1" customHeight="1" x14ac:dyDescent="0.3">
      <c r="A1241" t="s">
        <v>131</v>
      </c>
      <c r="B1241" s="2">
        <v>45717</v>
      </c>
      <c r="C1241">
        <v>5071.95</v>
      </c>
    </row>
    <row r="1242" spans="1:3" ht="15" hidden="1" customHeight="1" x14ac:dyDescent="0.3">
      <c r="A1242" t="s">
        <v>131</v>
      </c>
      <c r="B1242" s="2">
        <v>45748</v>
      </c>
      <c r="C1242">
        <v>4864.55</v>
      </c>
    </row>
    <row r="1243" spans="1:3" ht="15" hidden="1" customHeight="1" x14ac:dyDescent="0.3">
      <c r="A1243" t="s">
        <v>131</v>
      </c>
      <c r="B1243" s="2">
        <v>45778</v>
      </c>
      <c r="C1243">
        <v>5173.1000000000004</v>
      </c>
    </row>
    <row r="1244" spans="1:3" ht="15" hidden="1" customHeight="1" x14ac:dyDescent="0.3">
      <c r="A1244" t="s">
        <v>131</v>
      </c>
      <c r="B1244" s="2">
        <v>45809</v>
      </c>
      <c r="C1244">
        <v>5002.25</v>
      </c>
    </row>
    <row r="1245" spans="1:3" ht="15" hidden="1" customHeight="1" x14ac:dyDescent="0.3">
      <c r="A1245" t="s">
        <v>131</v>
      </c>
      <c r="B1245" s="2">
        <v>45839</v>
      </c>
      <c r="C1245">
        <v>5383.9</v>
      </c>
    </row>
    <row r="1246" spans="1:3" ht="15" hidden="1" customHeight="1" x14ac:dyDescent="0.3">
      <c r="A1246" t="s">
        <v>131</v>
      </c>
      <c r="B1246" s="2">
        <v>45870</v>
      </c>
      <c r="C1246">
        <v>5638.05</v>
      </c>
    </row>
    <row r="1247" spans="1:3" ht="15" hidden="1" customHeight="1" x14ac:dyDescent="0.3">
      <c r="A1247" t="s">
        <v>131</v>
      </c>
      <c r="B1247" s="2">
        <v>45901</v>
      </c>
      <c r="C1247">
        <v>5587.05</v>
      </c>
    </row>
    <row r="1248" spans="1:3" ht="15" hidden="1" customHeight="1" x14ac:dyDescent="0.3">
      <c r="A1248" t="s">
        <v>131</v>
      </c>
      <c r="B1248" s="2">
        <v>45931</v>
      </c>
      <c r="C1248">
        <v>5491.85</v>
      </c>
    </row>
    <row r="1249" spans="1:3" ht="15" hidden="1" customHeight="1" x14ac:dyDescent="0.3">
      <c r="A1249" t="s">
        <v>131</v>
      </c>
      <c r="B1249" s="2">
        <v>45962</v>
      </c>
      <c r="C1249">
        <v>5110.2</v>
      </c>
    </row>
    <row r="1250" spans="1:3" ht="15" hidden="1" customHeight="1" x14ac:dyDescent="0.3">
      <c r="A1250" t="s">
        <v>131</v>
      </c>
      <c r="B1250" s="2">
        <v>45992</v>
      </c>
      <c r="C1250">
        <v>5223.25</v>
      </c>
    </row>
    <row r="1251" spans="1:3" ht="15" hidden="1" customHeight="1" x14ac:dyDescent="0.3">
      <c r="A1251" t="s">
        <v>131</v>
      </c>
      <c r="B1251" s="2">
        <v>46023</v>
      </c>
      <c r="C1251">
        <v>5063.45</v>
      </c>
    </row>
    <row r="1252" spans="1:3" ht="15" hidden="1" customHeight="1" x14ac:dyDescent="0.3">
      <c r="A1252" t="s">
        <v>131</v>
      </c>
      <c r="B1252" s="2">
        <v>46054</v>
      </c>
      <c r="C1252">
        <v>4598.5</v>
      </c>
    </row>
    <row r="1253" spans="1:3" ht="15" hidden="1" customHeight="1" x14ac:dyDescent="0.3">
      <c r="A1253" t="s">
        <v>131</v>
      </c>
      <c r="B1253" s="2">
        <v>46082</v>
      </c>
      <c r="C1253">
        <v>5071.95</v>
      </c>
    </row>
    <row r="1254" spans="1:3" ht="15" hidden="1" customHeight="1" x14ac:dyDescent="0.3">
      <c r="A1254" t="s">
        <v>131</v>
      </c>
      <c r="B1254" s="2">
        <v>46113</v>
      </c>
      <c r="C1254">
        <v>4864.55</v>
      </c>
    </row>
    <row r="1255" spans="1:3" ht="15" hidden="1" customHeight="1" x14ac:dyDescent="0.3">
      <c r="A1255" t="s">
        <v>131</v>
      </c>
      <c r="B1255" s="2">
        <v>46143</v>
      </c>
      <c r="C1255">
        <v>5173.1000000000004</v>
      </c>
    </row>
    <row r="1256" spans="1:3" ht="15" hidden="1" customHeight="1" x14ac:dyDescent="0.3">
      <c r="A1256" t="s">
        <v>131</v>
      </c>
      <c r="B1256" s="2">
        <v>46174</v>
      </c>
      <c r="C1256">
        <v>5002.25</v>
      </c>
    </row>
    <row r="1257" spans="1:3" ht="15" hidden="1" customHeight="1" x14ac:dyDescent="0.3">
      <c r="A1257" t="s">
        <v>131</v>
      </c>
      <c r="B1257" s="2">
        <v>46204</v>
      </c>
      <c r="C1257">
        <v>5383.9</v>
      </c>
    </row>
    <row r="1258" spans="1:3" ht="15" customHeight="1" x14ac:dyDescent="0.3">
      <c r="A1258" t="s">
        <v>131</v>
      </c>
      <c r="B1258" s="2">
        <v>46235</v>
      </c>
      <c r="C1258">
        <v>5638.05</v>
      </c>
    </row>
    <row r="1259" spans="1:3" ht="15" hidden="1" customHeight="1" x14ac:dyDescent="0.3">
      <c r="A1259" t="s">
        <v>131</v>
      </c>
      <c r="B1259" s="2">
        <v>46266</v>
      </c>
      <c r="C1259">
        <v>5587.05</v>
      </c>
    </row>
    <row r="1260" spans="1:3" ht="15" hidden="1" customHeight="1" x14ac:dyDescent="0.3">
      <c r="A1260" t="s">
        <v>131</v>
      </c>
      <c r="B1260" s="2">
        <v>46296</v>
      </c>
      <c r="C1260">
        <v>5491.85</v>
      </c>
    </row>
    <row r="1261" spans="1:3" ht="15" hidden="1" customHeight="1" x14ac:dyDescent="0.3">
      <c r="A1261" t="s">
        <v>131</v>
      </c>
      <c r="B1261" s="2">
        <v>46327</v>
      </c>
      <c r="C1261">
        <v>5110.2</v>
      </c>
    </row>
    <row r="1262" spans="1:3" ht="15" hidden="1" customHeight="1" x14ac:dyDescent="0.3">
      <c r="A1262" t="s">
        <v>131</v>
      </c>
      <c r="B1262" s="2">
        <v>46357</v>
      </c>
      <c r="C1262">
        <v>5223.25</v>
      </c>
    </row>
    <row r="1263" spans="1:3" ht="15" hidden="1" customHeight="1" x14ac:dyDescent="0.3">
      <c r="A1263" t="s">
        <v>134</v>
      </c>
      <c r="B1263" s="2">
        <v>45292</v>
      </c>
      <c r="C1263">
        <v>40416.300000000003</v>
      </c>
    </row>
    <row r="1264" spans="1:3" ht="15" hidden="1" customHeight="1" x14ac:dyDescent="0.3">
      <c r="A1264" t="s">
        <v>134</v>
      </c>
      <c r="B1264" s="2">
        <v>45323</v>
      </c>
      <c r="C1264">
        <v>33988.5</v>
      </c>
    </row>
    <row r="1265" spans="1:3" ht="15" hidden="1" customHeight="1" x14ac:dyDescent="0.3">
      <c r="A1265" t="s">
        <v>134</v>
      </c>
      <c r="B1265" s="2">
        <v>45352</v>
      </c>
      <c r="C1265">
        <v>35132.400000000001</v>
      </c>
    </row>
    <row r="1266" spans="1:3" ht="15" hidden="1" customHeight="1" x14ac:dyDescent="0.3">
      <c r="A1266" t="s">
        <v>134</v>
      </c>
      <c r="B1266" s="2">
        <v>45383</v>
      </c>
      <c r="C1266">
        <v>29903.4</v>
      </c>
    </row>
    <row r="1267" spans="1:3" ht="15" hidden="1" customHeight="1" x14ac:dyDescent="0.3">
      <c r="A1267" t="s">
        <v>134</v>
      </c>
      <c r="B1267" s="2">
        <v>45413</v>
      </c>
      <c r="C1267">
        <v>28383.3</v>
      </c>
    </row>
    <row r="1268" spans="1:3" ht="15" hidden="1" customHeight="1" x14ac:dyDescent="0.3">
      <c r="A1268" t="s">
        <v>134</v>
      </c>
      <c r="B1268" s="2">
        <v>45444</v>
      </c>
      <c r="C1268">
        <v>25641.9</v>
      </c>
    </row>
    <row r="1269" spans="1:3" ht="15" hidden="1" customHeight="1" x14ac:dyDescent="0.3">
      <c r="A1269" t="s">
        <v>134</v>
      </c>
      <c r="B1269" s="2">
        <v>45474</v>
      </c>
      <c r="C1269">
        <v>28361.7</v>
      </c>
    </row>
    <row r="1270" spans="1:3" ht="15" hidden="1" customHeight="1" x14ac:dyDescent="0.3">
      <c r="A1270" t="s">
        <v>134</v>
      </c>
      <c r="B1270" s="2">
        <v>45505</v>
      </c>
      <c r="C1270">
        <v>33006.6</v>
      </c>
    </row>
    <row r="1271" spans="1:3" ht="15" hidden="1" customHeight="1" x14ac:dyDescent="0.3">
      <c r="A1271" t="s">
        <v>134</v>
      </c>
      <c r="B1271" s="2">
        <v>45536</v>
      </c>
      <c r="C1271">
        <v>36521.1</v>
      </c>
    </row>
    <row r="1272" spans="1:3" ht="15" hidden="1" customHeight="1" x14ac:dyDescent="0.3">
      <c r="A1272" t="s">
        <v>134</v>
      </c>
      <c r="B1272" s="2">
        <v>45566</v>
      </c>
      <c r="C1272">
        <v>39682.800000000003</v>
      </c>
    </row>
    <row r="1273" spans="1:3" ht="15" hidden="1" customHeight="1" x14ac:dyDescent="0.3">
      <c r="A1273" t="s">
        <v>134</v>
      </c>
      <c r="B1273" s="2">
        <v>45597</v>
      </c>
      <c r="C1273">
        <v>39748.5</v>
      </c>
    </row>
    <row r="1274" spans="1:3" ht="15" hidden="1" customHeight="1" x14ac:dyDescent="0.3">
      <c r="A1274" t="s">
        <v>134</v>
      </c>
      <c r="B1274" s="2">
        <v>45627</v>
      </c>
      <c r="C1274">
        <v>42519.6</v>
      </c>
    </row>
    <row r="1275" spans="1:3" ht="15" hidden="1" customHeight="1" x14ac:dyDescent="0.3">
      <c r="A1275" t="s">
        <v>134</v>
      </c>
      <c r="B1275" s="2">
        <v>45658</v>
      </c>
      <c r="C1275">
        <v>40416.300000000003</v>
      </c>
    </row>
    <row r="1276" spans="1:3" ht="15" hidden="1" customHeight="1" x14ac:dyDescent="0.3">
      <c r="A1276" t="s">
        <v>134</v>
      </c>
      <c r="B1276" s="2">
        <v>45689</v>
      </c>
      <c r="C1276">
        <v>33988.5</v>
      </c>
    </row>
    <row r="1277" spans="1:3" ht="15" hidden="1" customHeight="1" x14ac:dyDescent="0.3">
      <c r="A1277" t="s">
        <v>134</v>
      </c>
      <c r="B1277" s="2">
        <v>45717</v>
      </c>
      <c r="C1277">
        <v>35132.400000000001</v>
      </c>
    </row>
    <row r="1278" spans="1:3" ht="15" hidden="1" customHeight="1" x14ac:dyDescent="0.3">
      <c r="A1278" t="s">
        <v>134</v>
      </c>
      <c r="B1278" s="2">
        <v>45748</v>
      </c>
      <c r="C1278">
        <v>29903.4</v>
      </c>
    </row>
    <row r="1279" spans="1:3" ht="15" hidden="1" customHeight="1" x14ac:dyDescent="0.3">
      <c r="A1279" t="s">
        <v>134</v>
      </c>
      <c r="B1279" s="2">
        <v>45778</v>
      </c>
      <c r="C1279">
        <v>28383.3</v>
      </c>
    </row>
    <row r="1280" spans="1:3" ht="15" hidden="1" customHeight="1" x14ac:dyDescent="0.3">
      <c r="A1280" t="s">
        <v>134</v>
      </c>
      <c r="B1280" s="2">
        <v>45809</v>
      </c>
      <c r="C1280">
        <v>25641.9</v>
      </c>
    </row>
    <row r="1281" spans="1:3" ht="15" hidden="1" customHeight="1" x14ac:dyDescent="0.3">
      <c r="A1281" t="s">
        <v>134</v>
      </c>
      <c r="B1281" s="2">
        <v>45839</v>
      </c>
      <c r="C1281">
        <v>28361.7</v>
      </c>
    </row>
    <row r="1282" spans="1:3" ht="15" hidden="1" customHeight="1" x14ac:dyDescent="0.3">
      <c r="A1282" t="s">
        <v>134</v>
      </c>
      <c r="B1282" s="2">
        <v>45870</v>
      </c>
      <c r="C1282">
        <v>33006.6</v>
      </c>
    </row>
    <row r="1283" spans="1:3" ht="15" hidden="1" customHeight="1" x14ac:dyDescent="0.3">
      <c r="A1283" t="s">
        <v>134</v>
      </c>
      <c r="B1283" s="2">
        <v>45901</v>
      </c>
      <c r="C1283">
        <v>36521.1</v>
      </c>
    </row>
    <row r="1284" spans="1:3" ht="15" hidden="1" customHeight="1" x14ac:dyDescent="0.3">
      <c r="A1284" t="s">
        <v>134</v>
      </c>
      <c r="B1284" s="2">
        <v>45931</v>
      </c>
      <c r="C1284">
        <v>39682.800000000003</v>
      </c>
    </row>
    <row r="1285" spans="1:3" ht="15" hidden="1" customHeight="1" x14ac:dyDescent="0.3">
      <c r="A1285" t="s">
        <v>134</v>
      </c>
      <c r="B1285" s="2">
        <v>45962</v>
      </c>
      <c r="C1285">
        <v>39748.5</v>
      </c>
    </row>
    <row r="1286" spans="1:3" ht="15" hidden="1" customHeight="1" x14ac:dyDescent="0.3">
      <c r="A1286" t="s">
        <v>134</v>
      </c>
      <c r="B1286" s="2">
        <v>45992</v>
      </c>
      <c r="C1286">
        <v>42519.6</v>
      </c>
    </row>
    <row r="1287" spans="1:3" ht="15" hidden="1" customHeight="1" x14ac:dyDescent="0.3">
      <c r="A1287" t="s">
        <v>134</v>
      </c>
      <c r="B1287" s="2">
        <v>46023</v>
      </c>
      <c r="C1287">
        <v>40416.300000000003</v>
      </c>
    </row>
    <row r="1288" spans="1:3" ht="15" hidden="1" customHeight="1" x14ac:dyDescent="0.3">
      <c r="A1288" t="s">
        <v>134</v>
      </c>
      <c r="B1288" s="2">
        <v>46054</v>
      </c>
      <c r="C1288">
        <v>33988.5</v>
      </c>
    </row>
    <row r="1289" spans="1:3" ht="15" hidden="1" customHeight="1" x14ac:dyDescent="0.3">
      <c r="A1289" t="s">
        <v>134</v>
      </c>
      <c r="B1289" s="2">
        <v>46082</v>
      </c>
      <c r="C1289">
        <v>35132.400000000001</v>
      </c>
    </row>
    <row r="1290" spans="1:3" ht="15" hidden="1" customHeight="1" x14ac:dyDescent="0.3">
      <c r="A1290" t="s">
        <v>134</v>
      </c>
      <c r="B1290" s="2">
        <v>46113</v>
      </c>
      <c r="C1290">
        <v>29903.4</v>
      </c>
    </row>
    <row r="1291" spans="1:3" ht="15" hidden="1" customHeight="1" x14ac:dyDescent="0.3">
      <c r="A1291" t="s">
        <v>134</v>
      </c>
      <c r="B1291" s="2">
        <v>46143</v>
      </c>
      <c r="C1291">
        <v>28383.3</v>
      </c>
    </row>
    <row r="1292" spans="1:3" ht="15" hidden="1" customHeight="1" x14ac:dyDescent="0.3">
      <c r="A1292" t="s">
        <v>134</v>
      </c>
      <c r="B1292" s="2">
        <v>46174</v>
      </c>
      <c r="C1292">
        <v>25641.9</v>
      </c>
    </row>
    <row r="1293" spans="1:3" ht="15" hidden="1" customHeight="1" x14ac:dyDescent="0.3">
      <c r="A1293" t="s">
        <v>134</v>
      </c>
      <c r="B1293" s="2">
        <v>46204</v>
      </c>
      <c r="C1293">
        <v>28361.7</v>
      </c>
    </row>
    <row r="1294" spans="1:3" ht="15" customHeight="1" x14ac:dyDescent="0.3">
      <c r="A1294" t="s">
        <v>134</v>
      </c>
      <c r="B1294" s="2">
        <v>46235</v>
      </c>
      <c r="C1294">
        <v>33006.6</v>
      </c>
    </row>
    <row r="1295" spans="1:3" ht="15" hidden="1" customHeight="1" x14ac:dyDescent="0.3">
      <c r="A1295" t="s">
        <v>134</v>
      </c>
      <c r="B1295" s="2">
        <v>46266</v>
      </c>
      <c r="C1295">
        <v>36521.1</v>
      </c>
    </row>
    <row r="1296" spans="1:3" ht="15" hidden="1" customHeight="1" x14ac:dyDescent="0.3">
      <c r="A1296" t="s">
        <v>134</v>
      </c>
      <c r="B1296" s="2">
        <v>46296</v>
      </c>
      <c r="C1296">
        <v>39682.800000000003</v>
      </c>
    </row>
    <row r="1297" spans="1:3" ht="15" hidden="1" customHeight="1" x14ac:dyDescent="0.3">
      <c r="A1297" t="s">
        <v>134</v>
      </c>
      <c r="B1297" s="2">
        <v>46327</v>
      </c>
      <c r="C1297">
        <v>39748.5</v>
      </c>
    </row>
    <row r="1298" spans="1:3" ht="15" hidden="1" customHeight="1" x14ac:dyDescent="0.3">
      <c r="A1298" t="s">
        <v>134</v>
      </c>
      <c r="B1298" s="2">
        <v>46357</v>
      </c>
      <c r="C1298">
        <v>42519.6</v>
      </c>
    </row>
    <row r="1299" spans="1:3" ht="15" hidden="1" customHeight="1" x14ac:dyDescent="0.3">
      <c r="A1299" t="s">
        <v>138</v>
      </c>
      <c r="B1299" s="2">
        <v>45292</v>
      </c>
      <c r="C1299">
        <v>23544</v>
      </c>
    </row>
    <row r="1300" spans="1:3" ht="15" hidden="1" customHeight="1" x14ac:dyDescent="0.3">
      <c r="A1300" t="s">
        <v>138</v>
      </c>
      <c r="B1300" s="2">
        <v>45323</v>
      </c>
      <c r="C1300">
        <v>21677</v>
      </c>
    </row>
    <row r="1301" spans="1:3" ht="15" hidden="1" customHeight="1" x14ac:dyDescent="0.3">
      <c r="A1301" t="s">
        <v>138</v>
      </c>
      <c r="B1301" s="2">
        <v>45352</v>
      </c>
      <c r="C1301">
        <v>24212</v>
      </c>
    </row>
    <row r="1302" spans="1:3" ht="15" hidden="1" customHeight="1" x14ac:dyDescent="0.3">
      <c r="A1302" t="s">
        <v>138</v>
      </c>
      <c r="B1302" s="2">
        <v>45383</v>
      </c>
      <c r="C1302">
        <v>20861</v>
      </c>
    </row>
    <row r="1303" spans="1:3" ht="15" hidden="1" customHeight="1" x14ac:dyDescent="0.3">
      <c r="A1303" t="s">
        <v>138</v>
      </c>
      <c r="B1303" s="2">
        <v>45413</v>
      </c>
      <c r="C1303">
        <v>20012</v>
      </c>
    </row>
    <row r="1304" spans="1:3" ht="15" hidden="1" customHeight="1" x14ac:dyDescent="0.3">
      <c r="A1304" t="s">
        <v>138</v>
      </c>
      <c r="B1304" s="2">
        <v>45444</v>
      </c>
      <c r="C1304">
        <v>18485</v>
      </c>
    </row>
    <row r="1305" spans="1:3" ht="15" hidden="1" customHeight="1" x14ac:dyDescent="0.3">
      <c r="A1305" t="s">
        <v>138</v>
      </c>
      <c r="B1305" s="2">
        <v>45474</v>
      </c>
      <c r="C1305">
        <v>20016</v>
      </c>
    </row>
    <row r="1306" spans="1:3" ht="15" hidden="1" customHeight="1" x14ac:dyDescent="0.3">
      <c r="A1306" t="s">
        <v>138</v>
      </c>
      <c r="B1306" s="2">
        <v>45505</v>
      </c>
      <c r="C1306">
        <v>21052</v>
      </c>
    </row>
    <row r="1307" spans="1:3" ht="15" hidden="1" customHeight="1" x14ac:dyDescent="0.3">
      <c r="A1307" t="s">
        <v>138</v>
      </c>
      <c r="B1307" s="2">
        <v>45536</v>
      </c>
      <c r="C1307">
        <v>21403</v>
      </c>
    </row>
    <row r="1308" spans="1:3" ht="15" hidden="1" customHeight="1" x14ac:dyDescent="0.3">
      <c r="A1308" t="s">
        <v>138</v>
      </c>
      <c r="B1308" s="2">
        <v>45566</v>
      </c>
      <c r="C1308">
        <v>20962</v>
      </c>
    </row>
    <row r="1309" spans="1:3" ht="15" hidden="1" customHeight="1" x14ac:dyDescent="0.3">
      <c r="A1309" t="s">
        <v>138</v>
      </c>
      <c r="B1309" s="2">
        <v>45597</v>
      </c>
      <c r="C1309">
        <v>19856</v>
      </c>
    </row>
    <row r="1310" spans="1:3" ht="15" hidden="1" customHeight="1" x14ac:dyDescent="0.3">
      <c r="A1310" t="s">
        <v>138</v>
      </c>
      <c r="B1310" s="2">
        <v>45627</v>
      </c>
      <c r="C1310">
        <v>21184</v>
      </c>
    </row>
    <row r="1311" spans="1:3" ht="15" hidden="1" customHeight="1" x14ac:dyDescent="0.3">
      <c r="A1311" t="s">
        <v>138</v>
      </c>
      <c r="B1311" s="2">
        <v>45658</v>
      </c>
      <c r="C1311">
        <v>23544</v>
      </c>
    </row>
    <row r="1312" spans="1:3" ht="15" hidden="1" customHeight="1" x14ac:dyDescent="0.3">
      <c r="A1312" t="s">
        <v>138</v>
      </c>
      <c r="B1312" s="2">
        <v>45689</v>
      </c>
      <c r="C1312">
        <v>21677</v>
      </c>
    </row>
    <row r="1313" spans="1:3" ht="15" hidden="1" customHeight="1" x14ac:dyDescent="0.3">
      <c r="A1313" t="s">
        <v>138</v>
      </c>
      <c r="B1313" s="2">
        <v>45717</v>
      </c>
      <c r="C1313">
        <v>24212</v>
      </c>
    </row>
    <row r="1314" spans="1:3" ht="15" hidden="1" customHeight="1" x14ac:dyDescent="0.3">
      <c r="A1314" t="s">
        <v>138</v>
      </c>
      <c r="B1314" s="2">
        <v>45748</v>
      </c>
      <c r="C1314">
        <v>20861</v>
      </c>
    </row>
    <row r="1315" spans="1:3" ht="15" hidden="1" customHeight="1" x14ac:dyDescent="0.3">
      <c r="A1315" t="s">
        <v>138</v>
      </c>
      <c r="B1315" s="2">
        <v>45778</v>
      </c>
      <c r="C1315">
        <v>20012</v>
      </c>
    </row>
    <row r="1316" spans="1:3" ht="15" hidden="1" customHeight="1" x14ac:dyDescent="0.3">
      <c r="A1316" t="s">
        <v>138</v>
      </c>
      <c r="B1316" s="2">
        <v>45809</v>
      </c>
      <c r="C1316">
        <v>18485</v>
      </c>
    </row>
    <row r="1317" spans="1:3" ht="15" hidden="1" customHeight="1" x14ac:dyDescent="0.3">
      <c r="A1317" t="s">
        <v>138</v>
      </c>
      <c r="B1317" s="2">
        <v>45839</v>
      </c>
      <c r="C1317">
        <v>20016</v>
      </c>
    </row>
    <row r="1318" spans="1:3" ht="15" hidden="1" customHeight="1" x14ac:dyDescent="0.3">
      <c r="A1318" t="s">
        <v>138</v>
      </c>
      <c r="B1318" s="2">
        <v>45870</v>
      </c>
      <c r="C1318">
        <v>21052</v>
      </c>
    </row>
    <row r="1319" spans="1:3" ht="15" hidden="1" customHeight="1" x14ac:dyDescent="0.3">
      <c r="A1319" t="s">
        <v>138</v>
      </c>
      <c r="B1319" s="2">
        <v>45901</v>
      </c>
      <c r="C1319">
        <v>21403</v>
      </c>
    </row>
    <row r="1320" spans="1:3" ht="15" hidden="1" customHeight="1" x14ac:dyDescent="0.3">
      <c r="A1320" t="s">
        <v>138</v>
      </c>
      <c r="B1320" s="2">
        <v>45931</v>
      </c>
      <c r="C1320">
        <v>20962</v>
      </c>
    </row>
    <row r="1321" spans="1:3" ht="15" hidden="1" customHeight="1" x14ac:dyDescent="0.3">
      <c r="A1321" t="s">
        <v>138</v>
      </c>
      <c r="B1321" s="2">
        <v>45962</v>
      </c>
      <c r="C1321">
        <v>19856</v>
      </c>
    </row>
    <row r="1322" spans="1:3" ht="15" hidden="1" customHeight="1" x14ac:dyDescent="0.3">
      <c r="A1322" t="s">
        <v>138</v>
      </c>
      <c r="B1322" s="2">
        <v>45992</v>
      </c>
      <c r="C1322">
        <v>21184</v>
      </c>
    </row>
    <row r="1323" spans="1:3" ht="15" hidden="1" customHeight="1" x14ac:dyDescent="0.3">
      <c r="A1323" t="s">
        <v>138</v>
      </c>
      <c r="B1323" s="2">
        <v>46023</v>
      </c>
      <c r="C1323">
        <v>23544</v>
      </c>
    </row>
    <row r="1324" spans="1:3" ht="15" hidden="1" customHeight="1" x14ac:dyDescent="0.3">
      <c r="A1324" t="s">
        <v>138</v>
      </c>
      <c r="B1324" s="2">
        <v>46054</v>
      </c>
      <c r="C1324">
        <v>21677</v>
      </c>
    </row>
    <row r="1325" spans="1:3" ht="15" hidden="1" customHeight="1" x14ac:dyDescent="0.3">
      <c r="A1325" t="s">
        <v>138</v>
      </c>
      <c r="B1325" s="2">
        <v>46082</v>
      </c>
      <c r="C1325">
        <v>24212</v>
      </c>
    </row>
    <row r="1326" spans="1:3" ht="15" hidden="1" customHeight="1" x14ac:dyDescent="0.3">
      <c r="A1326" t="s">
        <v>138</v>
      </c>
      <c r="B1326" s="2">
        <v>46113</v>
      </c>
      <c r="C1326">
        <v>20861</v>
      </c>
    </row>
    <row r="1327" spans="1:3" ht="15" hidden="1" customHeight="1" x14ac:dyDescent="0.3">
      <c r="A1327" t="s">
        <v>138</v>
      </c>
      <c r="B1327" s="2">
        <v>46143</v>
      </c>
      <c r="C1327">
        <v>20012</v>
      </c>
    </row>
    <row r="1328" spans="1:3" ht="15" hidden="1" customHeight="1" x14ac:dyDescent="0.3">
      <c r="A1328" t="s">
        <v>138</v>
      </c>
      <c r="B1328" s="2">
        <v>46174</v>
      </c>
      <c r="C1328">
        <v>18485</v>
      </c>
    </row>
    <row r="1329" spans="1:3" ht="15" hidden="1" customHeight="1" x14ac:dyDescent="0.3">
      <c r="A1329" t="s">
        <v>138</v>
      </c>
      <c r="B1329" s="2">
        <v>46204</v>
      </c>
      <c r="C1329">
        <v>20016</v>
      </c>
    </row>
    <row r="1330" spans="1:3" ht="15" customHeight="1" x14ac:dyDescent="0.3">
      <c r="A1330" t="s">
        <v>138</v>
      </c>
      <c r="B1330" s="2">
        <v>46235</v>
      </c>
      <c r="C1330">
        <v>21052</v>
      </c>
    </row>
    <row r="1331" spans="1:3" ht="15" hidden="1" customHeight="1" x14ac:dyDescent="0.3">
      <c r="A1331" t="s">
        <v>138</v>
      </c>
      <c r="B1331" s="2">
        <v>46266</v>
      </c>
      <c r="C1331">
        <v>21403</v>
      </c>
    </row>
    <row r="1332" spans="1:3" ht="15" hidden="1" customHeight="1" x14ac:dyDescent="0.3">
      <c r="A1332" t="s">
        <v>138</v>
      </c>
      <c r="B1332" s="2">
        <v>46296</v>
      </c>
      <c r="C1332">
        <v>20962</v>
      </c>
    </row>
    <row r="1333" spans="1:3" ht="15" hidden="1" customHeight="1" x14ac:dyDescent="0.3">
      <c r="A1333" t="s">
        <v>138</v>
      </c>
      <c r="B1333" s="2">
        <v>46327</v>
      </c>
      <c r="C1333">
        <v>19856</v>
      </c>
    </row>
    <row r="1334" spans="1:3" ht="15" hidden="1" customHeight="1" x14ac:dyDescent="0.3">
      <c r="A1334" t="s">
        <v>138</v>
      </c>
      <c r="B1334" s="2">
        <v>46357</v>
      </c>
      <c r="C1334">
        <v>21184</v>
      </c>
    </row>
    <row r="1335" spans="1:3" ht="15" hidden="1" customHeight="1" x14ac:dyDescent="0.3">
      <c r="A1335" t="s">
        <v>220</v>
      </c>
      <c r="B1335" s="2">
        <v>45292</v>
      </c>
      <c r="C1335">
        <v>46872</v>
      </c>
    </row>
    <row r="1336" spans="1:3" ht="15" hidden="1" customHeight="1" x14ac:dyDescent="0.3">
      <c r="A1336" t="s">
        <v>220</v>
      </c>
      <c r="B1336" s="2">
        <v>45323</v>
      </c>
      <c r="C1336">
        <v>40989.599999999999</v>
      </c>
    </row>
    <row r="1337" spans="1:3" ht="15" hidden="1" customHeight="1" x14ac:dyDescent="0.3">
      <c r="A1337" t="s">
        <v>220</v>
      </c>
      <c r="B1337" s="2">
        <v>45352</v>
      </c>
      <c r="C1337">
        <v>39989.699999999997</v>
      </c>
    </row>
    <row r="1338" spans="1:3" ht="15" hidden="1" customHeight="1" x14ac:dyDescent="0.3">
      <c r="A1338" t="s">
        <v>220</v>
      </c>
      <c r="B1338" s="2">
        <v>45383</v>
      </c>
      <c r="C1338">
        <v>34783.199999999997</v>
      </c>
    </row>
    <row r="1339" spans="1:3" ht="15" hidden="1" customHeight="1" x14ac:dyDescent="0.3">
      <c r="A1339" t="s">
        <v>220</v>
      </c>
      <c r="B1339" s="2">
        <v>45413</v>
      </c>
      <c r="C1339">
        <v>32139</v>
      </c>
    </row>
    <row r="1340" spans="1:3" ht="15" hidden="1" customHeight="1" x14ac:dyDescent="0.3">
      <c r="A1340" t="s">
        <v>220</v>
      </c>
      <c r="B1340" s="2">
        <v>45444</v>
      </c>
      <c r="C1340">
        <v>28357.200000000001</v>
      </c>
    </row>
    <row r="1341" spans="1:3" ht="15" hidden="1" customHeight="1" x14ac:dyDescent="0.3">
      <c r="A1341" t="s">
        <v>220</v>
      </c>
      <c r="B1341" s="2">
        <v>45474</v>
      </c>
      <c r="C1341">
        <v>31229.1</v>
      </c>
    </row>
    <row r="1342" spans="1:3" ht="15" hidden="1" customHeight="1" x14ac:dyDescent="0.3">
      <c r="A1342" t="s">
        <v>220</v>
      </c>
      <c r="B1342" s="2">
        <v>45505</v>
      </c>
      <c r="C1342">
        <v>36815.4</v>
      </c>
    </row>
    <row r="1343" spans="1:3" ht="15" hidden="1" customHeight="1" x14ac:dyDescent="0.3">
      <c r="A1343" t="s">
        <v>220</v>
      </c>
      <c r="B1343" s="2">
        <v>45536</v>
      </c>
      <c r="C1343">
        <v>40778.1</v>
      </c>
    </row>
    <row r="1344" spans="1:3" ht="15" hidden="1" customHeight="1" x14ac:dyDescent="0.3">
      <c r="A1344" t="s">
        <v>220</v>
      </c>
      <c r="B1344" s="2">
        <v>45566</v>
      </c>
      <c r="C1344">
        <v>46212.3</v>
      </c>
    </row>
    <row r="1345" spans="1:3" ht="15" hidden="1" customHeight="1" x14ac:dyDescent="0.3">
      <c r="A1345" t="s">
        <v>220</v>
      </c>
      <c r="B1345" s="2">
        <v>45597</v>
      </c>
      <c r="C1345">
        <v>46653.3</v>
      </c>
    </row>
    <row r="1346" spans="1:3" ht="15" hidden="1" customHeight="1" x14ac:dyDescent="0.3">
      <c r="A1346" t="s">
        <v>220</v>
      </c>
      <c r="B1346" s="2">
        <v>45627</v>
      </c>
      <c r="C1346">
        <v>47656.800000000003</v>
      </c>
    </row>
    <row r="1347" spans="1:3" ht="15" hidden="1" customHeight="1" x14ac:dyDescent="0.3">
      <c r="A1347" t="s">
        <v>220</v>
      </c>
      <c r="B1347" s="2">
        <v>45658</v>
      </c>
      <c r="C1347">
        <v>46872</v>
      </c>
    </row>
    <row r="1348" spans="1:3" ht="15" hidden="1" customHeight="1" x14ac:dyDescent="0.3">
      <c r="A1348" t="s">
        <v>220</v>
      </c>
      <c r="B1348" s="2">
        <v>45689</v>
      </c>
      <c r="C1348">
        <v>40989.599999999999</v>
      </c>
    </row>
    <row r="1349" spans="1:3" ht="15" hidden="1" customHeight="1" x14ac:dyDescent="0.3">
      <c r="A1349" t="s">
        <v>220</v>
      </c>
      <c r="B1349" s="2">
        <v>45717</v>
      </c>
      <c r="C1349">
        <v>39989.699999999997</v>
      </c>
    </row>
    <row r="1350" spans="1:3" ht="15" hidden="1" customHeight="1" x14ac:dyDescent="0.3">
      <c r="A1350" t="s">
        <v>220</v>
      </c>
      <c r="B1350" s="2">
        <v>45748</v>
      </c>
      <c r="C1350">
        <v>34783.199999999997</v>
      </c>
    </row>
    <row r="1351" spans="1:3" ht="15" hidden="1" customHeight="1" x14ac:dyDescent="0.3">
      <c r="A1351" t="s">
        <v>220</v>
      </c>
      <c r="B1351" s="2">
        <v>45778</v>
      </c>
      <c r="C1351">
        <v>32139</v>
      </c>
    </row>
    <row r="1352" spans="1:3" ht="15" hidden="1" customHeight="1" x14ac:dyDescent="0.3">
      <c r="A1352" t="s">
        <v>220</v>
      </c>
      <c r="B1352" s="2">
        <v>45809</v>
      </c>
      <c r="C1352">
        <v>28357.200000000001</v>
      </c>
    </row>
    <row r="1353" spans="1:3" ht="15" hidden="1" customHeight="1" x14ac:dyDescent="0.3">
      <c r="A1353" t="s">
        <v>220</v>
      </c>
      <c r="B1353" s="2">
        <v>45839</v>
      </c>
      <c r="C1353">
        <v>31229.1</v>
      </c>
    </row>
    <row r="1354" spans="1:3" ht="15" hidden="1" customHeight="1" x14ac:dyDescent="0.3">
      <c r="A1354" t="s">
        <v>220</v>
      </c>
      <c r="B1354" s="2">
        <v>45870</v>
      </c>
      <c r="C1354">
        <v>36815.4</v>
      </c>
    </row>
    <row r="1355" spans="1:3" ht="15" hidden="1" customHeight="1" x14ac:dyDescent="0.3">
      <c r="A1355" t="s">
        <v>220</v>
      </c>
      <c r="B1355" s="2">
        <v>45901</v>
      </c>
      <c r="C1355">
        <v>40778.1</v>
      </c>
    </row>
    <row r="1356" spans="1:3" ht="15" hidden="1" customHeight="1" x14ac:dyDescent="0.3">
      <c r="A1356" t="s">
        <v>220</v>
      </c>
      <c r="B1356" s="2">
        <v>45931</v>
      </c>
      <c r="C1356">
        <v>46212.3</v>
      </c>
    </row>
    <row r="1357" spans="1:3" ht="15" hidden="1" customHeight="1" x14ac:dyDescent="0.3">
      <c r="A1357" t="s">
        <v>220</v>
      </c>
      <c r="B1357" s="2">
        <v>45962</v>
      </c>
      <c r="C1357">
        <v>46653.3</v>
      </c>
    </row>
    <row r="1358" spans="1:3" ht="15" hidden="1" customHeight="1" x14ac:dyDescent="0.3">
      <c r="A1358" t="s">
        <v>220</v>
      </c>
      <c r="B1358" s="2">
        <v>45992</v>
      </c>
      <c r="C1358">
        <v>47656.800000000003</v>
      </c>
    </row>
    <row r="1359" spans="1:3" ht="15" hidden="1" customHeight="1" x14ac:dyDescent="0.3">
      <c r="A1359" t="s">
        <v>220</v>
      </c>
      <c r="B1359" s="2">
        <v>46023</v>
      </c>
      <c r="C1359">
        <v>46872</v>
      </c>
    </row>
    <row r="1360" spans="1:3" ht="15" hidden="1" customHeight="1" x14ac:dyDescent="0.3">
      <c r="A1360" t="s">
        <v>220</v>
      </c>
      <c r="B1360" s="2">
        <v>46054</v>
      </c>
      <c r="C1360">
        <v>40989.599999999999</v>
      </c>
    </row>
    <row r="1361" spans="1:3" ht="15" hidden="1" customHeight="1" x14ac:dyDescent="0.3">
      <c r="A1361" t="s">
        <v>220</v>
      </c>
      <c r="B1361" s="2">
        <v>46082</v>
      </c>
      <c r="C1361">
        <v>39989.699999999997</v>
      </c>
    </row>
    <row r="1362" spans="1:3" ht="15" hidden="1" customHeight="1" x14ac:dyDescent="0.3">
      <c r="A1362" t="s">
        <v>220</v>
      </c>
      <c r="B1362" s="2">
        <v>46113</v>
      </c>
      <c r="C1362">
        <v>34783.199999999997</v>
      </c>
    </row>
    <row r="1363" spans="1:3" ht="15" hidden="1" customHeight="1" x14ac:dyDescent="0.3">
      <c r="A1363" t="s">
        <v>220</v>
      </c>
      <c r="B1363" s="2">
        <v>46143</v>
      </c>
      <c r="C1363">
        <v>32139</v>
      </c>
    </row>
    <row r="1364" spans="1:3" ht="15" hidden="1" customHeight="1" x14ac:dyDescent="0.3">
      <c r="A1364" t="s">
        <v>220</v>
      </c>
      <c r="B1364" s="2">
        <v>46174</v>
      </c>
      <c r="C1364">
        <v>28357.200000000001</v>
      </c>
    </row>
    <row r="1365" spans="1:3" ht="15" hidden="1" customHeight="1" x14ac:dyDescent="0.3">
      <c r="A1365" t="s">
        <v>220</v>
      </c>
      <c r="B1365" s="2">
        <v>46204</v>
      </c>
      <c r="C1365">
        <v>31229.1</v>
      </c>
    </row>
    <row r="1366" spans="1:3" ht="15" customHeight="1" x14ac:dyDescent="0.3">
      <c r="A1366" t="s">
        <v>220</v>
      </c>
      <c r="B1366" s="2">
        <v>46235</v>
      </c>
      <c r="C1366">
        <v>36815.4</v>
      </c>
    </row>
    <row r="1367" spans="1:3" ht="15" hidden="1" customHeight="1" x14ac:dyDescent="0.3">
      <c r="A1367" t="s">
        <v>220</v>
      </c>
      <c r="B1367" s="2">
        <v>46266</v>
      </c>
      <c r="C1367">
        <v>40778.1</v>
      </c>
    </row>
    <row r="1368" spans="1:3" ht="15" hidden="1" customHeight="1" x14ac:dyDescent="0.3">
      <c r="A1368" t="s">
        <v>220</v>
      </c>
      <c r="B1368" s="2">
        <v>46296</v>
      </c>
      <c r="C1368">
        <v>46212.3</v>
      </c>
    </row>
    <row r="1369" spans="1:3" ht="15" hidden="1" customHeight="1" x14ac:dyDescent="0.3">
      <c r="A1369" t="s">
        <v>220</v>
      </c>
      <c r="B1369" s="2">
        <v>46327</v>
      </c>
      <c r="C1369">
        <v>46653.3</v>
      </c>
    </row>
    <row r="1370" spans="1:3" ht="15" hidden="1" customHeight="1" x14ac:dyDescent="0.3">
      <c r="A1370" t="s">
        <v>220</v>
      </c>
      <c r="B1370" s="2">
        <v>46357</v>
      </c>
      <c r="C1370">
        <v>47656.800000000003</v>
      </c>
    </row>
    <row r="1371" spans="1:3" ht="15" hidden="1" customHeight="1" x14ac:dyDescent="0.3">
      <c r="A1371" t="s">
        <v>222</v>
      </c>
      <c r="B1371" s="2">
        <v>45292</v>
      </c>
      <c r="C1371">
        <v>12369.6</v>
      </c>
    </row>
    <row r="1372" spans="1:3" ht="15" hidden="1" customHeight="1" x14ac:dyDescent="0.3">
      <c r="A1372" t="s">
        <v>222</v>
      </c>
      <c r="B1372" s="2">
        <v>45323</v>
      </c>
      <c r="C1372">
        <v>10801.8</v>
      </c>
    </row>
    <row r="1373" spans="1:3" ht="15" hidden="1" customHeight="1" x14ac:dyDescent="0.3">
      <c r="A1373" t="s">
        <v>222</v>
      </c>
      <c r="B1373" s="2">
        <v>45352</v>
      </c>
      <c r="C1373">
        <v>10537.2</v>
      </c>
    </row>
    <row r="1374" spans="1:3" ht="15" hidden="1" customHeight="1" x14ac:dyDescent="0.3">
      <c r="A1374" t="s">
        <v>222</v>
      </c>
      <c r="B1374" s="2">
        <v>45383</v>
      </c>
      <c r="C1374">
        <v>9173.7000000000007</v>
      </c>
    </row>
    <row r="1375" spans="1:3" ht="15" hidden="1" customHeight="1" x14ac:dyDescent="0.3">
      <c r="A1375" t="s">
        <v>222</v>
      </c>
      <c r="B1375" s="2">
        <v>45413</v>
      </c>
      <c r="C1375">
        <v>8503.2000000000007</v>
      </c>
    </row>
    <row r="1376" spans="1:3" ht="15" hidden="1" customHeight="1" x14ac:dyDescent="0.3">
      <c r="A1376" t="s">
        <v>222</v>
      </c>
      <c r="B1376" s="2">
        <v>45444</v>
      </c>
      <c r="C1376">
        <v>7545.6</v>
      </c>
    </row>
    <row r="1377" spans="1:3" ht="15" hidden="1" customHeight="1" x14ac:dyDescent="0.3">
      <c r="A1377" t="s">
        <v>222</v>
      </c>
      <c r="B1377" s="2">
        <v>45474</v>
      </c>
      <c r="C1377">
        <v>8307</v>
      </c>
    </row>
    <row r="1378" spans="1:3" ht="15" hidden="1" customHeight="1" x14ac:dyDescent="0.3">
      <c r="A1378" t="s">
        <v>222</v>
      </c>
      <c r="B1378" s="2">
        <v>45505</v>
      </c>
      <c r="C1378">
        <v>9720.9</v>
      </c>
    </row>
    <row r="1379" spans="1:3" ht="15" hidden="1" customHeight="1" x14ac:dyDescent="0.3">
      <c r="A1379" t="s">
        <v>222</v>
      </c>
      <c r="B1379" s="2">
        <v>45536</v>
      </c>
      <c r="C1379">
        <v>10755.9</v>
      </c>
    </row>
    <row r="1380" spans="1:3" ht="15" hidden="1" customHeight="1" x14ac:dyDescent="0.3">
      <c r="A1380" t="s">
        <v>222</v>
      </c>
      <c r="B1380" s="2">
        <v>45566</v>
      </c>
      <c r="C1380">
        <v>12190.5</v>
      </c>
    </row>
    <row r="1381" spans="1:3" ht="15" hidden="1" customHeight="1" x14ac:dyDescent="0.3">
      <c r="A1381" t="s">
        <v>222</v>
      </c>
      <c r="B1381" s="2">
        <v>45597</v>
      </c>
      <c r="C1381">
        <v>12263.4</v>
      </c>
    </row>
    <row r="1382" spans="1:3" ht="15" hidden="1" customHeight="1" x14ac:dyDescent="0.3">
      <c r="A1382" t="s">
        <v>222</v>
      </c>
      <c r="B1382" s="2">
        <v>45627</v>
      </c>
      <c r="C1382">
        <v>12539.7</v>
      </c>
    </row>
    <row r="1383" spans="1:3" ht="15" hidden="1" customHeight="1" x14ac:dyDescent="0.3">
      <c r="A1383" t="s">
        <v>222</v>
      </c>
      <c r="B1383" s="2">
        <v>45658</v>
      </c>
      <c r="C1383">
        <v>12369.6</v>
      </c>
    </row>
    <row r="1384" spans="1:3" ht="15" hidden="1" customHeight="1" x14ac:dyDescent="0.3">
      <c r="A1384" t="s">
        <v>222</v>
      </c>
      <c r="B1384" s="2">
        <v>45689</v>
      </c>
      <c r="C1384">
        <v>10801.8</v>
      </c>
    </row>
    <row r="1385" spans="1:3" ht="15" hidden="1" customHeight="1" x14ac:dyDescent="0.3">
      <c r="A1385" t="s">
        <v>222</v>
      </c>
      <c r="B1385" s="2">
        <v>45717</v>
      </c>
      <c r="C1385">
        <v>10537.2</v>
      </c>
    </row>
    <row r="1386" spans="1:3" ht="15" hidden="1" customHeight="1" x14ac:dyDescent="0.3">
      <c r="A1386" t="s">
        <v>222</v>
      </c>
      <c r="B1386" s="2">
        <v>45748</v>
      </c>
      <c r="C1386">
        <v>9173.7000000000007</v>
      </c>
    </row>
    <row r="1387" spans="1:3" ht="15" hidden="1" customHeight="1" x14ac:dyDescent="0.3">
      <c r="A1387" t="s">
        <v>222</v>
      </c>
      <c r="B1387" s="2">
        <v>45778</v>
      </c>
      <c r="C1387">
        <v>8503.2000000000007</v>
      </c>
    </row>
    <row r="1388" spans="1:3" ht="15" hidden="1" customHeight="1" x14ac:dyDescent="0.3">
      <c r="A1388" t="s">
        <v>222</v>
      </c>
      <c r="B1388" s="2">
        <v>45809</v>
      </c>
      <c r="C1388">
        <v>7545.6</v>
      </c>
    </row>
    <row r="1389" spans="1:3" ht="15" hidden="1" customHeight="1" x14ac:dyDescent="0.3">
      <c r="A1389" t="s">
        <v>222</v>
      </c>
      <c r="B1389" s="2">
        <v>45839</v>
      </c>
      <c r="C1389">
        <v>8307</v>
      </c>
    </row>
    <row r="1390" spans="1:3" ht="15" hidden="1" customHeight="1" x14ac:dyDescent="0.3">
      <c r="A1390" t="s">
        <v>222</v>
      </c>
      <c r="B1390" s="2">
        <v>45870</v>
      </c>
      <c r="C1390">
        <v>9720.9</v>
      </c>
    </row>
    <row r="1391" spans="1:3" ht="15" hidden="1" customHeight="1" x14ac:dyDescent="0.3">
      <c r="A1391" t="s">
        <v>222</v>
      </c>
      <c r="B1391" s="2">
        <v>45901</v>
      </c>
      <c r="C1391">
        <v>10755.9</v>
      </c>
    </row>
    <row r="1392" spans="1:3" ht="15" hidden="1" customHeight="1" x14ac:dyDescent="0.3">
      <c r="A1392" t="s">
        <v>222</v>
      </c>
      <c r="B1392" s="2">
        <v>45931</v>
      </c>
      <c r="C1392">
        <v>12190.5</v>
      </c>
    </row>
    <row r="1393" spans="1:3" ht="15" hidden="1" customHeight="1" x14ac:dyDescent="0.3">
      <c r="A1393" t="s">
        <v>222</v>
      </c>
      <c r="B1393" s="2">
        <v>45962</v>
      </c>
      <c r="C1393">
        <v>12263.4</v>
      </c>
    </row>
    <row r="1394" spans="1:3" ht="15" hidden="1" customHeight="1" x14ac:dyDescent="0.3">
      <c r="A1394" t="s">
        <v>222</v>
      </c>
      <c r="B1394" s="2">
        <v>45992</v>
      </c>
      <c r="C1394">
        <v>12539.7</v>
      </c>
    </row>
    <row r="1395" spans="1:3" ht="15" hidden="1" customHeight="1" x14ac:dyDescent="0.3">
      <c r="A1395" t="s">
        <v>222</v>
      </c>
      <c r="B1395" s="2">
        <v>46023</v>
      </c>
      <c r="C1395">
        <v>12369.6</v>
      </c>
    </row>
    <row r="1396" spans="1:3" ht="15" hidden="1" customHeight="1" x14ac:dyDescent="0.3">
      <c r="A1396" t="s">
        <v>222</v>
      </c>
      <c r="B1396" s="2">
        <v>46054</v>
      </c>
      <c r="C1396">
        <v>10801.8</v>
      </c>
    </row>
    <row r="1397" spans="1:3" ht="15" hidden="1" customHeight="1" x14ac:dyDescent="0.3">
      <c r="A1397" t="s">
        <v>222</v>
      </c>
      <c r="B1397" s="2">
        <v>46082</v>
      </c>
      <c r="C1397">
        <v>10537.2</v>
      </c>
    </row>
    <row r="1398" spans="1:3" ht="15" hidden="1" customHeight="1" x14ac:dyDescent="0.3">
      <c r="A1398" t="s">
        <v>222</v>
      </c>
      <c r="B1398" s="2">
        <v>46113</v>
      </c>
      <c r="C1398">
        <v>9173.7000000000007</v>
      </c>
    </row>
    <row r="1399" spans="1:3" ht="15" hidden="1" customHeight="1" x14ac:dyDescent="0.3">
      <c r="A1399" t="s">
        <v>222</v>
      </c>
      <c r="B1399" s="2">
        <v>46143</v>
      </c>
      <c r="C1399">
        <v>8503.2000000000007</v>
      </c>
    </row>
    <row r="1400" spans="1:3" ht="15" hidden="1" customHeight="1" x14ac:dyDescent="0.3">
      <c r="A1400" t="s">
        <v>222</v>
      </c>
      <c r="B1400" s="2">
        <v>46174</v>
      </c>
      <c r="C1400">
        <v>7545.6</v>
      </c>
    </row>
    <row r="1401" spans="1:3" ht="15" hidden="1" customHeight="1" x14ac:dyDescent="0.3">
      <c r="A1401" t="s">
        <v>222</v>
      </c>
      <c r="B1401" s="2">
        <v>46204</v>
      </c>
      <c r="C1401">
        <v>8307</v>
      </c>
    </row>
    <row r="1402" spans="1:3" ht="15" customHeight="1" x14ac:dyDescent="0.3">
      <c r="A1402" t="s">
        <v>222</v>
      </c>
      <c r="B1402" s="2">
        <v>46235</v>
      </c>
      <c r="C1402">
        <v>9720.9</v>
      </c>
    </row>
    <row r="1403" spans="1:3" ht="15" hidden="1" customHeight="1" x14ac:dyDescent="0.3">
      <c r="A1403" t="s">
        <v>222</v>
      </c>
      <c r="B1403" s="2">
        <v>46266</v>
      </c>
      <c r="C1403">
        <v>10755.9</v>
      </c>
    </row>
    <row r="1404" spans="1:3" ht="15" hidden="1" customHeight="1" x14ac:dyDescent="0.3">
      <c r="A1404" t="s">
        <v>222</v>
      </c>
      <c r="B1404" s="2">
        <v>46296</v>
      </c>
      <c r="C1404">
        <v>12190.5</v>
      </c>
    </row>
    <row r="1405" spans="1:3" ht="15" hidden="1" customHeight="1" x14ac:dyDescent="0.3">
      <c r="A1405" t="s">
        <v>222</v>
      </c>
      <c r="B1405" s="2">
        <v>46327</v>
      </c>
      <c r="C1405">
        <v>12263.4</v>
      </c>
    </row>
    <row r="1406" spans="1:3" ht="15" hidden="1" customHeight="1" x14ac:dyDescent="0.3">
      <c r="A1406" t="s">
        <v>222</v>
      </c>
      <c r="B1406" s="2">
        <v>46357</v>
      </c>
      <c r="C1406">
        <v>12539.7</v>
      </c>
    </row>
    <row r="1407" spans="1:3" ht="15" hidden="1" customHeight="1" x14ac:dyDescent="0.3">
      <c r="A1407" t="s">
        <v>142</v>
      </c>
      <c r="B1407" s="2">
        <v>45292</v>
      </c>
      <c r="C1407">
        <v>5685.3</v>
      </c>
    </row>
    <row r="1408" spans="1:3" ht="15" hidden="1" customHeight="1" x14ac:dyDescent="0.3">
      <c r="A1408" t="s">
        <v>142</v>
      </c>
      <c r="B1408" s="2">
        <v>45323</v>
      </c>
      <c r="C1408">
        <v>4780.8</v>
      </c>
    </row>
    <row r="1409" spans="1:3" ht="15" hidden="1" customHeight="1" x14ac:dyDescent="0.3">
      <c r="A1409" t="s">
        <v>142</v>
      </c>
      <c r="B1409" s="2">
        <v>45352</v>
      </c>
      <c r="C1409">
        <v>4935.6000000000004</v>
      </c>
    </row>
    <row r="1410" spans="1:3" ht="15" hidden="1" customHeight="1" x14ac:dyDescent="0.3">
      <c r="A1410" t="s">
        <v>142</v>
      </c>
      <c r="B1410" s="2">
        <v>45383</v>
      </c>
      <c r="C1410">
        <v>4359.6000000000004</v>
      </c>
    </row>
    <row r="1411" spans="1:3" ht="15" hidden="1" customHeight="1" x14ac:dyDescent="0.3">
      <c r="A1411" t="s">
        <v>142</v>
      </c>
      <c r="B1411" s="2">
        <v>45413</v>
      </c>
      <c r="C1411">
        <v>4194</v>
      </c>
    </row>
    <row r="1412" spans="1:3" ht="15" hidden="1" customHeight="1" x14ac:dyDescent="0.3">
      <c r="A1412" t="s">
        <v>142</v>
      </c>
      <c r="B1412" s="2">
        <v>45444</v>
      </c>
      <c r="C1412">
        <v>3818.7</v>
      </c>
    </row>
    <row r="1413" spans="1:3" ht="15" hidden="1" customHeight="1" x14ac:dyDescent="0.3">
      <c r="A1413" t="s">
        <v>142</v>
      </c>
      <c r="B1413" s="2">
        <v>45474</v>
      </c>
      <c r="C1413">
        <v>4217.3999999999996</v>
      </c>
    </row>
    <row r="1414" spans="1:3" ht="15" hidden="1" customHeight="1" x14ac:dyDescent="0.3">
      <c r="A1414" t="s">
        <v>142</v>
      </c>
      <c r="B1414" s="2">
        <v>45505</v>
      </c>
      <c r="C1414">
        <v>4844.7</v>
      </c>
    </row>
    <row r="1415" spans="1:3" ht="15" hidden="1" customHeight="1" x14ac:dyDescent="0.3">
      <c r="A1415" t="s">
        <v>142</v>
      </c>
      <c r="B1415" s="2">
        <v>45536</v>
      </c>
      <c r="C1415">
        <v>5300.1</v>
      </c>
    </row>
    <row r="1416" spans="1:3" ht="15" hidden="1" customHeight="1" x14ac:dyDescent="0.3">
      <c r="A1416" t="s">
        <v>142</v>
      </c>
      <c r="B1416" s="2">
        <v>45566</v>
      </c>
      <c r="C1416">
        <v>5667.3</v>
      </c>
    </row>
    <row r="1417" spans="1:3" ht="15" hidden="1" customHeight="1" x14ac:dyDescent="0.3">
      <c r="A1417" t="s">
        <v>142</v>
      </c>
      <c r="B1417" s="2">
        <v>45597</v>
      </c>
      <c r="C1417">
        <v>5624.1</v>
      </c>
    </row>
    <row r="1418" spans="1:3" ht="15" hidden="1" customHeight="1" x14ac:dyDescent="0.3">
      <c r="A1418" t="s">
        <v>142</v>
      </c>
      <c r="B1418" s="2">
        <v>45627</v>
      </c>
      <c r="C1418">
        <v>5995.8</v>
      </c>
    </row>
    <row r="1419" spans="1:3" ht="15" hidden="1" customHeight="1" x14ac:dyDescent="0.3">
      <c r="A1419" t="s">
        <v>142</v>
      </c>
      <c r="B1419" s="2">
        <v>45658</v>
      </c>
      <c r="C1419">
        <v>5685.3</v>
      </c>
    </row>
    <row r="1420" spans="1:3" ht="15" hidden="1" customHeight="1" x14ac:dyDescent="0.3">
      <c r="A1420" t="s">
        <v>142</v>
      </c>
      <c r="B1420" s="2">
        <v>45689</v>
      </c>
      <c r="C1420">
        <v>4780.8</v>
      </c>
    </row>
    <row r="1421" spans="1:3" ht="15" hidden="1" customHeight="1" x14ac:dyDescent="0.3">
      <c r="A1421" t="s">
        <v>142</v>
      </c>
      <c r="B1421" s="2">
        <v>45717</v>
      </c>
      <c r="C1421">
        <v>4935.6000000000004</v>
      </c>
    </row>
    <row r="1422" spans="1:3" ht="15" hidden="1" customHeight="1" x14ac:dyDescent="0.3">
      <c r="A1422" t="s">
        <v>142</v>
      </c>
      <c r="B1422" s="2">
        <v>45748</v>
      </c>
      <c r="C1422">
        <v>4359.6000000000004</v>
      </c>
    </row>
    <row r="1423" spans="1:3" ht="15" hidden="1" customHeight="1" x14ac:dyDescent="0.3">
      <c r="A1423" t="s">
        <v>142</v>
      </c>
      <c r="B1423" s="2">
        <v>45778</v>
      </c>
      <c r="C1423">
        <v>4194</v>
      </c>
    </row>
    <row r="1424" spans="1:3" ht="15" hidden="1" customHeight="1" x14ac:dyDescent="0.3">
      <c r="A1424" t="s">
        <v>142</v>
      </c>
      <c r="B1424" s="2">
        <v>45809</v>
      </c>
      <c r="C1424">
        <v>3818.7</v>
      </c>
    </row>
    <row r="1425" spans="1:3" ht="15" hidden="1" customHeight="1" x14ac:dyDescent="0.3">
      <c r="A1425" t="s">
        <v>142</v>
      </c>
      <c r="B1425" s="2">
        <v>45839</v>
      </c>
      <c r="C1425">
        <v>4217.3999999999996</v>
      </c>
    </row>
    <row r="1426" spans="1:3" ht="15" hidden="1" customHeight="1" x14ac:dyDescent="0.3">
      <c r="A1426" t="s">
        <v>142</v>
      </c>
      <c r="B1426" s="2">
        <v>45870</v>
      </c>
      <c r="C1426">
        <v>4844.7</v>
      </c>
    </row>
    <row r="1427" spans="1:3" ht="15" hidden="1" customHeight="1" x14ac:dyDescent="0.3">
      <c r="A1427" t="s">
        <v>142</v>
      </c>
      <c r="B1427" s="2">
        <v>45901</v>
      </c>
      <c r="C1427">
        <v>5300.1</v>
      </c>
    </row>
    <row r="1428" spans="1:3" ht="15" hidden="1" customHeight="1" x14ac:dyDescent="0.3">
      <c r="A1428" t="s">
        <v>142</v>
      </c>
      <c r="B1428" s="2">
        <v>45931</v>
      </c>
      <c r="C1428">
        <v>5667.3</v>
      </c>
    </row>
    <row r="1429" spans="1:3" ht="15" hidden="1" customHeight="1" x14ac:dyDescent="0.3">
      <c r="A1429" t="s">
        <v>142</v>
      </c>
      <c r="B1429" s="2">
        <v>45962</v>
      </c>
      <c r="C1429">
        <v>5624.1</v>
      </c>
    </row>
    <row r="1430" spans="1:3" ht="15" hidden="1" customHeight="1" x14ac:dyDescent="0.3">
      <c r="A1430" t="s">
        <v>142</v>
      </c>
      <c r="B1430" s="2">
        <v>45992</v>
      </c>
      <c r="C1430">
        <v>5995.8</v>
      </c>
    </row>
    <row r="1431" spans="1:3" ht="15" hidden="1" customHeight="1" x14ac:dyDescent="0.3">
      <c r="A1431" t="s">
        <v>142</v>
      </c>
      <c r="B1431" s="2">
        <v>46023</v>
      </c>
      <c r="C1431">
        <v>5685.3</v>
      </c>
    </row>
    <row r="1432" spans="1:3" ht="15" hidden="1" customHeight="1" x14ac:dyDescent="0.3">
      <c r="A1432" t="s">
        <v>142</v>
      </c>
      <c r="B1432" s="2">
        <v>46054</v>
      </c>
      <c r="C1432">
        <v>4780.8</v>
      </c>
    </row>
    <row r="1433" spans="1:3" ht="15" hidden="1" customHeight="1" x14ac:dyDescent="0.3">
      <c r="A1433" t="s">
        <v>142</v>
      </c>
      <c r="B1433" s="2">
        <v>46082</v>
      </c>
      <c r="C1433">
        <v>4935.6000000000004</v>
      </c>
    </row>
    <row r="1434" spans="1:3" ht="15" hidden="1" customHeight="1" x14ac:dyDescent="0.3">
      <c r="A1434" t="s">
        <v>142</v>
      </c>
      <c r="B1434" s="2">
        <v>46113</v>
      </c>
      <c r="C1434">
        <v>4359.6000000000004</v>
      </c>
    </row>
    <row r="1435" spans="1:3" ht="15" hidden="1" customHeight="1" x14ac:dyDescent="0.3">
      <c r="A1435" t="s">
        <v>142</v>
      </c>
      <c r="B1435" s="2">
        <v>46143</v>
      </c>
      <c r="C1435">
        <v>4194</v>
      </c>
    </row>
    <row r="1436" spans="1:3" ht="15" hidden="1" customHeight="1" x14ac:dyDescent="0.3">
      <c r="A1436" t="s">
        <v>142</v>
      </c>
      <c r="B1436" s="2">
        <v>46174</v>
      </c>
      <c r="C1436">
        <v>3818.7</v>
      </c>
    </row>
    <row r="1437" spans="1:3" ht="15" hidden="1" customHeight="1" x14ac:dyDescent="0.3">
      <c r="A1437" t="s">
        <v>142</v>
      </c>
      <c r="B1437" s="2">
        <v>46204</v>
      </c>
      <c r="C1437">
        <v>4217.3999999999996</v>
      </c>
    </row>
    <row r="1438" spans="1:3" ht="15" customHeight="1" x14ac:dyDescent="0.3">
      <c r="A1438" t="s">
        <v>142</v>
      </c>
      <c r="B1438" s="2">
        <v>46235</v>
      </c>
      <c r="C1438">
        <v>4844.7</v>
      </c>
    </row>
    <row r="1439" spans="1:3" ht="15" hidden="1" customHeight="1" x14ac:dyDescent="0.3">
      <c r="A1439" t="s">
        <v>142</v>
      </c>
      <c r="B1439" s="2">
        <v>46266</v>
      </c>
      <c r="C1439">
        <v>5300.1</v>
      </c>
    </row>
    <row r="1440" spans="1:3" ht="15" hidden="1" customHeight="1" x14ac:dyDescent="0.3">
      <c r="A1440" t="s">
        <v>142</v>
      </c>
      <c r="B1440" s="2">
        <v>46296</v>
      </c>
      <c r="C1440">
        <v>5667.3</v>
      </c>
    </row>
    <row r="1441" spans="1:3" ht="15" hidden="1" customHeight="1" x14ac:dyDescent="0.3">
      <c r="A1441" t="s">
        <v>142</v>
      </c>
      <c r="B1441" s="2">
        <v>46327</v>
      </c>
      <c r="C1441">
        <v>5624.1</v>
      </c>
    </row>
    <row r="1442" spans="1:3" ht="15" hidden="1" customHeight="1" x14ac:dyDescent="0.3">
      <c r="A1442" t="s">
        <v>142</v>
      </c>
      <c r="B1442" s="2">
        <v>46357</v>
      </c>
      <c r="C1442">
        <v>5995.8</v>
      </c>
    </row>
    <row r="1443" spans="1:3" ht="15" hidden="1" customHeight="1" x14ac:dyDescent="0.3">
      <c r="A1443" t="s">
        <v>145</v>
      </c>
      <c r="B1443" s="2">
        <v>45292</v>
      </c>
      <c r="C1443">
        <v>41208.480000000003</v>
      </c>
    </row>
    <row r="1444" spans="1:3" ht="15" hidden="1" customHeight="1" x14ac:dyDescent="0.3">
      <c r="A1444" t="s">
        <v>145</v>
      </c>
      <c r="B1444" s="2">
        <v>45323</v>
      </c>
      <c r="C1444">
        <v>35976.15</v>
      </c>
    </row>
    <row r="1445" spans="1:3" ht="15" hidden="1" customHeight="1" x14ac:dyDescent="0.3">
      <c r="A1445" t="s">
        <v>145</v>
      </c>
      <c r="B1445" s="2">
        <v>45352</v>
      </c>
      <c r="C1445">
        <v>36559.980000000003</v>
      </c>
    </row>
    <row r="1446" spans="1:3" ht="15" hidden="1" customHeight="1" x14ac:dyDescent="0.3">
      <c r="A1446" t="s">
        <v>145</v>
      </c>
      <c r="B1446" s="2">
        <v>45383</v>
      </c>
      <c r="C1446">
        <v>33604.11</v>
      </c>
    </row>
    <row r="1447" spans="1:3" ht="15" hidden="1" customHeight="1" x14ac:dyDescent="0.3">
      <c r="A1447" t="s">
        <v>145</v>
      </c>
      <c r="B1447" s="2">
        <v>45413</v>
      </c>
      <c r="C1447">
        <v>32958.629999999997</v>
      </c>
    </row>
    <row r="1448" spans="1:3" ht="15" hidden="1" customHeight="1" x14ac:dyDescent="0.3">
      <c r="A1448" t="s">
        <v>145</v>
      </c>
      <c r="B1448" s="2">
        <v>45444</v>
      </c>
      <c r="C1448">
        <v>30018.22119</v>
      </c>
    </row>
    <row r="1449" spans="1:3" ht="15" hidden="1" customHeight="1" x14ac:dyDescent="0.3">
      <c r="A1449" t="s">
        <v>145</v>
      </c>
      <c r="B1449" s="2">
        <v>45474</v>
      </c>
      <c r="C1449">
        <v>32459.809590000001</v>
      </c>
    </row>
    <row r="1450" spans="1:3" ht="15" hidden="1" customHeight="1" x14ac:dyDescent="0.3">
      <c r="A1450" t="s">
        <v>145</v>
      </c>
      <c r="B1450" s="2">
        <v>45505</v>
      </c>
      <c r="C1450">
        <v>36506.12571</v>
      </c>
    </row>
    <row r="1451" spans="1:3" ht="15" hidden="1" customHeight="1" x14ac:dyDescent="0.3">
      <c r="A1451" t="s">
        <v>145</v>
      </c>
      <c r="B1451" s="2">
        <v>45536</v>
      </c>
      <c r="C1451">
        <v>37370.869830000003</v>
      </c>
    </row>
    <row r="1452" spans="1:3" ht="15" hidden="1" customHeight="1" x14ac:dyDescent="0.3">
      <c r="A1452" t="s">
        <v>145</v>
      </c>
      <c r="B1452" s="2">
        <v>45566</v>
      </c>
      <c r="C1452">
        <v>40182.986250000002</v>
      </c>
    </row>
    <row r="1453" spans="1:3" ht="15" hidden="1" customHeight="1" x14ac:dyDescent="0.3">
      <c r="A1453" t="s">
        <v>145</v>
      </c>
      <c r="B1453" s="2">
        <v>45597</v>
      </c>
      <c r="C1453">
        <v>40330.536119999997</v>
      </c>
    </row>
    <row r="1454" spans="1:3" ht="15" hidden="1" customHeight="1" x14ac:dyDescent="0.3">
      <c r="A1454" t="s">
        <v>145</v>
      </c>
      <c r="B1454" s="2">
        <v>45627</v>
      </c>
      <c r="C1454">
        <v>42601.427819999997</v>
      </c>
    </row>
    <row r="1455" spans="1:3" ht="15" hidden="1" customHeight="1" x14ac:dyDescent="0.3">
      <c r="A1455" t="s">
        <v>145</v>
      </c>
      <c r="B1455" s="2">
        <v>45658</v>
      </c>
      <c r="C1455">
        <v>41208.480000000003</v>
      </c>
    </row>
    <row r="1456" spans="1:3" ht="15" hidden="1" customHeight="1" x14ac:dyDescent="0.3">
      <c r="A1456" t="s">
        <v>145</v>
      </c>
      <c r="B1456" s="2">
        <v>45689</v>
      </c>
      <c r="C1456">
        <v>35976.15</v>
      </c>
    </row>
    <row r="1457" spans="1:3" ht="15" hidden="1" customHeight="1" x14ac:dyDescent="0.3">
      <c r="A1457" t="s">
        <v>145</v>
      </c>
      <c r="B1457" s="2">
        <v>45717</v>
      </c>
      <c r="C1457">
        <v>36559.980000000003</v>
      </c>
    </row>
    <row r="1458" spans="1:3" ht="15" hidden="1" customHeight="1" x14ac:dyDescent="0.3">
      <c r="A1458" t="s">
        <v>145</v>
      </c>
      <c r="B1458" s="2">
        <v>45748</v>
      </c>
      <c r="C1458">
        <v>33604.11</v>
      </c>
    </row>
    <row r="1459" spans="1:3" ht="15" hidden="1" customHeight="1" x14ac:dyDescent="0.3">
      <c r="A1459" t="s">
        <v>145</v>
      </c>
      <c r="B1459" s="2">
        <v>45778</v>
      </c>
      <c r="C1459">
        <v>32958.629999999997</v>
      </c>
    </row>
    <row r="1460" spans="1:3" ht="15" hidden="1" customHeight="1" x14ac:dyDescent="0.3">
      <c r="A1460" t="s">
        <v>145</v>
      </c>
      <c r="B1460" s="2">
        <v>45809</v>
      </c>
      <c r="C1460">
        <v>30018.22119</v>
      </c>
    </row>
    <row r="1461" spans="1:3" ht="15" hidden="1" customHeight="1" x14ac:dyDescent="0.3">
      <c r="A1461" t="s">
        <v>145</v>
      </c>
      <c r="B1461" s="2">
        <v>45839</v>
      </c>
      <c r="C1461">
        <v>32459.809590000001</v>
      </c>
    </row>
    <row r="1462" spans="1:3" ht="15" hidden="1" customHeight="1" x14ac:dyDescent="0.3">
      <c r="A1462" t="s">
        <v>145</v>
      </c>
      <c r="B1462" s="2">
        <v>45870</v>
      </c>
      <c r="C1462">
        <v>36506.12571</v>
      </c>
    </row>
    <row r="1463" spans="1:3" ht="15" hidden="1" customHeight="1" x14ac:dyDescent="0.3">
      <c r="A1463" t="s">
        <v>145</v>
      </c>
      <c r="B1463" s="2">
        <v>45901</v>
      </c>
      <c r="C1463">
        <v>37370.869830000003</v>
      </c>
    </row>
    <row r="1464" spans="1:3" ht="15" hidden="1" customHeight="1" x14ac:dyDescent="0.3">
      <c r="A1464" t="s">
        <v>145</v>
      </c>
      <c r="B1464" s="2">
        <v>45931</v>
      </c>
      <c r="C1464">
        <v>40182.986250000002</v>
      </c>
    </row>
    <row r="1465" spans="1:3" ht="15" hidden="1" customHeight="1" x14ac:dyDescent="0.3">
      <c r="A1465" t="s">
        <v>145</v>
      </c>
      <c r="B1465" s="2">
        <v>45962</v>
      </c>
      <c r="C1465">
        <v>40330.536119999997</v>
      </c>
    </row>
    <row r="1466" spans="1:3" ht="15" hidden="1" customHeight="1" x14ac:dyDescent="0.3">
      <c r="A1466" t="s">
        <v>145</v>
      </c>
      <c r="B1466" s="2">
        <v>45992</v>
      </c>
      <c r="C1466">
        <v>42601.427819999997</v>
      </c>
    </row>
    <row r="1467" spans="1:3" ht="15" hidden="1" customHeight="1" x14ac:dyDescent="0.3">
      <c r="A1467" t="s">
        <v>145</v>
      </c>
      <c r="B1467" s="2">
        <v>46023</v>
      </c>
      <c r="C1467">
        <v>41208.480000000003</v>
      </c>
    </row>
    <row r="1468" spans="1:3" ht="15" hidden="1" customHeight="1" x14ac:dyDescent="0.3">
      <c r="A1468" t="s">
        <v>145</v>
      </c>
      <c r="B1468" s="2">
        <v>46054</v>
      </c>
      <c r="C1468">
        <v>35976.15</v>
      </c>
    </row>
    <row r="1469" spans="1:3" ht="15" hidden="1" customHeight="1" x14ac:dyDescent="0.3">
      <c r="A1469" t="s">
        <v>145</v>
      </c>
      <c r="B1469" s="2">
        <v>46082</v>
      </c>
      <c r="C1469">
        <v>36559.980000000003</v>
      </c>
    </row>
    <row r="1470" spans="1:3" ht="15" hidden="1" customHeight="1" x14ac:dyDescent="0.3">
      <c r="A1470" t="s">
        <v>145</v>
      </c>
      <c r="B1470" s="2">
        <v>46113</v>
      </c>
      <c r="C1470">
        <v>33604.11</v>
      </c>
    </row>
    <row r="1471" spans="1:3" ht="15" hidden="1" customHeight="1" x14ac:dyDescent="0.3">
      <c r="A1471" t="s">
        <v>145</v>
      </c>
      <c r="B1471" s="2">
        <v>46143</v>
      </c>
      <c r="C1471">
        <v>32958.629999999997</v>
      </c>
    </row>
    <row r="1472" spans="1:3" ht="15" hidden="1" customHeight="1" x14ac:dyDescent="0.3">
      <c r="A1472" t="s">
        <v>145</v>
      </c>
      <c r="B1472" s="2">
        <v>46174</v>
      </c>
      <c r="C1472">
        <v>30018.22119</v>
      </c>
    </row>
    <row r="1473" spans="1:3" ht="15" hidden="1" customHeight="1" x14ac:dyDescent="0.3">
      <c r="A1473" t="s">
        <v>145</v>
      </c>
      <c r="B1473" s="2">
        <v>46204</v>
      </c>
      <c r="C1473">
        <v>32459.809590000001</v>
      </c>
    </row>
    <row r="1474" spans="1:3" ht="15" customHeight="1" x14ac:dyDescent="0.3">
      <c r="A1474" t="s">
        <v>145</v>
      </c>
      <c r="B1474" s="2">
        <v>46235</v>
      </c>
      <c r="C1474">
        <v>36506.12571</v>
      </c>
    </row>
    <row r="1475" spans="1:3" ht="15" hidden="1" customHeight="1" x14ac:dyDescent="0.3">
      <c r="A1475" t="s">
        <v>145</v>
      </c>
      <c r="B1475" s="2">
        <v>46266</v>
      </c>
      <c r="C1475">
        <v>37370.869830000003</v>
      </c>
    </row>
    <row r="1476" spans="1:3" ht="15" hidden="1" customHeight="1" x14ac:dyDescent="0.3">
      <c r="A1476" t="s">
        <v>145</v>
      </c>
      <c r="B1476" s="2">
        <v>46296</v>
      </c>
      <c r="C1476">
        <v>40182.986250000002</v>
      </c>
    </row>
    <row r="1477" spans="1:3" ht="15" hidden="1" customHeight="1" x14ac:dyDescent="0.3">
      <c r="A1477" t="s">
        <v>145</v>
      </c>
      <c r="B1477" s="2">
        <v>46327</v>
      </c>
      <c r="C1477">
        <v>40330.536119999997</v>
      </c>
    </row>
    <row r="1478" spans="1:3" ht="15" hidden="1" customHeight="1" x14ac:dyDescent="0.3">
      <c r="A1478" t="s">
        <v>145</v>
      </c>
      <c r="B1478" s="2">
        <v>46357</v>
      </c>
      <c r="C1478">
        <v>42601.427819999997</v>
      </c>
    </row>
    <row r="1479" spans="1:3" ht="15" hidden="1" customHeight="1" x14ac:dyDescent="0.3">
      <c r="A1479" t="s">
        <v>152</v>
      </c>
      <c r="B1479" s="2">
        <v>45292</v>
      </c>
      <c r="C1479">
        <v>11540.96</v>
      </c>
    </row>
    <row r="1480" spans="1:3" ht="15" hidden="1" customHeight="1" x14ac:dyDescent="0.3">
      <c r="A1480" t="s">
        <v>152</v>
      </c>
      <c r="B1480" s="2">
        <v>45323</v>
      </c>
      <c r="C1480">
        <v>9862.32</v>
      </c>
    </row>
    <row r="1481" spans="1:3" ht="15" hidden="1" customHeight="1" x14ac:dyDescent="0.3">
      <c r="A1481" t="s">
        <v>152</v>
      </c>
      <c r="B1481" s="2">
        <v>45352</v>
      </c>
      <c r="C1481">
        <v>10345.44</v>
      </c>
    </row>
    <row r="1482" spans="1:3" ht="15" hidden="1" customHeight="1" x14ac:dyDescent="0.3">
      <c r="A1482" t="s">
        <v>152</v>
      </c>
      <c r="B1482" s="2">
        <v>45383</v>
      </c>
      <c r="C1482">
        <v>8819.52</v>
      </c>
    </row>
    <row r="1483" spans="1:3" ht="15" hidden="1" customHeight="1" x14ac:dyDescent="0.3">
      <c r="A1483" t="s">
        <v>152</v>
      </c>
      <c r="B1483" s="2">
        <v>45413</v>
      </c>
      <c r="C1483">
        <v>8538.08</v>
      </c>
    </row>
    <row r="1484" spans="1:3" ht="15" hidden="1" customHeight="1" x14ac:dyDescent="0.3">
      <c r="A1484" t="s">
        <v>152</v>
      </c>
      <c r="B1484" s="2">
        <v>45444</v>
      </c>
      <c r="C1484">
        <v>7700</v>
      </c>
    </row>
    <row r="1485" spans="1:3" ht="15" hidden="1" customHeight="1" x14ac:dyDescent="0.3">
      <c r="A1485" t="s">
        <v>152</v>
      </c>
      <c r="B1485" s="2">
        <v>45474</v>
      </c>
      <c r="C1485">
        <v>8487.2000000000007</v>
      </c>
    </row>
    <row r="1486" spans="1:3" ht="15" hidden="1" customHeight="1" x14ac:dyDescent="0.3">
      <c r="A1486" t="s">
        <v>152</v>
      </c>
      <c r="B1486" s="2">
        <v>45505</v>
      </c>
      <c r="C1486">
        <v>9810.48</v>
      </c>
    </row>
    <row r="1487" spans="1:3" ht="15" hidden="1" customHeight="1" x14ac:dyDescent="0.3">
      <c r="A1487" t="s">
        <v>152</v>
      </c>
      <c r="B1487" s="2">
        <v>45536</v>
      </c>
      <c r="C1487">
        <v>10706.48</v>
      </c>
    </row>
    <row r="1488" spans="1:3" ht="15" hidden="1" customHeight="1" x14ac:dyDescent="0.3">
      <c r="A1488" t="s">
        <v>152</v>
      </c>
      <c r="B1488" s="2">
        <v>45566</v>
      </c>
      <c r="C1488">
        <v>11410.4</v>
      </c>
    </row>
    <row r="1489" spans="1:3" ht="15" hidden="1" customHeight="1" x14ac:dyDescent="0.3">
      <c r="A1489" t="s">
        <v>152</v>
      </c>
      <c r="B1489" s="2">
        <v>45597</v>
      </c>
      <c r="C1489">
        <v>11340.4</v>
      </c>
    </row>
    <row r="1490" spans="1:3" ht="15" hidden="1" customHeight="1" x14ac:dyDescent="0.3">
      <c r="A1490" t="s">
        <v>152</v>
      </c>
      <c r="B1490" s="2">
        <v>45627</v>
      </c>
      <c r="C1490">
        <v>12102.56</v>
      </c>
    </row>
    <row r="1491" spans="1:3" ht="15" hidden="1" customHeight="1" x14ac:dyDescent="0.3">
      <c r="A1491" t="s">
        <v>152</v>
      </c>
      <c r="B1491" s="2">
        <v>45658</v>
      </c>
      <c r="C1491">
        <v>11540.96</v>
      </c>
    </row>
    <row r="1492" spans="1:3" ht="15" hidden="1" customHeight="1" x14ac:dyDescent="0.3">
      <c r="A1492" t="s">
        <v>152</v>
      </c>
      <c r="B1492" s="2">
        <v>45689</v>
      </c>
      <c r="C1492">
        <v>9862.32</v>
      </c>
    </row>
    <row r="1493" spans="1:3" ht="15" hidden="1" customHeight="1" x14ac:dyDescent="0.3">
      <c r="A1493" t="s">
        <v>152</v>
      </c>
      <c r="B1493" s="2">
        <v>45717</v>
      </c>
      <c r="C1493">
        <v>10345.44</v>
      </c>
    </row>
    <row r="1494" spans="1:3" ht="15" hidden="1" customHeight="1" x14ac:dyDescent="0.3">
      <c r="A1494" t="s">
        <v>152</v>
      </c>
      <c r="B1494" s="2">
        <v>45748</v>
      </c>
      <c r="C1494">
        <v>8819.52</v>
      </c>
    </row>
    <row r="1495" spans="1:3" ht="15" hidden="1" customHeight="1" x14ac:dyDescent="0.3">
      <c r="A1495" t="s">
        <v>152</v>
      </c>
      <c r="B1495" s="2">
        <v>45778</v>
      </c>
      <c r="C1495">
        <v>8538.08</v>
      </c>
    </row>
    <row r="1496" spans="1:3" ht="15" hidden="1" customHeight="1" x14ac:dyDescent="0.3">
      <c r="A1496" t="s">
        <v>152</v>
      </c>
      <c r="B1496" s="2">
        <v>45809</v>
      </c>
      <c r="C1496">
        <v>7700</v>
      </c>
    </row>
    <row r="1497" spans="1:3" ht="15" hidden="1" customHeight="1" x14ac:dyDescent="0.3">
      <c r="A1497" t="s">
        <v>152</v>
      </c>
      <c r="B1497" s="2">
        <v>45839</v>
      </c>
      <c r="C1497">
        <v>8487.2000000000007</v>
      </c>
    </row>
    <row r="1498" spans="1:3" ht="15" hidden="1" customHeight="1" x14ac:dyDescent="0.3">
      <c r="A1498" t="s">
        <v>152</v>
      </c>
      <c r="B1498" s="2">
        <v>45870</v>
      </c>
      <c r="C1498">
        <v>9810.48</v>
      </c>
    </row>
    <row r="1499" spans="1:3" ht="15" hidden="1" customHeight="1" x14ac:dyDescent="0.3">
      <c r="A1499" t="s">
        <v>152</v>
      </c>
      <c r="B1499" s="2">
        <v>45901</v>
      </c>
      <c r="C1499">
        <v>10706.48</v>
      </c>
    </row>
    <row r="1500" spans="1:3" ht="15" hidden="1" customHeight="1" x14ac:dyDescent="0.3">
      <c r="A1500" t="s">
        <v>152</v>
      </c>
      <c r="B1500" s="2">
        <v>45931</v>
      </c>
      <c r="C1500">
        <v>11410.4</v>
      </c>
    </row>
    <row r="1501" spans="1:3" ht="15" hidden="1" customHeight="1" x14ac:dyDescent="0.3">
      <c r="A1501" t="s">
        <v>152</v>
      </c>
      <c r="B1501" s="2">
        <v>45962</v>
      </c>
      <c r="C1501">
        <v>11340.4</v>
      </c>
    </row>
    <row r="1502" spans="1:3" ht="15" hidden="1" customHeight="1" x14ac:dyDescent="0.3">
      <c r="A1502" t="s">
        <v>152</v>
      </c>
      <c r="B1502" s="2">
        <v>45992</v>
      </c>
      <c r="C1502">
        <v>12102.56</v>
      </c>
    </row>
    <row r="1503" spans="1:3" ht="15" hidden="1" customHeight="1" x14ac:dyDescent="0.3">
      <c r="A1503" t="s">
        <v>152</v>
      </c>
      <c r="B1503" s="2">
        <v>46023</v>
      </c>
      <c r="C1503">
        <v>11540.96</v>
      </c>
    </row>
    <row r="1504" spans="1:3" ht="15" hidden="1" customHeight="1" x14ac:dyDescent="0.3">
      <c r="A1504" t="s">
        <v>152</v>
      </c>
      <c r="B1504" s="2">
        <v>46054</v>
      </c>
      <c r="C1504">
        <v>9862.32</v>
      </c>
    </row>
    <row r="1505" spans="1:3" ht="15" hidden="1" customHeight="1" x14ac:dyDescent="0.3">
      <c r="A1505" t="s">
        <v>152</v>
      </c>
      <c r="B1505" s="2">
        <v>46082</v>
      </c>
      <c r="C1505">
        <v>10345.44</v>
      </c>
    </row>
    <row r="1506" spans="1:3" ht="15" hidden="1" customHeight="1" x14ac:dyDescent="0.3">
      <c r="A1506" t="s">
        <v>152</v>
      </c>
      <c r="B1506" s="2">
        <v>46113</v>
      </c>
      <c r="C1506">
        <v>8819.52</v>
      </c>
    </row>
    <row r="1507" spans="1:3" ht="15" hidden="1" customHeight="1" x14ac:dyDescent="0.3">
      <c r="A1507" t="s">
        <v>152</v>
      </c>
      <c r="B1507" s="2">
        <v>46143</v>
      </c>
      <c r="C1507">
        <v>8538.08</v>
      </c>
    </row>
    <row r="1508" spans="1:3" ht="15" hidden="1" customHeight="1" x14ac:dyDescent="0.3">
      <c r="A1508" t="s">
        <v>152</v>
      </c>
      <c r="B1508" s="2">
        <v>46174</v>
      </c>
      <c r="C1508">
        <v>7700</v>
      </c>
    </row>
    <row r="1509" spans="1:3" ht="15" hidden="1" customHeight="1" x14ac:dyDescent="0.3">
      <c r="A1509" t="s">
        <v>152</v>
      </c>
      <c r="B1509" s="2">
        <v>46204</v>
      </c>
      <c r="C1509">
        <v>8487.2000000000007</v>
      </c>
    </row>
    <row r="1510" spans="1:3" ht="15" customHeight="1" x14ac:dyDescent="0.3">
      <c r="A1510" t="s">
        <v>152</v>
      </c>
      <c r="B1510" s="2">
        <v>46235</v>
      </c>
      <c r="C1510">
        <v>9810.48</v>
      </c>
    </row>
    <row r="1511" spans="1:3" ht="15" hidden="1" customHeight="1" x14ac:dyDescent="0.3">
      <c r="A1511" t="s">
        <v>152</v>
      </c>
      <c r="B1511" s="2">
        <v>46266</v>
      </c>
      <c r="C1511">
        <v>10706.48</v>
      </c>
    </row>
    <row r="1512" spans="1:3" ht="15" hidden="1" customHeight="1" x14ac:dyDescent="0.3">
      <c r="A1512" t="s">
        <v>152</v>
      </c>
      <c r="B1512" s="2">
        <v>46296</v>
      </c>
      <c r="C1512">
        <v>11410.4</v>
      </c>
    </row>
    <row r="1513" spans="1:3" ht="15" hidden="1" customHeight="1" x14ac:dyDescent="0.3">
      <c r="A1513" t="s">
        <v>152</v>
      </c>
      <c r="B1513" s="2">
        <v>46327</v>
      </c>
      <c r="C1513">
        <v>11340.4</v>
      </c>
    </row>
    <row r="1514" spans="1:3" ht="15" hidden="1" customHeight="1" x14ac:dyDescent="0.3">
      <c r="A1514" t="s">
        <v>152</v>
      </c>
      <c r="B1514" s="2">
        <v>46357</v>
      </c>
      <c r="C1514">
        <v>12102.56</v>
      </c>
    </row>
    <row r="1515" spans="1:3" ht="15" hidden="1" customHeight="1" x14ac:dyDescent="0.3">
      <c r="A1515" t="s">
        <v>149</v>
      </c>
      <c r="B1515" s="2">
        <v>45292</v>
      </c>
      <c r="C1515">
        <v>8591.0249999999996</v>
      </c>
    </row>
    <row r="1516" spans="1:3" ht="15" hidden="1" customHeight="1" x14ac:dyDescent="0.3">
      <c r="A1516" t="s">
        <v>149</v>
      </c>
      <c r="B1516" s="2">
        <v>45323</v>
      </c>
      <c r="C1516">
        <v>7466.4750000000004</v>
      </c>
    </row>
    <row r="1517" spans="1:3" ht="15" hidden="1" customHeight="1" x14ac:dyDescent="0.3">
      <c r="A1517" t="s">
        <v>149</v>
      </c>
      <c r="B1517" s="2">
        <v>45352</v>
      </c>
      <c r="C1517">
        <v>7931.85</v>
      </c>
    </row>
    <row r="1518" spans="1:3" ht="15" hidden="1" customHeight="1" x14ac:dyDescent="0.3">
      <c r="A1518" t="s">
        <v>149</v>
      </c>
      <c r="B1518" s="2">
        <v>45383</v>
      </c>
      <c r="C1518">
        <v>6987.15</v>
      </c>
    </row>
    <row r="1519" spans="1:3" ht="15" hidden="1" customHeight="1" x14ac:dyDescent="0.3">
      <c r="A1519" t="s">
        <v>149</v>
      </c>
      <c r="B1519" s="2">
        <v>45413</v>
      </c>
      <c r="C1519">
        <v>6858.5249999999996</v>
      </c>
    </row>
    <row r="1520" spans="1:3" ht="15" hidden="1" customHeight="1" x14ac:dyDescent="0.3">
      <c r="A1520" t="s">
        <v>149</v>
      </c>
      <c r="B1520" s="2">
        <v>45444</v>
      </c>
      <c r="C1520">
        <v>6375.45</v>
      </c>
    </row>
    <row r="1521" spans="1:3" ht="15" hidden="1" customHeight="1" x14ac:dyDescent="0.3">
      <c r="A1521" t="s">
        <v>149</v>
      </c>
      <c r="B1521" s="2">
        <v>45474</v>
      </c>
      <c r="C1521">
        <v>6946.7250000000004</v>
      </c>
    </row>
    <row r="1522" spans="1:3" ht="15" hidden="1" customHeight="1" x14ac:dyDescent="0.3">
      <c r="A1522" t="s">
        <v>149</v>
      </c>
      <c r="B1522" s="2">
        <v>45505</v>
      </c>
      <c r="C1522">
        <v>7852.65</v>
      </c>
    </row>
    <row r="1523" spans="1:3" ht="15" hidden="1" customHeight="1" x14ac:dyDescent="0.3">
      <c r="A1523" t="s">
        <v>149</v>
      </c>
      <c r="B1523" s="2">
        <v>45536</v>
      </c>
      <c r="C1523">
        <v>8347.0499999999993</v>
      </c>
    </row>
    <row r="1524" spans="1:3" ht="15" hidden="1" customHeight="1" x14ac:dyDescent="0.3">
      <c r="A1524" t="s">
        <v>149</v>
      </c>
      <c r="B1524" s="2">
        <v>45566</v>
      </c>
      <c r="C1524">
        <v>8786.625</v>
      </c>
    </row>
    <row r="1525" spans="1:3" ht="15" hidden="1" customHeight="1" x14ac:dyDescent="0.3">
      <c r="A1525" t="s">
        <v>149</v>
      </c>
      <c r="B1525" s="2">
        <v>45597</v>
      </c>
      <c r="C1525">
        <v>8551.7999999999993</v>
      </c>
    </row>
    <row r="1526" spans="1:3" ht="15" hidden="1" customHeight="1" x14ac:dyDescent="0.3">
      <c r="A1526" t="s">
        <v>149</v>
      </c>
      <c r="B1526" s="2">
        <v>45627</v>
      </c>
      <c r="C1526">
        <v>9109.0499999999993</v>
      </c>
    </row>
    <row r="1527" spans="1:3" ht="15" hidden="1" customHeight="1" x14ac:dyDescent="0.3">
      <c r="A1527" t="s">
        <v>149</v>
      </c>
      <c r="B1527" s="2">
        <v>45658</v>
      </c>
      <c r="C1527">
        <v>8591.0249999999996</v>
      </c>
    </row>
    <row r="1528" spans="1:3" ht="15" hidden="1" customHeight="1" x14ac:dyDescent="0.3">
      <c r="A1528" t="s">
        <v>149</v>
      </c>
      <c r="B1528" s="2">
        <v>45689</v>
      </c>
      <c r="C1528">
        <v>7466.4750000000004</v>
      </c>
    </row>
    <row r="1529" spans="1:3" ht="15" hidden="1" customHeight="1" x14ac:dyDescent="0.3">
      <c r="A1529" t="s">
        <v>149</v>
      </c>
      <c r="B1529" s="2">
        <v>45717</v>
      </c>
      <c r="C1529">
        <v>7931.85</v>
      </c>
    </row>
    <row r="1530" spans="1:3" ht="15" hidden="1" customHeight="1" x14ac:dyDescent="0.3">
      <c r="A1530" t="s">
        <v>149</v>
      </c>
      <c r="B1530" s="2">
        <v>45748</v>
      </c>
      <c r="C1530">
        <v>6987.15</v>
      </c>
    </row>
    <row r="1531" spans="1:3" ht="15" hidden="1" customHeight="1" x14ac:dyDescent="0.3">
      <c r="A1531" t="s">
        <v>149</v>
      </c>
      <c r="B1531" s="2">
        <v>45778</v>
      </c>
      <c r="C1531">
        <v>6858.5249999999996</v>
      </c>
    </row>
    <row r="1532" spans="1:3" ht="15" hidden="1" customHeight="1" x14ac:dyDescent="0.3">
      <c r="A1532" t="s">
        <v>149</v>
      </c>
      <c r="B1532" s="2">
        <v>45809</v>
      </c>
      <c r="C1532">
        <v>6375.45</v>
      </c>
    </row>
    <row r="1533" spans="1:3" ht="15" hidden="1" customHeight="1" x14ac:dyDescent="0.3">
      <c r="A1533" t="s">
        <v>149</v>
      </c>
      <c r="B1533" s="2">
        <v>45839</v>
      </c>
      <c r="C1533">
        <v>6946.7250000000004</v>
      </c>
    </row>
    <row r="1534" spans="1:3" ht="15" hidden="1" customHeight="1" x14ac:dyDescent="0.3">
      <c r="A1534" t="s">
        <v>149</v>
      </c>
      <c r="B1534" s="2">
        <v>45870</v>
      </c>
      <c r="C1534">
        <v>7852.65</v>
      </c>
    </row>
    <row r="1535" spans="1:3" ht="15" hidden="1" customHeight="1" x14ac:dyDescent="0.3">
      <c r="A1535" t="s">
        <v>149</v>
      </c>
      <c r="B1535" s="2">
        <v>45901</v>
      </c>
      <c r="C1535">
        <v>8347.0499999999993</v>
      </c>
    </row>
    <row r="1536" spans="1:3" ht="15" hidden="1" customHeight="1" x14ac:dyDescent="0.3">
      <c r="A1536" t="s">
        <v>149</v>
      </c>
      <c r="B1536" s="2">
        <v>45931</v>
      </c>
      <c r="C1536">
        <v>8786.625</v>
      </c>
    </row>
    <row r="1537" spans="1:3" ht="15" hidden="1" customHeight="1" x14ac:dyDescent="0.3">
      <c r="A1537" t="s">
        <v>149</v>
      </c>
      <c r="B1537" s="2">
        <v>45962</v>
      </c>
      <c r="C1537">
        <v>8551.7999999999993</v>
      </c>
    </row>
    <row r="1538" spans="1:3" ht="15" hidden="1" customHeight="1" x14ac:dyDescent="0.3">
      <c r="A1538" t="s">
        <v>149</v>
      </c>
      <c r="B1538" s="2">
        <v>45992</v>
      </c>
      <c r="C1538">
        <v>9109.0499999999993</v>
      </c>
    </row>
    <row r="1539" spans="1:3" ht="15" hidden="1" customHeight="1" x14ac:dyDescent="0.3">
      <c r="A1539" t="s">
        <v>149</v>
      </c>
      <c r="B1539" s="2">
        <v>46023</v>
      </c>
      <c r="C1539">
        <v>8591.0249999999996</v>
      </c>
    </row>
    <row r="1540" spans="1:3" ht="15" hidden="1" customHeight="1" x14ac:dyDescent="0.3">
      <c r="A1540" t="s">
        <v>149</v>
      </c>
      <c r="B1540" s="2">
        <v>46054</v>
      </c>
      <c r="C1540">
        <v>7466.4750000000004</v>
      </c>
    </row>
    <row r="1541" spans="1:3" ht="15" hidden="1" customHeight="1" x14ac:dyDescent="0.3">
      <c r="A1541" t="s">
        <v>149</v>
      </c>
      <c r="B1541" s="2">
        <v>46082</v>
      </c>
      <c r="C1541">
        <v>7931.85</v>
      </c>
    </row>
    <row r="1542" spans="1:3" ht="15" hidden="1" customHeight="1" x14ac:dyDescent="0.3">
      <c r="A1542" t="s">
        <v>149</v>
      </c>
      <c r="B1542" s="2">
        <v>46113</v>
      </c>
      <c r="C1542">
        <v>6987.15</v>
      </c>
    </row>
    <row r="1543" spans="1:3" ht="15" hidden="1" customHeight="1" x14ac:dyDescent="0.3">
      <c r="A1543" t="s">
        <v>149</v>
      </c>
      <c r="B1543" s="2">
        <v>46143</v>
      </c>
      <c r="C1543">
        <v>6858.5249999999996</v>
      </c>
    </row>
    <row r="1544" spans="1:3" ht="15" hidden="1" customHeight="1" x14ac:dyDescent="0.3">
      <c r="A1544" t="s">
        <v>149</v>
      </c>
      <c r="B1544" s="2">
        <v>46174</v>
      </c>
      <c r="C1544">
        <v>6375.45</v>
      </c>
    </row>
    <row r="1545" spans="1:3" ht="15" hidden="1" customHeight="1" x14ac:dyDescent="0.3">
      <c r="A1545" t="s">
        <v>149</v>
      </c>
      <c r="B1545" s="2">
        <v>46204</v>
      </c>
      <c r="C1545">
        <v>6946.7250000000004</v>
      </c>
    </row>
    <row r="1546" spans="1:3" ht="15" customHeight="1" x14ac:dyDescent="0.3">
      <c r="A1546" t="s">
        <v>149</v>
      </c>
      <c r="B1546" s="2">
        <v>46235</v>
      </c>
      <c r="C1546">
        <v>7852.65</v>
      </c>
    </row>
    <row r="1547" spans="1:3" ht="15" hidden="1" customHeight="1" x14ac:dyDescent="0.3">
      <c r="A1547" t="s">
        <v>149</v>
      </c>
      <c r="B1547" s="2">
        <v>46266</v>
      </c>
      <c r="C1547">
        <v>8347.0499999999993</v>
      </c>
    </row>
    <row r="1548" spans="1:3" ht="15" hidden="1" customHeight="1" x14ac:dyDescent="0.3">
      <c r="A1548" t="s">
        <v>149</v>
      </c>
      <c r="B1548" s="2">
        <v>46296</v>
      </c>
      <c r="C1548">
        <v>8786.625</v>
      </c>
    </row>
    <row r="1549" spans="1:3" ht="15" hidden="1" customHeight="1" x14ac:dyDescent="0.3">
      <c r="A1549" t="s">
        <v>149</v>
      </c>
      <c r="B1549" s="2">
        <v>46327</v>
      </c>
      <c r="C1549">
        <v>8551.7999999999993</v>
      </c>
    </row>
    <row r="1550" spans="1:3" ht="15" hidden="1" customHeight="1" x14ac:dyDescent="0.3">
      <c r="A1550" t="s">
        <v>149</v>
      </c>
      <c r="B1550" s="2">
        <v>46357</v>
      </c>
      <c r="C1550">
        <v>9109.0499999999993</v>
      </c>
    </row>
    <row r="1551" spans="1:3" ht="15" hidden="1" customHeight="1" x14ac:dyDescent="0.3">
      <c r="A1551" t="s">
        <v>155</v>
      </c>
      <c r="B1551" s="2">
        <v>45292</v>
      </c>
      <c r="C1551">
        <v>4894.29</v>
      </c>
    </row>
    <row r="1552" spans="1:3" ht="15" hidden="1" customHeight="1" x14ac:dyDescent="0.3">
      <c r="A1552" t="s">
        <v>155</v>
      </c>
      <c r="B1552" s="2">
        <v>45323</v>
      </c>
      <c r="C1552">
        <v>4527.45</v>
      </c>
    </row>
    <row r="1553" spans="1:3" ht="15" hidden="1" customHeight="1" x14ac:dyDescent="0.3">
      <c r="A1553" t="s">
        <v>155</v>
      </c>
      <c r="B1553" s="2">
        <v>45352</v>
      </c>
      <c r="C1553">
        <v>4754.25</v>
      </c>
    </row>
    <row r="1554" spans="1:3" ht="15" hidden="1" customHeight="1" x14ac:dyDescent="0.3">
      <c r="A1554" t="s">
        <v>155</v>
      </c>
      <c r="B1554" s="2">
        <v>45383</v>
      </c>
      <c r="C1554">
        <v>4171.59</v>
      </c>
    </row>
    <row r="1555" spans="1:3" ht="15" hidden="1" customHeight="1" x14ac:dyDescent="0.3">
      <c r="A1555" t="s">
        <v>155</v>
      </c>
      <c r="B1555" s="2">
        <v>45413</v>
      </c>
      <c r="C1555">
        <v>4117.5</v>
      </c>
    </row>
    <row r="1556" spans="1:3" ht="15" hidden="1" customHeight="1" x14ac:dyDescent="0.3">
      <c r="A1556" t="s">
        <v>155</v>
      </c>
      <c r="B1556" s="2">
        <v>45444</v>
      </c>
      <c r="C1556">
        <v>3729.06</v>
      </c>
    </row>
    <row r="1557" spans="1:3" ht="15" hidden="1" customHeight="1" x14ac:dyDescent="0.3">
      <c r="A1557" t="s">
        <v>155</v>
      </c>
      <c r="B1557" s="2">
        <v>45474</v>
      </c>
      <c r="C1557">
        <v>4105.53</v>
      </c>
    </row>
    <row r="1558" spans="1:3" ht="15" hidden="1" customHeight="1" x14ac:dyDescent="0.3">
      <c r="A1558" t="s">
        <v>155</v>
      </c>
      <c r="B1558" s="2">
        <v>45505</v>
      </c>
      <c r="C1558">
        <v>4624.83</v>
      </c>
    </row>
    <row r="1559" spans="1:3" ht="15" hidden="1" customHeight="1" x14ac:dyDescent="0.3">
      <c r="A1559" t="s">
        <v>155</v>
      </c>
      <c r="B1559" s="2">
        <v>45536</v>
      </c>
      <c r="C1559">
        <v>4797</v>
      </c>
    </row>
    <row r="1560" spans="1:3" ht="15" hidden="1" customHeight="1" x14ac:dyDescent="0.3">
      <c r="A1560" t="s">
        <v>155</v>
      </c>
      <c r="B1560" s="2">
        <v>45566</v>
      </c>
      <c r="C1560">
        <v>5068.9799999999996</v>
      </c>
    </row>
    <row r="1561" spans="1:3" ht="15" hidden="1" customHeight="1" x14ac:dyDescent="0.3">
      <c r="A1561" t="s">
        <v>155</v>
      </c>
      <c r="B1561" s="2">
        <v>45597</v>
      </c>
      <c r="C1561">
        <v>4862.88</v>
      </c>
    </row>
    <row r="1562" spans="1:3" ht="15" hidden="1" customHeight="1" x14ac:dyDescent="0.3">
      <c r="A1562" t="s">
        <v>155</v>
      </c>
      <c r="B1562" s="2">
        <v>45627</v>
      </c>
      <c r="C1562">
        <v>5082.3900000000003</v>
      </c>
    </row>
    <row r="1563" spans="1:3" ht="15" hidden="1" customHeight="1" x14ac:dyDescent="0.3">
      <c r="A1563" t="s">
        <v>155</v>
      </c>
      <c r="B1563" s="2">
        <v>45658</v>
      </c>
      <c r="C1563">
        <v>4894.29</v>
      </c>
    </row>
    <row r="1564" spans="1:3" ht="15" hidden="1" customHeight="1" x14ac:dyDescent="0.3">
      <c r="A1564" t="s">
        <v>155</v>
      </c>
      <c r="B1564" s="2">
        <v>45689</v>
      </c>
      <c r="C1564">
        <v>4527.45</v>
      </c>
    </row>
    <row r="1565" spans="1:3" ht="15" hidden="1" customHeight="1" x14ac:dyDescent="0.3">
      <c r="A1565" t="s">
        <v>155</v>
      </c>
      <c r="B1565" s="2">
        <v>45717</v>
      </c>
      <c r="C1565">
        <v>4754.25</v>
      </c>
    </row>
    <row r="1566" spans="1:3" ht="15" hidden="1" customHeight="1" x14ac:dyDescent="0.3">
      <c r="A1566" t="s">
        <v>155</v>
      </c>
      <c r="B1566" s="2">
        <v>45748</v>
      </c>
      <c r="C1566">
        <v>4171.59</v>
      </c>
    </row>
    <row r="1567" spans="1:3" ht="15" hidden="1" customHeight="1" x14ac:dyDescent="0.3">
      <c r="A1567" t="s">
        <v>155</v>
      </c>
      <c r="B1567" s="2">
        <v>45778</v>
      </c>
      <c r="C1567">
        <v>4117.5</v>
      </c>
    </row>
    <row r="1568" spans="1:3" ht="15" hidden="1" customHeight="1" x14ac:dyDescent="0.3">
      <c r="A1568" t="s">
        <v>155</v>
      </c>
      <c r="B1568" s="2">
        <v>45809</v>
      </c>
      <c r="C1568">
        <v>3729.06</v>
      </c>
    </row>
    <row r="1569" spans="1:3" ht="15" hidden="1" customHeight="1" x14ac:dyDescent="0.3">
      <c r="A1569" t="s">
        <v>155</v>
      </c>
      <c r="B1569" s="2">
        <v>45839</v>
      </c>
      <c r="C1569">
        <v>4105.53</v>
      </c>
    </row>
    <row r="1570" spans="1:3" ht="15" hidden="1" customHeight="1" x14ac:dyDescent="0.3">
      <c r="A1570" t="s">
        <v>155</v>
      </c>
      <c r="B1570" s="2">
        <v>45870</v>
      </c>
      <c r="C1570">
        <v>4624.83</v>
      </c>
    </row>
    <row r="1571" spans="1:3" ht="15" hidden="1" customHeight="1" x14ac:dyDescent="0.3">
      <c r="A1571" t="s">
        <v>155</v>
      </c>
      <c r="B1571" s="2">
        <v>45901</v>
      </c>
      <c r="C1571">
        <v>4797</v>
      </c>
    </row>
    <row r="1572" spans="1:3" ht="15" hidden="1" customHeight="1" x14ac:dyDescent="0.3">
      <c r="A1572" t="s">
        <v>155</v>
      </c>
      <c r="B1572" s="2">
        <v>45931</v>
      </c>
      <c r="C1572">
        <v>5068.9799999999996</v>
      </c>
    </row>
    <row r="1573" spans="1:3" ht="15" hidden="1" customHeight="1" x14ac:dyDescent="0.3">
      <c r="A1573" t="s">
        <v>155</v>
      </c>
      <c r="B1573" s="2">
        <v>45962</v>
      </c>
      <c r="C1573">
        <v>4862.88</v>
      </c>
    </row>
    <row r="1574" spans="1:3" ht="15" hidden="1" customHeight="1" x14ac:dyDescent="0.3">
      <c r="A1574" t="s">
        <v>155</v>
      </c>
      <c r="B1574" s="2">
        <v>45992</v>
      </c>
      <c r="C1574">
        <v>5082.3900000000003</v>
      </c>
    </row>
    <row r="1575" spans="1:3" ht="15" hidden="1" customHeight="1" x14ac:dyDescent="0.3">
      <c r="A1575" t="s">
        <v>155</v>
      </c>
      <c r="B1575" s="2">
        <v>46023</v>
      </c>
      <c r="C1575">
        <v>4894.29</v>
      </c>
    </row>
    <row r="1576" spans="1:3" ht="15" hidden="1" customHeight="1" x14ac:dyDescent="0.3">
      <c r="A1576" t="s">
        <v>155</v>
      </c>
      <c r="B1576" s="2">
        <v>46054</v>
      </c>
      <c r="C1576">
        <v>4527.45</v>
      </c>
    </row>
    <row r="1577" spans="1:3" ht="15" hidden="1" customHeight="1" x14ac:dyDescent="0.3">
      <c r="A1577" t="s">
        <v>155</v>
      </c>
      <c r="B1577" s="2">
        <v>46082</v>
      </c>
      <c r="C1577">
        <v>4754.25</v>
      </c>
    </row>
    <row r="1578" spans="1:3" ht="15" hidden="1" customHeight="1" x14ac:dyDescent="0.3">
      <c r="A1578" t="s">
        <v>155</v>
      </c>
      <c r="B1578" s="2">
        <v>46113</v>
      </c>
      <c r="C1578">
        <v>4171.59</v>
      </c>
    </row>
    <row r="1579" spans="1:3" ht="15" hidden="1" customHeight="1" x14ac:dyDescent="0.3">
      <c r="A1579" t="s">
        <v>155</v>
      </c>
      <c r="B1579" s="2">
        <v>46143</v>
      </c>
      <c r="C1579">
        <v>4117.5</v>
      </c>
    </row>
    <row r="1580" spans="1:3" ht="15" hidden="1" customHeight="1" x14ac:dyDescent="0.3">
      <c r="A1580" t="s">
        <v>155</v>
      </c>
      <c r="B1580" s="2">
        <v>46174</v>
      </c>
      <c r="C1580">
        <v>3729.06</v>
      </c>
    </row>
    <row r="1581" spans="1:3" ht="15" hidden="1" customHeight="1" x14ac:dyDescent="0.3">
      <c r="A1581" t="s">
        <v>155</v>
      </c>
      <c r="B1581" s="2">
        <v>46204</v>
      </c>
      <c r="C1581">
        <v>4105.53</v>
      </c>
    </row>
    <row r="1582" spans="1:3" ht="15" customHeight="1" x14ac:dyDescent="0.3">
      <c r="A1582" t="s">
        <v>155</v>
      </c>
      <c r="B1582" s="2">
        <v>46235</v>
      </c>
      <c r="C1582">
        <v>4624.83</v>
      </c>
    </row>
    <row r="1583" spans="1:3" ht="15" hidden="1" customHeight="1" x14ac:dyDescent="0.3">
      <c r="A1583" t="s">
        <v>155</v>
      </c>
      <c r="B1583" s="2">
        <v>46266</v>
      </c>
      <c r="C1583">
        <v>4797</v>
      </c>
    </row>
    <row r="1584" spans="1:3" ht="15" hidden="1" customHeight="1" x14ac:dyDescent="0.3">
      <c r="A1584" t="s">
        <v>155</v>
      </c>
      <c r="B1584" s="2">
        <v>46296</v>
      </c>
      <c r="C1584">
        <v>5068.9799999999996</v>
      </c>
    </row>
    <row r="1585" spans="1:3" ht="15" hidden="1" customHeight="1" x14ac:dyDescent="0.3">
      <c r="A1585" t="s">
        <v>155</v>
      </c>
      <c r="B1585" s="2">
        <v>46327</v>
      </c>
      <c r="C1585">
        <v>4862.88</v>
      </c>
    </row>
    <row r="1586" spans="1:3" ht="15" hidden="1" customHeight="1" x14ac:dyDescent="0.3">
      <c r="A1586" t="s">
        <v>155</v>
      </c>
      <c r="B1586" s="2">
        <v>46357</v>
      </c>
      <c r="C1586">
        <v>5082.3900000000003</v>
      </c>
    </row>
    <row r="1587" spans="1:3" ht="15" hidden="1" customHeight="1" x14ac:dyDescent="0.3">
      <c r="A1587" t="s">
        <v>157</v>
      </c>
      <c r="B1587" s="2">
        <v>45292</v>
      </c>
      <c r="C1587">
        <v>5902.47</v>
      </c>
    </row>
    <row r="1588" spans="1:3" ht="15" hidden="1" customHeight="1" x14ac:dyDescent="0.3">
      <c r="A1588" t="s">
        <v>157</v>
      </c>
      <c r="B1588" s="2">
        <v>45323</v>
      </c>
      <c r="C1588">
        <v>5299.2</v>
      </c>
    </row>
    <row r="1589" spans="1:3" ht="15" hidden="1" customHeight="1" x14ac:dyDescent="0.3">
      <c r="A1589" t="s">
        <v>157</v>
      </c>
      <c r="B1589" s="2">
        <v>45352</v>
      </c>
      <c r="C1589">
        <v>5701.86</v>
      </c>
    </row>
    <row r="1590" spans="1:3" ht="15" hidden="1" customHeight="1" x14ac:dyDescent="0.3">
      <c r="A1590" t="s">
        <v>157</v>
      </c>
      <c r="B1590" s="2">
        <v>45383</v>
      </c>
      <c r="C1590">
        <v>5085.8999999999996</v>
      </c>
    </row>
    <row r="1591" spans="1:3" ht="15" hidden="1" customHeight="1" x14ac:dyDescent="0.3">
      <c r="A1591" t="s">
        <v>157</v>
      </c>
      <c r="B1591" s="2">
        <v>45413</v>
      </c>
      <c r="C1591">
        <v>5204.6099999999997</v>
      </c>
    </row>
    <row r="1592" spans="1:3" ht="15" hidden="1" customHeight="1" x14ac:dyDescent="0.3">
      <c r="A1592" t="s">
        <v>157</v>
      </c>
      <c r="B1592" s="2">
        <v>45444</v>
      </c>
      <c r="C1592">
        <v>4824.3599999999997</v>
      </c>
    </row>
    <row r="1593" spans="1:3" ht="15" hidden="1" customHeight="1" x14ac:dyDescent="0.3">
      <c r="A1593" t="s">
        <v>157</v>
      </c>
      <c r="B1593" s="2">
        <v>45474</v>
      </c>
      <c r="C1593">
        <v>5303.16</v>
      </c>
    </row>
    <row r="1594" spans="1:3" ht="15" hidden="1" customHeight="1" x14ac:dyDescent="0.3">
      <c r="A1594" t="s">
        <v>157</v>
      </c>
      <c r="B1594" s="2">
        <v>45505</v>
      </c>
      <c r="C1594">
        <v>5833.08</v>
      </c>
    </row>
    <row r="1595" spans="1:3" ht="15" hidden="1" customHeight="1" x14ac:dyDescent="0.3">
      <c r="A1595" t="s">
        <v>157</v>
      </c>
      <c r="B1595" s="2">
        <v>45536</v>
      </c>
      <c r="C1595">
        <v>6021.81</v>
      </c>
    </row>
    <row r="1596" spans="1:3" ht="15" hidden="1" customHeight="1" x14ac:dyDescent="0.3">
      <c r="A1596" t="s">
        <v>157</v>
      </c>
      <c r="B1596" s="2">
        <v>45566</v>
      </c>
      <c r="C1596">
        <v>6128.91</v>
      </c>
    </row>
    <row r="1597" spans="1:3" ht="15" hidden="1" customHeight="1" x14ac:dyDescent="0.3">
      <c r="A1597" t="s">
        <v>157</v>
      </c>
      <c r="B1597" s="2">
        <v>45597</v>
      </c>
      <c r="C1597">
        <v>5928.57</v>
      </c>
    </row>
    <row r="1598" spans="1:3" ht="15" hidden="1" customHeight="1" x14ac:dyDescent="0.3">
      <c r="A1598" t="s">
        <v>157</v>
      </c>
      <c r="B1598" s="2">
        <v>45627</v>
      </c>
      <c r="C1598">
        <v>6186.69</v>
      </c>
    </row>
    <row r="1599" spans="1:3" ht="15" hidden="1" customHeight="1" x14ac:dyDescent="0.3">
      <c r="A1599" t="s">
        <v>157</v>
      </c>
      <c r="B1599" s="2">
        <v>45658</v>
      </c>
      <c r="C1599">
        <v>5902.47</v>
      </c>
    </row>
    <row r="1600" spans="1:3" ht="15" hidden="1" customHeight="1" x14ac:dyDescent="0.3">
      <c r="A1600" t="s">
        <v>157</v>
      </c>
      <c r="B1600" s="2">
        <v>45689</v>
      </c>
      <c r="C1600">
        <v>5299.2</v>
      </c>
    </row>
    <row r="1601" spans="1:3" ht="15" hidden="1" customHeight="1" x14ac:dyDescent="0.3">
      <c r="A1601" t="s">
        <v>157</v>
      </c>
      <c r="B1601" s="2">
        <v>45717</v>
      </c>
      <c r="C1601">
        <v>5701.86</v>
      </c>
    </row>
    <row r="1602" spans="1:3" ht="15" hidden="1" customHeight="1" x14ac:dyDescent="0.3">
      <c r="A1602" t="s">
        <v>157</v>
      </c>
      <c r="B1602" s="2">
        <v>45748</v>
      </c>
      <c r="C1602">
        <v>5085.8999999999996</v>
      </c>
    </row>
    <row r="1603" spans="1:3" ht="15" hidden="1" customHeight="1" x14ac:dyDescent="0.3">
      <c r="A1603" t="s">
        <v>157</v>
      </c>
      <c r="B1603" s="2">
        <v>45778</v>
      </c>
      <c r="C1603">
        <v>5204.6099999999997</v>
      </c>
    </row>
    <row r="1604" spans="1:3" ht="15" hidden="1" customHeight="1" x14ac:dyDescent="0.3">
      <c r="A1604" t="s">
        <v>157</v>
      </c>
      <c r="B1604" s="2">
        <v>45809</v>
      </c>
      <c r="C1604">
        <v>4824.3599999999997</v>
      </c>
    </row>
    <row r="1605" spans="1:3" ht="15" hidden="1" customHeight="1" x14ac:dyDescent="0.3">
      <c r="A1605" t="s">
        <v>157</v>
      </c>
      <c r="B1605" s="2">
        <v>45839</v>
      </c>
      <c r="C1605">
        <v>5303.16</v>
      </c>
    </row>
    <row r="1606" spans="1:3" ht="15" hidden="1" customHeight="1" x14ac:dyDescent="0.3">
      <c r="A1606" t="s">
        <v>157</v>
      </c>
      <c r="B1606" s="2">
        <v>45870</v>
      </c>
      <c r="C1606">
        <v>5833.08</v>
      </c>
    </row>
    <row r="1607" spans="1:3" ht="15" hidden="1" customHeight="1" x14ac:dyDescent="0.3">
      <c r="A1607" t="s">
        <v>157</v>
      </c>
      <c r="B1607" s="2">
        <v>45901</v>
      </c>
      <c r="C1607">
        <v>6021.81</v>
      </c>
    </row>
    <row r="1608" spans="1:3" ht="15" hidden="1" customHeight="1" x14ac:dyDescent="0.3">
      <c r="A1608" t="s">
        <v>157</v>
      </c>
      <c r="B1608" s="2">
        <v>45931</v>
      </c>
      <c r="C1608">
        <v>6128.91</v>
      </c>
    </row>
    <row r="1609" spans="1:3" ht="15" hidden="1" customHeight="1" x14ac:dyDescent="0.3">
      <c r="A1609" t="s">
        <v>157</v>
      </c>
      <c r="B1609" s="2">
        <v>45962</v>
      </c>
      <c r="C1609">
        <v>5928.57</v>
      </c>
    </row>
    <row r="1610" spans="1:3" ht="15" hidden="1" customHeight="1" x14ac:dyDescent="0.3">
      <c r="A1610" t="s">
        <v>157</v>
      </c>
      <c r="B1610" s="2">
        <v>45992</v>
      </c>
      <c r="C1610">
        <v>6186.69</v>
      </c>
    </row>
    <row r="1611" spans="1:3" ht="15" hidden="1" customHeight="1" x14ac:dyDescent="0.3">
      <c r="A1611" t="s">
        <v>157</v>
      </c>
      <c r="B1611" s="2">
        <v>46023</v>
      </c>
      <c r="C1611">
        <v>5902.47</v>
      </c>
    </row>
    <row r="1612" spans="1:3" ht="15" hidden="1" customHeight="1" x14ac:dyDescent="0.3">
      <c r="A1612" t="s">
        <v>157</v>
      </c>
      <c r="B1612" s="2">
        <v>46054</v>
      </c>
      <c r="C1612">
        <v>5299.2</v>
      </c>
    </row>
    <row r="1613" spans="1:3" ht="15" hidden="1" customHeight="1" x14ac:dyDescent="0.3">
      <c r="A1613" t="s">
        <v>157</v>
      </c>
      <c r="B1613" s="2">
        <v>46082</v>
      </c>
      <c r="C1613">
        <v>5701.86</v>
      </c>
    </row>
    <row r="1614" spans="1:3" ht="15" hidden="1" customHeight="1" x14ac:dyDescent="0.3">
      <c r="A1614" t="s">
        <v>157</v>
      </c>
      <c r="B1614" s="2">
        <v>46113</v>
      </c>
      <c r="C1614">
        <v>5085.8999999999996</v>
      </c>
    </row>
    <row r="1615" spans="1:3" ht="15" hidden="1" customHeight="1" x14ac:dyDescent="0.3">
      <c r="A1615" t="s">
        <v>157</v>
      </c>
      <c r="B1615" s="2">
        <v>46143</v>
      </c>
      <c r="C1615">
        <v>5204.6099999999997</v>
      </c>
    </row>
    <row r="1616" spans="1:3" ht="15" hidden="1" customHeight="1" x14ac:dyDescent="0.3">
      <c r="A1616" t="s">
        <v>157</v>
      </c>
      <c r="B1616" s="2">
        <v>46174</v>
      </c>
      <c r="C1616">
        <v>4824.3599999999997</v>
      </c>
    </row>
    <row r="1617" spans="1:3" ht="15" hidden="1" customHeight="1" x14ac:dyDescent="0.3">
      <c r="A1617" t="s">
        <v>157</v>
      </c>
      <c r="B1617" s="2">
        <v>46204</v>
      </c>
      <c r="C1617">
        <v>5303.16</v>
      </c>
    </row>
    <row r="1618" spans="1:3" ht="15" customHeight="1" x14ac:dyDescent="0.3">
      <c r="A1618" t="s">
        <v>157</v>
      </c>
      <c r="B1618" s="2">
        <v>46235</v>
      </c>
      <c r="C1618">
        <v>5833.08</v>
      </c>
    </row>
    <row r="1619" spans="1:3" ht="15" hidden="1" customHeight="1" x14ac:dyDescent="0.3">
      <c r="A1619" t="s">
        <v>157</v>
      </c>
      <c r="B1619" s="2">
        <v>46266</v>
      </c>
      <c r="C1619">
        <v>6021.81</v>
      </c>
    </row>
    <row r="1620" spans="1:3" ht="15" hidden="1" customHeight="1" x14ac:dyDescent="0.3">
      <c r="A1620" t="s">
        <v>157</v>
      </c>
      <c r="B1620" s="2">
        <v>46296</v>
      </c>
      <c r="C1620">
        <v>6128.91</v>
      </c>
    </row>
    <row r="1621" spans="1:3" ht="15" hidden="1" customHeight="1" x14ac:dyDescent="0.3">
      <c r="A1621" t="s">
        <v>157</v>
      </c>
      <c r="B1621" s="2">
        <v>46327</v>
      </c>
      <c r="C1621">
        <v>5928.57</v>
      </c>
    </row>
    <row r="1622" spans="1:3" ht="15" hidden="1" customHeight="1" x14ac:dyDescent="0.3">
      <c r="A1622" t="s">
        <v>157</v>
      </c>
      <c r="B1622" s="2">
        <v>46357</v>
      </c>
      <c r="C1622">
        <v>6186.69</v>
      </c>
    </row>
    <row r="1623" spans="1:3" ht="15" hidden="1" customHeight="1" x14ac:dyDescent="0.3">
      <c r="A1623" t="s">
        <v>160</v>
      </c>
      <c r="B1623" s="2">
        <v>45292</v>
      </c>
      <c r="C1623">
        <v>17099.45</v>
      </c>
    </row>
    <row r="1624" spans="1:3" ht="15" hidden="1" customHeight="1" x14ac:dyDescent="0.3">
      <c r="A1624" t="s">
        <v>160</v>
      </c>
      <c r="B1624" s="2">
        <v>45323</v>
      </c>
      <c r="C1624">
        <v>15031.4</v>
      </c>
    </row>
    <row r="1625" spans="1:3" ht="15" hidden="1" customHeight="1" x14ac:dyDescent="0.3">
      <c r="A1625" t="s">
        <v>160</v>
      </c>
      <c r="B1625" s="2">
        <v>45352</v>
      </c>
      <c r="C1625">
        <v>16289.4</v>
      </c>
    </row>
    <row r="1626" spans="1:3" ht="15" hidden="1" customHeight="1" x14ac:dyDescent="0.3">
      <c r="A1626" t="s">
        <v>160</v>
      </c>
      <c r="B1626" s="2">
        <v>45383</v>
      </c>
      <c r="C1626">
        <v>14250.25</v>
      </c>
    </row>
    <row r="1627" spans="1:3" ht="15" hidden="1" customHeight="1" x14ac:dyDescent="0.3">
      <c r="A1627" t="s">
        <v>160</v>
      </c>
      <c r="B1627" s="2">
        <v>45413</v>
      </c>
      <c r="C1627">
        <v>14783.2</v>
      </c>
    </row>
    <row r="1628" spans="1:3" ht="15" hidden="1" customHeight="1" x14ac:dyDescent="0.3">
      <c r="A1628" t="s">
        <v>160</v>
      </c>
      <c r="B1628" s="2">
        <v>45444</v>
      </c>
      <c r="C1628">
        <v>13871.15</v>
      </c>
    </row>
    <row r="1629" spans="1:3" ht="15" hidden="1" customHeight="1" x14ac:dyDescent="0.3">
      <c r="A1629" t="s">
        <v>160</v>
      </c>
      <c r="B1629" s="2">
        <v>45474</v>
      </c>
      <c r="C1629">
        <v>15110.45</v>
      </c>
    </row>
    <row r="1630" spans="1:3" ht="15" hidden="1" customHeight="1" x14ac:dyDescent="0.3">
      <c r="A1630" t="s">
        <v>160</v>
      </c>
      <c r="B1630" s="2">
        <v>45505</v>
      </c>
      <c r="C1630">
        <v>16763.7</v>
      </c>
    </row>
    <row r="1631" spans="1:3" ht="15" hidden="1" customHeight="1" x14ac:dyDescent="0.3">
      <c r="A1631" t="s">
        <v>160</v>
      </c>
      <c r="B1631" s="2">
        <v>45536</v>
      </c>
      <c r="C1631">
        <v>16935.400000000001</v>
      </c>
    </row>
    <row r="1632" spans="1:3" ht="15" hidden="1" customHeight="1" x14ac:dyDescent="0.3">
      <c r="A1632" t="s">
        <v>160</v>
      </c>
      <c r="B1632" s="2">
        <v>45566</v>
      </c>
      <c r="C1632">
        <v>17583.95</v>
      </c>
    </row>
    <row r="1633" spans="1:3" ht="15" hidden="1" customHeight="1" x14ac:dyDescent="0.3">
      <c r="A1633" t="s">
        <v>160</v>
      </c>
      <c r="B1633" s="2">
        <v>45597</v>
      </c>
      <c r="C1633">
        <v>16597.099999999999</v>
      </c>
    </row>
    <row r="1634" spans="1:3" ht="15" hidden="1" customHeight="1" x14ac:dyDescent="0.3">
      <c r="A1634" t="s">
        <v>160</v>
      </c>
      <c r="B1634" s="2">
        <v>45627</v>
      </c>
      <c r="C1634">
        <v>17731</v>
      </c>
    </row>
    <row r="1635" spans="1:3" ht="15" hidden="1" customHeight="1" x14ac:dyDescent="0.3">
      <c r="A1635" t="s">
        <v>160</v>
      </c>
      <c r="B1635" s="2">
        <v>45658</v>
      </c>
      <c r="C1635">
        <v>17099.45</v>
      </c>
    </row>
    <row r="1636" spans="1:3" ht="15" hidden="1" customHeight="1" x14ac:dyDescent="0.3">
      <c r="A1636" t="s">
        <v>160</v>
      </c>
      <c r="B1636" s="2">
        <v>45689</v>
      </c>
      <c r="C1636">
        <v>15031.4</v>
      </c>
    </row>
    <row r="1637" spans="1:3" ht="15" hidden="1" customHeight="1" x14ac:dyDescent="0.3">
      <c r="A1637" t="s">
        <v>160</v>
      </c>
      <c r="B1637" s="2">
        <v>45717</v>
      </c>
      <c r="C1637">
        <v>16289.4</v>
      </c>
    </row>
    <row r="1638" spans="1:3" ht="15" hidden="1" customHeight="1" x14ac:dyDescent="0.3">
      <c r="A1638" t="s">
        <v>160</v>
      </c>
      <c r="B1638" s="2">
        <v>45748</v>
      </c>
      <c r="C1638">
        <v>14250.25</v>
      </c>
    </row>
    <row r="1639" spans="1:3" ht="15" hidden="1" customHeight="1" x14ac:dyDescent="0.3">
      <c r="A1639" t="s">
        <v>160</v>
      </c>
      <c r="B1639" s="2">
        <v>45778</v>
      </c>
      <c r="C1639">
        <v>14783.2</v>
      </c>
    </row>
    <row r="1640" spans="1:3" ht="15" hidden="1" customHeight="1" x14ac:dyDescent="0.3">
      <c r="A1640" t="s">
        <v>160</v>
      </c>
      <c r="B1640" s="2">
        <v>45809</v>
      </c>
      <c r="C1640">
        <v>13871.15</v>
      </c>
    </row>
    <row r="1641" spans="1:3" ht="15" hidden="1" customHeight="1" x14ac:dyDescent="0.3">
      <c r="A1641" t="s">
        <v>160</v>
      </c>
      <c r="B1641" s="2">
        <v>45839</v>
      </c>
      <c r="C1641">
        <v>15110.45</v>
      </c>
    </row>
    <row r="1642" spans="1:3" ht="15" hidden="1" customHeight="1" x14ac:dyDescent="0.3">
      <c r="A1642" t="s">
        <v>160</v>
      </c>
      <c r="B1642" s="2">
        <v>45870</v>
      </c>
      <c r="C1642">
        <v>16763.7</v>
      </c>
    </row>
    <row r="1643" spans="1:3" ht="15" hidden="1" customHeight="1" x14ac:dyDescent="0.3">
      <c r="A1643" t="s">
        <v>160</v>
      </c>
      <c r="B1643" s="2">
        <v>45901</v>
      </c>
      <c r="C1643">
        <v>16935.400000000001</v>
      </c>
    </row>
    <row r="1644" spans="1:3" ht="15" hidden="1" customHeight="1" x14ac:dyDescent="0.3">
      <c r="A1644" t="s">
        <v>160</v>
      </c>
      <c r="B1644" s="2">
        <v>45931</v>
      </c>
      <c r="C1644">
        <v>17583.95</v>
      </c>
    </row>
    <row r="1645" spans="1:3" ht="15" hidden="1" customHeight="1" x14ac:dyDescent="0.3">
      <c r="A1645" t="s">
        <v>160</v>
      </c>
      <c r="B1645" s="2">
        <v>45962</v>
      </c>
      <c r="C1645">
        <v>16597.099999999999</v>
      </c>
    </row>
    <row r="1646" spans="1:3" ht="15" hidden="1" customHeight="1" x14ac:dyDescent="0.3">
      <c r="A1646" t="s">
        <v>160</v>
      </c>
      <c r="B1646" s="2">
        <v>45992</v>
      </c>
      <c r="C1646">
        <v>17731</v>
      </c>
    </row>
    <row r="1647" spans="1:3" ht="15" hidden="1" customHeight="1" x14ac:dyDescent="0.3">
      <c r="A1647" t="s">
        <v>160</v>
      </c>
      <c r="B1647" s="2">
        <v>46023</v>
      </c>
      <c r="C1647">
        <v>17099.45</v>
      </c>
    </row>
    <row r="1648" spans="1:3" ht="15" hidden="1" customHeight="1" x14ac:dyDescent="0.3">
      <c r="A1648" t="s">
        <v>160</v>
      </c>
      <c r="B1648" s="2">
        <v>46054</v>
      </c>
      <c r="C1648">
        <v>15031.4</v>
      </c>
    </row>
    <row r="1649" spans="1:3" ht="15" hidden="1" customHeight="1" x14ac:dyDescent="0.3">
      <c r="A1649" t="s">
        <v>160</v>
      </c>
      <c r="B1649" s="2">
        <v>46082</v>
      </c>
      <c r="C1649">
        <v>16289.4</v>
      </c>
    </row>
    <row r="1650" spans="1:3" ht="15" hidden="1" customHeight="1" x14ac:dyDescent="0.3">
      <c r="A1650" t="s">
        <v>160</v>
      </c>
      <c r="B1650" s="2">
        <v>46113</v>
      </c>
      <c r="C1650">
        <v>14250.25</v>
      </c>
    </row>
    <row r="1651" spans="1:3" ht="15" hidden="1" customHeight="1" x14ac:dyDescent="0.3">
      <c r="A1651" t="s">
        <v>160</v>
      </c>
      <c r="B1651" s="2">
        <v>46143</v>
      </c>
      <c r="C1651">
        <v>14783.2</v>
      </c>
    </row>
    <row r="1652" spans="1:3" ht="15" hidden="1" customHeight="1" x14ac:dyDescent="0.3">
      <c r="A1652" t="s">
        <v>160</v>
      </c>
      <c r="B1652" s="2">
        <v>46174</v>
      </c>
      <c r="C1652">
        <v>13871.15</v>
      </c>
    </row>
    <row r="1653" spans="1:3" ht="15" hidden="1" customHeight="1" x14ac:dyDescent="0.3">
      <c r="A1653" t="s">
        <v>160</v>
      </c>
      <c r="B1653" s="2">
        <v>46204</v>
      </c>
      <c r="C1653">
        <v>15110.45</v>
      </c>
    </row>
    <row r="1654" spans="1:3" ht="15" customHeight="1" x14ac:dyDescent="0.3">
      <c r="A1654" t="s">
        <v>160</v>
      </c>
      <c r="B1654" s="2">
        <v>46235</v>
      </c>
      <c r="C1654">
        <v>16763.7</v>
      </c>
    </row>
    <row r="1655" spans="1:3" ht="15" hidden="1" customHeight="1" x14ac:dyDescent="0.3">
      <c r="A1655" t="s">
        <v>160</v>
      </c>
      <c r="B1655" s="2">
        <v>46266</v>
      </c>
      <c r="C1655">
        <v>16935.400000000001</v>
      </c>
    </row>
    <row r="1656" spans="1:3" ht="15" hidden="1" customHeight="1" x14ac:dyDescent="0.3">
      <c r="A1656" t="s">
        <v>160</v>
      </c>
      <c r="B1656" s="2">
        <v>46296</v>
      </c>
      <c r="C1656">
        <v>17583.95</v>
      </c>
    </row>
    <row r="1657" spans="1:3" ht="15" hidden="1" customHeight="1" x14ac:dyDescent="0.3">
      <c r="A1657" t="s">
        <v>160</v>
      </c>
      <c r="B1657" s="2">
        <v>46327</v>
      </c>
      <c r="C1657">
        <v>16597.099999999999</v>
      </c>
    </row>
    <row r="1658" spans="1:3" ht="15" hidden="1" customHeight="1" x14ac:dyDescent="0.3">
      <c r="A1658" t="s">
        <v>160</v>
      </c>
      <c r="B1658" s="2">
        <v>46357</v>
      </c>
      <c r="C1658">
        <v>17731</v>
      </c>
    </row>
    <row r="1659" spans="1:3" ht="15" hidden="1" customHeight="1" x14ac:dyDescent="0.3">
      <c r="A1659" t="s">
        <v>244</v>
      </c>
      <c r="B1659" s="2">
        <v>45292</v>
      </c>
      <c r="C1659">
        <v>20178</v>
      </c>
    </row>
    <row r="1660" spans="1:3" ht="15" hidden="1" customHeight="1" x14ac:dyDescent="0.3">
      <c r="A1660" t="s">
        <v>244</v>
      </c>
      <c r="B1660" s="2">
        <v>45323</v>
      </c>
      <c r="C1660">
        <v>17954</v>
      </c>
    </row>
    <row r="1661" spans="1:3" ht="15" hidden="1" customHeight="1" x14ac:dyDescent="0.3">
      <c r="A1661" t="s">
        <v>244</v>
      </c>
      <c r="B1661" s="2">
        <v>45352</v>
      </c>
      <c r="C1661">
        <v>19150</v>
      </c>
    </row>
    <row r="1662" spans="1:3" ht="15" hidden="1" customHeight="1" x14ac:dyDescent="0.3">
      <c r="A1662" t="s">
        <v>244</v>
      </c>
      <c r="B1662" s="2">
        <v>45383</v>
      </c>
      <c r="C1662">
        <v>18060</v>
      </c>
    </row>
    <row r="1663" spans="1:3" ht="15" hidden="1" customHeight="1" x14ac:dyDescent="0.3">
      <c r="A1663" t="s">
        <v>244</v>
      </c>
      <c r="B1663" s="2">
        <v>45413</v>
      </c>
      <c r="C1663">
        <v>18124</v>
      </c>
    </row>
    <row r="1664" spans="1:3" ht="15" hidden="1" customHeight="1" x14ac:dyDescent="0.3">
      <c r="A1664" t="s">
        <v>244</v>
      </c>
      <c r="B1664" s="2">
        <v>45444</v>
      </c>
      <c r="C1664">
        <v>15908</v>
      </c>
    </row>
    <row r="1665" spans="1:3" ht="15" hidden="1" customHeight="1" x14ac:dyDescent="0.3">
      <c r="A1665" t="s">
        <v>244</v>
      </c>
      <c r="B1665" s="2">
        <v>45474</v>
      </c>
      <c r="C1665">
        <v>16827</v>
      </c>
    </row>
    <row r="1666" spans="1:3" ht="15" hidden="1" customHeight="1" x14ac:dyDescent="0.3">
      <c r="A1666" t="s">
        <v>244</v>
      </c>
      <c r="B1666" s="2">
        <v>45505</v>
      </c>
      <c r="C1666">
        <v>19405</v>
      </c>
    </row>
    <row r="1667" spans="1:3" ht="15" hidden="1" customHeight="1" x14ac:dyDescent="0.3">
      <c r="A1667" t="s">
        <v>244</v>
      </c>
      <c r="B1667" s="2">
        <v>45536</v>
      </c>
      <c r="C1667">
        <v>19981</v>
      </c>
    </row>
    <row r="1668" spans="1:3" ht="15" hidden="1" customHeight="1" x14ac:dyDescent="0.3">
      <c r="A1668" t="s">
        <v>244</v>
      </c>
      <c r="B1668" s="2">
        <v>45566</v>
      </c>
      <c r="C1668">
        <v>22401</v>
      </c>
    </row>
    <row r="1669" spans="1:3" ht="15" hidden="1" customHeight="1" x14ac:dyDescent="0.3">
      <c r="A1669" t="s">
        <v>244</v>
      </c>
      <c r="B1669" s="2">
        <v>45597</v>
      </c>
      <c r="C1669">
        <v>20125</v>
      </c>
    </row>
    <row r="1670" spans="1:3" ht="15" hidden="1" customHeight="1" x14ac:dyDescent="0.3">
      <c r="A1670" t="s">
        <v>244</v>
      </c>
      <c r="B1670" s="2">
        <v>45627</v>
      </c>
      <c r="C1670">
        <v>20771</v>
      </c>
    </row>
    <row r="1671" spans="1:3" ht="15" hidden="1" customHeight="1" x14ac:dyDescent="0.3">
      <c r="A1671" t="s">
        <v>244</v>
      </c>
      <c r="B1671" s="2">
        <v>45658</v>
      </c>
      <c r="C1671">
        <v>20178</v>
      </c>
    </row>
    <row r="1672" spans="1:3" ht="15" hidden="1" customHeight="1" x14ac:dyDescent="0.3">
      <c r="A1672" t="s">
        <v>244</v>
      </c>
      <c r="B1672" s="2">
        <v>45689</v>
      </c>
      <c r="C1672">
        <v>17954</v>
      </c>
    </row>
    <row r="1673" spans="1:3" ht="15" hidden="1" customHeight="1" x14ac:dyDescent="0.3">
      <c r="A1673" t="s">
        <v>244</v>
      </c>
      <c r="B1673" s="2">
        <v>45717</v>
      </c>
      <c r="C1673">
        <v>19150</v>
      </c>
    </row>
    <row r="1674" spans="1:3" ht="15" hidden="1" customHeight="1" x14ac:dyDescent="0.3">
      <c r="A1674" t="s">
        <v>244</v>
      </c>
      <c r="B1674" s="2">
        <v>45748</v>
      </c>
      <c r="C1674">
        <v>18060</v>
      </c>
    </row>
    <row r="1675" spans="1:3" ht="15" hidden="1" customHeight="1" x14ac:dyDescent="0.3">
      <c r="A1675" t="s">
        <v>244</v>
      </c>
      <c r="B1675" s="2">
        <v>45778</v>
      </c>
      <c r="C1675">
        <v>18124</v>
      </c>
    </row>
    <row r="1676" spans="1:3" ht="15" hidden="1" customHeight="1" x14ac:dyDescent="0.3">
      <c r="A1676" t="s">
        <v>244</v>
      </c>
      <c r="B1676" s="2">
        <v>45809</v>
      </c>
      <c r="C1676">
        <v>15908</v>
      </c>
    </row>
    <row r="1677" spans="1:3" ht="15" hidden="1" customHeight="1" x14ac:dyDescent="0.3">
      <c r="A1677" t="s">
        <v>244</v>
      </c>
      <c r="B1677" s="2">
        <v>45839</v>
      </c>
      <c r="C1677">
        <v>16827</v>
      </c>
    </row>
    <row r="1678" spans="1:3" ht="15" hidden="1" customHeight="1" x14ac:dyDescent="0.3">
      <c r="A1678" t="s">
        <v>244</v>
      </c>
      <c r="B1678" s="2">
        <v>45870</v>
      </c>
      <c r="C1678">
        <v>19405</v>
      </c>
    </row>
    <row r="1679" spans="1:3" ht="15" hidden="1" customHeight="1" x14ac:dyDescent="0.3">
      <c r="A1679" t="s">
        <v>244</v>
      </c>
      <c r="B1679" s="2">
        <v>45901</v>
      </c>
      <c r="C1679">
        <v>19981</v>
      </c>
    </row>
    <row r="1680" spans="1:3" ht="15" hidden="1" customHeight="1" x14ac:dyDescent="0.3">
      <c r="A1680" t="s">
        <v>244</v>
      </c>
      <c r="B1680" s="2">
        <v>45931</v>
      </c>
      <c r="C1680">
        <v>22401</v>
      </c>
    </row>
    <row r="1681" spans="1:3" ht="15" hidden="1" customHeight="1" x14ac:dyDescent="0.3">
      <c r="A1681" t="s">
        <v>244</v>
      </c>
      <c r="B1681" s="2">
        <v>45962</v>
      </c>
      <c r="C1681">
        <v>20125</v>
      </c>
    </row>
    <row r="1682" spans="1:3" ht="15" hidden="1" customHeight="1" x14ac:dyDescent="0.3">
      <c r="A1682" t="s">
        <v>244</v>
      </c>
      <c r="B1682" s="2">
        <v>45992</v>
      </c>
      <c r="C1682">
        <v>20771</v>
      </c>
    </row>
    <row r="1683" spans="1:3" ht="15" hidden="1" customHeight="1" x14ac:dyDescent="0.3">
      <c r="A1683" t="s">
        <v>244</v>
      </c>
      <c r="B1683" s="2">
        <v>46023</v>
      </c>
      <c r="C1683">
        <v>20178</v>
      </c>
    </row>
    <row r="1684" spans="1:3" ht="15" hidden="1" customHeight="1" x14ac:dyDescent="0.3">
      <c r="A1684" t="s">
        <v>244</v>
      </c>
      <c r="B1684" s="2">
        <v>46054</v>
      </c>
      <c r="C1684">
        <v>17954</v>
      </c>
    </row>
    <row r="1685" spans="1:3" ht="15" hidden="1" customHeight="1" x14ac:dyDescent="0.3">
      <c r="A1685" t="s">
        <v>244</v>
      </c>
      <c r="B1685" s="2">
        <v>46082</v>
      </c>
      <c r="C1685">
        <v>19150</v>
      </c>
    </row>
    <row r="1686" spans="1:3" ht="15" hidden="1" customHeight="1" x14ac:dyDescent="0.3">
      <c r="A1686" t="s">
        <v>244</v>
      </c>
      <c r="B1686" s="2">
        <v>46113</v>
      </c>
      <c r="C1686">
        <v>18060</v>
      </c>
    </row>
    <row r="1687" spans="1:3" ht="15" hidden="1" customHeight="1" x14ac:dyDescent="0.3">
      <c r="A1687" t="s">
        <v>244</v>
      </c>
      <c r="B1687" s="2">
        <v>46143</v>
      </c>
      <c r="C1687">
        <v>18124</v>
      </c>
    </row>
    <row r="1688" spans="1:3" ht="15" hidden="1" customHeight="1" x14ac:dyDescent="0.3">
      <c r="A1688" t="s">
        <v>244</v>
      </c>
      <c r="B1688" s="2">
        <v>46174</v>
      </c>
      <c r="C1688">
        <v>15908</v>
      </c>
    </row>
    <row r="1689" spans="1:3" ht="15" hidden="1" customHeight="1" x14ac:dyDescent="0.3">
      <c r="A1689" t="s">
        <v>244</v>
      </c>
      <c r="B1689" s="2">
        <v>46204</v>
      </c>
      <c r="C1689">
        <v>16827</v>
      </c>
    </row>
    <row r="1690" spans="1:3" ht="15" customHeight="1" x14ac:dyDescent="0.3">
      <c r="A1690" t="s">
        <v>244</v>
      </c>
      <c r="B1690" s="2">
        <v>46235</v>
      </c>
      <c r="C1690">
        <v>19405</v>
      </c>
    </row>
    <row r="1691" spans="1:3" ht="15" hidden="1" customHeight="1" x14ac:dyDescent="0.3">
      <c r="A1691" t="s">
        <v>244</v>
      </c>
      <c r="B1691" s="2">
        <v>46266</v>
      </c>
      <c r="C1691">
        <v>19981</v>
      </c>
    </row>
    <row r="1692" spans="1:3" ht="15" hidden="1" customHeight="1" x14ac:dyDescent="0.3">
      <c r="A1692" t="s">
        <v>244</v>
      </c>
      <c r="B1692" s="2">
        <v>46296</v>
      </c>
      <c r="C1692">
        <v>22401</v>
      </c>
    </row>
    <row r="1693" spans="1:3" ht="15" hidden="1" customHeight="1" x14ac:dyDescent="0.3">
      <c r="A1693" t="s">
        <v>244</v>
      </c>
      <c r="B1693" s="2">
        <v>46327</v>
      </c>
      <c r="C1693">
        <v>20125</v>
      </c>
    </row>
    <row r="1694" spans="1:3" ht="15" hidden="1" customHeight="1" x14ac:dyDescent="0.3">
      <c r="A1694" t="s">
        <v>244</v>
      </c>
      <c r="B1694" s="2">
        <v>46357</v>
      </c>
      <c r="C1694">
        <v>20771</v>
      </c>
    </row>
    <row r="1695" spans="1:3" ht="15" hidden="1" customHeight="1" x14ac:dyDescent="0.3">
      <c r="A1695" t="s">
        <v>213</v>
      </c>
      <c r="B1695" s="2">
        <v>45292</v>
      </c>
      <c r="C1695">
        <v>9307.7999999999993</v>
      </c>
    </row>
    <row r="1696" spans="1:3" ht="15" hidden="1" customHeight="1" x14ac:dyDescent="0.3">
      <c r="A1696" t="s">
        <v>213</v>
      </c>
      <c r="B1696" s="2">
        <v>45323</v>
      </c>
      <c r="C1696">
        <v>8001.9</v>
      </c>
    </row>
    <row r="1697" spans="1:3" ht="15" hidden="1" customHeight="1" x14ac:dyDescent="0.3">
      <c r="A1697" t="s">
        <v>213</v>
      </c>
      <c r="B1697" s="2">
        <v>45352</v>
      </c>
      <c r="C1697">
        <v>7803.9</v>
      </c>
    </row>
    <row r="1698" spans="1:3" ht="15" hidden="1" customHeight="1" x14ac:dyDescent="0.3">
      <c r="A1698" t="s">
        <v>213</v>
      </c>
      <c r="B1698" s="2">
        <v>45383</v>
      </c>
      <c r="C1698">
        <v>6785.1</v>
      </c>
    </row>
    <row r="1699" spans="1:3" ht="15" hidden="1" customHeight="1" x14ac:dyDescent="0.3">
      <c r="A1699" t="s">
        <v>213</v>
      </c>
      <c r="B1699" s="2">
        <v>45413</v>
      </c>
      <c r="C1699">
        <v>6244.2</v>
      </c>
    </row>
    <row r="1700" spans="1:3" ht="15" hidden="1" customHeight="1" x14ac:dyDescent="0.3">
      <c r="A1700" t="s">
        <v>213</v>
      </c>
      <c r="B1700" s="2">
        <v>45444</v>
      </c>
      <c r="C1700">
        <v>5524.2</v>
      </c>
    </row>
    <row r="1701" spans="1:3" ht="15" hidden="1" customHeight="1" x14ac:dyDescent="0.3">
      <c r="A1701" t="s">
        <v>213</v>
      </c>
      <c r="B1701" s="2">
        <v>45474</v>
      </c>
      <c r="C1701">
        <v>6086.7</v>
      </c>
    </row>
    <row r="1702" spans="1:3" ht="15" hidden="1" customHeight="1" x14ac:dyDescent="0.3">
      <c r="A1702" t="s">
        <v>213</v>
      </c>
      <c r="B1702" s="2">
        <v>45505</v>
      </c>
      <c r="C1702">
        <v>2298.1935483870998</v>
      </c>
    </row>
    <row r="1703" spans="1:3" ht="15" hidden="1" customHeight="1" x14ac:dyDescent="0.3">
      <c r="A1703" t="s">
        <v>213</v>
      </c>
      <c r="B1703" s="2">
        <v>45536</v>
      </c>
      <c r="C1703">
        <v>7864.2</v>
      </c>
    </row>
    <row r="1704" spans="1:3" ht="15" hidden="1" customHeight="1" x14ac:dyDescent="0.3">
      <c r="A1704" t="s">
        <v>213</v>
      </c>
      <c r="B1704" s="2">
        <v>45566</v>
      </c>
      <c r="C1704">
        <v>9007.2000000000007</v>
      </c>
    </row>
    <row r="1705" spans="1:3" ht="15" hidden="1" customHeight="1" x14ac:dyDescent="0.3">
      <c r="A1705" t="s">
        <v>213</v>
      </c>
      <c r="B1705" s="2">
        <v>45597</v>
      </c>
      <c r="C1705">
        <v>8999.1</v>
      </c>
    </row>
    <row r="1706" spans="1:3" ht="15" hidden="1" customHeight="1" x14ac:dyDescent="0.3">
      <c r="A1706" t="s">
        <v>213</v>
      </c>
      <c r="B1706" s="2">
        <v>45627</v>
      </c>
      <c r="C1706">
        <v>9241.2000000000007</v>
      </c>
    </row>
    <row r="1707" spans="1:3" ht="15" hidden="1" customHeight="1" x14ac:dyDescent="0.3">
      <c r="A1707" t="s">
        <v>213</v>
      </c>
      <c r="B1707" s="2">
        <v>45658</v>
      </c>
      <c r="C1707">
        <v>9307.7999999999993</v>
      </c>
    </row>
    <row r="1708" spans="1:3" ht="15" hidden="1" customHeight="1" x14ac:dyDescent="0.3">
      <c r="A1708" t="s">
        <v>213</v>
      </c>
      <c r="B1708" s="2">
        <v>45689</v>
      </c>
      <c r="C1708">
        <v>8001.9</v>
      </c>
    </row>
    <row r="1709" spans="1:3" ht="15" hidden="1" customHeight="1" x14ac:dyDescent="0.3">
      <c r="A1709" t="s">
        <v>213</v>
      </c>
      <c r="B1709" s="2">
        <v>45717</v>
      </c>
      <c r="C1709">
        <v>7803.9</v>
      </c>
    </row>
    <row r="1710" spans="1:3" ht="15" hidden="1" customHeight="1" x14ac:dyDescent="0.3">
      <c r="A1710" t="s">
        <v>213</v>
      </c>
      <c r="B1710" s="2">
        <v>45748</v>
      </c>
      <c r="C1710">
        <v>6785.1</v>
      </c>
    </row>
    <row r="1711" spans="1:3" ht="15" hidden="1" customHeight="1" x14ac:dyDescent="0.3">
      <c r="A1711" t="s">
        <v>213</v>
      </c>
      <c r="B1711" s="2">
        <v>45778</v>
      </c>
      <c r="C1711">
        <v>6244.2</v>
      </c>
    </row>
    <row r="1712" spans="1:3" ht="15" hidden="1" customHeight="1" x14ac:dyDescent="0.3">
      <c r="A1712" t="s">
        <v>213</v>
      </c>
      <c r="B1712" s="2">
        <v>45809</v>
      </c>
      <c r="C1712">
        <v>5524.2</v>
      </c>
    </row>
    <row r="1713" spans="1:3" ht="15" hidden="1" customHeight="1" x14ac:dyDescent="0.3">
      <c r="A1713" t="s">
        <v>213</v>
      </c>
      <c r="B1713" s="2">
        <v>45839</v>
      </c>
      <c r="C1713">
        <v>6086.7</v>
      </c>
    </row>
    <row r="1714" spans="1:3" ht="15" hidden="1" customHeight="1" x14ac:dyDescent="0.3">
      <c r="A1714" t="s">
        <v>213</v>
      </c>
      <c r="B1714" s="2">
        <v>45870</v>
      </c>
      <c r="C1714">
        <v>2298.1935483870998</v>
      </c>
    </row>
    <row r="1715" spans="1:3" ht="15" hidden="1" customHeight="1" x14ac:dyDescent="0.3">
      <c r="A1715" t="s">
        <v>213</v>
      </c>
      <c r="B1715" s="2">
        <v>45901</v>
      </c>
      <c r="C1715">
        <v>7864.2</v>
      </c>
    </row>
    <row r="1716" spans="1:3" ht="15" hidden="1" customHeight="1" x14ac:dyDescent="0.3">
      <c r="A1716" t="s">
        <v>213</v>
      </c>
      <c r="B1716" s="2">
        <v>45931</v>
      </c>
      <c r="C1716">
        <v>9007.2000000000007</v>
      </c>
    </row>
    <row r="1717" spans="1:3" ht="15" hidden="1" customHeight="1" x14ac:dyDescent="0.3">
      <c r="A1717" t="s">
        <v>213</v>
      </c>
      <c r="B1717" s="2">
        <v>45962</v>
      </c>
      <c r="C1717">
        <v>8999.1</v>
      </c>
    </row>
    <row r="1718" spans="1:3" ht="15" hidden="1" customHeight="1" x14ac:dyDescent="0.3">
      <c r="A1718" t="s">
        <v>213</v>
      </c>
      <c r="B1718" s="2">
        <v>45992</v>
      </c>
      <c r="C1718">
        <v>9241.2000000000007</v>
      </c>
    </row>
    <row r="1719" spans="1:3" ht="15" hidden="1" customHeight="1" x14ac:dyDescent="0.3">
      <c r="A1719" t="s">
        <v>213</v>
      </c>
      <c r="B1719" s="2">
        <v>46023</v>
      </c>
      <c r="C1719">
        <v>9307.7999999999993</v>
      </c>
    </row>
    <row r="1720" spans="1:3" ht="15" hidden="1" customHeight="1" x14ac:dyDescent="0.3">
      <c r="A1720" t="s">
        <v>213</v>
      </c>
      <c r="B1720" s="2">
        <v>46054</v>
      </c>
      <c r="C1720">
        <v>8001.9</v>
      </c>
    </row>
    <row r="1721" spans="1:3" ht="15" hidden="1" customHeight="1" x14ac:dyDescent="0.3">
      <c r="A1721" t="s">
        <v>213</v>
      </c>
      <c r="B1721" s="2">
        <v>46082</v>
      </c>
      <c r="C1721">
        <v>7803.9</v>
      </c>
    </row>
    <row r="1722" spans="1:3" ht="15" hidden="1" customHeight="1" x14ac:dyDescent="0.3">
      <c r="A1722" t="s">
        <v>213</v>
      </c>
      <c r="B1722" s="2">
        <v>46113</v>
      </c>
      <c r="C1722">
        <v>6785.1</v>
      </c>
    </row>
    <row r="1723" spans="1:3" ht="15" hidden="1" customHeight="1" x14ac:dyDescent="0.3">
      <c r="A1723" t="s">
        <v>213</v>
      </c>
      <c r="B1723" s="2">
        <v>46143</v>
      </c>
      <c r="C1723">
        <v>6244.2</v>
      </c>
    </row>
    <row r="1724" spans="1:3" ht="15" hidden="1" customHeight="1" x14ac:dyDescent="0.3">
      <c r="A1724" t="s">
        <v>213</v>
      </c>
      <c r="B1724" s="2">
        <v>46174</v>
      </c>
      <c r="C1724">
        <v>5524.2</v>
      </c>
    </row>
    <row r="1725" spans="1:3" ht="15" hidden="1" customHeight="1" x14ac:dyDescent="0.3">
      <c r="A1725" t="s">
        <v>213</v>
      </c>
      <c r="B1725" s="2">
        <v>46204</v>
      </c>
      <c r="C1725">
        <v>6086.7</v>
      </c>
    </row>
    <row r="1726" spans="1:3" ht="15" customHeight="1" x14ac:dyDescent="0.3">
      <c r="A1726" t="s">
        <v>213</v>
      </c>
      <c r="B1726" s="2">
        <v>46235</v>
      </c>
      <c r="C1726">
        <v>7124</v>
      </c>
    </row>
    <row r="1727" spans="1:3" ht="15" hidden="1" customHeight="1" x14ac:dyDescent="0.3">
      <c r="A1727" t="s">
        <v>213</v>
      </c>
      <c r="B1727" s="2">
        <v>46266</v>
      </c>
      <c r="C1727">
        <v>7864.2</v>
      </c>
    </row>
    <row r="1728" spans="1:3" ht="15" hidden="1" customHeight="1" x14ac:dyDescent="0.3">
      <c r="A1728" t="s">
        <v>213</v>
      </c>
      <c r="B1728" s="2">
        <v>46296</v>
      </c>
      <c r="C1728">
        <v>9007.2000000000007</v>
      </c>
    </row>
    <row r="1729" spans="1:3" ht="15" hidden="1" customHeight="1" x14ac:dyDescent="0.3">
      <c r="A1729" t="s">
        <v>213</v>
      </c>
      <c r="B1729" s="2">
        <v>46327</v>
      </c>
      <c r="C1729">
        <v>8999.1</v>
      </c>
    </row>
    <row r="1730" spans="1:3" ht="15" hidden="1" customHeight="1" x14ac:dyDescent="0.3">
      <c r="A1730" t="s">
        <v>213</v>
      </c>
      <c r="B1730" s="2">
        <v>46357</v>
      </c>
      <c r="C1730">
        <v>9241.2000000000007</v>
      </c>
    </row>
    <row r="1731" spans="1:3" ht="15" hidden="1" customHeight="1" x14ac:dyDescent="0.3">
      <c r="A1731" t="s">
        <v>216</v>
      </c>
      <c r="B1731" s="2">
        <v>45292</v>
      </c>
      <c r="C1731">
        <v>28699.56</v>
      </c>
    </row>
    <row r="1732" spans="1:3" ht="15" hidden="1" customHeight="1" x14ac:dyDescent="0.3">
      <c r="A1732" t="s">
        <v>216</v>
      </c>
      <c r="B1732" s="2">
        <v>45323</v>
      </c>
      <c r="C1732">
        <v>24909.3</v>
      </c>
    </row>
    <row r="1733" spans="1:3" ht="15" hidden="1" customHeight="1" x14ac:dyDescent="0.3">
      <c r="A1733" t="s">
        <v>216</v>
      </c>
      <c r="B1733" s="2">
        <v>45352</v>
      </c>
      <c r="C1733">
        <v>24570</v>
      </c>
    </row>
    <row r="1734" spans="1:3" ht="15" hidden="1" customHeight="1" x14ac:dyDescent="0.3">
      <c r="A1734" t="s">
        <v>216</v>
      </c>
      <c r="B1734" s="2">
        <v>45383</v>
      </c>
      <c r="C1734">
        <v>21388.5</v>
      </c>
    </row>
    <row r="1735" spans="1:3" ht="15" hidden="1" customHeight="1" x14ac:dyDescent="0.3">
      <c r="A1735" t="s">
        <v>216</v>
      </c>
      <c r="B1735" s="2">
        <v>45413</v>
      </c>
      <c r="C1735">
        <v>19723.5</v>
      </c>
    </row>
    <row r="1736" spans="1:3" ht="15" hidden="1" customHeight="1" x14ac:dyDescent="0.3">
      <c r="A1736" t="s">
        <v>216</v>
      </c>
      <c r="B1736" s="2">
        <v>45444</v>
      </c>
      <c r="C1736">
        <v>17431.2</v>
      </c>
    </row>
    <row r="1737" spans="1:3" ht="15" hidden="1" customHeight="1" x14ac:dyDescent="0.3">
      <c r="A1737" t="s">
        <v>216</v>
      </c>
      <c r="B1737" s="2">
        <v>45474</v>
      </c>
      <c r="C1737">
        <v>19181.7</v>
      </c>
    </row>
    <row r="1738" spans="1:3" ht="15" hidden="1" customHeight="1" x14ac:dyDescent="0.3">
      <c r="A1738" t="s">
        <v>216</v>
      </c>
      <c r="B1738" s="2">
        <v>45505</v>
      </c>
      <c r="C1738">
        <v>7231.3548387096798</v>
      </c>
    </row>
    <row r="1739" spans="1:3" ht="15" hidden="1" customHeight="1" x14ac:dyDescent="0.3">
      <c r="A1739" t="s">
        <v>216</v>
      </c>
      <c r="B1739" s="2">
        <v>45536</v>
      </c>
      <c r="C1739">
        <v>24780.6</v>
      </c>
    </row>
    <row r="1740" spans="1:3" ht="15" hidden="1" customHeight="1" x14ac:dyDescent="0.3">
      <c r="A1740" t="s">
        <v>216</v>
      </c>
      <c r="B1740" s="2">
        <v>45566</v>
      </c>
      <c r="C1740">
        <v>28127.7</v>
      </c>
    </row>
    <row r="1741" spans="1:3" ht="15" hidden="1" customHeight="1" x14ac:dyDescent="0.3">
      <c r="A1741" t="s">
        <v>216</v>
      </c>
      <c r="B1741" s="2">
        <v>45597</v>
      </c>
      <c r="C1741">
        <v>28061.1</v>
      </c>
    </row>
    <row r="1742" spans="1:3" ht="15" hidden="1" customHeight="1" x14ac:dyDescent="0.3">
      <c r="A1742" t="s">
        <v>216</v>
      </c>
      <c r="B1742" s="2">
        <v>45627</v>
      </c>
      <c r="C1742">
        <v>28703.7</v>
      </c>
    </row>
    <row r="1743" spans="1:3" ht="15" hidden="1" customHeight="1" x14ac:dyDescent="0.3">
      <c r="A1743" t="s">
        <v>216</v>
      </c>
      <c r="B1743" s="2">
        <v>45658</v>
      </c>
      <c r="C1743">
        <v>28699.56</v>
      </c>
    </row>
    <row r="1744" spans="1:3" ht="15" hidden="1" customHeight="1" x14ac:dyDescent="0.3">
      <c r="A1744" t="s">
        <v>216</v>
      </c>
      <c r="B1744" s="2">
        <v>45689</v>
      </c>
      <c r="C1744">
        <v>24909.3</v>
      </c>
    </row>
    <row r="1745" spans="1:3" ht="15" hidden="1" customHeight="1" x14ac:dyDescent="0.3">
      <c r="A1745" t="s">
        <v>216</v>
      </c>
      <c r="B1745" s="2">
        <v>45717</v>
      </c>
      <c r="C1745">
        <v>24570</v>
      </c>
    </row>
    <row r="1746" spans="1:3" ht="15" hidden="1" customHeight="1" x14ac:dyDescent="0.3">
      <c r="A1746" t="s">
        <v>216</v>
      </c>
      <c r="B1746" s="2">
        <v>45748</v>
      </c>
      <c r="C1746">
        <v>21388.5</v>
      </c>
    </row>
    <row r="1747" spans="1:3" ht="15" hidden="1" customHeight="1" x14ac:dyDescent="0.3">
      <c r="A1747" t="s">
        <v>216</v>
      </c>
      <c r="B1747" s="2">
        <v>45778</v>
      </c>
      <c r="C1747">
        <v>19723.5</v>
      </c>
    </row>
    <row r="1748" spans="1:3" ht="15" hidden="1" customHeight="1" x14ac:dyDescent="0.3">
      <c r="A1748" t="s">
        <v>216</v>
      </c>
      <c r="B1748" s="2">
        <v>45809</v>
      </c>
      <c r="C1748">
        <v>17431.2</v>
      </c>
    </row>
    <row r="1749" spans="1:3" ht="15" hidden="1" customHeight="1" x14ac:dyDescent="0.3">
      <c r="A1749" t="s">
        <v>216</v>
      </c>
      <c r="B1749" s="2">
        <v>45839</v>
      </c>
      <c r="C1749">
        <v>19181.7</v>
      </c>
    </row>
    <row r="1750" spans="1:3" ht="15" hidden="1" customHeight="1" x14ac:dyDescent="0.3">
      <c r="A1750" t="s">
        <v>216</v>
      </c>
      <c r="B1750" s="2">
        <v>45870</v>
      </c>
      <c r="C1750">
        <v>7231.3548387096798</v>
      </c>
    </row>
    <row r="1751" spans="1:3" ht="15" hidden="1" customHeight="1" x14ac:dyDescent="0.3">
      <c r="A1751" t="s">
        <v>216</v>
      </c>
      <c r="B1751" s="2">
        <v>45901</v>
      </c>
      <c r="C1751">
        <v>24780.6</v>
      </c>
    </row>
    <row r="1752" spans="1:3" ht="15" hidden="1" customHeight="1" x14ac:dyDescent="0.3">
      <c r="A1752" t="s">
        <v>216</v>
      </c>
      <c r="B1752" s="2">
        <v>45931</v>
      </c>
      <c r="C1752">
        <v>28127.7</v>
      </c>
    </row>
    <row r="1753" spans="1:3" ht="15" hidden="1" customHeight="1" x14ac:dyDescent="0.3">
      <c r="A1753" t="s">
        <v>216</v>
      </c>
      <c r="B1753" s="2">
        <v>45962</v>
      </c>
      <c r="C1753">
        <v>28061.1</v>
      </c>
    </row>
    <row r="1754" spans="1:3" ht="15" hidden="1" customHeight="1" x14ac:dyDescent="0.3">
      <c r="A1754" t="s">
        <v>216</v>
      </c>
      <c r="B1754" s="2">
        <v>45992</v>
      </c>
      <c r="C1754">
        <v>28703.7</v>
      </c>
    </row>
    <row r="1755" spans="1:3" ht="15" hidden="1" customHeight="1" x14ac:dyDescent="0.3">
      <c r="A1755" t="s">
        <v>216</v>
      </c>
      <c r="B1755" s="2">
        <v>46023</v>
      </c>
      <c r="C1755">
        <v>28699.56</v>
      </c>
    </row>
    <row r="1756" spans="1:3" ht="15" hidden="1" customHeight="1" x14ac:dyDescent="0.3">
      <c r="A1756" t="s">
        <v>216</v>
      </c>
      <c r="B1756" s="2">
        <v>46054</v>
      </c>
      <c r="C1756">
        <v>24909.3</v>
      </c>
    </row>
    <row r="1757" spans="1:3" ht="15" hidden="1" customHeight="1" x14ac:dyDescent="0.3">
      <c r="A1757" t="s">
        <v>216</v>
      </c>
      <c r="B1757" s="2">
        <v>46082</v>
      </c>
      <c r="C1757">
        <v>24570</v>
      </c>
    </row>
    <row r="1758" spans="1:3" ht="15" hidden="1" customHeight="1" x14ac:dyDescent="0.3">
      <c r="A1758" t="s">
        <v>216</v>
      </c>
      <c r="B1758" s="2">
        <v>46113</v>
      </c>
      <c r="C1758">
        <v>21388.5</v>
      </c>
    </row>
    <row r="1759" spans="1:3" ht="15" hidden="1" customHeight="1" x14ac:dyDescent="0.3">
      <c r="A1759" t="s">
        <v>216</v>
      </c>
      <c r="B1759" s="2">
        <v>46143</v>
      </c>
      <c r="C1759">
        <v>19723.5</v>
      </c>
    </row>
    <row r="1760" spans="1:3" ht="15" hidden="1" customHeight="1" x14ac:dyDescent="0.3">
      <c r="A1760" t="s">
        <v>216</v>
      </c>
      <c r="B1760" s="2">
        <v>46174</v>
      </c>
      <c r="C1760">
        <v>17431.2</v>
      </c>
    </row>
    <row r="1761" spans="1:3" ht="15" hidden="1" customHeight="1" x14ac:dyDescent="0.3">
      <c r="A1761" t="s">
        <v>216</v>
      </c>
      <c r="B1761" s="2">
        <v>46204</v>
      </c>
      <c r="C1761">
        <v>19181.7</v>
      </c>
    </row>
    <row r="1762" spans="1:3" ht="15" customHeight="1" x14ac:dyDescent="0.3">
      <c r="A1762" t="s">
        <v>216</v>
      </c>
      <c r="B1762" s="2">
        <v>46235</v>
      </c>
      <c r="C1762">
        <v>22417</v>
      </c>
    </row>
    <row r="1763" spans="1:3" ht="15" hidden="1" customHeight="1" x14ac:dyDescent="0.3">
      <c r="A1763" t="s">
        <v>216</v>
      </c>
      <c r="B1763" s="2">
        <v>46266</v>
      </c>
      <c r="C1763">
        <v>24780.6</v>
      </c>
    </row>
    <row r="1764" spans="1:3" ht="15" hidden="1" customHeight="1" x14ac:dyDescent="0.3">
      <c r="A1764" t="s">
        <v>216</v>
      </c>
      <c r="B1764" s="2">
        <v>46296</v>
      </c>
      <c r="C1764">
        <v>28127.7</v>
      </c>
    </row>
    <row r="1765" spans="1:3" ht="15" hidden="1" customHeight="1" x14ac:dyDescent="0.3">
      <c r="A1765" t="s">
        <v>216</v>
      </c>
      <c r="B1765" s="2">
        <v>46327</v>
      </c>
      <c r="C1765">
        <v>28061.1</v>
      </c>
    </row>
    <row r="1766" spans="1:3" ht="15" hidden="1" customHeight="1" x14ac:dyDescent="0.3">
      <c r="A1766" t="s">
        <v>216</v>
      </c>
      <c r="B1766" s="2">
        <v>46357</v>
      </c>
      <c r="C1766">
        <v>28703.7</v>
      </c>
    </row>
    <row r="1767" spans="1:3" ht="15" hidden="1" customHeight="1" x14ac:dyDescent="0.3">
      <c r="A1767" t="s">
        <v>218</v>
      </c>
      <c r="B1767" s="2">
        <v>45292</v>
      </c>
      <c r="C1767">
        <v>9601.92</v>
      </c>
    </row>
    <row r="1768" spans="1:3" ht="15" hidden="1" customHeight="1" x14ac:dyDescent="0.3">
      <c r="A1768" t="s">
        <v>218</v>
      </c>
      <c r="B1768" s="2">
        <v>45323</v>
      </c>
      <c r="C1768">
        <v>8296.74</v>
      </c>
    </row>
    <row r="1769" spans="1:3" ht="15" hidden="1" customHeight="1" x14ac:dyDescent="0.3">
      <c r="A1769" t="s">
        <v>218</v>
      </c>
      <c r="B1769" s="2">
        <v>45352</v>
      </c>
      <c r="C1769">
        <v>8140.5</v>
      </c>
    </row>
    <row r="1770" spans="1:3" ht="15" hidden="1" customHeight="1" x14ac:dyDescent="0.3">
      <c r="A1770" t="s">
        <v>218</v>
      </c>
      <c r="B1770" s="2">
        <v>45383</v>
      </c>
      <c r="C1770">
        <v>7017.3</v>
      </c>
    </row>
    <row r="1771" spans="1:3" ht="15" hidden="1" customHeight="1" x14ac:dyDescent="0.3">
      <c r="A1771" t="s">
        <v>218</v>
      </c>
      <c r="B1771" s="2">
        <v>45413</v>
      </c>
      <c r="C1771">
        <v>6430.32</v>
      </c>
    </row>
    <row r="1772" spans="1:3" ht="15" hidden="1" customHeight="1" x14ac:dyDescent="0.3">
      <c r="A1772" t="s">
        <v>218</v>
      </c>
      <c r="B1772" s="2">
        <v>45444</v>
      </c>
      <c r="C1772">
        <v>5669.28</v>
      </c>
    </row>
    <row r="1773" spans="1:3" ht="15" hidden="1" customHeight="1" x14ac:dyDescent="0.3">
      <c r="A1773" t="s">
        <v>218</v>
      </c>
      <c r="B1773" s="2">
        <v>45474</v>
      </c>
      <c r="C1773">
        <v>6247.44</v>
      </c>
    </row>
    <row r="1774" spans="1:3" ht="15" hidden="1" customHeight="1" x14ac:dyDescent="0.3">
      <c r="A1774" t="s">
        <v>218</v>
      </c>
      <c r="B1774" s="2">
        <v>45505</v>
      </c>
      <c r="C1774">
        <v>2367.7838709677399</v>
      </c>
    </row>
    <row r="1775" spans="1:3" ht="15" hidden="1" customHeight="1" x14ac:dyDescent="0.3">
      <c r="A1775" t="s">
        <v>218</v>
      </c>
      <c r="B1775" s="2">
        <v>45536</v>
      </c>
      <c r="C1775">
        <v>8154</v>
      </c>
    </row>
    <row r="1776" spans="1:3" ht="15" hidden="1" customHeight="1" x14ac:dyDescent="0.3">
      <c r="A1776" t="s">
        <v>218</v>
      </c>
      <c r="B1776" s="2">
        <v>45566</v>
      </c>
      <c r="C1776">
        <v>9352.7999999999993</v>
      </c>
    </row>
    <row r="1777" spans="1:3" ht="15" hidden="1" customHeight="1" x14ac:dyDescent="0.3">
      <c r="A1777" t="s">
        <v>218</v>
      </c>
      <c r="B1777" s="2">
        <v>45597</v>
      </c>
      <c r="C1777">
        <v>9353.7000000000007</v>
      </c>
    </row>
    <row r="1778" spans="1:3" ht="15" hidden="1" customHeight="1" x14ac:dyDescent="0.3">
      <c r="A1778" t="s">
        <v>218</v>
      </c>
      <c r="B1778" s="2">
        <v>45627</v>
      </c>
      <c r="C1778">
        <v>9582.2999999999993</v>
      </c>
    </row>
    <row r="1779" spans="1:3" ht="15" hidden="1" customHeight="1" x14ac:dyDescent="0.3">
      <c r="A1779" t="s">
        <v>218</v>
      </c>
      <c r="B1779" s="2">
        <v>45658</v>
      </c>
      <c r="C1779">
        <v>9601.92</v>
      </c>
    </row>
    <row r="1780" spans="1:3" ht="15" hidden="1" customHeight="1" x14ac:dyDescent="0.3">
      <c r="A1780" t="s">
        <v>218</v>
      </c>
      <c r="B1780" s="2">
        <v>45689</v>
      </c>
      <c r="C1780">
        <v>8296.74</v>
      </c>
    </row>
    <row r="1781" spans="1:3" ht="15" hidden="1" customHeight="1" x14ac:dyDescent="0.3">
      <c r="A1781" t="s">
        <v>218</v>
      </c>
      <c r="B1781" s="2">
        <v>45717</v>
      </c>
      <c r="C1781">
        <v>8140.5</v>
      </c>
    </row>
    <row r="1782" spans="1:3" ht="15" hidden="1" customHeight="1" x14ac:dyDescent="0.3">
      <c r="A1782" t="s">
        <v>218</v>
      </c>
      <c r="B1782" s="2">
        <v>45748</v>
      </c>
      <c r="C1782">
        <v>7017.3</v>
      </c>
    </row>
    <row r="1783" spans="1:3" ht="15" hidden="1" customHeight="1" x14ac:dyDescent="0.3">
      <c r="A1783" t="s">
        <v>218</v>
      </c>
      <c r="B1783" s="2">
        <v>45778</v>
      </c>
      <c r="C1783">
        <v>6430.32</v>
      </c>
    </row>
    <row r="1784" spans="1:3" ht="15" hidden="1" customHeight="1" x14ac:dyDescent="0.3">
      <c r="A1784" t="s">
        <v>218</v>
      </c>
      <c r="B1784" s="2">
        <v>45809</v>
      </c>
      <c r="C1784">
        <v>5669.28</v>
      </c>
    </row>
    <row r="1785" spans="1:3" ht="15" hidden="1" customHeight="1" x14ac:dyDescent="0.3">
      <c r="A1785" t="s">
        <v>218</v>
      </c>
      <c r="B1785" s="2">
        <v>45839</v>
      </c>
      <c r="C1785">
        <v>6247.44</v>
      </c>
    </row>
    <row r="1786" spans="1:3" ht="15" hidden="1" customHeight="1" x14ac:dyDescent="0.3">
      <c r="A1786" t="s">
        <v>218</v>
      </c>
      <c r="B1786" s="2">
        <v>45870</v>
      </c>
      <c r="C1786">
        <v>2367.7838709677399</v>
      </c>
    </row>
    <row r="1787" spans="1:3" ht="15" hidden="1" customHeight="1" x14ac:dyDescent="0.3">
      <c r="A1787" t="s">
        <v>218</v>
      </c>
      <c r="B1787" s="2">
        <v>45901</v>
      </c>
      <c r="C1787">
        <v>8154</v>
      </c>
    </row>
    <row r="1788" spans="1:3" ht="15" hidden="1" customHeight="1" x14ac:dyDescent="0.3">
      <c r="A1788" t="s">
        <v>218</v>
      </c>
      <c r="B1788" s="2">
        <v>45931</v>
      </c>
      <c r="C1788">
        <v>9352.7999999999993</v>
      </c>
    </row>
    <row r="1789" spans="1:3" ht="15" hidden="1" customHeight="1" x14ac:dyDescent="0.3">
      <c r="A1789" t="s">
        <v>218</v>
      </c>
      <c r="B1789" s="2">
        <v>45962</v>
      </c>
      <c r="C1789">
        <v>9353.7000000000007</v>
      </c>
    </row>
    <row r="1790" spans="1:3" ht="15" hidden="1" customHeight="1" x14ac:dyDescent="0.3">
      <c r="A1790" t="s">
        <v>218</v>
      </c>
      <c r="B1790" s="2">
        <v>45992</v>
      </c>
      <c r="C1790">
        <v>9582.2999999999993</v>
      </c>
    </row>
    <row r="1791" spans="1:3" ht="15" hidden="1" customHeight="1" x14ac:dyDescent="0.3">
      <c r="A1791" t="s">
        <v>218</v>
      </c>
      <c r="B1791" s="2">
        <v>46023</v>
      </c>
      <c r="C1791">
        <v>9601.92</v>
      </c>
    </row>
    <row r="1792" spans="1:3" ht="15" hidden="1" customHeight="1" x14ac:dyDescent="0.3">
      <c r="A1792" t="s">
        <v>218</v>
      </c>
      <c r="B1792" s="2">
        <v>46054</v>
      </c>
      <c r="C1792">
        <v>8296.74</v>
      </c>
    </row>
    <row r="1793" spans="1:3" ht="15" hidden="1" customHeight="1" x14ac:dyDescent="0.3">
      <c r="A1793" t="s">
        <v>218</v>
      </c>
      <c r="B1793" s="2">
        <v>46082</v>
      </c>
      <c r="C1793">
        <v>8140.5</v>
      </c>
    </row>
    <row r="1794" spans="1:3" ht="15" hidden="1" customHeight="1" x14ac:dyDescent="0.3">
      <c r="A1794" t="s">
        <v>218</v>
      </c>
      <c r="B1794" s="2">
        <v>46113</v>
      </c>
      <c r="C1794">
        <v>7017.3</v>
      </c>
    </row>
    <row r="1795" spans="1:3" ht="15" hidden="1" customHeight="1" x14ac:dyDescent="0.3">
      <c r="A1795" t="s">
        <v>218</v>
      </c>
      <c r="B1795" s="2">
        <v>46143</v>
      </c>
      <c r="C1795">
        <v>6430.32</v>
      </c>
    </row>
    <row r="1796" spans="1:3" ht="15" hidden="1" customHeight="1" x14ac:dyDescent="0.3">
      <c r="A1796" t="s">
        <v>218</v>
      </c>
      <c r="B1796" s="2">
        <v>46174</v>
      </c>
      <c r="C1796">
        <v>5669.28</v>
      </c>
    </row>
    <row r="1797" spans="1:3" ht="15" hidden="1" customHeight="1" x14ac:dyDescent="0.3">
      <c r="A1797" t="s">
        <v>218</v>
      </c>
      <c r="B1797" s="2">
        <v>46204</v>
      </c>
      <c r="C1797">
        <v>6247.44</v>
      </c>
    </row>
    <row r="1798" spans="1:3" ht="15" customHeight="1" x14ac:dyDescent="0.3">
      <c r="A1798" t="s">
        <v>218</v>
      </c>
      <c r="B1798" s="2">
        <v>46235</v>
      </c>
      <c r="C1798">
        <v>7340</v>
      </c>
    </row>
    <row r="1799" spans="1:3" ht="15" hidden="1" customHeight="1" x14ac:dyDescent="0.3">
      <c r="A1799" t="s">
        <v>218</v>
      </c>
      <c r="B1799" s="2">
        <v>46266</v>
      </c>
      <c r="C1799">
        <v>8154</v>
      </c>
    </row>
    <row r="1800" spans="1:3" ht="15" hidden="1" customHeight="1" x14ac:dyDescent="0.3">
      <c r="A1800" t="s">
        <v>218</v>
      </c>
      <c r="B1800" s="2">
        <v>46296</v>
      </c>
      <c r="C1800">
        <v>9352.7999999999993</v>
      </c>
    </row>
    <row r="1801" spans="1:3" ht="15" hidden="1" customHeight="1" x14ac:dyDescent="0.3">
      <c r="A1801" t="s">
        <v>218</v>
      </c>
      <c r="B1801" s="2">
        <v>46327</v>
      </c>
      <c r="C1801">
        <v>9353.7000000000007</v>
      </c>
    </row>
    <row r="1802" spans="1:3" ht="15" hidden="1" customHeight="1" x14ac:dyDescent="0.3">
      <c r="A1802" t="s">
        <v>218</v>
      </c>
      <c r="B1802" s="2">
        <v>46357</v>
      </c>
      <c r="C1802">
        <v>9582.2999999999993</v>
      </c>
    </row>
    <row r="1803" spans="1:3" ht="15" hidden="1" customHeight="1" x14ac:dyDescent="0.3">
      <c r="A1803" t="s">
        <v>163</v>
      </c>
      <c r="B1803" s="2">
        <v>45292</v>
      </c>
      <c r="C1803">
        <v>5191.4789549999996</v>
      </c>
    </row>
    <row r="1804" spans="1:3" ht="15" hidden="1" customHeight="1" x14ac:dyDescent="0.3">
      <c r="A1804" t="s">
        <v>163</v>
      </c>
      <c r="B1804" s="2">
        <v>45323</v>
      </c>
      <c r="C1804">
        <v>4656.5572949999996</v>
      </c>
    </row>
    <row r="1805" spans="1:3" ht="15" hidden="1" customHeight="1" x14ac:dyDescent="0.3">
      <c r="A1805" t="s">
        <v>163</v>
      </c>
      <c r="B1805" s="2">
        <v>45352</v>
      </c>
      <c r="C1805">
        <v>5018.2718624999998</v>
      </c>
    </row>
    <row r="1806" spans="1:3" ht="15" hidden="1" customHeight="1" x14ac:dyDescent="0.3">
      <c r="A1806" t="s">
        <v>163</v>
      </c>
      <c r="B1806" s="2">
        <v>45383</v>
      </c>
      <c r="C1806">
        <v>4498.5660525000003</v>
      </c>
    </row>
    <row r="1807" spans="1:3" ht="15" hidden="1" customHeight="1" x14ac:dyDescent="0.3">
      <c r="A1807" t="s">
        <v>163</v>
      </c>
      <c r="B1807" s="2">
        <v>45413</v>
      </c>
      <c r="C1807">
        <v>4604.0626124999999</v>
      </c>
    </row>
    <row r="1808" spans="1:3" ht="15" hidden="1" customHeight="1" x14ac:dyDescent="0.3">
      <c r="A1808" t="s">
        <v>163</v>
      </c>
      <c r="B1808" s="2">
        <v>45444</v>
      </c>
      <c r="C1808">
        <v>4265.4254174999996</v>
      </c>
    </row>
    <row r="1809" spans="1:3" ht="15" hidden="1" customHeight="1" x14ac:dyDescent="0.3">
      <c r="A1809" t="s">
        <v>163</v>
      </c>
      <c r="B1809" s="2">
        <v>45474</v>
      </c>
      <c r="C1809">
        <v>4694.8505175</v>
      </c>
    </row>
    <row r="1810" spans="1:3" ht="15" hidden="1" customHeight="1" x14ac:dyDescent="0.3">
      <c r="A1810" t="s">
        <v>163</v>
      </c>
      <c r="B1810" s="2">
        <v>45505</v>
      </c>
      <c r="C1810">
        <v>5144.2252875000004</v>
      </c>
    </row>
    <row r="1811" spans="1:3" ht="15" hidden="1" customHeight="1" x14ac:dyDescent="0.3">
      <c r="A1811" t="s">
        <v>163</v>
      </c>
      <c r="B1811" s="2">
        <v>45536</v>
      </c>
      <c r="C1811">
        <v>5295.0312674999996</v>
      </c>
    </row>
    <row r="1812" spans="1:3" ht="15" hidden="1" customHeight="1" x14ac:dyDescent="0.3">
      <c r="A1812" t="s">
        <v>163</v>
      </c>
      <c r="B1812" s="2">
        <v>45566</v>
      </c>
      <c r="C1812">
        <v>5391.4828500000003</v>
      </c>
    </row>
    <row r="1813" spans="1:3" ht="15" hidden="1" customHeight="1" x14ac:dyDescent="0.3">
      <c r="A1813" t="s">
        <v>163</v>
      </c>
      <c r="B1813" s="2">
        <v>45597</v>
      </c>
      <c r="C1813">
        <v>5210.6678325000003</v>
      </c>
    </row>
    <row r="1814" spans="1:3" ht="15" hidden="1" customHeight="1" x14ac:dyDescent="0.3">
      <c r="A1814" t="s">
        <v>163</v>
      </c>
      <c r="B1814" s="2">
        <v>45627</v>
      </c>
      <c r="C1814">
        <v>5439.6663749999998</v>
      </c>
    </row>
    <row r="1815" spans="1:3" ht="15" hidden="1" customHeight="1" x14ac:dyDescent="0.3">
      <c r="A1815" t="s">
        <v>163</v>
      </c>
      <c r="B1815" s="2">
        <v>45658</v>
      </c>
      <c r="C1815">
        <v>5191.4789549999996</v>
      </c>
    </row>
    <row r="1816" spans="1:3" ht="15" hidden="1" customHeight="1" x14ac:dyDescent="0.3">
      <c r="A1816" t="s">
        <v>163</v>
      </c>
      <c r="B1816" s="2">
        <v>45689</v>
      </c>
      <c r="C1816">
        <v>4656.5572949999996</v>
      </c>
    </row>
    <row r="1817" spans="1:3" ht="15" hidden="1" customHeight="1" x14ac:dyDescent="0.3">
      <c r="A1817" t="s">
        <v>163</v>
      </c>
      <c r="B1817" s="2">
        <v>45717</v>
      </c>
      <c r="C1817">
        <v>5018.2718624999998</v>
      </c>
    </row>
    <row r="1818" spans="1:3" ht="15" hidden="1" customHeight="1" x14ac:dyDescent="0.3">
      <c r="A1818" t="s">
        <v>163</v>
      </c>
      <c r="B1818" s="2">
        <v>45748</v>
      </c>
      <c r="C1818">
        <v>4498.5660525000003</v>
      </c>
    </row>
    <row r="1819" spans="1:3" ht="15" hidden="1" customHeight="1" x14ac:dyDescent="0.3">
      <c r="A1819" t="s">
        <v>163</v>
      </c>
      <c r="B1819" s="2">
        <v>45778</v>
      </c>
      <c r="C1819">
        <v>4604.0626124999999</v>
      </c>
    </row>
    <row r="1820" spans="1:3" ht="15" hidden="1" customHeight="1" x14ac:dyDescent="0.3">
      <c r="A1820" t="s">
        <v>163</v>
      </c>
      <c r="B1820" s="2">
        <v>45809</v>
      </c>
      <c r="C1820">
        <v>4265.4254174999996</v>
      </c>
    </row>
    <row r="1821" spans="1:3" ht="15" hidden="1" customHeight="1" x14ac:dyDescent="0.3">
      <c r="A1821" t="s">
        <v>163</v>
      </c>
      <c r="B1821" s="2">
        <v>45839</v>
      </c>
      <c r="C1821">
        <v>4694.8505175</v>
      </c>
    </row>
    <row r="1822" spans="1:3" ht="15" hidden="1" customHeight="1" x14ac:dyDescent="0.3">
      <c r="A1822" t="s">
        <v>163</v>
      </c>
      <c r="B1822" s="2">
        <v>45870</v>
      </c>
      <c r="C1822">
        <v>5144.2252875000004</v>
      </c>
    </row>
    <row r="1823" spans="1:3" ht="15" hidden="1" customHeight="1" x14ac:dyDescent="0.3">
      <c r="A1823" t="s">
        <v>163</v>
      </c>
      <c r="B1823" s="2">
        <v>45901</v>
      </c>
      <c r="C1823">
        <v>5295.0312674999996</v>
      </c>
    </row>
    <row r="1824" spans="1:3" ht="15" hidden="1" customHeight="1" x14ac:dyDescent="0.3">
      <c r="A1824" t="s">
        <v>163</v>
      </c>
      <c r="B1824" s="2">
        <v>45931</v>
      </c>
      <c r="C1824">
        <v>5391.4828500000003</v>
      </c>
    </row>
    <row r="1825" spans="1:3" ht="15" hidden="1" customHeight="1" x14ac:dyDescent="0.3">
      <c r="A1825" t="s">
        <v>163</v>
      </c>
      <c r="B1825" s="2">
        <v>45962</v>
      </c>
      <c r="C1825">
        <v>5210.6678325000003</v>
      </c>
    </row>
    <row r="1826" spans="1:3" ht="15" hidden="1" customHeight="1" x14ac:dyDescent="0.3">
      <c r="A1826" t="s">
        <v>163</v>
      </c>
      <c r="B1826" s="2">
        <v>45992</v>
      </c>
      <c r="C1826">
        <v>5439.6663749999998</v>
      </c>
    </row>
    <row r="1827" spans="1:3" ht="15" hidden="1" customHeight="1" x14ac:dyDescent="0.3">
      <c r="A1827" t="s">
        <v>163</v>
      </c>
      <c r="B1827" s="2">
        <v>46023</v>
      </c>
      <c r="C1827">
        <v>5191.4789549999996</v>
      </c>
    </row>
    <row r="1828" spans="1:3" ht="15" hidden="1" customHeight="1" x14ac:dyDescent="0.3">
      <c r="A1828" t="s">
        <v>163</v>
      </c>
      <c r="B1828" s="2">
        <v>46054</v>
      </c>
      <c r="C1828">
        <v>4656.5572949999996</v>
      </c>
    </row>
    <row r="1829" spans="1:3" ht="15" hidden="1" customHeight="1" x14ac:dyDescent="0.3">
      <c r="A1829" t="s">
        <v>163</v>
      </c>
      <c r="B1829" s="2">
        <v>46082</v>
      </c>
      <c r="C1829">
        <v>5018.2718624999998</v>
      </c>
    </row>
    <row r="1830" spans="1:3" ht="15" hidden="1" customHeight="1" x14ac:dyDescent="0.3">
      <c r="A1830" t="s">
        <v>163</v>
      </c>
      <c r="B1830" s="2">
        <v>46113</v>
      </c>
      <c r="C1830">
        <v>4498.5660525000003</v>
      </c>
    </row>
    <row r="1831" spans="1:3" ht="15" hidden="1" customHeight="1" x14ac:dyDescent="0.3">
      <c r="A1831" t="s">
        <v>163</v>
      </c>
      <c r="B1831" s="2">
        <v>46143</v>
      </c>
      <c r="C1831">
        <v>4604.0626124999999</v>
      </c>
    </row>
    <row r="1832" spans="1:3" ht="15" hidden="1" customHeight="1" x14ac:dyDescent="0.3">
      <c r="A1832" t="s">
        <v>163</v>
      </c>
      <c r="B1832" s="2">
        <v>46174</v>
      </c>
      <c r="C1832">
        <v>4265.4254174999996</v>
      </c>
    </row>
    <row r="1833" spans="1:3" ht="15" hidden="1" customHeight="1" x14ac:dyDescent="0.3">
      <c r="A1833" t="s">
        <v>163</v>
      </c>
      <c r="B1833" s="2">
        <v>46204</v>
      </c>
      <c r="C1833">
        <v>4694.8505175</v>
      </c>
    </row>
    <row r="1834" spans="1:3" ht="15" customHeight="1" x14ac:dyDescent="0.3">
      <c r="A1834" t="s">
        <v>163</v>
      </c>
      <c r="B1834" s="2">
        <v>46235</v>
      </c>
      <c r="C1834">
        <v>5144.2252875000004</v>
      </c>
    </row>
    <row r="1835" spans="1:3" ht="15" hidden="1" customHeight="1" x14ac:dyDescent="0.3">
      <c r="A1835" t="s">
        <v>163</v>
      </c>
      <c r="B1835" s="2">
        <v>46266</v>
      </c>
      <c r="C1835">
        <v>5295.0312674999996</v>
      </c>
    </row>
    <row r="1836" spans="1:3" ht="15" hidden="1" customHeight="1" x14ac:dyDescent="0.3">
      <c r="A1836" t="s">
        <v>163</v>
      </c>
      <c r="B1836" s="2">
        <v>46296</v>
      </c>
      <c r="C1836">
        <v>5391.4828500000003</v>
      </c>
    </row>
    <row r="1837" spans="1:3" ht="15" hidden="1" customHeight="1" x14ac:dyDescent="0.3">
      <c r="A1837" t="s">
        <v>163</v>
      </c>
      <c r="B1837" s="2">
        <v>46327</v>
      </c>
      <c r="C1837">
        <v>5210.6678325000003</v>
      </c>
    </row>
    <row r="1838" spans="1:3" ht="15" hidden="1" customHeight="1" x14ac:dyDescent="0.3">
      <c r="A1838" t="s">
        <v>163</v>
      </c>
      <c r="B1838" s="2">
        <v>46357</v>
      </c>
      <c r="C1838">
        <v>5439.6663749999998</v>
      </c>
    </row>
    <row r="1839" spans="1:3" ht="15" hidden="1" customHeight="1" x14ac:dyDescent="0.3">
      <c r="A1839" t="s">
        <v>166</v>
      </c>
      <c r="B1839" s="2">
        <v>45292</v>
      </c>
      <c r="C1839">
        <v>23005.8</v>
      </c>
    </row>
    <row r="1840" spans="1:3" ht="15" hidden="1" customHeight="1" x14ac:dyDescent="0.3">
      <c r="A1840" t="s">
        <v>166</v>
      </c>
      <c r="B1840" s="2">
        <v>45323</v>
      </c>
      <c r="C1840">
        <v>19888.2</v>
      </c>
    </row>
    <row r="1841" spans="1:3" ht="15" hidden="1" customHeight="1" x14ac:dyDescent="0.3">
      <c r="A1841" t="s">
        <v>166</v>
      </c>
      <c r="B1841" s="2">
        <v>45352</v>
      </c>
      <c r="C1841">
        <v>21952.799999999999</v>
      </c>
    </row>
    <row r="1842" spans="1:3" ht="15" hidden="1" customHeight="1" x14ac:dyDescent="0.3">
      <c r="A1842" t="s">
        <v>166</v>
      </c>
      <c r="B1842" s="2">
        <v>45383</v>
      </c>
      <c r="C1842">
        <v>21444.3</v>
      </c>
    </row>
    <row r="1843" spans="1:3" ht="15" hidden="1" customHeight="1" x14ac:dyDescent="0.3">
      <c r="A1843" t="s">
        <v>166</v>
      </c>
      <c r="B1843" s="2">
        <v>45413</v>
      </c>
      <c r="C1843">
        <v>20688.3</v>
      </c>
    </row>
    <row r="1844" spans="1:3" ht="15" hidden="1" customHeight="1" x14ac:dyDescent="0.3">
      <c r="A1844" t="s">
        <v>166</v>
      </c>
      <c r="B1844" s="2">
        <v>45444</v>
      </c>
      <c r="C1844">
        <v>18646.2</v>
      </c>
    </row>
    <row r="1845" spans="1:3" ht="15" hidden="1" customHeight="1" x14ac:dyDescent="0.3">
      <c r="A1845" t="s">
        <v>166</v>
      </c>
      <c r="B1845" s="2">
        <v>45474</v>
      </c>
      <c r="C1845">
        <v>19629.900000000001</v>
      </c>
    </row>
    <row r="1846" spans="1:3" ht="15" hidden="1" customHeight="1" x14ac:dyDescent="0.3">
      <c r="A1846" t="s">
        <v>166</v>
      </c>
      <c r="B1846" s="2">
        <v>45505</v>
      </c>
      <c r="C1846">
        <v>22998.6</v>
      </c>
    </row>
    <row r="1847" spans="1:3" ht="15" hidden="1" customHeight="1" x14ac:dyDescent="0.3">
      <c r="A1847" t="s">
        <v>166</v>
      </c>
      <c r="B1847" s="2">
        <v>45536</v>
      </c>
      <c r="C1847">
        <v>22670.1</v>
      </c>
    </row>
    <row r="1848" spans="1:3" ht="15" hidden="1" customHeight="1" x14ac:dyDescent="0.3">
      <c r="A1848" t="s">
        <v>166</v>
      </c>
      <c r="B1848" s="2">
        <v>45566</v>
      </c>
      <c r="C1848">
        <v>22045.5</v>
      </c>
    </row>
    <row r="1849" spans="1:3" ht="15" hidden="1" customHeight="1" x14ac:dyDescent="0.3">
      <c r="A1849" t="s">
        <v>166</v>
      </c>
      <c r="B1849" s="2">
        <v>45597</v>
      </c>
      <c r="C1849">
        <v>22062.6</v>
      </c>
    </row>
    <row r="1850" spans="1:3" ht="15" hidden="1" customHeight="1" x14ac:dyDescent="0.3">
      <c r="A1850" t="s">
        <v>166</v>
      </c>
      <c r="B1850" s="2">
        <v>45627</v>
      </c>
      <c r="C1850">
        <v>23333.4</v>
      </c>
    </row>
    <row r="1851" spans="1:3" ht="15" hidden="1" customHeight="1" x14ac:dyDescent="0.3">
      <c r="A1851" t="s">
        <v>166</v>
      </c>
      <c r="B1851" s="2">
        <v>45658</v>
      </c>
      <c r="C1851">
        <v>23005.8</v>
      </c>
    </row>
    <row r="1852" spans="1:3" ht="15" hidden="1" customHeight="1" x14ac:dyDescent="0.3">
      <c r="A1852" t="s">
        <v>166</v>
      </c>
      <c r="B1852" s="2">
        <v>45689</v>
      </c>
      <c r="C1852">
        <v>19888.2</v>
      </c>
    </row>
    <row r="1853" spans="1:3" ht="15" hidden="1" customHeight="1" x14ac:dyDescent="0.3">
      <c r="A1853" t="s">
        <v>166</v>
      </c>
      <c r="B1853" s="2">
        <v>45717</v>
      </c>
      <c r="C1853">
        <v>21952.799999999999</v>
      </c>
    </row>
    <row r="1854" spans="1:3" ht="15" hidden="1" customHeight="1" x14ac:dyDescent="0.3">
      <c r="A1854" t="s">
        <v>166</v>
      </c>
      <c r="B1854" s="2">
        <v>45748</v>
      </c>
      <c r="C1854">
        <v>21444.3</v>
      </c>
    </row>
    <row r="1855" spans="1:3" ht="15" hidden="1" customHeight="1" x14ac:dyDescent="0.3">
      <c r="A1855" t="s">
        <v>166</v>
      </c>
      <c r="B1855" s="2">
        <v>45778</v>
      </c>
      <c r="C1855">
        <v>20688.3</v>
      </c>
    </row>
    <row r="1856" spans="1:3" ht="15" hidden="1" customHeight="1" x14ac:dyDescent="0.3">
      <c r="A1856" t="s">
        <v>166</v>
      </c>
      <c r="B1856" s="2">
        <v>45809</v>
      </c>
      <c r="C1856">
        <v>18646.2</v>
      </c>
    </row>
    <row r="1857" spans="1:3" ht="15" hidden="1" customHeight="1" x14ac:dyDescent="0.3">
      <c r="A1857" t="s">
        <v>166</v>
      </c>
      <c r="B1857" s="2">
        <v>45839</v>
      </c>
      <c r="C1857">
        <v>19629.900000000001</v>
      </c>
    </row>
    <row r="1858" spans="1:3" ht="15" hidden="1" customHeight="1" x14ac:dyDescent="0.3">
      <c r="A1858" t="s">
        <v>166</v>
      </c>
      <c r="B1858" s="2">
        <v>45870</v>
      </c>
      <c r="C1858">
        <v>22998.6</v>
      </c>
    </row>
    <row r="1859" spans="1:3" ht="15" hidden="1" customHeight="1" x14ac:dyDescent="0.3">
      <c r="A1859" t="s">
        <v>166</v>
      </c>
      <c r="B1859" s="2">
        <v>45901</v>
      </c>
      <c r="C1859">
        <v>22670.1</v>
      </c>
    </row>
    <row r="1860" spans="1:3" ht="15" hidden="1" customHeight="1" x14ac:dyDescent="0.3">
      <c r="A1860" t="s">
        <v>166</v>
      </c>
      <c r="B1860" s="2">
        <v>45931</v>
      </c>
      <c r="C1860">
        <v>22045.5</v>
      </c>
    </row>
    <row r="1861" spans="1:3" ht="15" hidden="1" customHeight="1" x14ac:dyDescent="0.3">
      <c r="A1861" t="s">
        <v>166</v>
      </c>
      <c r="B1861" s="2">
        <v>45962</v>
      </c>
      <c r="C1861">
        <v>22062.6</v>
      </c>
    </row>
    <row r="1862" spans="1:3" ht="15" hidden="1" customHeight="1" x14ac:dyDescent="0.3">
      <c r="A1862" t="s">
        <v>166</v>
      </c>
      <c r="B1862" s="2">
        <v>45992</v>
      </c>
      <c r="C1862">
        <v>23333.4</v>
      </c>
    </row>
    <row r="1863" spans="1:3" ht="15" hidden="1" customHeight="1" x14ac:dyDescent="0.3">
      <c r="A1863" t="s">
        <v>166</v>
      </c>
      <c r="B1863" s="2">
        <v>46023</v>
      </c>
      <c r="C1863">
        <v>23005.8</v>
      </c>
    </row>
    <row r="1864" spans="1:3" ht="15" hidden="1" customHeight="1" x14ac:dyDescent="0.3">
      <c r="A1864" t="s">
        <v>166</v>
      </c>
      <c r="B1864" s="2">
        <v>46054</v>
      </c>
      <c r="C1864">
        <v>19888.2</v>
      </c>
    </row>
    <row r="1865" spans="1:3" ht="15" hidden="1" customHeight="1" x14ac:dyDescent="0.3">
      <c r="A1865" t="s">
        <v>166</v>
      </c>
      <c r="B1865" s="2">
        <v>46082</v>
      </c>
      <c r="C1865">
        <v>21952.799999999999</v>
      </c>
    </row>
    <row r="1866" spans="1:3" ht="15" hidden="1" customHeight="1" x14ac:dyDescent="0.3">
      <c r="A1866" t="s">
        <v>166</v>
      </c>
      <c r="B1866" s="2">
        <v>46113</v>
      </c>
      <c r="C1866">
        <v>21444.3</v>
      </c>
    </row>
    <row r="1867" spans="1:3" ht="15" hidden="1" customHeight="1" x14ac:dyDescent="0.3">
      <c r="A1867" t="s">
        <v>166</v>
      </c>
      <c r="B1867" s="2">
        <v>46143</v>
      </c>
      <c r="C1867">
        <v>20688.3</v>
      </c>
    </row>
    <row r="1868" spans="1:3" ht="15" hidden="1" customHeight="1" x14ac:dyDescent="0.3">
      <c r="A1868" t="s">
        <v>166</v>
      </c>
      <c r="B1868" s="2">
        <v>46174</v>
      </c>
      <c r="C1868">
        <v>18646.2</v>
      </c>
    </row>
    <row r="1869" spans="1:3" ht="15" hidden="1" customHeight="1" x14ac:dyDescent="0.3">
      <c r="A1869" t="s">
        <v>166</v>
      </c>
      <c r="B1869" s="2">
        <v>46204</v>
      </c>
      <c r="C1869">
        <v>19629.900000000001</v>
      </c>
    </row>
    <row r="1870" spans="1:3" ht="15" customHeight="1" x14ac:dyDescent="0.3">
      <c r="A1870" t="s">
        <v>166</v>
      </c>
      <c r="B1870" s="2">
        <v>46235</v>
      </c>
      <c r="C1870">
        <v>22998.6</v>
      </c>
    </row>
    <row r="1871" spans="1:3" ht="15" hidden="1" customHeight="1" x14ac:dyDescent="0.3">
      <c r="A1871" t="s">
        <v>166</v>
      </c>
      <c r="B1871" s="2">
        <v>46266</v>
      </c>
      <c r="C1871">
        <v>22670.1</v>
      </c>
    </row>
    <row r="1872" spans="1:3" ht="15" hidden="1" customHeight="1" x14ac:dyDescent="0.3">
      <c r="A1872" t="s">
        <v>166</v>
      </c>
      <c r="B1872" s="2">
        <v>46296</v>
      </c>
      <c r="C1872">
        <v>22045.5</v>
      </c>
    </row>
    <row r="1873" spans="1:3" ht="15" hidden="1" customHeight="1" x14ac:dyDescent="0.3">
      <c r="A1873" t="s">
        <v>166</v>
      </c>
      <c r="B1873" s="2">
        <v>46327</v>
      </c>
      <c r="C1873">
        <v>22062.6</v>
      </c>
    </row>
    <row r="1874" spans="1:3" ht="15" hidden="1" customHeight="1" x14ac:dyDescent="0.3">
      <c r="A1874" t="s">
        <v>166</v>
      </c>
      <c r="B1874" s="2">
        <v>46357</v>
      </c>
      <c r="C1874">
        <v>23333.4</v>
      </c>
    </row>
    <row r="1875" spans="1:3" ht="15" hidden="1" customHeight="1" x14ac:dyDescent="0.3">
      <c r="A1875" t="s">
        <v>169</v>
      </c>
      <c r="B1875" s="2">
        <v>45292</v>
      </c>
      <c r="C1875">
        <v>3308.4549999999999</v>
      </c>
    </row>
    <row r="1876" spans="1:3" ht="15" hidden="1" customHeight="1" x14ac:dyDescent="0.3">
      <c r="A1876" t="s">
        <v>169</v>
      </c>
      <c r="B1876" s="2">
        <v>45323</v>
      </c>
      <c r="C1876">
        <v>2856.5949999999998</v>
      </c>
    </row>
    <row r="1877" spans="1:3" ht="15" hidden="1" customHeight="1" x14ac:dyDescent="0.3">
      <c r="A1877" t="s">
        <v>169</v>
      </c>
      <c r="B1877" s="2">
        <v>45352</v>
      </c>
      <c r="C1877">
        <v>3155.625</v>
      </c>
    </row>
    <row r="1878" spans="1:3" ht="15" hidden="1" customHeight="1" x14ac:dyDescent="0.3">
      <c r="A1878" t="s">
        <v>169</v>
      </c>
      <c r="B1878" s="2">
        <v>45383</v>
      </c>
      <c r="C1878">
        <v>3081.8449999999998</v>
      </c>
    </row>
    <row r="1879" spans="1:3" ht="15" hidden="1" customHeight="1" x14ac:dyDescent="0.3">
      <c r="A1879" t="s">
        <v>169</v>
      </c>
      <c r="B1879" s="2">
        <v>45413</v>
      </c>
      <c r="C1879">
        <v>2972.875</v>
      </c>
    </row>
    <row r="1880" spans="1:3" ht="15" hidden="1" customHeight="1" x14ac:dyDescent="0.3">
      <c r="A1880" t="s">
        <v>169</v>
      </c>
      <c r="B1880" s="2">
        <v>45444</v>
      </c>
      <c r="C1880">
        <v>2678.69</v>
      </c>
    </row>
    <row r="1881" spans="1:3" ht="15" hidden="1" customHeight="1" x14ac:dyDescent="0.3">
      <c r="A1881" t="s">
        <v>169</v>
      </c>
      <c r="B1881" s="2">
        <v>45474</v>
      </c>
      <c r="C1881">
        <v>2819.0250000000001</v>
      </c>
    </row>
    <row r="1882" spans="1:3" ht="15" hidden="1" customHeight="1" x14ac:dyDescent="0.3">
      <c r="A1882" t="s">
        <v>169</v>
      </c>
      <c r="B1882" s="2">
        <v>45505</v>
      </c>
      <c r="C1882">
        <v>3304.375</v>
      </c>
    </row>
    <row r="1883" spans="1:3" ht="15" hidden="1" customHeight="1" x14ac:dyDescent="0.3">
      <c r="A1883" t="s">
        <v>169</v>
      </c>
      <c r="B1883" s="2">
        <v>45536</v>
      </c>
      <c r="C1883">
        <v>3255.7550000000001</v>
      </c>
    </row>
    <row r="1884" spans="1:3" ht="15" hidden="1" customHeight="1" x14ac:dyDescent="0.3">
      <c r="A1884" t="s">
        <v>169</v>
      </c>
      <c r="B1884" s="2">
        <v>45566</v>
      </c>
      <c r="C1884">
        <v>3170.2449999999999</v>
      </c>
    </row>
    <row r="1885" spans="1:3" ht="15" hidden="1" customHeight="1" x14ac:dyDescent="0.3">
      <c r="A1885" t="s">
        <v>169</v>
      </c>
      <c r="B1885" s="2">
        <v>45597</v>
      </c>
      <c r="C1885">
        <v>3173.1350000000002</v>
      </c>
    </row>
    <row r="1886" spans="1:3" ht="15" hidden="1" customHeight="1" x14ac:dyDescent="0.3">
      <c r="A1886" t="s">
        <v>169</v>
      </c>
      <c r="B1886" s="2">
        <v>45627</v>
      </c>
      <c r="C1886">
        <v>3354.1849999999999</v>
      </c>
    </row>
    <row r="1887" spans="1:3" ht="15" hidden="1" customHeight="1" x14ac:dyDescent="0.3">
      <c r="A1887" t="s">
        <v>169</v>
      </c>
      <c r="B1887" s="2">
        <v>45658</v>
      </c>
      <c r="C1887">
        <v>3308.4549999999999</v>
      </c>
    </row>
    <row r="1888" spans="1:3" ht="15" hidden="1" customHeight="1" x14ac:dyDescent="0.3">
      <c r="A1888" t="s">
        <v>169</v>
      </c>
      <c r="B1888" s="2">
        <v>45689</v>
      </c>
      <c r="C1888">
        <v>2856.5949999999998</v>
      </c>
    </row>
    <row r="1889" spans="1:3" ht="15" hidden="1" customHeight="1" x14ac:dyDescent="0.3">
      <c r="A1889" t="s">
        <v>169</v>
      </c>
      <c r="B1889" s="2">
        <v>45717</v>
      </c>
      <c r="C1889">
        <v>3155.625</v>
      </c>
    </row>
    <row r="1890" spans="1:3" ht="15" hidden="1" customHeight="1" x14ac:dyDescent="0.3">
      <c r="A1890" t="s">
        <v>169</v>
      </c>
      <c r="B1890" s="2">
        <v>45748</v>
      </c>
      <c r="C1890">
        <v>3081.8449999999998</v>
      </c>
    </row>
    <row r="1891" spans="1:3" ht="15" hidden="1" customHeight="1" x14ac:dyDescent="0.3">
      <c r="A1891" t="s">
        <v>169</v>
      </c>
      <c r="B1891" s="2">
        <v>45778</v>
      </c>
      <c r="C1891">
        <v>2972.875</v>
      </c>
    </row>
    <row r="1892" spans="1:3" ht="15" hidden="1" customHeight="1" x14ac:dyDescent="0.3">
      <c r="A1892" t="s">
        <v>169</v>
      </c>
      <c r="B1892" s="2">
        <v>45809</v>
      </c>
      <c r="C1892">
        <v>2678.69</v>
      </c>
    </row>
    <row r="1893" spans="1:3" ht="15" hidden="1" customHeight="1" x14ac:dyDescent="0.3">
      <c r="A1893" t="s">
        <v>169</v>
      </c>
      <c r="B1893" s="2">
        <v>45839</v>
      </c>
      <c r="C1893">
        <v>2819.0250000000001</v>
      </c>
    </row>
    <row r="1894" spans="1:3" ht="15" hidden="1" customHeight="1" x14ac:dyDescent="0.3">
      <c r="A1894" t="s">
        <v>169</v>
      </c>
      <c r="B1894" s="2">
        <v>45870</v>
      </c>
      <c r="C1894">
        <v>3304.375</v>
      </c>
    </row>
    <row r="1895" spans="1:3" ht="15" hidden="1" customHeight="1" x14ac:dyDescent="0.3">
      <c r="A1895" t="s">
        <v>169</v>
      </c>
      <c r="B1895" s="2">
        <v>45901</v>
      </c>
      <c r="C1895">
        <v>3255.7550000000001</v>
      </c>
    </row>
    <row r="1896" spans="1:3" ht="15" hidden="1" customHeight="1" x14ac:dyDescent="0.3">
      <c r="A1896" t="s">
        <v>169</v>
      </c>
      <c r="B1896" s="2">
        <v>45931</v>
      </c>
      <c r="C1896">
        <v>3170.2449999999999</v>
      </c>
    </row>
    <row r="1897" spans="1:3" ht="15" hidden="1" customHeight="1" x14ac:dyDescent="0.3">
      <c r="A1897" t="s">
        <v>169</v>
      </c>
      <c r="B1897" s="2">
        <v>45962</v>
      </c>
      <c r="C1897">
        <v>3173.1350000000002</v>
      </c>
    </row>
    <row r="1898" spans="1:3" ht="15" hidden="1" customHeight="1" x14ac:dyDescent="0.3">
      <c r="A1898" t="s">
        <v>169</v>
      </c>
      <c r="B1898" s="2">
        <v>45992</v>
      </c>
      <c r="C1898">
        <v>3354.1849999999999</v>
      </c>
    </row>
    <row r="1899" spans="1:3" ht="15" hidden="1" customHeight="1" x14ac:dyDescent="0.3">
      <c r="A1899" t="s">
        <v>169</v>
      </c>
      <c r="B1899" s="2">
        <v>46023</v>
      </c>
      <c r="C1899">
        <v>3308.4549999999999</v>
      </c>
    </row>
    <row r="1900" spans="1:3" ht="15" hidden="1" customHeight="1" x14ac:dyDescent="0.3">
      <c r="A1900" t="s">
        <v>169</v>
      </c>
      <c r="B1900" s="2">
        <v>46054</v>
      </c>
      <c r="C1900">
        <v>2856.5949999999998</v>
      </c>
    </row>
    <row r="1901" spans="1:3" ht="15" hidden="1" customHeight="1" x14ac:dyDescent="0.3">
      <c r="A1901" t="s">
        <v>169</v>
      </c>
      <c r="B1901" s="2">
        <v>46082</v>
      </c>
      <c r="C1901">
        <v>3155.625</v>
      </c>
    </row>
    <row r="1902" spans="1:3" ht="15" hidden="1" customHeight="1" x14ac:dyDescent="0.3">
      <c r="A1902" t="s">
        <v>169</v>
      </c>
      <c r="B1902" s="2">
        <v>46113</v>
      </c>
      <c r="C1902">
        <v>3081.8449999999998</v>
      </c>
    </row>
    <row r="1903" spans="1:3" ht="15" hidden="1" customHeight="1" x14ac:dyDescent="0.3">
      <c r="A1903" t="s">
        <v>169</v>
      </c>
      <c r="B1903" s="2">
        <v>46143</v>
      </c>
      <c r="C1903">
        <v>2972.875</v>
      </c>
    </row>
    <row r="1904" spans="1:3" ht="15" hidden="1" customHeight="1" x14ac:dyDescent="0.3">
      <c r="A1904" t="s">
        <v>169</v>
      </c>
      <c r="B1904" s="2">
        <v>46174</v>
      </c>
      <c r="C1904">
        <v>2678.69</v>
      </c>
    </row>
    <row r="1905" spans="1:3" ht="15" hidden="1" customHeight="1" x14ac:dyDescent="0.3">
      <c r="A1905" t="s">
        <v>169</v>
      </c>
      <c r="B1905" s="2">
        <v>46204</v>
      </c>
      <c r="C1905">
        <v>2819.0250000000001</v>
      </c>
    </row>
    <row r="1906" spans="1:3" ht="15" customHeight="1" x14ac:dyDescent="0.3">
      <c r="A1906" t="s">
        <v>169</v>
      </c>
      <c r="B1906" s="2">
        <v>46235</v>
      </c>
      <c r="C1906">
        <v>3304.375</v>
      </c>
    </row>
    <row r="1907" spans="1:3" ht="15" hidden="1" customHeight="1" x14ac:dyDescent="0.3">
      <c r="A1907" t="s">
        <v>169</v>
      </c>
      <c r="B1907" s="2">
        <v>46266</v>
      </c>
      <c r="C1907">
        <v>3255.7550000000001</v>
      </c>
    </row>
    <row r="1908" spans="1:3" ht="15" hidden="1" customHeight="1" x14ac:dyDescent="0.3">
      <c r="A1908" t="s">
        <v>169</v>
      </c>
      <c r="B1908" s="2">
        <v>46296</v>
      </c>
      <c r="C1908">
        <v>3170.2449999999999</v>
      </c>
    </row>
    <row r="1909" spans="1:3" ht="15" hidden="1" customHeight="1" x14ac:dyDescent="0.3">
      <c r="A1909" t="s">
        <v>169</v>
      </c>
      <c r="B1909" s="2">
        <v>46327</v>
      </c>
      <c r="C1909">
        <v>3173.1350000000002</v>
      </c>
    </row>
    <row r="1910" spans="1:3" ht="15" hidden="1" customHeight="1" x14ac:dyDescent="0.3">
      <c r="A1910" t="s">
        <v>169</v>
      </c>
      <c r="B1910" s="2">
        <v>46357</v>
      </c>
      <c r="C1910">
        <v>3354.1849999999999</v>
      </c>
    </row>
    <row r="1911" spans="1:3" ht="15" hidden="1" customHeight="1" x14ac:dyDescent="0.3">
      <c r="A1911" t="s">
        <v>171</v>
      </c>
      <c r="B1911" s="2">
        <v>45292</v>
      </c>
      <c r="C1911">
        <v>12489.555</v>
      </c>
    </row>
    <row r="1912" spans="1:3" ht="15" hidden="1" customHeight="1" x14ac:dyDescent="0.3">
      <c r="A1912" t="s">
        <v>171</v>
      </c>
      <c r="B1912" s="2">
        <v>45323</v>
      </c>
      <c r="C1912">
        <v>10877.69</v>
      </c>
    </row>
    <row r="1913" spans="1:3" ht="15" hidden="1" customHeight="1" x14ac:dyDescent="0.3">
      <c r="A1913" t="s">
        <v>171</v>
      </c>
      <c r="B1913" s="2">
        <v>45352</v>
      </c>
      <c r="C1913">
        <v>10897.355</v>
      </c>
    </row>
    <row r="1914" spans="1:3" ht="15" hidden="1" customHeight="1" x14ac:dyDescent="0.3">
      <c r="A1914" t="s">
        <v>171</v>
      </c>
      <c r="B1914" s="2">
        <v>45383</v>
      </c>
      <c r="C1914">
        <v>8757.9549999999999</v>
      </c>
    </row>
    <row r="1915" spans="1:3" ht="15" hidden="1" customHeight="1" x14ac:dyDescent="0.3">
      <c r="A1915" t="s">
        <v>171</v>
      </c>
      <c r="B1915" s="2">
        <v>45413</v>
      </c>
      <c r="C1915">
        <v>7449.4250000000002</v>
      </c>
    </row>
    <row r="1916" spans="1:3" ht="15" hidden="1" customHeight="1" x14ac:dyDescent="0.3">
      <c r="A1916" t="s">
        <v>171</v>
      </c>
      <c r="B1916" s="2">
        <v>45444</v>
      </c>
      <c r="C1916">
        <v>6752.6949999999997</v>
      </c>
    </row>
    <row r="1917" spans="1:3" ht="15" hidden="1" customHeight="1" x14ac:dyDescent="0.3">
      <c r="A1917" t="s">
        <v>171</v>
      </c>
      <c r="B1917" s="2">
        <v>45474</v>
      </c>
      <c r="C1917">
        <v>7274.2449999999999</v>
      </c>
    </row>
    <row r="1918" spans="1:3" ht="15" hidden="1" customHeight="1" x14ac:dyDescent="0.3">
      <c r="A1918" t="s">
        <v>171</v>
      </c>
      <c r="B1918" s="2">
        <v>45505</v>
      </c>
      <c r="C1918">
        <v>8568.7150000000001</v>
      </c>
    </row>
    <row r="1919" spans="1:3" ht="15" hidden="1" customHeight="1" x14ac:dyDescent="0.3">
      <c r="A1919" t="s">
        <v>171</v>
      </c>
      <c r="B1919" s="2">
        <v>45536</v>
      </c>
      <c r="C1919">
        <v>9196</v>
      </c>
    </row>
    <row r="1920" spans="1:3" ht="15" hidden="1" customHeight="1" x14ac:dyDescent="0.3">
      <c r="A1920" t="s">
        <v>171</v>
      </c>
      <c r="B1920" s="2">
        <v>45566</v>
      </c>
      <c r="C1920">
        <v>10753.525</v>
      </c>
    </row>
    <row r="1921" spans="1:3" ht="15" hidden="1" customHeight="1" x14ac:dyDescent="0.3">
      <c r="A1921" t="s">
        <v>171</v>
      </c>
      <c r="B1921" s="2">
        <v>45597</v>
      </c>
      <c r="C1921">
        <v>11159.27</v>
      </c>
    </row>
    <row r="1922" spans="1:3" ht="15" hidden="1" customHeight="1" x14ac:dyDescent="0.3">
      <c r="A1922" t="s">
        <v>171</v>
      </c>
      <c r="B1922" s="2">
        <v>45627</v>
      </c>
      <c r="C1922">
        <v>12687.82</v>
      </c>
    </row>
    <row r="1923" spans="1:3" ht="15" hidden="1" customHeight="1" x14ac:dyDescent="0.3">
      <c r="A1923" t="s">
        <v>171</v>
      </c>
      <c r="B1923" s="2">
        <v>45658</v>
      </c>
      <c r="C1923">
        <v>12489.555</v>
      </c>
    </row>
    <row r="1924" spans="1:3" ht="15" hidden="1" customHeight="1" x14ac:dyDescent="0.3">
      <c r="A1924" t="s">
        <v>171</v>
      </c>
      <c r="B1924" s="2">
        <v>45689</v>
      </c>
      <c r="C1924">
        <v>10877.69</v>
      </c>
    </row>
    <row r="1925" spans="1:3" ht="15" hidden="1" customHeight="1" x14ac:dyDescent="0.3">
      <c r="A1925" t="s">
        <v>171</v>
      </c>
      <c r="B1925" s="2">
        <v>45717</v>
      </c>
      <c r="C1925">
        <v>10897.355</v>
      </c>
    </row>
    <row r="1926" spans="1:3" ht="15" hidden="1" customHeight="1" x14ac:dyDescent="0.3">
      <c r="A1926" t="s">
        <v>171</v>
      </c>
      <c r="B1926" s="2">
        <v>45748</v>
      </c>
      <c r="C1926">
        <v>8757.9549999999999</v>
      </c>
    </row>
    <row r="1927" spans="1:3" ht="15" hidden="1" customHeight="1" x14ac:dyDescent="0.3">
      <c r="A1927" t="s">
        <v>171</v>
      </c>
      <c r="B1927" s="2">
        <v>45778</v>
      </c>
      <c r="C1927">
        <v>7449.4250000000002</v>
      </c>
    </row>
    <row r="1928" spans="1:3" ht="15" hidden="1" customHeight="1" x14ac:dyDescent="0.3">
      <c r="A1928" t="s">
        <v>171</v>
      </c>
      <c r="B1928" s="2">
        <v>45809</v>
      </c>
      <c r="C1928">
        <v>6752.6949999999997</v>
      </c>
    </row>
    <row r="1929" spans="1:3" ht="15" hidden="1" customHeight="1" x14ac:dyDescent="0.3">
      <c r="A1929" t="s">
        <v>171</v>
      </c>
      <c r="B1929" s="2">
        <v>45839</v>
      </c>
      <c r="C1929">
        <v>7274.2449999999999</v>
      </c>
    </row>
    <row r="1930" spans="1:3" ht="15" hidden="1" customHeight="1" x14ac:dyDescent="0.3">
      <c r="A1930" t="s">
        <v>171</v>
      </c>
      <c r="B1930" s="2">
        <v>45870</v>
      </c>
      <c r="C1930">
        <v>8568.7150000000001</v>
      </c>
    </row>
    <row r="1931" spans="1:3" ht="15" hidden="1" customHeight="1" x14ac:dyDescent="0.3">
      <c r="A1931" t="s">
        <v>171</v>
      </c>
      <c r="B1931" s="2">
        <v>45901</v>
      </c>
      <c r="C1931">
        <v>9196</v>
      </c>
    </row>
    <row r="1932" spans="1:3" ht="15" hidden="1" customHeight="1" x14ac:dyDescent="0.3">
      <c r="A1932" t="s">
        <v>171</v>
      </c>
      <c r="B1932" s="2">
        <v>45931</v>
      </c>
      <c r="C1932">
        <v>10753.525</v>
      </c>
    </row>
    <row r="1933" spans="1:3" ht="15" hidden="1" customHeight="1" x14ac:dyDescent="0.3">
      <c r="A1933" t="s">
        <v>171</v>
      </c>
      <c r="B1933" s="2">
        <v>45962</v>
      </c>
      <c r="C1933">
        <v>11159.27</v>
      </c>
    </row>
    <row r="1934" spans="1:3" ht="15" hidden="1" customHeight="1" x14ac:dyDescent="0.3">
      <c r="A1934" t="s">
        <v>171</v>
      </c>
      <c r="B1934" s="2">
        <v>45992</v>
      </c>
      <c r="C1934">
        <v>12687.82</v>
      </c>
    </row>
    <row r="1935" spans="1:3" ht="15" hidden="1" customHeight="1" x14ac:dyDescent="0.3">
      <c r="A1935" t="s">
        <v>171</v>
      </c>
      <c r="B1935" s="2">
        <v>46023</v>
      </c>
      <c r="C1935">
        <v>12489.555</v>
      </c>
    </row>
    <row r="1936" spans="1:3" ht="15" hidden="1" customHeight="1" x14ac:dyDescent="0.3">
      <c r="A1936" t="s">
        <v>171</v>
      </c>
      <c r="B1936" s="2">
        <v>46054</v>
      </c>
      <c r="C1936">
        <v>10877.69</v>
      </c>
    </row>
    <row r="1937" spans="1:3" ht="15" hidden="1" customHeight="1" x14ac:dyDescent="0.3">
      <c r="A1937" t="s">
        <v>171</v>
      </c>
      <c r="B1937" s="2">
        <v>46082</v>
      </c>
      <c r="C1937">
        <v>10897.355</v>
      </c>
    </row>
    <row r="1938" spans="1:3" ht="15" hidden="1" customHeight="1" x14ac:dyDescent="0.3">
      <c r="A1938" t="s">
        <v>171</v>
      </c>
      <c r="B1938" s="2">
        <v>46113</v>
      </c>
      <c r="C1938">
        <v>8757.9549999999999</v>
      </c>
    </row>
    <row r="1939" spans="1:3" ht="15" hidden="1" customHeight="1" x14ac:dyDescent="0.3">
      <c r="A1939" t="s">
        <v>171</v>
      </c>
      <c r="B1939" s="2">
        <v>46143</v>
      </c>
      <c r="C1939">
        <v>7449.4250000000002</v>
      </c>
    </row>
    <row r="1940" spans="1:3" ht="15" hidden="1" customHeight="1" x14ac:dyDescent="0.3">
      <c r="A1940" t="s">
        <v>171</v>
      </c>
      <c r="B1940" s="2">
        <v>46174</v>
      </c>
      <c r="C1940">
        <v>6752.6949999999997</v>
      </c>
    </row>
    <row r="1941" spans="1:3" ht="15" hidden="1" customHeight="1" x14ac:dyDescent="0.3">
      <c r="A1941" t="s">
        <v>171</v>
      </c>
      <c r="B1941" s="2">
        <v>46204</v>
      </c>
      <c r="C1941">
        <v>7274.2449999999999</v>
      </c>
    </row>
    <row r="1942" spans="1:3" ht="15" customHeight="1" x14ac:dyDescent="0.3">
      <c r="A1942" t="s">
        <v>171</v>
      </c>
      <c r="B1942" s="2">
        <v>46235</v>
      </c>
      <c r="C1942">
        <v>8568.7150000000001</v>
      </c>
    </row>
    <row r="1943" spans="1:3" ht="15" hidden="1" customHeight="1" x14ac:dyDescent="0.3">
      <c r="A1943" t="s">
        <v>171</v>
      </c>
      <c r="B1943" s="2">
        <v>46266</v>
      </c>
      <c r="C1943">
        <v>9196</v>
      </c>
    </row>
    <row r="1944" spans="1:3" ht="15" hidden="1" customHeight="1" x14ac:dyDescent="0.3">
      <c r="A1944" t="s">
        <v>171</v>
      </c>
      <c r="B1944" s="2">
        <v>46296</v>
      </c>
      <c r="C1944">
        <v>10753.525</v>
      </c>
    </row>
    <row r="1945" spans="1:3" ht="15" hidden="1" customHeight="1" x14ac:dyDescent="0.3">
      <c r="A1945" t="s">
        <v>171</v>
      </c>
      <c r="B1945" s="2">
        <v>46327</v>
      </c>
      <c r="C1945">
        <v>11159.27</v>
      </c>
    </row>
    <row r="1946" spans="1:3" ht="15" hidden="1" customHeight="1" x14ac:dyDescent="0.3">
      <c r="A1946" t="s">
        <v>171</v>
      </c>
      <c r="B1946" s="2">
        <v>46357</v>
      </c>
      <c r="C1946">
        <v>12687.82</v>
      </c>
    </row>
    <row r="1947" spans="1:3" ht="15" hidden="1" customHeight="1" x14ac:dyDescent="0.3">
      <c r="A1947" t="s">
        <v>172</v>
      </c>
      <c r="B1947" s="2">
        <v>45292</v>
      </c>
      <c r="C1947">
        <v>13218.014999999999</v>
      </c>
    </row>
    <row r="1948" spans="1:3" ht="15" hidden="1" customHeight="1" x14ac:dyDescent="0.3">
      <c r="A1948" t="s">
        <v>172</v>
      </c>
      <c r="B1948" s="2">
        <v>45323</v>
      </c>
      <c r="C1948">
        <v>10966.135</v>
      </c>
    </row>
    <row r="1949" spans="1:3" ht="15" hidden="1" customHeight="1" x14ac:dyDescent="0.3">
      <c r="A1949" t="s">
        <v>172</v>
      </c>
      <c r="B1949" s="2">
        <v>45352</v>
      </c>
      <c r="C1949">
        <v>11441.135</v>
      </c>
    </row>
    <row r="1950" spans="1:3" ht="15" hidden="1" customHeight="1" x14ac:dyDescent="0.3">
      <c r="A1950" t="s">
        <v>172</v>
      </c>
      <c r="B1950" s="2">
        <v>45383</v>
      </c>
      <c r="C1950">
        <v>10004.07</v>
      </c>
    </row>
    <row r="1951" spans="1:3" ht="15" hidden="1" customHeight="1" x14ac:dyDescent="0.3">
      <c r="A1951" t="s">
        <v>172</v>
      </c>
      <c r="B1951" s="2">
        <v>45413</v>
      </c>
      <c r="C1951">
        <v>8979.59</v>
      </c>
    </row>
    <row r="1952" spans="1:3" ht="15" hidden="1" customHeight="1" x14ac:dyDescent="0.3">
      <c r="A1952" t="s">
        <v>172</v>
      </c>
      <c r="B1952" s="2">
        <v>45444</v>
      </c>
      <c r="C1952">
        <v>7800.26</v>
      </c>
    </row>
    <row r="1953" spans="1:3" ht="15" hidden="1" customHeight="1" x14ac:dyDescent="0.3">
      <c r="A1953" t="s">
        <v>172</v>
      </c>
      <c r="B1953" s="2">
        <v>45474</v>
      </c>
      <c r="C1953">
        <v>8635.69</v>
      </c>
    </row>
    <row r="1954" spans="1:3" ht="15" hidden="1" customHeight="1" x14ac:dyDescent="0.3">
      <c r="A1954" t="s">
        <v>172</v>
      </c>
      <c r="B1954" s="2">
        <v>45505</v>
      </c>
      <c r="C1954">
        <v>9829.9349999999995</v>
      </c>
    </row>
    <row r="1955" spans="1:3" ht="15" hidden="1" customHeight="1" x14ac:dyDescent="0.3">
      <c r="A1955" t="s">
        <v>172</v>
      </c>
      <c r="B1955" s="2">
        <v>45536</v>
      </c>
      <c r="C1955">
        <v>10568.94</v>
      </c>
    </row>
    <row r="1956" spans="1:3" ht="15" hidden="1" customHeight="1" x14ac:dyDescent="0.3">
      <c r="A1956" t="s">
        <v>172</v>
      </c>
      <c r="B1956" s="2">
        <v>45566</v>
      </c>
      <c r="C1956">
        <v>11606.34</v>
      </c>
    </row>
    <row r="1957" spans="1:3" ht="15" hidden="1" customHeight="1" x14ac:dyDescent="0.3">
      <c r="A1957" t="s">
        <v>172</v>
      </c>
      <c r="B1957" s="2">
        <v>45597</v>
      </c>
      <c r="C1957">
        <v>12483.285</v>
      </c>
    </row>
    <row r="1958" spans="1:3" ht="15" hidden="1" customHeight="1" x14ac:dyDescent="0.3">
      <c r="A1958" t="s">
        <v>172</v>
      </c>
      <c r="B1958" s="2">
        <v>45627</v>
      </c>
      <c r="C1958">
        <v>13393.575000000001</v>
      </c>
    </row>
    <row r="1959" spans="1:3" ht="15" hidden="1" customHeight="1" x14ac:dyDescent="0.3">
      <c r="A1959" t="s">
        <v>172</v>
      </c>
      <c r="B1959" s="2">
        <v>45658</v>
      </c>
      <c r="C1959">
        <v>13218.014999999999</v>
      </c>
    </row>
    <row r="1960" spans="1:3" ht="15" hidden="1" customHeight="1" x14ac:dyDescent="0.3">
      <c r="A1960" t="s">
        <v>172</v>
      </c>
      <c r="B1960" s="2">
        <v>45689</v>
      </c>
      <c r="C1960">
        <v>10966.135</v>
      </c>
    </row>
    <row r="1961" spans="1:3" ht="15" hidden="1" customHeight="1" x14ac:dyDescent="0.3">
      <c r="A1961" t="s">
        <v>172</v>
      </c>
      <c r="B1961" s="2">
        <v>45717</v>
      </c>
      <c r="C1961">
        <v>11441.135</v>
      </c>
    </row>
    <row r="1962" spans="1:3" ht="15" hidden="1" customHeight="1" x14ac:dyDescent="0.3">
      <c r="A1962" t="s">
        <v>172</v>
      </c>
      <c r="B1962" s="2">
        <v>45748</v>
      </c>
      <c r="C1962">
        <v>10004.07</v>
      </c>
    </row>
    <row r="1963" spans="1:3" ht="15" hidden="1" customHeight="1" x14ac:dyDescent="0.3">
      <c r="A1963" t="s">
        <v>172</v>
      </c>
      <c r="B1963" s="2">
        <v>45778</v>
      </c>
      <c r="C1963">
        <v>8979.59</v>
      </c>
    </row>
    <row r="1964" spans="1:3" ht="15" hidden="1" customHeight="1" x14ac:dyDescent="0.3">
      <c r="A1964" t="s">
        <v>172</v>
      </c>
      <c r="B1964" s="2">
        <v>45809</v>
      </c>
      <c r="C1964">
        <v>7800.26</v>
      </c>
    </row>
    <row r="1965" spans="1:3" ht="15" hidden="1" customHeight="1" x14ac:dyDescent="0.3">
      <c r="A1965" t="s">
        <v>172</v>
      </c>
      <c r="B1965" s="2">
        <v>45839</v>
      </c>
      <c r="C1965">
        <v>8635.69</v>
      </c>
    </row>
    <row r="1966" spans="1:3" ht="15" hidden="1" customHeight="1" x14ac:dyDescent="0.3">
      <c r="A1966" t="s">
        <v>172</v>
      </c>
      <c r="B1966" s="2">
        <v>45870</v>
      </c>
      <c r="C1966">
        <v>9829.9349999999995</v>
      </c>
    </row>
    <row r="1967" spans="1:3" ht="15" hidden="1" customHeight="1" x14ac:dyDescent="0.3">
      <c r="A1967" t="s">
        <v>172</v>
      </c>
      <c r="B1967" s="2">
        <v>45901</v>
      </c>
      <c r="C1967">
        <v>10568.94</v>
      </c>
    </row>
    <row r="1968" spans="1:3" ht="15" hidden="1" customHeight="1" x14ac:dyDescent="0.3">
      <c r="A1968" t="s">
        <v>172</v>
      </c>
      <c r="B1968" s="2">
        <v>45931</v>
      </c>
      <c r="C1968">
        <v>11606.34</v>
      </c>
    </row>
    <row r="1969" spans="1:3" ht="15" hidden="1" customHeight="1" x14ac:dyDescent="0.3">
      <c r="A1969" t="s">
        <v>172</v>
      </c>
      <c r="B1969" s="2">
        <v>45962</v>
      </c>
      <c r="C1969">
        <v>12483.285</v>
      </c>
    </row>
    <row r="1970" spans="1:3" ht="15" hidden="1" customHeight="1" x14ac:dyDescent="0.3">
      <c r="A1970" t="s">
        <v>172</v>
      </c>
      <c r="B1970" s="2">
        <v>45992</v>
      </c>
      <c r="C1970">
        <v>13393.575000000001</v>
      </c>
    </row>
    <row r="1971" spans="1:3" ht="15" hidden="1" customHeight="1" x14ac:dyDescent="0.3">
      <c r="A1971" t="s">
        <v>172</v>
      </c>
      <c r="B1971" s="2">
        <v>46023</v>
      </c>
      <c r="C1971">
        <v>13218.014999999999</v>
      </c>
    </row>
    <row r="1972" spans="1:3" ht="15" hidden="1" customHeight="1" x14ac:dyDescent="0.3">
      <c r="A1972" t="s">
        <v>172</v>
      </c>
      <c r="B1972" s="2">
        <v>46054</v>
      </c>
      <c r="C1972">
        <v>10966.135</v>
      </c>
    </row>
    <row r="1973" spans="1:3" ht="15" hidden="1" customHeight="1" x14ac:dyDescent="0.3">
      <c r="A1973" t="s">
        <v>172</v>
      </c>
      <c r="B1973" s="2">
        <v>46082</v>
      </c>
      <c r="C1973">
        <v>11441.135</v>
      </c>
    </row>
    <row r="1974" spans="1:3" ht="15" hidden="1" customHeight="1" x14ac:dyDescent="0.3">
      <c r="A1974" t="s">
        <v>172</v>
      </c>
      <c r="B1974" s="2">
        <v>46113</v>
      </c>
      <c r="C1974">
        <v>10004.07</v>
      </c>
    </row>
    <row r="1975" spans="1:3" ht="15" hidden="1" customHeight="1" x14ac:dyDescent="0.3">
      <c r="A1975" t="s">
        <v>172</v>
      </c>
      <c r="B1975" s="2">
        <v>46143</v>
      </c>
      <c r="C1975">
        <v>8979.59</v>
      </c>
    </row>
    <row r="1976" spans="1:3" ht="15" hidden="1" customHeight="1" x14ac:dyDescent="0.3">
      <c r="A1976" t="s">
        <v>172</v>
      </c>
      <c r="B1976" s="2">
        <v>46174</v>
      </c>
      <c r="C1976">
        <v>7800.26</v>
      </c>
    </row>
    <row r="1977" spans="1:3" ht="15" hidden="1" customHeight="1" x14ac:dyDescent="0.3">
      <c r="A1977" t="s">
        <v>172</v>
      </c>
      <c r="B1977" s="2">
        <v>46204</v>
      </c>
      <c r="C1977">
        <v>8635.69</v>
      </c>
    </row>
    <row r="1978" spans="1:3" ht="15" customHeight="1" x14ac:dyDescent="0.3">
      <c r="A1978" t="s">
        <v>172</v>
      </c>
      <c r="B1978" s="2">
        <v>46235</v>
      </c>
      <c r="C1978">
        <v>9829.9349999999995</v>
      </c>
    </row>
    <row r="1979" spans="1:3" ht="15" hidden="1" customHeight="1" x14ac:dyDescent="0.3">
      <c r="A1979" t="s">
        <v>172</v>
      </c>
      <c r="B1979" s="2">
        <v>46266</v>
      </c>
      <c r="C1979">
        <v>10568.94</v>
      </c>
    </row>
    <row r="1980" spans="1:3" ht="15" hidden="1" customHeight="1" x14ac:dyDescent="0.3">
      <c r="A1980" t="s">
        <v>172</v>
      </c>
      <c r="B1980" s="2">
        <v>46296</v>
      </c>
      <c r="C1980">
        <v>11606.34</v>
      </c>
    </row>
    <row r="1981" spans="1:3" ht="15" hidden="1" customHeight="1" x14ac:dyDescent="0.3">
      <c r="A1981" t="s">
        <v>172</v>
      </c>
      <c r="B1981" s="2">
        <v>46327</v>
      </c>
      <c r="C1981">
        <v>12483.285</v>
      </c>
    </row>
    <row r="1982" spans="1:3" ht="15" hidden="1" customHeight="1" x14ac:dyDescent="0.3">
      <c r="A1982" t="s">
        <v>172</v>
      </c>
      <c r="B1982" s="2">
        <v>46357</v>
      </c>
      <c r="C1982">
        <v>13393.575000000001</v>
      </c>
    </row>
    <row r="1983" spans="1:3" ht="15" hidden="1" customHeight="1" x14ac:dyDescent="0.3">
      <c r="A1983" t="s">
        <v>177</v>
      </c>
      <c r="B1983" s="2">
        <v>45292</v>
      </c>
      <c r="C1983">
        <v>4359.6000000000004</v>
      </c>
    </row>
    <row r="1984" spans="1:3" ht="15" hidden="1" customHeight="1" x14ac:dyDescent="0.3">
      <c r="A1984" t="s">
        <v>177</v>
      </c>
      <c r="B1984" s="2">
        <v>45323</v>
      </c>
      <c r="C1984">
        <v>3825.9</v>
      </c>
    </row>
    <row r="1985" spans="1:3" ht="15" hidden="1" customHeight="1" x14ac:dyDescent="0.3">
      <c r="A1985" t="s">
        <v>177</v>
      </c>
      <c r="B1985" s="2">
        <v>45352</v>
      </c>
      <c r="C1985">
        <v>4077</v>
      </c>
    </row>
    <row r="1986" spans="1:3" ht="15" hidden="1" customHeight="1" x14ac:dyDescent="0.3">
      <c r="A1986" t="s">
        <v>177</v>
      </c>
      <c r="B1986" s="2">
        <v>45383</v>
      </c>
      <c r="C1986">
        <v>3573.9</v>
      </c>
    </row>
    <row r="1987" spans="1:3" ht="15" hidden="1" customHeight="1" x14ac:dyDescent="0.3">
      <c r="A1987" t="s">
        <v>177</v>
      </c>
      <c r="B1987" s="2">
        <v>45413</v>
      </c>
      <c r="C1987">
        <v>3623.4</v>
      </c>
    </row>
    <row r="1988" spans="1:3" ht="15" hidden="1" customHeight="1" x14ac:dyDescent="0.3">
      <c r="A1988" t="s">
        <v>177</v>
      </c>
      <c r="B1988" s="2">
        <v>45444</v>
      </c>
      <c r="C1988">
        <v>3360.6</v>
      </c>
    </row>
    <row r="1989" spans="1:3" ht="15" hidden="1" customHeight="1" x14ac:dyDescent="0.3">
      <c r="A1989" t="s">
        <v>177</v>
      </c>
      <c r="B1989" s="2">
        <v>45474</v>
      </c>
      <c r="C1989">
        <v>3665.7</v>
      </c>
    </row>
    <row r="1990" spans="1:3" ht="15" hidden="1" customHeight="1" x14ac:dyDescent="0.3">
      <c r="A1990" t="s">
        <v>177</v>
      </c>
      <c r="B1990" s="2">
        <v>45505</v>
      </c>
      <c r="C1990">
        <v>4104</v>
      </c>
    </row>
    <row r="1991" spans="1:3" ht="15" hidden="1" customHeight="1" x14ac:dyDescent="0.3">
      <c r="A1991" t="s">
        <v>177</v>
      </c>
      <c r="B1991" s="2">
        <v>45536</v>
      </c>
      <c r="C1991">
        <v>4274.1000000000004</v>
      </c>
    </row>
    <row r="1992" spans="1:3" ht="15" hidden="1" customHeight="1" x14ac:dyDescent="0.3">
      <c r="A1992" t="s">
        <v>177</v>
      </c>
      <c r="B1992" s="2">
        <v>45566</v>
      </c>
      <c r="C1992">
        <v>4289.3999999999996</v>
      </c>
    </row>
    <row r="1993" spans="1:3" ht="15" hidden="1" customHeight="1" x14ac:dyDescent="0.3">
      <c r="A1993" t="s">
        <v>177</v>
      </c>
      <c r="B1993" s="2">
        <v>45597</v>
      </c>
      <c r="C1993">
        <v>4249.8</v>
      </c>
    </row>
    <row r="1994" spans="1:3" ht="15" hidden="1" customHeight="1" x14ac:dyDescent="0.3">
      <c r="A1994" t="s">
        <v>177</v>
      </c>
      <c r="B1994" s="2">
        <v>45627</v>
      </c>
      <c r="C1994">
        <v>4446</v>
      </c>
    </row>
    <row r="1995" spans="1:3" ht="15" hidden="1" customHeight="1" x14ac:dyDescent="0.3">
      <c r="A1995" t="s">
        <v>177</v>
      </c>
      <c r="B1995" s="2">
        <v>45658</v>
      </c>
      <c r="C1995">
        <v>4359.6000000000004</v>
      </c>
    </row>
    <row r="1996" spans="1:3" ht="15" hidden="1" customHeight="1" x14ac:dyDescent="0.3">
      <c r="A1996" t="s">
        <v>177</v>
      </c>
      <c r="B1996" s="2">
        <v>45689</v>
      </c>
      <c r="C1996">
        <v>3825.9</v>
      </c>
    </row>
    <row r="1997" spans="1:3" ht="15" hidden="1" customHeight="1" x14ac:dyDescent="0.3">
      <c r="A1997" t="s">
        <v>177</v>
      </c>
      <c r="B1997" s="2">
        <v>45717</v>
      </c>
      <c r="C1997">
        <v>4077</v>
      </c>
    </row>
    <row r="1998" spans="1:3" ht="15" hidden="1" customHeight="1" x14ac:dyDescent="0.3">
      <c r="A1998" t="s">
        <v>177</v>
      </c>
      <c r="B1998" s="2">
        <v>45748</v>
      </c>
      <c r="C1998">
        <v>3573.9</v>
      </c>
    </row>
    <row r="1999" spans="1:3" ht="15" hidden="1" customHeight="1" x14ac:dyDescent="0.3">
      <c r="A1999" t="s">
        <v>177</v>
      </c>
      <c r="B1999" s="2">
        <v>45778</v>
      </c>
      <c r="C1999">
        <v>3623.4</v>
      </c>
    </row>
    <row r="2000" spans="1:3" ht="15" hidden="1" customHeight="1" x14ac:dyDescent="0.3">
      <c r="A2000" t="s">
        <v>177</v>
      </c>
      <c r="B2000" s="2">
        <v>45809</v>
      </c>
      <c r="C2000">
        <v>3360.6</v>
      </c>
    </row>
    <row r="2001" spans="1:3" ht="15" hidden="1" customHeight="1" x14ac:dyDescent="0.3">
      <c r="A2001" t="s">
        <v>177</v>
      </c>
      <c r="B2001" s="2">
        <v>45839</v>
      </c>
      <c r="C2001">
        <v>3665.7</v>
      </c>
    </row>
    <row r="2002" spans="1:3" ht="15" hidden="1" customHeight="1" x14ac:dyDescent="0.3">
      <c r="A2002" t="s">
        <v>177</v>
      </c>
      <c r="B2002" s="2">
        <v>45870</v>
      </c>
      <c r="C2002">
        <v>4104</v>
      </c>
    </row>
    <row r="2003" spans="1:3" ht="15" hidden="1" customHeight="1" x14ac:dyDescent="0.3">
      <c r="A2003" t="s">
        <v>177</v>
      </c>
      <c r="B2003" s="2">
        <v>45901</v>
      </c>
      <c r="C2003">
        <v>4274.1000000000004</v>
      </c>
    </row>
    <row r="2004" spans="1:3" ht="15" hidden="1" customHeight="1" x14ac:dyDescent="0.3">
      <c r="A2004" t="s">
        <v>177</v>
      </c>
      <c r="B2004" s="2">
        <v>45931</v>
      </c>
      <c r="C2004">
        <v>4289.3999999999996</v>
      </c>
    </row>
    <row r="2005" spans="1:3" ht="15" hidden="1" customHeight="1" x14ac:dyDescent="0.3">
      <c r="A2005" t="s">
        <v>177</v>
      </c>
      <c r="B2005" s="2">
        <v>45962</v>
      </c>
      <c r="C2005">
        <v>4249.8</v>
      </c>
    </row>
    <row r="2006" spans="1:3" ht="15" hidden="1" customHeight="1" x14ac:dyDescent="0.3">
      <c r="A2006" t="s">
        <v>177</v>
      </c>
      <c r="B2006" s="2">
        <v>45992</v>
      </c>
      <c r="C2006">
        <v>4446</v>
      </c>
    </row>
    <row r="2007" spans="1:3" ht="15" hidden="1" customHeight="1" x14ac:dyDescent="0.3">
      <c r="A2007" t="s">
        <v>177</v>
      </c>
      <c r="B2007" s="2">
        <v>46023</v>
      </c>
      <c r="C2007">
        <v>4359.6000000000004</v>
      </c>
    </row>
    <row r="2008" spans="1:3" ht="15" hidden="1" customHeight="1" x14ac:dyDescent="0.3">
      <c r="A2008" t="s">
        <v>177</v>
      </c>
      <c r="B2008" s="2">
        <v>46054</v>
      </c>
      <c r="C2008">
        <v>3825.9</v>
      </c>
    </row>
    <row r="2009" spans="1:3" ht="15" hidden="1" customHeight="1" x14ac:dyDescent="0.3">
      <c r="A2009" t="s">
        <v>177</v>
      </c>
      <c r="B2009" s="2">
        <v>46082</v>
      </c>
      <c r="C2009">
        <v>4077</v>
      </c>
    </row>
    <row r="2010" spans="1:3" ht="15" hidden="1" customHeight="1" x14ac:dyDescent="0.3">
      <c r="A2010" t="s">
        <v>177</v>
      </c>
      <c r="B2010" s="2">
        <v>46113</v>
      </c>
      <c r="C2010">
        <v>3573.9</v>
      </c>
    </row>
    <row r="2011" spans="1:3" ht="15" hidden="1" customHeight="1" x14ac:dyDescent="0.3">
      <c r="A2011" t="s">
        <v>177</v>
      </c>
      <c r="B2011" s="2">
        <v>46143</v>
      </c>
      <c r="C2011">
        <v>3623.4</v>
      </c>
    </row>
    <row r="2012" spans="1:3" ht="15" hidden="1" customHeight="1" x14ac:dyDescent="0.3">
      <c r="A2012" t="s">
        <v>177</v>
      </c>
      <c r="B2012" s="2">
        <v>46174</v>
      </c>
      <c r="C2012">
        <v>3360.6</v>
      </c>
    </row>
    <row r="2013" spans="1:3" ht="15" hidden="1" customHeight="1" x14ac:dyDescent="0.3">
      <c r="A2013" t="s">
        <v>177</v>
      </c>
      <c r="B2013" s="2">
        <v>46204</v>
      </c>
      <c r="C2013">
        <v>3665.7</v>
      </c>
    </row>
    <row r="2014" spans="1:3" ht="15" customHeight="1" x14ac:dyDescent="0.3">
      <c r="A2014" t="s">
        <v>177</v>
      </c>
      <c r="B2014" s="2">
        <v>46235</v>
      </c>
      <c r="C2014">
        <v>4104</v>
      </c>
    </row>
    <row r="2015" spans="1:3" ht="15" hidden="1" customHeight="1" x14ac:dyDescent="0.3">
      <c r="A2015" t="s">
        <v>177</v>
      </c>
      <c r="B2015" s="2">
        <v>46266</v>
      </c>
      <c r="C2015">
        <v>4274.1000000000004</v>
      </c>
    </row>
    <row r="2016" spans="1:3" ht="15" hidden="1" customHeight="1" x14ac:dyDescent="0.3">
      <c r="A2016" t="s">
        <v>177</v>
      </c>
      <c r="B2016" s="2">
        <v>46296</v>
      </c>
      <c r="C2016">
        <v>4289.3999999999996</v>
      </c>
    </row>
    <row r="2017" spans="1:3" ht="15" hidden="1" customHeight="1" x14ac:dyDescent="0.3">
      <c r="A2017" t="s">
        <v>177</v>
      </c>
      <c r="B2017" s="2">
        <v>46327</v>
      </c>
      <c r="C2017">
        <v>4249.8</v>
      </c>
    </row>
    <row r="2018" spans="1:3" ht="15" hidden="1" customHeight="1" x14ac:dyDescent="0.3">
      <c r="A2018" t="s">
        <v>177</v>
      </c>
      <c r="B2018" s="2">
        <v>46357</v>
      </c>
      <c r="C2018">
        <v>4446</v>
      </c>
    </row>
    <row r="2019" spans="1:3" ht="15" hidden="1" customHeight="1" x14ac:dyDescent="0.3">
      <c r="A2019" t="s">
        <v>265</v>
      </c>
      <c r="B2019" s="2">
        <v>45292</v>
      </c>
      <c r="C2019">
        <v>23065.02</v>
      </c>
    </row>
    <row r="2020" spans="1:3" ht="15" hidden="1" customHeight="1" x14ac:dyDescent="0.3">
      <c r="A2020" t="s">
        <v>265</v>
      </c>
      <c r="B2020" s="2">
        <v>45323</v>
      </c>
      <c r="C2020">
        <v>20354.849999999999</v>
      </c>
    </row>
    <row r="2021" spans="1:3" ht="15" hidden="1" customHeight="1" x14ac:dyDescent="0.3">
      <c r="A2021" t="s">
        <v>265</v>
      </c>
      <c r="B2021" s="2">
        <v>45352</v>
      </c>
      <c r="C2021">
        <v>21716.37</v>
      </c>
    </row>
    <row r="2022" spans="1:3" ht="15" hidden="1" customHeight="1" x14ac:dyDescent="0.3">
      <c r="A2022" t="s">
        <v>265</v>
      </c>
      <c r="B2022" s="2">
        <v>45383</v>
      </c>
      <c r="C2022">
        <v>18847.89</v>
      </c>
    </row>
    <row r="2023" spans="1:3" ht="15" hidden="1" customHeight="1" x14ac:dyDescent="0.3">
      <c r="A2023" t="s">
        <v>265</v>
      </c>
      <c r="B2023" s="2">
        <v>45413</v>
      </c>
      <c r="C2023">
        <v>18700.919999999998</v>
      </c>
    </row>
    <row r="2024" spans="1:3" ht="15" hidden="1" customHeight="1" x14ac:dyDescent="0.3">
      <c r="A2024" t="s">
        <v>265</v>
      </c>
      <c r="B2024" s="2">
        <v>45444</v>
      </c>
      <c r="C2024">
        <v>17164.439999999999</v>
      </c>
    </row>
    <row r="2025" spans="1:3" ht="15" hidden="1" customHeight="1" x14ac:dyDescent="0.3">
      <c r="A2025" t="s">
        <v>265</v>
      </c>
      <c r="B2025" s="2">
        <v>45474</v>
      </c>
      <c r="C2025">
        <v>18821.97</v>
      </c>
    </row>
    <row r="2026" spans="1:3" ht="15" hidden="1" customHeight="1" x14ac:dyDescent="0.3">
      <c r="A2026" t="s">
        <v>265</v>
      </c>
      <c r="B2026" s="2">
        <v>45505</v>
      </c>
      <c r="C2026">
        <v>21497.67</v>
      </c>
    </row>
    <row r="2027" spans="1:3" ht="15" hidden="1" customHeight="1" x14ac:dyDescent="0.3">
      <c r="A2027" t="s">
        <v>265</v>
      </c>
      <c r="B2027" s="2">
        <v>45536</v>
      </c>
      <c r="C2027">
        <v>22688.37</v>
      </c>
    </row>
    <row r="2028" spans="1:3" ht="15" hidden="1" customHeight="1" x14ac:dyDescent="0.3">
      <c r="A2028" t="s">
        <v>265</v>
      </c>
      <c r="B2028" s="2">
        <v>45566</v>
      </c>
      <c r="C2028">
        <v>22841.55</v>
      </c>
    </row>
    <row r="2029" spans="1:3" ht="15" hidden="1" customHeight="1" x14ac:dyDescent="0.3">
      <c r="A2029" t="s">
        <v>265</v>
      </c>
      <c r="B2029" s="2">
        <v>45597</v>
      </c>
      <c r="C2029">
        <v>22507.919999999998</v>
      </c>
    </row>
    <row r="2030" spans="1:3" ht="15" hidden="1" customHeight="1" x14ac:dyDescent="0.3">
      <c r="A2030" t="s">
        <v>265</v>
      </c>
      <c r="B2030" s="2">
        <v>45627</v>
      </c>
      <c r="C2030">
        <v>23494.59</v>
      </c>
    </row>
    <row r="2031" spans="1:3" ht="15" hidden="1" customHeight="1" x14ac:dyDescent="0.3">
      <c r="A2031" t="s">
        <v>265</v>
      </c>
      <c r="B2031" s="2">
        <v>45658</v>
      </c>
      <c r="C2031">
        <v>23065.02</v>
      </c>
    </row>
    <row r="2032" spans="1:3" ht="15" hidden="1" customHeight="1" x14ac:dyDescent="0.3">
      <c r="A2032" t="s">
        <v>265</v>
      </c>
      <c r="B2032" s="2">
        <v>45689</v>
      </c>
      <c r="C2032">
        <v>20354.849999999999</v>
      </c>
    </row>
    <row r="2033" spans="1:3" ht="15" hidden="1" customHeight="1" x14ac:dyDescent="0.3">
      <c r="A2033" t="s">
        <v>265</v>
      </c>
      <c r="B2033" s="2">
        <v>45717</v>
      </c>
      <c r="C2033">
        <v>21716.37</v>
      </c>
    </row>
    <row r="2034" spans="1:3" ht="15" hidden="1" customHeight="1" x14ac:dyDescent="0.3">
      <c r="A2034" t="s">
        <v>265</v>
      </c>
      <c r="B2034" s="2">
        <v>45748</v>
      </c>
      <c r="C2034">
        <v>18847.89</v>
      </c>
    </row>
    <row r="2035" spans="1:3" ht="15" hidden="1" customHeight="1" x14ac:dyDescent="0.3">
      <c r="A2035" t="s">
        <v>265</v>
      </c>
      <c r="B2035" s="2">
        <v>45778</v>
      </c>
      <c r="C2035">
        <v>18700.919999999998</v>
      </c>
    </row>
    <row r="2036" spans="1:3" ht="15" hidden="1" customHeight="1" x14ac:dyDescent="0.3">
      <c r="A2036" t="s">
        <v>265</v>
      </c>
      <c r="B2036" s="2">
        <v>45809</v>
      </c>
      <c r="C2036">
        <v>17164.439999999999</v>
      </c>
    </row>
    <row r="2037" spans="1:3" ht="15" hidden="1" customHeight="1" x14ac:dyDescent="0.3">
      <c r="A2037" t="s">
        <v>265</v>
      </c>
      <c r="B2037" s="2">
        <v>45839</v>
      </c>
      <c r="C2037">
        <v>18821.97</v>
      </c>
    </row>
    <row r="2038" spans="1:3" ht="15" hidden="1" customHeight="1" x14ac:dyDescent="0.3">
      <c r="A2038" t="s">
        <v>265</v>
      </c>
      <c r="B2038" s="2">
        <v>45870</v>
      </c>
      <c r="C2038">
        <v>21497.67</v>
      </c>
    </row>
    <row r="2039" spans="1:3" ht="15" hidden="1" customHeight="1" x14ac:dyDescent="0.3">
      <c r="A2039" t="s">
        <v>265</v>
      </c>
      <c r="B2039" s="2">
        <v>45901</v>
      </c>
      <c r="C2039">
        <v>22688.37</v>
      </c>
    </row>
    <row r="2040" spans="1:3" ht="15" hidden="1" customHeight="1" x14ac:dyDescent="0.3">
      <c r="A2040" t="s">
        <v>265</v>
      </c>
      <c r="B2040" s="2">
        <v>45931</v>
      </c>
      <c r="C2040">
        <v>22841.55</v>
      </c>
    </row>
    <row r="2041" spans="1:3" ht="15" hidden="1" customHeight="1" x14ac:dyDescent="0.3">
      <c r="A2041" t="s">
        <v>265</v>
      </c>
      <c r="B2041" s="2">
        <v>45962</v>
      </c>
      <c r="C2041">
        <v>22507.919999999998</v>
      </c>
    </row>
    <row r="2042" spans="1:3" ht="15" hidden="1" customHeight="1" x14ac:dyDescent="0.3">
      <c r="A2042" t="s">
        <v>265</v>
      </c>
      <c r="B2042" s="2">
        <v>45992</v>
      </c>
      <c r="C2042">
        <v>23494.59</v>
      </c>
    </row>
    <row r="2043" spans="1:3" ht="15" hidden="1" customHeight="1" x14ac:dyDescent="0.3">
      <c r="A2043" t="s">
        <v>265</v>
      </c>
      <c r="B2043" s="2">
        <v>46023</v>
      </c>
      <c r="C2043">
        <v>23065.02</v>
      </c>
    </row>
    <row r="2044" spans="1:3" ht="15" hidden="1" customHeight="1" x14ac:dyDescent="0.3">
      <c r="A2044" t="s">
        <v>265</v>
      </c>
      <c r="B2044" s="2">
        <v>46054</v>
      </c>
      <c r="C2044">
        <v>20354.849999999999</v>
      </c>
    </row>
    <row r="2045" spans="1:3" ht="15" hidden="1" customHeight="1" x14ac:dyDescent="0.3">
      <c r="A2045" t="s">
        <v>265</v>
      </c>
      <c r="B2045" s="2">
        <v>46082</v>
      </c>
      <c r="C2045">
        <v>21716.37</v>
      </c>
    </row>
    <row r="2046" spans="1:3" ht="15" hidden="1" customHeight="1" x14ac:dyDescent="0.3">
      <c r="A2046" t="s">
        <v>265</v>
      </c>
      <c r="B2046" s="2">
        <v>46113</v>
      </c>
      <c r="C2046">
        <v>18847.89</v>
      </c>
    </row>
    <row r="2047" spans="1:3" ht="15" hidden="1" customHeight="1" x14ac:dyDescent="0.3">
      <c r="A2047" t="s">
        <v>265</v>
      </c>
      <c r="B2047" s="2">
        <v>46143</v>
      </c>
      <c r="C2047">
        <v>18700.919999999998</v>
      </c>
    </row>
    <row r="2048" spans="1:3" ht="15" hidden="1" customHeight="1" x14ac:dyDescent="0.3">
      <c r="A2048" t="s">
        <v>265</v>
      </c>
      <c r="B2048" s="2">
        <v>46174</v>
      </c>
      <c r="C2048">
        <v>17164.439999999999</v>
      </c>
    </row>
    <row r="2049" spans="1:3" ht="15" hidden="1" customHeight="1" x14ac:dyDescent="0.3">
      <c r="A2049" t="s">
        <v>265</v>
      </c>
      <c r="B2049" s="2">
        <v>46204</v>
      </c>
      <c r="C2049">
        <v>18821.97</v>
      </c>
    </row>
    <row r="2050" spans="1:3" ht="15" customHeight="1" x14ac:dyDescent="0.3">
      <c r="A2050" t="s">
        <v>265</v>
      </c>
      <c r="B2050" s="2">
        <v>46235</v>
      </c>
      <c r="C2050">
        <v>21497.67</v>
      </c>
    </row>
    <row r="2051" spans="1:3" ht="15" hidden="1" customHeight="1" x14ac:dyDescent="0.3">
      <c r="A2051" t="s">
        <v>265</v>
      </c>
      <c r="B2051" s="2">
        <v>46266</v>
      </c>
      <c r="C2051">
        <v>22688.37</v>
      </c>
    </row>
    <row r="2052" spans="1:3" ht="15" hidden="1" customHeight="1" x14ac:dyDescent="0.3">
      <c r="A2052" t="s">
        <v>265</v>
      </c>
      <c r="B2052" s="2">
        <v>46296</v>
      </c>
      <c r="C2052">
        <v>22841.55</v>
      </c>
    </row>
    <row r="2053" spans="1:3" ht="15" hidden="1" customHeight="1" x14ac:dyDescent="0.3">
      <c r="A2053" t="s">
        <v>265</v>
      </c>
      <c r="B2053" s="2">
        <v>46327</v>
      </c>
      <c r="C2053">
        <v>22507.919999999998</v>
      </c>
    </row>
    <row r="2054" spans="1:3" ht="15" hidden="1" customHeight="1" x14ac:dyDescent="0.3">
      <c r="A2054" t="s">
        <v>265</v>
      </c>
      <c r="B2054" s="2">
        <v>46357</v>
      </c>
      <c r="C2054">
        <v>23494.59</v>
      </c>
    </row>
    <row r="2055" spans="1:3" ht="15" hidden="1" customHeight="1" x14ac:dyDescent="0.3">
      <c r="A2055" t="s">
        <v>180</v>
      </c>
      <c r="B2055" s="2">
        <v>45292</v>
      </c>
      <c r="C2055">
        <v>23724</v>
      </c>
    </row>
    <row r="2056" spans="1:3" ht="15" hidden="1" customHeight="1" x14ac:dyDescent="0.3">
      <c r="A2056" t="s">
        <v>180</v>
      </c>
      <c r="B2056" s="2">
        <v>45323</v>
      </c>
      <c r="C2056">
        <v>20448</v>
      </c>
    </row>
    <row r="2057" spans="1:3" ht="15" hidden="1" customHeight="1" x14ac:dyDescent="0.3">
      <c r="A2057" t="s">
        <v>180</v>
      </c>
      <c r="B2057" s="2">
        <v>45352</v>
      </c>
      <c r="C2057">
        <v>19986.3</v>
      </c>
    </row>
    <row r="2058" spans="1:3" ht="15" hidden="1" customHeight="1" x14ac:dyDescent="0.3">
      <c r="A2058" t="s">
        <v>180</v>
      </c>
      <c r="B2058" s="2">
        <v>45383</v>
      </c>
      <c r="C2058">
        <v>17181.900000000001</v>
      </c>
    </row>
    <row r="2059" spans="1:3" ht="15" hidden="1" customHeight="1" x14ac:dyDescent="0.3">
      <c r="A2059" t="s">
        <v>180</v>
      </c>
      <c r="B2059" s="2">
        <v>45413</v>
      </c>
      <c r="C2059">
        <v>15369.3</v>
      </c>
    </row>
    <row r="2060" spans="1:3" ht="15" hidden="1" customHeight="1" x14ac:dyDescent="0.3">
      <c r="A2060" t="s">
        <v>180</v>
      </c>
      <c r="B2060" s="2">
        <v>45444</v>
      </c>
      <c r="C2060">
        <v>13381.2</v>
      </c>
    </row>
    <row r="2061" spans="1:3" ht="15" hidden="1" customHeight="1" x14ac:dyDescent="0.3">
      <c r="A2061" t="s">
        <v>180</v>
      </c>
      <c r="B2061" s="2">
        <v>45474</v>
      </c>
      <c r="C2061">
        <v>15023.7</v>
      </c>
    </row>
    <row r="2062" spans="1:3" ht="15" hidden="1" customHeight="1" x14ac:dyDescent="0.3">
      <c r="A2062" t="s">
        <v>180</v>
      </c>
      <c r="B2062" s="2">
        <v>45505</v>
      </c>
      <c r="C2062">
        <v>18071.099999999999</v>
      </c>
    </row>
    <row r="2063" spans="1:3" ht="15" hidden="1" customHeight="1" x14ac:dyDescent="0.3">
      <c r="A2063" t="s">
        <v>180</v>
      </c>
      <c r="B2063" s="2">
        <v>45536</v>
      </c>
      <c r="C2063">
        <v>20545.2</v>
      </c>
    </row>
    <row r="2064" spans="1:3" ht="15" hidden="1" customHeight="1" x14ac:dyDescent="0.3">
      <c r="A2064" t="s">
        <v>180</v>
      </c>
      <c r="B2064" s="2">
        <v>45566</v>
      </c>
      <c r="C2064">
        <v>23411.7</v>
      </c>
    </row>
    <row r="2065" spans="1:3" ht="15" hidden="1" customHeight="1" x14ac:dyDescent="0.3">
      <c r="A2065" t="s">
        <v>180</v>
      </c>
      <c r="B2065" s="2">
        <v>45597</v>
      </c>
      <c r="C2065">
        <v>23583.599999999999</v>
      </c>
    </row>
    <row r="2066" spans="1:3" ht="15" hidden="1" customHeight="1" x14ac:dyDescent="0.3">
      <c r="A2066" t="s">
        <v>180</v>
      </c>
      <c r="B2066" s="2">
        <v>45627</v>
      </c>
      <c r="C2066">
        <v>24027.3</v>
      </c>
    </row>
    <row r="2067" spans="1:3" ht="15" hidden="1" customHeight="1" x14ac:dyDescent="0.3">
      <c r="A2067" t="s">
        <v>180</v>
      </c>
      <c r="B2067" s="2">
        <v>45658</v>
      </c>
      <c r="C2067">
        <v>23724</v>
      </c>
    </row>
    <row r="2068" spans="1:3" ht="15" hidden="1" customHeight="1" x14ac:dyDescent="0.3">
      <c r="A2068" t="s">
        <v>180</v>
      </c>
      <c r="B2068" s="2">
        <v>45689</v>
      </c>
      <c r="C2068">
        <v>20448</v>
      </c>
    </row>
    <row r="2069" spans="1:3" ht="15" hidden="1" customHeight="1" x14ac:dyDescent="0.3">
      <c r="A2069" t="s">
        <v>180</v>
      </c>
      <c r="B2069" s="2">
        <v>45717</v>
      </c>
      <c r="C2069">
        <v>19986.3</v>
      </c>
    </row>
    <row r="2070" spans="1:3" ht="15" hidden="1" customHeight="1" x14ac:dyDescent="0.3">
      <c r="A2070" t="s">
        <v>180</v>
      </c>
      <c r="B2070" s="2">
        <v>45748</v>
      </c>
      <c r="C2070">
        <v>17181.900000000001</v>
      </c>
    </row>
    <row r="2071" spans="1:3" ht="15" hidden="1" customHeight="1" x14ac:dyDescent="0.3">
      <c r="A2071" t="s">
        <v>180</v>
      </c>
      <c r="B2071" s="2">
        <v>45778</v>
      </c>
      <c r="C2071">
        <v>15369.3</v>
      </c>
    </row>
    <row r="2072" spans="1:3" ht="15" hidden="1" customHeight="1" x14ac:dyDescent="0.3">
      <c r="A2072" t="s">
        <v>180</v>
      </c>
      <c r="B2072" s="2">
        <v>45809</v>
      </c>
      <c r="C2072">
        <v>13381.2</v>
      </c>
    </row>
    <row r="2073" spans="1:3" ht="15" hidden="1" customHeight="1" x14ac:dyDescent="0.3">
      <c r="A2073" t="s">
        <v>180</v>
      </c>
      <c r="B2073" s="2">
        <v>45839</v>
      </c>
      <c r="C2073">
        <v>15023.7</v>
      </c>
    </row>
    <row r="2074" spans="1:3" ht="15" hidden="1" customHeight="1" x14ac:dyDescent="0.3">
      <c r="A2074" t="s">
        <v>180</v>
      </c>
      <c r="B2074" s="2">
        <v>45870</v>
      </c>
      <c r="C2074">
        <v>18071.099999999999</v>
      </c>
    </row>
    <row r="2075" spans="1:3" ht="15" hidden="1" customHeight="1" x14ac:dyDescent="0.3">
      <c r="A2075" t="s">
        <v>180</v>
      </c>
      <c r="B2075" s="2">
        <v>45901</v>
      </c>
      <c r="C2075">
        <v>20545.2</v>
      </c>
    </row>
    <row r="2076" spans="1:3" ht="15" hidden="1" customHeight="1" x14ac:dyDescent="0.3">
      <c r="A2076" t="s">
        <v>180</v>
      </c>
      <c r="B2076" s="2">
        <v>45931</v>
      </c>
      <c r="C2076">
        <v>23411.7</v>
      </c>
    </row>
    <row r="2077" spans="1:3" ht="15" hidden="1" customHeight="1" x14ac:dyDescent="0.3">
      <c r="A2077" t="s">
        <v>180</v>
      </c>
      <c r="B2077" s="2">
        <v>45962</v>
      </c>
      <c r="C2077">
        <v>23583.599999999999</v>
      </c>
    </row>
    <row r="2078" spans="1:3" ht="15" hidden="1" customHeight="1" x14ac:dyDescent="0.3">
      <c r="A2078" t="s">
        <v>180</v>
      </c>
      <c r="B2078" s="2">
        <v>45992</v>
      </c>
      <c r="C2078">
        <v>24027.3</v>
      </c>
    </row>
    <row r="2079" spans="1:3" ht="15" hidden="1" customHeight="1" x14ac:dyDescent="0.3">
      <c r="A2079" t="s">
        <v>180</v>
      </c>
      <c r="B2079" s="2">
        <v>46023</v>
      </c>
      <c r="C2079">
        <v>23724</v>
      </c>
    </row>
    <row r="2080" spans="1:3" ht="15" hidden="1" customHeight="1" x14ac:dyDescent="0.3">
      <c r="A2080" t="s">
        <v>180</v>
      </c>
      <c r="B2080" s="2">
        <v>46054</v>
      </c>
      <c r="C2080">
        <v>20448</v>
      </c>
    </row>
    <row r="2081" spans="1:3" ht="15" hidden="1" customHeight="1" x14ac:dyDescent="0.3">
      <c r="A2081" t="s">
        <v>180</v>
      </c>
      <c r="B2081" s="2">
        <v>46082</v>
      </c>
      <c r="C2081">
        <v>19986.3</v>
      </c>
    </row>
    <row r="2082" spans="1:3" ht="15" hidden="1" customHeight="1" x14ac:dyDescent="0.3">
      <c r="A2082" t="s">
        <v>180</v>
      </c>
      <c r="B2082" s="2">
        <v>46113</v>
      </c>
      <c r="C2082">
        <v>17181.900000000001</v>
      </c>
    </row>
    <row r="2083" spans="1:3" ht="15" hidden="1" customHeight="1" x14ac:dyDescent="0.3">
      <c r="A2083" t="s">
        <v>180</v>
      </c>
      <c r="B2083" s="2">
        <v>46143</v>
      </c>
      <c r="C2083">
        <v>15369.3</v>
      </c>
    </row>
    <row r="2084" spans="1:3" ht="15" hidden="1" customHeight="1" x14ac:dyDescent="0.3">
      <c r="A2084" t="s">
        <v>180</v>
      </c>
      <c r="B2084" s="2">
        <v>46174</v>
      </c>
      <c r="C2084">
        <v>13381.2</v>
      </c>
    </row>
    <row r="2085" spans="1:3" ht="15" hidden="1" customHeight="1" x14ac:dyDescent="0.3">
      <c r="A2085" t="s">
        <v>180</v>
      </c>
      <c r="B2085" s="2">
        <v>46204</v>
      </c>
      <c r="C2085">
        <v>15023.7</v>
      </c>
    </row>
    <row r="2086" spans="1:3" ht="15" customHeight="1" x14ac:dyDescent="0.3">
      <c r="A2086" t="s">
        <v>180</v>
      </c>
      <c r="B2086" s="2">
        <v>46235</v>
      </c>
      <c r="C2086">
        <v>18071.099999999999</v>
      </c>
    </row>
    <row r="2087" spans="1:3" ht="15" hidden="1" customHeight="1" x14ac:dyDescent="0.3">
      <c r="A2087" t="s">
        <v>180</v>
      </c>
      <c r="B2087" s="2">
        <v>46266</v>
      </c>
      <c r="C2087">
        <v>20545.2</v>
      </c>
    </row>
    <row r="2088" spans="1:3" ht="15" hidden="1" customHeight="1" x14ac:dyDescent="0.3">
      <c r="A2088" t="s">
        <v>180</v>
      </c>
      <c r="B2088" s="2">
        <v>46296</v>
      </c>
      <c r="C2088">
        <v>23411.7</v>
      </c>
    </row>
    <row r="2089" spans="1:3" ht="15" hidden="1" customHeight="1" x14ac:dyDescent="0.3">
      <c r="A2089" t="s">
        <v>180</v>
      </c>
      <c r="B2089" s="2">
        <v>46327</v>
      </c>
      <c r="C2089">
        <v>23583.599999999999</v>
      </c>
    </row>
    <row r="2090" spans="1:3" ht="15" hidden="1" customHeight="1" x14ac:dyDescent="0.3">
      <c r="A2090" t="s">
        <v>180</v>
      </c>
      <c r="B2090" s="2">
        <v>46357</v>
      </c>
      <c r="C2090">
        <v>24027.3</v>
      </c>
    </row>
    <row r="2091" spans="1:3" ht="15" hidden="1" customHeight="1" x14ac:dyDescent="0.3">
      <c r="A2091" t="s">
        <v>241</v>
      </c>
      <c r="B2091" s="2">
        <v>45292</v>
      </c>
      <c r="C2091">
        <v>28380.6</v>
      </c>
    </row>
    <row r="2092" spans="1:3" ht="15" hidden="1" customHeight="1" x14ac:dyDescent="0.3">
      <c r="A2092" t="s">
        <v>241</v>
      </c>
      <c r="B2092" s="2">
        <v>45323</v>
      </c>
      <c r="C2092">
        <v>24379.200000000001</v>
      </c>
    </row>
    <row r="2093" spans="1:3" ht="15" hidden="1" customHeight="1" x14ac:dyDescent="0.3">
      <c r="A2093" t="s">
        <v>241</v>
      </c>
      <c r="B2093" s="2">
        <v>45352</v>
      </c>
      <c r="C2093">
        <v>23351.4</v>
      </c>
    </row>
    <row r="2094" spans="1:3" ht="15" hidden="1" customHeight="1" x14ac:dyDescent="0.3">
      <c r="A2094" t="s">
        <v>241</v>
      </c>
      <c r="B2094" s="2">
        <v>45383</v>
      </c>
      <c r="C2094">
        <v>19887.3</v>
      </c>
    </row>
    <row r="2095" spans="1:3" ht="15" hidden="1" customHeight="1" x14ac:dyDescent="0.3">
      <c r="A2095" t="s">
        <v>241</v>
      </c>
      <c r="B2095" s="2">
        <v>45413</v>
      </c>
      <c r="C2095">
        <v>17745.3</v>
      </c>
    </row>
    <row r="2096" spans="1:3" ht="15" hidden="1" customHeight="1" x14ac:dyDescent="0.3">
      <c r="A2096" t="s">
        <v>241</v>
      </c>
      <c r="B2096" s="2">
        <v>45444</v>
      </c>
      <c r="C2096">
        <v>15502.5</v>
      </c>
    </row>
    <row r="2097" spans="1:3" ht="15" hidden="1" customHeight="1" x14ac:dyDescent="0.3">
      <c r="A2097" t="s">
        <v>241</v>
      </c>
      <c r="B2097" s="2">
        <v>45474</v>
      </c>
      <c r="C2097">
        <v>17358.3</v>
      </c>
    </row>
    <row r="2098" spans="1:3" ht="15" hidden="1" customHeight="1" x14ac:dyDescent="0.3">
      <c r="A2098" t="s">
        <v>241</v>
      </c>
      <c r="B2098" s="2">
        <v>45505</v>
      </c>
      <c r="C2098">
        <v>20842.2</v>
      </c>
    </row>
    <row r="2099" spans="1:3" ht="15" hidden="1" customHeight="1" x14ac:dyDescent="0.3">
      <c r="A2099" t="s">
        <v>241</v>
      </c>
      <c r="B2099" s="2">
        <v>45536</v>
      </c>
      <c r="C2099">
        <v>23841</v>
      </c>
    </row>
    <row r="2100" spans="1:3" ht="15" hidden="1" customHeight="1" x14ac:dyDescent="0.3">
      <c r="A2100" t="s">
        <v>241</v>
      </c>
      <c r="B2100" s="2">
        <v>45566</v>
      </c>
      <c r="C2100">
        <v>27285.3</v>
      </c>
    </row>
    <row r="2101" spans="1:3" ht="15" hidden="1" customHeight="1" x14ac:dyDescent="0.3">
      <c r="A2101" t="s">
        <v>241</v>
      </c>
      <c r="B2101" s="2">
        <v>45597</v>
      </c>
      <c r="C2101">
        <v>27841.5</v>
      </c>
    </row>
    <row r="2102" spans="1:3" ht="15" hidden="1" customHeight="1" x14ac:dyDescent="0.3">
      <c r="A2102" t="s">
        <v>241</v>
      </c>
      <c r="B2102" s="2">
        <v>45627</v>
      </c>
      <c r="C2102">
        <v>28779.3</v>
      </c>
    </row>
    <row r="2103" spans="1:3" ht="15" hidden="1" customHeight="1" x14ac:dyDescent="0.3">
      <c r="A2103" t="s">
        <v>241</v>
      </c>
      <c r="B2103" s="2">
        <v>45658</v>
      </c>
      <c r="C2103">
        <v>28380.6</v>
      </c>
    </row>
    <row r="2104" spans="1:3" ht="15" hidden="1" customHeight="1" x14ac:dyDescent="0.3">
      <c r="A2104" t="s">
        <v>241</v>
      </c>
      <c r="B2104" s="2">
        <v>45689</v>
      </c>
      <c r="C2104">
        <v>24379.200000000001</v>
      </c>
    </row>
    <row r="2105" spans="1:3" ht="15" hidden="1" customHeight="1" x14ac:dyDescent="0.3">
      <c r="A2105" t="s">
        <v>241</v>
      </c>
      <c r="B2105" s="2">
        <v>45717</v>
      </c>
      <c r="C2105">
        <v>23351.4</v>
      </c>
    </row>
    <row r="2106" spans="1:3" ht="15" hidden="1" customHeight="1" x14ac:dyDescent="0.3">
      <c r="A2106" t="s">
        <v>241</v>
      </c>
      <c r="B2106" s="2">
        <v>45748</v>
      </c>
      <c r="C2106">
        <v>19887.3</v>
      </c>
    </row>
    <row r="2107" spans="1:3" ht="15" hidden="1" customHeight="1" x14ac:dyDescent="0.3">
      <c r="A2107" t="s">
        <v>241</v>
      </c>
      <c r="B2107" s="2">
        <v>45778</v>
      </c>
      <c r="C2107">
        <v>17745.3</v>
      </c>
    </row>
    <row r="2108" spans="1:3" ht="15" hidden="1" customHeight="1" x14ac:dyDescent="0.3">
      <c r="A2108" t="s">
        <v>241</v>
      </c>
      <c r="B2108" s="2">
        <v>45809</v>
      </c>
      <c r="C2108">
        <v>15502.5</v>
      </c>
    </row>
    <row r="2109" spans="1:3" ht="15" hidden="1" customHeight="1" x14ac:dyDescent="0.3">
      <c r="A2109" t="s">
        <v>241</v>
      </c>
      <c r="B2109" s="2">
        <v>45839</v>
      </c>
      <c r="C2109">
        <v>17358.3</v>
      </c>
    </row>
    <row r="2110" spans="1:3" ht="15" hidden="1" customHeight="1" x14ac:dyDescent="0.3">
      <c r="A2110" t="s">
        <v>241</v>
      </c>
      <c r="B2110" s="2">
        <v>45870</v>
      </c>
      <c r="C2110">
        <v>20842.2</v>
      </c>
    </row>
    <row r="2111" spans="1:3" ht="15" hidden="1" customHeight="1" x14ac:dyDescent="0.3">
      <c r="A2111" t="s">
        <v>241</v>
      </c>
      <c r="B2111" s="2">
        <v>45901</v>
      </c>
      <c r="C2111">
        <v>23841</v>
      </c>
    </row>
    <row r="2112" spans="1:3" ht="15" hidden="1" customHeight="1" x14ac:dyDescent="0.3">
      <c r="A2112" t="s">
        <v>241</v>
      </c>
      <c r="B2112" s="2">
        <v>45931</v>
      </c>
      <c r="C2112">
        <v>27285.3</v>
      </c>
    </row>
    <row r="2113" spans="1:3" ht="15" hidden="1" customHeight="1" x14ac:dyDescent="0.3">
      <c r="A2113" t="s">
        <v>241</v>
      </c>
      <c r="B2113" s="2">
        <v>45962</v>
      </c>
      <c r="C2113">
        <v>27841.5</v>
      </c>
    </row>
    <row r="2114" spans="1:3" ht="15" hidden="1" customHeight="1" x14ac:dyDescent="0.3">
      <c r="A2114" t="s">
        <v>241</v>
      </c>
      <c r="B2114" s="2">
        <v>45992</v>
      </c>
      <c r="C2114">
        <v>28779.3</v>
      </c>
    </row>
    <row r="2115" spans="1:3" ht="15" hidden="1" customHeight="1" x14ac:dyDescent="0.3">
      <c r="A2115" t="s">
        <v>241</v>
      </c>
      <c r="B2115" s="2">
        <v>46023</v>
      </c>
      <c r="C2115">
        <v>28380.6</v>
      </c>
    </row>
    <row r="2116" spans="1:3" ht="15" hidden="1" customHeight="1" x14ac:dyDescent="0.3">
      <c r="A2116" t="s">
        <v>241</v>
      </c>
      <c r="B2116" s="2">
        <v>46054</v>
      </c>
      <c r="C2116">
        <v>24379.200000000001</v>
      </c>
    </row>
    <row r="2117" spans="1:3" ht="15" hidden="1" customHeight="1" x14ac:dyDescent="0.3">
      <c r="A2117" t="s">
        <v>241</v>
      </c>
      <c r="B2117" s="2">
        <v>46082</v>
      </c>
      <c r="C2117">
        <v>23351.4</v>
      </c>
    </row>
    <row r="2118" spans="1:3" ht="15" hidden="1" customHeight="1" x14ac:dyDescent="0.3">
      <c r="A2118" t="s">
        <v>241</v>
      </c>
      <c r="B2118" s="2">
        <v>46113</v>
      </c>
      <c r="C2118">
        <v>19887.3</v>
      </c>
    </row>
    <row r="2119" spans="1:3" ht="15" hidden="1" customHeight="1" x14ac:dyDescent="0.3">
      <c r="A2119" t="s">
        <v>241</v>
      </c>
      <c r="B2119" s="2">
        <v>46143</v>
      </c>
      <c r="C2119">
        <v>17745.3</v>
      </c>
    </row>
    <row r="2120" spans="1:3" ht="15" hidden="1" customHeight="1" x14ac:dyDescent="0.3">
      <c r="A2120" t="s">
        <v>241</v>
      </c>
      <c r="B2120" s="2">
        <v>46174</v>
      </c>
      <c r="C2120">
        <v>15502.5</v>
      </c>
    </row>
    <row r="2121" spans="1:3" ht="15" hidden="1" customHeight="1" x14ac:dyDescent="0.3">
      <c r="A2121" t="s">
        <v>241</v>
      </c>
      <c r="B2121" s="2">
        <v>46204</v>
      </c>
      <c r="C2121">
        <v>17358.3</v>
      </c>
    </row>
    <row r="2122" spans="1:3" ht="15" customHeight="1" x14ac:dyDescent="0.3">
      <c r="A2122" t="s">
        <v>241</v>
      </c>
      <c r="B2122" s="2">
        <v>46235</v>
      </c>
      <c r="C2122">
        <v>20842.2</v>
      </c>
    </row>
    <row r="2123" spans="1:3" ht="15" hidden="1" customHeight="1" x14ac:dyDescent="0.3">
      <c r="A2123" t="s">
        <v>241</v>
      </c>
      <c r="B2123" s="2">
        <v>46266</v>
      </c>
      <c r="C2123">
        <v>23841</v>
      </c>
    </row>
    <row r="2124" spans="1:3" ht="15" hidden="1" customHeight="1" x14ac:dyDescent="0.3">
      <c r="A2124" t="s">
        <v>241</v>
      </c>
      <c r="B2124" s="2">
        <v>46296</v>
      </c>
      <c r="C2124">
        <v>27285.3</v>
      </c>
    </row>
    <row r="2125" spans="1:3" ht="15" hidden="1" customHeight="1" x14ac:dyDescent="0.3">
      <c r="A2125" t="s">
        <v>241</v>
      </c>
      <c r="B2125" s="2">
        <v>46327</v>
      </c>
      <c r="C2125">
        <v>27841.5</v>
      </c>
    </row>
    <row r="2126" spans="1:3" ht="15" hidden="1" customHeight="1" x14ac:dyDescent="0.3">
      <c r="A2126" t="s">
        <v>241</v>
      </c>
      <c r="B2126" s="2">
        <v>46357</v>
      </c>
      <c r="C2126">
        <v>28779.3</v>
      </c>
    </row>
    <row r="2127" spans="1:3" ht="15" hidden="1" customHeight="1" x14ac:dyDescent="0.3">
      <c r="A2127" t="s">
        <v>182</v>
      </c>
      <c r="B2127" s="2">
        <v>45292</v>
      </c>
      <c r="C2127">
        <v>20564.650000000001</v>
      </c>
    </row>
    <row r="2128" spans="1:3" ht="15" hidden="1" customHeight="1" x14ac:dyDescent="0.3">
      <c r="A2128" t="s">
        <v>182</v>
      </c>
      <c r="B2128" s="2">
        <v>45323</v>
      </c>
      <c r="C2128">
        <v>17491.400000000001</v>
      </c>
    </row>
    <row r="2129" spans="1:3" ht="15" hidden="1" customHeight="1" x14ac:dyDescent="0.3">
      <c r="A2129" t="s">
        <v>182</v>
      </c>
      <c r="B2129" s="2">
        <v>45352</v>
      </c>
      <c r="C2129">
        <v>18246.650000000001</v>
      </c>
    </row>
    <row r="2130" spans="1:3" ht="15" hidden="1" customHeight="1" x14ac:dyDescent="0.3">
      <c r="A2130" t="s">
        <v>182</v>
      </c>
      <c r="B2130" s="2">
        <v>45383</v>
      </c>
      <c r="C2130">
        <v>15297.85</v>
      </c>
    </row>
    <row r="2131" spans="1:3" ht="15" hidden="1" customHeight="1" x14ac:dyDescent="0.3">
      <c r="A2131" t="s">
        <v>182</v>
      </c>
      <c r="B2131" s="2">
        <v>45413</v>
      </c>
      <c r="C2131">
        <v>14953</v>
      </c>
    </row>
    <row r="2132" spans="1:3" ht="15" hidden="1" customHeight="1" x14ac:dyDescent="0.3">
      <c r="A2132" t="s">
        <v>182</v>
      </c>
      <c r="B2132" s="2">
        <v>45444</v>
      </c>
      <c r="C2132">
        <v>13275.3</v>
      </c>
    </row>
    <row r="2133" spans="1:3" ht="15" hidden="1" customHeight="1" x14ac:dyDescent="0.3">
      <c r="A2133" t="s">
        <v>182</v>
      </c>
      <c r="B2133" s="2">
        <v>45474</v>
      </c>
      <c r="C2133">
        <v>14678.45</v>
      </c>
    </row>
    <row r="2134" spans="1:3" ht="15" hidden="1" customHeight="1" x14ac:dyDescent="0.3">
      <c r="A2134" t="s">
        <v>182</v>
      </c>
      <c r="B2134" s="2">
        <v>45505</v>
      </c>
      <c r="C2134">
        <v>17062.95</v>
      </c>
    </row>
    <row r="2135" spans="1:3" ht="15" hidden="1" customHeight="1" x14ac:dyDescent="0.3">
      <c r="A2135" t="s">
        <v>182</v>
      </c>
      <c r="B2135" s="2">
        <v>45536</v>
      </c>
      <c r="C2135">
        <v>18937.3</v>
      </c>
    </row>
    <row r="2136" spans="1:3" ht="15" hidden="1" customHeight="1" x14ac:dyDescent="0.3">
      <c r="A2136" t="s">
        <v>182</v>
      </c>
      <c r="B2136" s="2">
        <v>45566</v>
      </c>
      <c r="C2136">
        <v>20481.05</v>
      </c>
    </row>
    <row r="2137" spans="1:3" ht="15" hidden="1" customHeight="1" x14ac:dyDescent="0.3">
      <c r="A2137" t="s">
        <v>182</v>
      </c>
      <c r="B2137" s="2">
        <v>45597</v>
      </c>
      <c r="C2137">
        <v>20366.099999999999</v>
      </c>
    </row>
    <row r="2138" spans="1:3" ht="15" hidden="1" customHeight="1" x14ac:dyDescent="0.3">
      <c r="A2138" t="s">
        <v>182</v>
      </c>
      <c r="B2138" s="2">
        <v>45627</v>
      </c>
      <c r="C2138">
        <v>21890.85</v>
      </c>
    </row>
    <row r="2139" spans="1:3" ht="15" hidden="1" customHeight="1" x14ac:dyDescent="0.3">
      <c r="A2139" t="s">
        <v>182</v>
      </c>
      <c r="B2139" s="2">
        <v>45658</v>
      </c>
      <c r="C2139">
        <v>20564.650000000001</v>
      </c>
    </row>
    <row r="2140" spans="1:3" ht="15" hidden="1" customHeight="1" x14ac:dyDescent="0.3">
      <c r="A2140" t="s">
        <v>182</v>
      </c>
      <c r="B2140" s="2">
        <v>45689</v>
      </c>
      <c r="C2140">
        <v>17491.400000000001</v>
      </c>
    </row>
    <row r="2141" spans="1:3" ht="15" hidden="1" customHeight="1" x14ac:dyDescent="0.3">
      <c r="A2141" t="s">
        <v>182</v>
      </c>
      <c r="B2141" s="2">
        <v>45717</v>
      </c>
      <c r="C2141">
        <v>18246.650000000001</v>
      </c>
    </row>
    <row r="2142" spans="1:3" ht="15" hidden="1" customHeight="1" x14ac:dyDescent="0.3">
      <c r="A2142" t="s">
        <v>182</v>
      </c>
      <c r="B2142" s="2">
        <v>45748</v>
      </c>
      <c r="C2142">
        <v>15297.85</v>
      </c>
    </row>
    <row r="2143" spans="1:3" ht="15" hidden="1" customHeight="1" x14ac:dyDescent="0.3">
      <c r="A2143" t="s">
        <v>182</v>
      </c>
      <c r="B2143" s="2">
        <v>45778</v>
      </c>
      <c r="C2143">
        <v>14953</v>
      </c>
    </row>
    <row r="2144" spans="1:3" ht="15" hidden="1" customHeight="1" x14ac:dyDescent="0.3">
      <c r="A2144" t="s">
        <v>182</v>
      </c>
      <c r="B2144" s="2">
        <v>45809</v>
      </c>
      <c r="C2144">
        <v>13275.3</v>
      </c>
    </row>
    <row r="2145" spans="1:3" ht="15" hidden="1" customHeight="1" x14ac:dyDescent="0.3">
      <c r="A2145" t="s">
        <v>182</v>
      </c>
      <c r="B2145" s="2">
        <v>45839</v>
      </c>
      <c r="C2145">
        <v>14678.45</v>
      </c>
    </row>
    <row r="2146" spans="1:3" ht="15" hidden="1" customHeight="1" x14ac:dyDescent="0.3">
      <c r="A2146" t="s">
        <v>182</v>
      </c>
      <c r="B2146" s="2">
        <v>45870</v>
      </c>
      <c r="C2146">
        <v>17062.95</v>
      </c>
    </row>
    <row r="2147" spans="1:3" ht="15" hidden="1" customHeight="1" x14ac:dyDescent="0.3">
      <c r="A2147" t="s">
        <v>182</v>
      </c>
      <c r="B2147" s="2">
        <v>45901</v>
      </c>
      <c r="C2147">
        <v>18937.3</v>
      </c>
    </row>
    <row r="2148" spans="1:3" ht="15" hidden="1" customHeight="1" x14ac:dyDescent="0.3">
      <c r="A2148" t="s">
        <v>182</v>
      </c>
      <c r="B2148" s="2">
        <v>45931</v>
      </c>
      <c r="C2148">
        <v>20481.05</v>
      </c>
    </row>
    <row r="2149" spans="1:3" ht="15" hidden="1" customHeight="1" x14ac:dyDescent="0.3">
      <c r="A2149" t="s">
        <v>182</v>
      </c>
      <c r="B2149" s="2">
        <v>45962</v>
      </c>
      <c r="C2149">
        <v>20366.099999999999</v>
      </c>
    </row>
    <row r="2150" spans="1:3" ht="15" hidden="1" customHeight="1" x14ac:dyDescent="0.3">
      <c r="A2150" t="s">
        <v>182</v>
      </c>
      <c r="B2150" s="2">
        <v>45992</v>
      </c>
      <c r="C2150">
        <v>21890.85</v>
      </c>
    </row>
    <row r="2151" spans="1:3" ht="15" hidden="1" customHeight="1" x14ac:dyDescent="0.3">
      <c r="A2151" t="s">
        <v>182</v>
      </c>
      <c r="B2151" s="2">
        <v>46023</v>
      </c>
      <c r="C2151">
        <v>20564.650000000001</v>
      </c>
    </row>
    <row r="2152" spans="1:3" ht="15" hidden="1" customHeight="1" x14ac:dyDescent="0.3">
      <c r="A2152" t="s">
        <v>182</v>
      </c>
      <c r="B2152" s="2">
        <v>46054</v>
      </c>
      <c r="C2152">
        <v>17491.400000000001</v>
      </c>
    </row>
    <row r="2153" spans="1:3" ht="15" hidden="1" customHeight="1" x14ac:dyDescent="0.3">
      <c r="A2153" t="s">
        <v>182</v>
      </c>
      <c r="B2153" s="2">
        <v>46082</v>
      </c>
      <c r="C2153">
        <v>18246.650000000001</v>
      </c>
    </row>
    <row r="2154" spans="1:3" ht="15" hidden="1" customHeight="1" x14ac:dyDescent="0.3">
      <c r="A2154" t="s">
        <v>182</v>
      </c>
      <c r="B2154" s="2">
        <v>46113</v>
      </c>
      <c r="C2154">
        <v>15297.85</v>
      </c>
    </row>
    <row r="2155" spans="1:3" ht="15" hidden="1" customHeight="1" x14ac:dyDescent="0.3">
      <c r="A2155" t="s">
        <v>182</v>
      </c>
      <c r="B2155" s="2">
        <v>46143</v>
      </c>
      <c r="C2155">
        <v>14953</v>
      </c>
    </row>
    <row r="2156" spans="1:3" ht="15" hidden="1" customHeight="1" x14ac:dyDescent="0.3">
      <c r="A2156" t="s">
        <v>182</v>
      </c>
      <c r="B2156" s="2">
        <v>46174</v>
      </c>
      <c r="C2156">
        <v>13275.3</v>
      </c>
    </row>
    <row r="2157" spans="1:3" ht="15" hidden="1" customHeight="1" x14ac:dyDescent="0.3">
      <c r="A2157" t="s">
        <v>182</v>
      </c>
      <c r="B2157" s="2">
        <v>46204</v>
      </c>
      <c r="C2157">
        <v>14678.45</v>
      </c>
    </row>
    <row r="2158" spans="1:3" ht="15" customHeight="1" x14ac:dyDescent="0.3">
      <c r="A2158" t="s">
        <v>182</v>
      </c>
      <c r="B2158" s="2">
        <v>46235</v>
      </c>
      <c r="C2158">
        <v>17062.95</v>
      </c>
    </row>
    <row r="2159" spans="1:3" ht="15" hidden="1" customHeight="1" x14ac:dyDescent="0.3">
      <c r="A2159" t="s">
        <v>182</v>
      </c>
      <c r="B2159" s="2">
        <v>46266</v>
      </c>
      <c r="C2159">
        <v>18937.3</v>
      </c>
    </row>
    <row r="2160" spans="1:3" ht="15" hidden="1" customHeight="1" x14ac:dyDescent="0.3">
      <c r="A2160" t="s">
        <v>182</v>
      </c>
      <c r="B2160" s="2">
        <v>46296</v>
      </c>
      <c r="C2160">
        <v>20481.05</v>
      </c>
    </row>
    <row r="2161" spans="1:3" ht="15" hidden="1" customHeight="1" x14ac:dyDescent="0.3">
      <c r="A2161" t="s">
        <v>182</v>
      </c>
      <c r="B2161" s="2">
        <v>46327</v>
      </c>
      <c r="C2161">
        <v>20366.099999999999</v>
      </c>
    </row>
    <row r="2162" spans="1:3" ht="15" hidden="1" customHeight="1" x14ac:dyDescent="0.3">
      <c r="A2162" t="s">
        <v>182</v>
      </c>
      <c r="B2162" s="2">
        <v>46357</v>
      </c>
      <c r="C2162">
        <v>21890.85</v>
      </c>
    </row>
    <row r="2163" spans="1:3" ht="15" hidden="1" customHeight="1" x14ac:dyDescent="0.3">
      <c r="A2163" t="s">
        <v>184</v>
      </c>
      <c r="B2163" s="2">
        <v>45292</v>
      </c>
      <c r="C2163">
        <v>37513.599999999999</v>
      </c>
    </row>
    <row r="2164" spans="1:3" ht="15" hidden="1" customHeight="1" x14ac:dyDescent="0.3">
      <c r="A2164" t="s">
        <v>184</v>
      </c>
      <c r="B2164" s="2">
        <v>45323</v>
      </c>
      <c r="C2164">
        <v>31212.25</v>
      </c>
    </row>
    <row r="2165" spans="1:3" ht="15" hidden="1" customHeight="1" x14ac:dyDescent="0.3">
      <c r="A2165" t="s">
        <v>184</v>
      </c>
      <c r="B2165" s="2">
        <v>45352</v>
      </c>
      <c r="C2165">
        <v>29700.134999999998</v>
      </c>
    </row>
    <row r="2166" spans="1:3" ht="15" hidden="1" customHeight="1" x14ac:dyDescent="0.3">
      <c r="A2166" t="s">
        <v>184</v>
      </c>
      <c r="B2166" s="2">
        <v>45383</v>
      </c>
      <c r="C2166">
        <v>24898.55</v>
      </c>
    </row>
    <row r="2167" spans="1:3" ht="15" hidden="1" customHeight="1" x14ac:dyDescent="0.3">
      <c r="A2167" t="s">
        <v>184</v>
      </c>
      <c r="B2167" s="2">
        <v>45413</v>
      </c>
      <c r="C2167">
        <v>21981.1</v>
      </c>
    </row>
    <row r="2168" spans="1:3" ht="15" hidden="1" customHeight="1" x14ac:dyDescent="0.3">
      <c r="A2168" t="s">
        <v>184</v>
      </c>
      <c r="B2168" s="2">
        <v>45444</v>
      </c>
      <c r="C2168">
        <v>18982.900000000001</v>
      </c>
    </row>
    <row r="2169" spans="1:3" ht="15" hidden="1" customHeight="1" x14ac:dyDescent="0.3">
      <c r="A2169" t="s">
        <v>184</v>
      </c>
      <c r="B2169" s="2">
        <v>45474</v>
      </c>
      <c r="C2169">
        <v>21551.7</v>
      </c>
    </row>
    <row r="2170" spans="1:3" ht="15" hidden="1" customHeight="1" x14ac:dyDescent="0.3">
      <c r="A2170" t="s">
        <v>184</v>
      </c>
      <c r="B2170" s="2">
        <v>45505</v>
      </c>
      <c r="C2170">
        <v>26041.4</v>
      </c>
    </row>
    <row r="2171" spans="1:3" ht="15" hidden="1" customHeight="1" x14ac:dyDescent="0.3">
      <c r="A2171" t="s">
        <v>184</v>
      </c>
      <c r="B2171" s="2">
        <v>45536</v>
      </c>
      <c r="C2171">
        <v>29888.9</v>
      </c>
    </row>
    <row r="2172" spans="1:3" ht="15" hidden="1" customHeight="1" x14ac:dyDescent="0.3">
      <c r="A2172" t="s">
        <v>184</v>
      </c>
      <c r="B2172" s="2">
        <v>45566</v>
      </c>
      <c r="C2172">
        <v>34705.4</v>
      </c>
    </row>
    <row r="2173" spans="1:3" ht="15" hidden="1" customHeight="1" x14ac:dyDescent="0.3">
      <c r="A2173" t="s">
        <v>184</v>
      </c>
      <c r="B2173" s="2">
        <v>45597</v>
      </c>
      <c r="C2173">
        <v>36881.85</v>
      </c>
    </row>
    <row r="2174" spans="1:3" ht="15" hidden="1" customHeight="1" x14ac:dyDescent="0.3">
      <c r="A2174" t="s">
        <v>184</v>
      </c>
      <c r="B2174" s="2">
        <v>45627</v>
      </c>
      <c r="C2174">
        <v>40110.9</v>
      </c>
    </row>
    <row r="2175" spans="1:3" ht="15" hidden="1" customHeight="1" x14ac:dyDescent="0.3">
      <c r="A2175" t="s">
        <v>184</v>
      </c>
      <c r="B2175" s="2">
        <v>45658</v>
      </c>
      <c r="C2175">
        <v>37513.599999999999</v>
      </c>
    </row>
    <row r="2176" spans="1:3" ht="15" hidden="1" customHeight="1" x14ac:dyDescent="0.3">
      <c r="A2176" t="s">
        <v>184</v>
      </c>
      <c r="B2176" s="2">
        <v>45689</v>
      </c>
      <c r="C2176">
        <v>31212.25</v>
      </c>
    </row>
    <row r="2177" spans="1:3" ht="15" hidden="1" customHeight="1" x14ac:dyDescent="0.3">
      <c r="A2177" t="s">
        <v>184</v>
      </c>
      <c r="B2177" s="2">
        <v>45717</v>
      </c>
      <c r="C2177">
        <v>29700.134999999998</v>
      </c>
    </row>
    <row r="2178" spans="1:3" ht="15" hidden="1" customHeight="1" x14ac:dyDescent="0.3">
      <c r="A2178" t="s">
        <v>184</v>
      </c>
      <c r="B2178" s="2">
        <v>45748</v>
      </c>
      <c r="C2178">
        <v>24898.55</v>
      </c>
    </row>
    <row r="2179" spans="1:3" ht="15" hidden="1" customHeight="1" x14ac:dyDescent="0.3">
      <c r="A2179" t="s">
        <v>184</v>
      </c>
      <c r="B2179" s="2">
        <v>45778</v>
      </c>
      <c r="C2179">
        <v>21981.1</v>
      </c>
    </row>
    <row r="2180" spans="1:3" ht="15" hidden="1" customHeight="1" x14ac:dyDescent="0.3">
      <c r="A2180" t="s">
        <v>184</v>
      </c>
      <c r="B2180" s="2">
        <v>45809</v>
      </c>
      <c r="C2180">
        <v>18982.900000000001</v>
      </c>
    </row>
    <row r="2181" spans="1:3" ht="15" hidden="1" customHeight="1" x14ac:dyDescent="0.3">
      <c r="A2181" t="s">
        <v>184</v>
      </c>
      <c r="B2181" s="2">
        <v>45839</v>
      </c>
      <c r="C2181">
        <v>21551.7</v>
      </c>
    </row>
    <row r="2182" spans="1:3" ht="15" hidden="1" customHeight="1" x14ac:dyDescent="0.3">
      <c r="A2182" t="s">
        <v>184</v>
      </c>
      <c r="B2182" s="2">
        <v>45870</v>
      </c>
      <c r="C2182">
        <v>26041.4</v>
      </c>
    </row>
    <row r="2183" spans="1:3" ht="15" hidden="1" customHeight="1" x14ac:dyDescent="0.3">
      <c r="A2183" t="s">
        <v>184</v>
      </c>
      <c r="B2183" s="2">
        <v>45901</v>
      </c>
      <c r="C2183">
        <v>29888.9</v>
      </c>
    </row>
    <row r="2184" spans="1:3" ht="15" hidden="1" customHeight="1" x14ac:dyDescent="0.3">
      <c r="A2184" t="s">
        <v>184</v>
      </c>
      <c r="B2184" s="2">
        <v>45931</v>
      </c>
      <c r="C2184">
        <v>34705.4</v>
      </c>
    </row>
    <row r="2185" spans="1:3" ht="15" hidden="1" customHeight="1" x14ac:dyDescent="0.3">
      <c r="A2185" t="s">
        <v>184</v>
      </c>
      <c r="B2185" s="2">
        <v>45962</v>
      </c>
      <c r="C2185">
        <v>36881.85</v>
      </c>
    </row>
    <row r="2186" spans="1:3" ht="15" hidden="1" customHeight="1" x14ac:dyDescent="0.3">
      <c r="A2186" t="s">
        <v>184</v>
      </c>
      <c r="B2186" s="2">
        <v>45992</v>
      </c>
      <c r="C2186">
        <v>40110.9</v>
      </c>
    </row>
    <row r="2187" spans="1:3" ht="15" hidden="1" customHeight="1" x14ac:dyDescent="0.3">
      <c r="A2187" t="s">
        <v>184</v>
      </c>
      <c r="B2187" s="2">
        <v>46023</v>
      </c>
      <c r="C2187">
        <v>37513.599999999999</v>
      </c>
    </row>
    <row r="2188" spans="1:3" ht="15" hidden="1" customHeight="1" x14ac:dyDescent="0.3">
      <c r="A2188" t="s">
        <v>184</v>
      </c>
      <c r="B2188" s="2">
        <v>46054</v>
      </c>
      <c r="C2188">
        <v>31212.25</v>
      </c>
    </row>
    <row r="2189" spans="1:3" ht="15" hidden="1" customHeight="1" x14ac:dyDescent="0.3">
      <c r="A2189" t="s">
        <v>184</v>
      </c>
      <c r="B2189" s="2">
        <v>46082</v>
      </c>
      <c r="C2189">
        <v>29700.134999999998</v>
      </c>
    </row>
    <row r="2190" spans="1:3" ht="15" hidden="1" customHeight="1" x14ac:dyDescent="0.3">
      <c r="A2190" t="s">
        <v>184</v>
      </c>
      <c r="B2190" s="2">
        <v>46113</v>
      </c>
      <c r="C2190">
        <v>24898.55</v>
      </c>
    </row>
    <row r="2191" spans="1:3" ht="15" hidden="1" customHeight="1" x14ac:dyDescent="0.3">
      <c r="A2191" t="s">
        <v>184</v>
      </c>
      <c r="B2191" s="2">
        <v>46143</v>
      </c>
      <c r="C2191">
        <v>21981.1</v>
      </c>
    </row>
    <row r="2192" spans="1:3" ht="15" hidden="1" customHeight="1" x14ac:dyDescent="0.3">
      <c r="A2192" t="s">
        <v>184</v>
      </c>
      <c r="B2192" s="2">
        <v>46174</v>
      </c>
      <c r="C2192">
        <v>18982.900000000001</v>
      </c>
    </row>
    <row r="2193" spans="1:3" ht="15" hidden="1" customHeight="1" x14ac:dyDescent="0.3">
      <c r="A2193" t="s">
        <v>184</v>
      </c>
      <c r="B2193" s="2">
        <v>46204</v>
      </c>
      <c r="C2193">
        <v>21551.7</v>
      </c>
    </row>
    <row r="2194" spans="1:3" ht="15" customHeight="1" x14ac:dyDescent="0.3">
      <c r="A2194" t="s">
        <v>184</v>
      </c>
      <c r="B2194" s="2">
        <v>46235</v>
      </c>
      <c r="C2194">
        <v>26041.4</v>
      </c>
    </row>
    <row r="2195" spans="1:3" ht="15" hidden="1" customHeight="1" x14ac:dyDescent="0.3">
      <c r="A2195" t="s">
        <v>184</v>
      </c>
      <c r="B2195" s="2">
        <v>46266</v>
      </c>
      <c r="C2195">
        <v>29888.9</v>
      </c>
    </row>
    <row r="2196" spans="1:3" ht="15" hidden="1" customHeight="1" x14ac:dyDescent="0.3">
      <c r="A2196" t="s">
        <v>184</v>
      </c>
      <c r="B2196" s="2">
        <v>46296</v>
      </c>
      <c r="C2196">
        <v>34705.4</v>
      </c>
    </row>
    <row r="2197" spans="1:3" ht="15" hidden="1" customHeight="1" x14ac:dyDescent="0.3">
      <c r="A2197" t="s">
        <v>184</v>
      </c>
      <c r="B2197" s="2">
        <v>46327</v>
      </c>
      <c r="C2197">
        <v>36881.85</v>
      </c>
    </row>
    <row r="2198" spans="1:3" ht="15" hidden="1" customHeight="1" x14ac:dyDescent="0.3">
      <c r="A2198" t="s">
        <v>184</v>
      </c>
      <c r="B2198" s="2">
        <v>46357</v>
      </c>
      <c r="C2198">
        <v>40110.9</v>
      </c>
    </row>
    <row r="2199" spans="1:3" ht="15" hidden="1" customHeight="1" x14ac:dyDescent="0.3">
      <c r="A2199" t="s">
        <v>186</v>
      </c>
      <c r="B2199" s="2">
        <v>45292</v>
      </c>
      <c r="C2199">
        <v>34074.9</v>
      </c>
    </row>
    <row r="2200" spans="1:3" ht="15" hidden="1" customHeight="1" x14ac:dyDescent="0.3">
      <c r="A2200" t="s">
        <v>186</v>
      </c>
      <c r="B2200" s="2">
        <v>45323</v>
      </c>
      <c r="C2200">
        <v>28396.799999999999</v>
      </c>
    </row>
    <row r="2201" spans="1:3" ht="15" hidden="1" customHeight="1" x14ac:dyDescent="0.3">
      <c r="A2201" t="s">
        <v>186</v>
      </c>
      <c r="B2201" s="2">
        <v>45352</v>
      </c>
      <c r="C2201">
        <v>28665.9</v>
      </c>
    </row>
    <row r="2202" spans="1:3" ht="15" hidden="1" customHeight="1" x14ac:dyDescent="0.3">
      <c r="A2202" t="s">
        <v>186</v>
      </c>
      <c r="B2202" s="2">
        <v>45383</v>
      </c>
      <c r="C2202">
        <v>24411.599999999999</v>
      </c>
    </row>
    <row r="2203" spans="1:3" ht="15" hidden="1" customHeight="1" x14ac:dyDescent="0.3">
      <c r="A2203" t="s">
        <v>186</v>
      </c>
      <c r="B2203" s="2">
        <v>45413</v>
      </c>
      <c r="C2203">
        <v>22266.9</v>
      </c>
    </row>
    <row r="2204" spans="1:3" ht="15" hidden="1" customHeight="1" x14ac:dyDescent="0.3">
      <c r="A2204" t="s">
        <v>186</v>
      </c>
      <c r="B2204" s="2">
        <v>45444</v>
      </c>
      <c r="C2204">
        <v>19791.900000000001</v>
      </c>
    </row>
    <row r="2205" spans="1:3" ht="15" hidden="1" customHeight="1" x14ac:dyDescent="0.3">
      <c r="A2205" t="s">
        <v>186</v>
      </c>
      <c r="B2205" s="2">
        <v>45474</v>
      </c>
      <c r="C2205">
        <v>21774.6</v>
      </c>
    </row>
    <row r="2206" spans="1:3" ht="15" hidden="1" customHeight="1" x14ac:dyDescent="0.3">
      <c r="A2206" t="s">
        <v>186</v>
      </c>
      <c r="B2206" s="2">
        <v>45505</v>
      </c>
      <c r="C2206">
        <v>25973.1</v>
      </c>
    </row>
    <row r="2207" spans="1:3" ht="15" hidden="1" customHeight="1" x14ac:dyDescent="0.3">
      <c r="A2207" t="s">
        <v>186</v>
      </c>
      <c r="B2207" s="2">
        <v>45536</v>
      </c>
      <c r="C2207">
        <v>28984.5</v>
      </c>
    </row>
    <row r="2208" spans="1:3" ht="15" hidden="1" customHeight="1" x14ac:dyDescent="0.3">
      <c r="A2208" t="s">
        <v>186</v>
      </c>
      <c r="B2208" s="2">
        <v>45566</v>
      </c>
      <c r="C2208">
        <v>33058.800000000003</v>
      </c>
    </row>
    <row r="2209" spans="1:3" ht="15" hidden="1" customHeight="1" x14ac:dyDescent="0.3">
      <c r="A2209" t="s">
        <v>186</v>
      </c>
      <c r="B2209" s="2">
        <v>45597</v>
      </c>
      <c r="C2209">
        <v>34366.5</v>
      </c>
    </row>
    <row r="2210" spans="1:3" ht="15" hidden="1" customHeight="1" x14ac:dyDescent="0.3">
      <c r="A2210" t="s">
        <v>186</v>
      </c>
      <c r="B2210" s="2">
        <v>45627</v>
      </c>
      <c r="C2210">
        <v>36320.400000000001</v>
      </c>
    </row>
    <row r="2211" spans="1:3" ht="15" hidden="1" customHeight="1" x14ac:dyDescent="0.3">
      <c r="A2211" t="s">
        <v>186</v>
      </c>
      <c r="B2211" s="2">
        <v>45658</v>
      </c>
      <c r="C2211">
        <v>34074.9</v>
      </c>
    </row>
    <row r="2212" spans="1:3" ht="15" hidden="1" customHeight="1" x14ac:dyDescent="0.3">
      <c r="A2212" t="s">
        <v>186</v>
      </c>
      <c r="B2212" s="2">
        <v>45689</v>
      </c>
      <c r="C2212">
        <v>28396.799999999999</v>
      </c>
    </row>
    <row r="2213" spans="1:3" ht="15" hidden="1" customHeight="1" x14ac:dyDescent="0.3">
      <c r="A2213" t="s">
        <v>186</v>
      </c>
      <c r="B2213" s="2">
        <v>45717</v>
      </c>
      <c r="C2213">
        <v>28665.9</v>
      </c>
    </row>
    <row r="2214" spans="1:3" ht="15" hidden="1" customHeight="1" x14ac:dyDescent="0.3">
      <c r="A2214" t="s">
        <v>186</v>
      </c>
      <c r="B2214" s="2">
        <v>45748</v>
      </c>
      <c r="C2214">
        <v>24411.599999999999</v>
      </c>
    </row>
    <row r="2215" spans="1:3" ht="15" hidden="1" customHeight="1" x14ac:dyDescent="0.3">
      <c r="A2215" t="s">
        <v>186</v>
      </c>
      <c r="B2215" s="2">
        <v>45778</v>
      </c>
      <c r="C2215">
        <v>22266.9</v>
      </c>
    </row>
    <row r="2216" spans="1:3" ht="15" hidden="1" customHeight="1" x14ac:dyDescent="0.3">
      <c r="A2216" t="s">
        <v>186</v>
      </c>
      <c r="B2216" s="2">
        <v>45809</v>
      </c>
      <c r="C2216">
        <v>19791.900000000001</v>
      </c>
    </row>
    <row r="2217" spans="1:3" ht="15" hidden="1" customHeight="1" x14ac:dyDescent="0.3">
      <c r="A2217" t="s">
        <v>186</v>
      </c>
      <c r="B2217" s="2">
        <v>45839</v>
      </c>
      <c r="C2217">
        <v>21774.6</v>
      </c>
    </row>
    <row r="2218" spans="1:3" ht="15" hidden="1" customHeight="1" x14ac:dyDescent="0.3">
      <c r="A2218" t="s">
        <v>186</v>
      </c>
      <c r="B2218" s="2">
        <v>45870</v>
      </c>
      <c r="C2218">
        <v>25973.1</v>
      </c>
    </row>
    <row r="2219" spans="1:3" ht="15" hidden="1" customHeight="1" x14ac:dyDescent="0.3">
      <c r="A2219" t="s">
        <v>186</v>
      </c>
      <c r="B2219" s="2">
        <v>45901</v>
      </c>
      <c r="C2219">
        <v>28984.5</v>
      </c>
    </row>
    <row r="2220" spans="1:3" ht="15" hidden="1" customHeight="1" x14ac:dyDescent="0.3">
      <c r="A2220" t="s">
        <v>186</v>
      </c>
      <c r="B2220" s="2">
        <v>45931</v>
      </c>
      <c r="C2220">
        <v>33058.800000000003</v>
      </c>
    </row>
    <row r="2221" spans="1:3" ht="15" hidden="1" customHeight="1" x14ac:dyDescent="0.3">
      <c r="A2221" t="s">
        <v>186</v>
      </c>
      <c r="B2221" s="2">
        <v>45962</v>
      </c>
      <c r="C2221">
        <v>34366.5</v>
      </c>
    </row>
    <row r="2222" spans="1:3" ht="15" hidden="1" customHeight="1" x14ac:dyDescent="0.3">
      <c r="A2222" t="s">
        <v>186</v>
      </c>
      <c r="B2222" s="2">
        <v>45992</v>
      </c>
      <c r="C2222">
        <v>36320.400000000001</v>
      </c>
    </row>
    <row r="2223" spans="1:3" ht="15" hidden="1" customHeight="1" x14ac:dyDescent="0.3">
      <c r="A2223" t="s">
        <v>186</v>
      </c>
      <c r="B2223" s="2">
        <v>46023</v>
      </c>
      <c r="C2223">
        <v>34074.9</v>
      </c>
    </row>
    <row r="2224" spans="1:3" ht="15" hidden="1" customHeight="1" x14ac:dyDescent="0.3">
      <c r="A2224" t="s">
        <v>186</v>
      </c>
      <c r="B2224" s="2">
        <v>46054</v>
      </c>
      <c r="C2224">
        <v>28396.799999999999</v>
      </c>
    </row>
    <row r="2225" spans="1:3" ht="15" hidden="1" customHeight="1" x14ac:dyDescent="0.3">
      <c r="A2225" t="s">
        <v>186</v>
      </c>
      <c r="B2225" s="2">
        <v>46082</v>
      </c>
      <c r="C2225">
        <v>28665.9</v>
      </c>
    </row>
    <row r="2226" spans="1:3" ht="15" hidden="1" customHeight="1" x14ac:dyDescent="0.3">
      <c r="A2226" t="s">
        <v>186</v>
      </c>
      <c r="B2226" s="2">
        <v>46113</v>
      </c>
      <c r="C2226">
        <v>24411.599999999999</v>
      </c>
    </row>
    <row r="2227" spans="1:3" ht="15" hidden="1" customHeight="1" x14ac:dyDescent="0.3">
      <c r="A2227" t="s">
        <v>186</v>
      </c>
      <c r="B2227" s="2">
        <v>46143</v>
      </c>
      <c r="C2227">
        <v>22266.9</v>
      </c>
    </row>
    <row r="2228" spans="1:3" ht="15" hidden="1" customHeight="1" x14ac:dyDescent="0.3">
      <c r="A2228" t="s">
        <v>186</v>
      </c>
      <c r="B2228" s="2">
        <v>46174</v>
      </c>
      <c r="C2228">
        <v>19791.900000000001</v>
      </c>
    </row>
    <row r="2229" spans="1:3" ht="15" hidden="1" customHeight="1" x14ac:dyDescent="0.3">
      <c r="A2229" t="s">
        <v>186</v>
      </c>
      <c r="B2229" s="2">
        <v>46204</v>
      </c>
      <c r="C2229">
        <v>21774.6</v>
      </c>
    </row>
    <row r="2230" spans="1:3" ht="15" customHeight="1" x14ac:dyDescent="0.3">
      <c r="A2230" t="s">
        <v>186</v>
      </c>
      <c r="B2230" s="2">
        <v>46235</v>
      </c>
      <c r="C2230">
        <v>25973.1</v>
      </c>
    </row>
    <row r="2231" spans="1:3" ht="15" hidden="1" customHeight="1" x14ac:dyDescent="0.3">
      <c r="A2231" t="s">
        <v>186</v>
      </c>
      <c r="B2231" s="2">
        <v>46266</v>
      </c>
      <c r="C2231">
        <v>28984.5</v>
      </c>
    </row>
    <row r="2232" spans="1:3" ht="15" hidden="1" customHeight="1" x14ac:dyDescent="0.3">
      <c r="A2232" t="s">
        <v>186</v>
      </c>
      <c r="B2232" s="2">
        <v>46296</v>
      </c>
      <c r="C2232">
        <v>33058.800000000003</v>
      </c>
    </row>
    <row r="2233" spans="1:3" ht="15" hidden="1" customHeight="1" x14ac:dyDescent="0.3">
      <c r="A2233" t="s">
        <v>186</v>
      </c>
      <c r="B2233" s="2">
        <v>46327</v>
      </c>
      <c r="C2233">
        <v>34366.5</v>
      </c>
    </row>
    <row r="2234" spans="1:3" ht="15" hidden="1" customHeight="1" x14ac:dyDescent="0.3">
      <c r="A2234" t="s">
        <v>186</v>
      </c>
      <c r="B2234" s="2">
        <v>46357</v>
      </c>
      <c r="C2234">
        <v>36320.400000000001</v>
      </c>
    </row>
    <row r="2235" spans="1:3" ht="15" hidden="1" customHeight="1" x14ac:dyDescent="0.3">
      <c r="A2235" t="s">
        <v>188</v>
      </c>
      <c r="B2235" s="2">
        <v>45292</v>
      </c>
      <c r="C2235">
        <v>20588.400000000001</v>
      </c>
    </row>
    <row r="2236" spans="1:3" ht="15" hidden="1" customHeight="1" x14ac:dyDescent="0.3">
      <c r="A2236" t="s">
        <v>188</v>
      </c>
      <c r="B2236" s="2">
        <v>45323</v>
      </c>
      <c r="C2236">
        <v>17538.3</v>
      </c>
    </row>
    <row r="2237" spans="1:3" ht="15" hidden="1" customHeight="1" x14ac:dyDescent="0.3">
      <c r="A2237" t="s">
        <v>188</v>
      </c>
      <c r="B2237" s="2">
        <v>45352</v>
      </c>
      <c r="C2237">
        <v>17897.400000000001</v>
      </c>
    </row>
    <row r="2238" spans="1:3" ht="15" hidden="1" customHeight="1" x14ac:dyDescent="0.3">
      <c r="A2238" t="s">
        <v>188</v>
      </c>
      <c r="B2238" s="2">
        <v>45383</v>
      </c>
      <c r="C2238">
        <v>14674.5</v>
      </c>
    </row>
    <row r="2239" spans="1:3" ht="15" hidden="1" customHeight="1" x14ac:dyDescent="0.3">
      <c r="A2239" t="s">
        <v>188</v>
      </c>
      <c r="B2239" s="2">
        <v>45413</v>
      </c>
      <c r="C2239">
        <v>13272.3</v>
      </c>
    </row>
    <row r="2240" spans="1:3" ht="15" hidden="1" customHeight="1" x14ac:dyDescent="0.3">
      <c r="A2240" t="s">
        <v>188</v>
      </c>
      <c r="B2240" s="2">
        <v>45444</v>
      </c>
      <c r="C2240">
        <v>11571.3</v>
      </c>
    </row>
    <row r="2241" spans="1:3" ht="15" hidden="1" customHeight="1" x14ac:dyDescent="0.3">
      <c r="A2241" t="s">
        <v>188</v>
      </c>
      <c r="B2241" s="2">
        <v>45474</v>
      </c>
      <c r="C2241">
        <v>12990.6</v>
      </c>
    </row>
    <row r="2242" spans="1:3" ht="15" hidden="1" customHeight="1" x14ac:dyDescent="0.3">
      <c r="A2242" t="s">
        <v>188</v>
      </c>
      <c r="B2242" s="2">
        <v>45505</v>
      </c>
      <c r="C2242">
        <v>15871.5</v>
      </c>
    </row>
    <row r="2243" spans="1:3" ht="15" hidden="1" customHeight="1" x14ac:dyDescent="0.3">
      <c r="A2243" t="s">
        <v>188</v>
      </c>
      <c r="B2243" s="2">
        <v>45536</v>
      </c>
      <c r="C2243">
        <v>18317.7</v>
      </c>
    </row>
    <row r="2244" spans="1:3" ht="15" hidden="1" customHeight="1" x14ac:dyDescent="0.3">
      <c r="A2244" t="s">
        <v>188</v>
      </c>
      <c r="B2244" s="2">
        <v>45566</v>
      </c>
      <c r="C2244">
        <v>20121.3</v>
      </c>
    </row>
    <row r="2245" spans="1:3" ht="15" hidden="1" customHeight="1" x14ac:dyDescent="0.3">
      <c r="A2245" t="s">
        <v>188</v>
      </c>
      <c r="B2245" s="2">
        <v>45597</v>
      </c>
      <c r="C2245">
        <v>20573.099999999999</v>
      </c>
    </row>
    <row r="2246" spans="1:3" ht="15" hidden="1" customHeight="1" x14ac:dyDescent="0.3">
      <c r="A2246" t="s">
        <v>188</v>
      </c>
      <c r="B2246" s="2">
        <v>45627</v>
      </c>
      <c r="C2246">
        <v>21930.3</v>
      </c>
    </row>
    <row r="2247" spans="1:3" ht="15" hidden="1" customHeight="1" x14ac:dyDescent="0.3">
      <c r="A2247" t="s">
        <v>188</v>
      </c>
      <c r="B2247" s="2">
        <v>45658</v>
      </c>
      <c r="C2247">
        <v>20588.400000000001</v>
      </c>
    </row>
    <row r="2248" spans="1:3" ht="15" hidden="1" customHeight="1" x14ac:dyDescent="0.3">
      <c r="A2248" t="s">
        <v>188</v>
      </c>
      <c r="B2248" s="2">
        <v>45689</v>
      </c>
      <c r="C2248">
        <v>17538.3</v>
      </c>
    </row>
    <row r="2249" spans="1:3" ht="15" hidden="1" customHeight="1" x14ac:dyDescent="0.3">
      <c r="A2249" t="s">
        <v>188</v>
      </c>
      <c r="B2249" s="2">
        <v>45717</v>
      </c>
      <c r="C2249">
        <v>17897.400000000001</v>
      </c>
    </row>
    <row r="2250" spans="1:3" ht="15" hidden="1" customHeight="1" x14ac:dyDescent="0.3">
      <c r="A2250" t="s">
        <v>188</v>
      </c>
      <c r="B2250" s="2">
        <v>45748</v>
      </c>
      <c r="C2250">
        <v>14674.5</v>
      </c>
    </row>
    <row r="2251" spans="1:3" ht="15" hidden="1" customHeight="1" x14ac:dyDescent="0.3">
      <c r="A2251" t="s">
        <v>188</v>
      </c>
      <c r="B2251" s="2">
        <v>45778</v>
      </c>
      <c r="C2251">
        <v>13272.3</v>
      </c>
    </row>
    <row r="2252" spans="1:3" ht="15" hidden="1" customHeight="1" x14ac:dyDescent="0.3">
      <c r="A2252" t="s">
        <v>188</v>
      </c>
      <c r="B2252" s="2">
        <v>45809</v>
      </c>
      <c r="C2252">
        <v>11571.3</v>
      </c>
    </row>
    <row r="2253" spans="1:3" ht="15" hidden="1" customHeight="1" x14ac:dyDescent="0.3">
      <c r="A2253" t="s">
        <v>188</v>
      </c>
      <c r="B2253" s="2">
        <v>45839</v>
      </c>
      <c r="C2253">
        <v>12990.6</v>
      </c>
    </row>
    <row r="2254" spans="1:3" ht="15" hidden="1" customHeight="1" x14ac:dyDescent="0.3">
      <c r="A2254" t="s">
        <v>188</v>
      </c>
      <c r="B2254" s="2">
        <v>45870</v>
      </c>
      <c r="C2254">
        <v>15871.5</v>
      </c>
    </row>
    <row r="2255" spans="1:3" ht="15" hidden="1" customHeight="1" x14ac:dyDescent="0.3">
      <c r="A2255" t="s">
        <v>188</v>
      </c>
      <c r="B2255" s="2">
        <v>45901</v>
      </c>
      <c r="C2255">
        <v>18317.7</v>
      </c>
    </row>
    <row r="2256" spans="1:3" ht="15" hidden="1" customHeight="1" x14ac:dyDescent="0.3">
      <c r="A2256" t="s">
        <v>188</v>
      </c>
      <c r="B2256" s="2">
        <v>45931</v>
      </c>
      <c r="C2256">
        <v>20121.3</v>
      </c>
    </row>
    <row r="2257" spans="1:3" ht="15" hidden="1" customHeight="1" x14ac:dyDescent="0.3">
      <c r="A2257" t="s">
        <v>188</v>
      </c>
      <c r="B2257" s="2">
        <v>45962</v>
      </c>
      <c r="C2257">
        <v>20573.099999999999</v>
      </c>
    </row>
    <row r="2258" spans="1:3" ht="15" hidden="1" customHeight="1" x14ac:dyDescent="0.3">
      <c r="A2258" t="s">
        <v>188</v>
      </c>
      <c r="B2258" s="2">
        <v>45992</v>
      </c>
      <c r="C2258">
        <v>21930.3</v>
      </c>
    </row>
    <row r="2259" spans="1:3" ht="15" hidden="1" customHeight="1" x14ac:dyDescent="0.3">
      <c r="A2259" t="s">
        <v>188</v>
      </c>
      <c r="B2259" s="2">
        <v>46023</v>
      </c>
      <c r="C2259">
        <v>20588.400000000001</v>
      </c>
    </row>
    <row r="2260" spans="1:3" ht="15" hidden="1" customHeight="1" x14ac:dyDescent="0.3">
      <c r="A2260" t="s">
        <v>188</v>
      </c>
      <c r="B2260" s="2">
        <v>46054</v>
      </c>
      <c r="C2260">
        <v>17538.3</v>
      </c>
    </row>
    <row r="2261" spans="1:3" ht="15" hidden="1" customHeight="1" x14ac:dyDescent="0.3">
      <c r="A2261" t="s">
        <v>188</v>
      </c>
      <c r="B2261" s="2">
        <v>46082</v>
      </c>
      <c r="C2261">
        <v>17897.400000000001</v>
      </c>
    </row>
    <row r="2262" spans="1:3" ht="15" hidden="1" customHeight="1" x14ac:dyDescent="0.3">
      <c r="A2262" t="s">
        <v>188</v>
      </c>
      <c r="B2262" s="2">
        <v>46113</v>
      </c>
      <c r="C2262">
        <v>14674.5</v>
      </c>
    </row>
    <row r="2263" spans="1:3" ht="15" hidden="1" customHeight="1" x14ac:dyDescent="0.3">
      <c r="A2263" t="s">
        <v>188</v>
      </c>
      <c r="B2263" s="2">
        <v>46143</v>
      </c>
      <c r="C2263">
        <v>13272.3</v>
      </c>
    </row>
    <row r="2264" spans="1:3" ht="15" hidden="1" customHeight="1" x14ac:dyDescent="0.3">
      <c r="A2264" t="s">
        <v>188</v>
      </c>
      <c r="B2264" s="2">
        <v>46174</v>
      </c>
      <c r="C2264">
        <v>11571.3</v>
      </c>
    </row>
    <row r="2265" spans="1:3" ht="15" hidden="1" customHeight="1" x14ac:dyDescent="0.3">
      <c r="A2265" t="s">
        <v>188</v>
      </c>
      <c r="B2265" s="2">
        <v>46204</v>
      </c>
      <c r="C2265">
        <v>12990.6</v>
      </c>
    </row>
    <row r="2266" spans="1:3" ht="15" customHeight="1" x14ac:dyDescent="0.3">
      <c r="A2266" t="s">
        <v>188</v>
      </c>
      <c r="B2266" s="2">
        <v>46235</v>
      </c>
      <c r="C2266">
        <v>15871.5</v>
      </c>
    </row>
    <row r="2267" spans="1:3" ht="15" hidden="1" customHeight="1" x14ac:dyDescent="0.3">
      <c r="A2267" t="s">
        <v>188</v>
      </c>
      <c r="B2267" s="2">
        <v>46266</v>
      </c>
      <c r="C2267">
        <v>18317.7</v>
      </c>
    </row>
    <row r="2268" spans="1:3" ht="15" hidden="1" customHeight="1" x14ac:dyDescent="0.3">
      <c r="A2268" t="s">
        <v>188</v>
      </c>
      <c r="B2268" s="2">
        <v>46296</v>
      </c>
      <c r="C2268">
        <v>20121.3</v>
      </c>
    </row>
    <row r="2269" spans="1:3" ht="15" hidden="1" customHeight="1" x14ac:dyDescent="0.3">
      <c r="A2269" t="s">
        <v>188</v>
      </c>
      <c r="B2269" s="2">
        <v>46327</v>
      </c>
      <c r="C2269">
        <v>20573.099999999999</v>
      </c>
    </row>
    <row r="2270" spans="1:3" ht="15" hidden="1" customHeight="1" x14ac:dyDescent="0.3">
      <c r="A2270" t="s">
        <v>188</v>
      </c>
      <c r="B2270" s="2">
        <v>46357</v>
      </c>
      <c r="C2270">
        <v>21930.3</v>
      </c>
    </row>
    <row r="2271" spans="1:3" ht="15" hidden="1" customHeight="1" x14ac:dyDescent="0.3">
      <c r="A2271" t="s">
        <v>226</v>
      </c>
      <c r="B2271" s="2">
        <v>45292</v>
      </c>
      <c r="C2271">
        <v>30721.5</v>
      </c>
    </row>
    <row r="2272" spans="1:3" ht="15" hidden="1" customHeight="1" x14ac:dyDescent="0.3">
      <c r="A2272" t="s">
        <v>226</v>
      </c>
      <c r="B2272" s="2">
        <v>45323</v>
      </c>
      <c r="C2272">
        <v>24282.9</v>
      </c>
    </row>
    <row r="2273" spans="1:3" ht="15" hidden="1" customHeight="1" x14ac:dyDescent="0.3">
      <c r="A2273" t="s">
        <v>226</v>
      </c>
      <c r="B2273" s="2">
        <v>45352</v>
      </c>
      <c r="C2273">
        <v>24146.1</v>
      </c>
    </row>
    <row r="2274" spans="1:3" ht="15" hidden="1" customHeight="1" x14ac:dyDescent="0.3">
      <c r="A2274" t="s">
        <v>226</v>
      </c>
      <c r="B2274" s="2">
        <v>45383</v>
      </c>
      <c r="C2274">
        <v>18389.7</v>
      </c>
    </row>
    <row r="2275" spans="1:3" ht="15" hidden="1" customHeight="1" x14ac:dyDescent="0.3">
      <c r="A2275" t="s">
        <v>226</v>
      </c>
      <c r="B2275" s="2">
        <v>45413</v>
      </c>
      <c r="C2275">
        <v>18961.2</v>
      </c>
    </row>
    <row r="2276" spans="1:3" ht="15" hidden="1" customHeight="1" x14ac:dyDescent="0.3">
      <c r="A2276" t="s">
        <v>226</v>
      </c>
      <c r="B2276" s="2">
        <v>45444</v>
      </c>
      <c r="C2276">
        <v>15280.2</v>
      </c>
    </row>
    <row r="2277" spans="1:3" ht="15" hidden="1" customHeight="1" x14ac:dyDescent="0.3">
      <c r="A2277" t="s">
        <v>226</v>
      </c>
      <c r="B2277" s="2">
        <v>45474</v>
      </c>
      <c r="C2277">
        <v>17361.900000000001</v>
      </c>
    </row>
    <row r="2278" spans="1:3" ht="15" hidden="1" customHeight="1" x14ac:dyDescent="0.3">
      <c r="A2278" t="s">
        <v>226</v>
      </c>
      <c r="B2278" s="2">
        <v>45505</v>
      </c>
      <c r="C2278">
        <v>19303.2</v>
      </c>
    </row>
    <row r="2279" spans="1:3" ht="15" hidden="1" customHeight="1" x14ac:dyDescent="0.3">
      <c r="A2279" t="s">
        <v>226</v>
      </c>
      <c r="B2279" s="2">
        <v>45536</v>
      </c>
      <c r="C2279">
        <v>18141.3</v>
      </c>
    </row>
    <row r="2280" spans="1:3" ht="15" hidden="1" customHeight="1" x14ac:dyDescent="0.3">
      <c r="A2280" t="s">
        <v>226</v>
      </c>
      <c r="B2280" s="2">
        <v>45566</v>
      </c>
      <c r="C2280">
        <v>22548.6</v>
      </c>
    </row>
    <row r="2281" spans="1:3" ht="15" hidden="1" customHeight="1" x14ac:dyDescent="0.3">
      <c r="A2281" t="s">
        <v>226</v>
      </c>
      <c r="B2281" s="2">
        <v>45597</v>
      </c>
      <c r="C2281">
        <v>22923.9</v>
      </c>
    </row>
    <row r="2282" spans="1:3" ht="15" hidden="1" customHeight="1" x14ac:dyDescent="0.3">
      <c r="A2282" t="s">
        <v>226</v>
      </c>
      <c r="B2282" s="2">
        <v>45627</v>
      </c>
      <c r="C2282">
        <v>28392.3</v>
      </c>
    </row>
    <row r="2283" spans="1:3" ht="15" hidden="1" customHeight="1" x14ac:dyDescent="0.3">
      <c r="A2283" t="s">
        <v>226</v>
      </c>
      <c r="B2283" s="2">
        <v>45658</v>
      </c>
      <c r="C2283">
        <v>30721.5</v>
      </c>
    </row>
    <row r="2284" spans="1:3" ht="15" hidden="1" customHeight="1" x14ac:dyDescent="0.3">
      <c r="A2284" t="s">
        <v>226</v>
      </c>
      <c r="B2284" s="2">
        <v>45689</v>
      </c>
      <c r="C2284">
        <v>24282.9</v>
      </c>
    </row>
    <row r="2285" spans="1:3" ht="15" hidden="1" customHeight="1" x14ac:dyDescent="0.3">
      <c r="A2285" t="s">
        <v>226</v>
      </c>
      <c r="B2285" s="2">
        <v>45717</v>
      </c>
      <c r="C2285">
        <v>24146.1</v>
      </c>
    </row>
    <row r="2286" spans="1:3" ht="15" hidden="1" customHeight="1" x14ac:dyDescent="0.3">
      <c r="A2286" t="s">
        <v>226</v>
      </c>
      <c r="B2286" s="2">
        <v>45748</v>
      </c>
      <c r="C2286">
        <v>18389.7</v>
      </c>
    </row>
    <row r="2287" spans="1:3" ht="15" hidden="1" customHeight="1" x14ac:dyDescent="0.3">
      <c r="A2287" t="s">
        <v>226</v>
      </c>
      <c r="B2287" s="2">
        <v>45778</v>
      </c>
      <c r="C2287">
        <v>18961.2</v>
      </c>
    </row>
    <row r="2288" spans="1:3" ht="15" hidden="1" customHeight="1" x14ac:dyDescent="0.3">
      <c r="A2288" t="s">
        <v>226</v>
      </c>
      <c r="B2288" s="2">
        <v>45809</v>
      </c>
      <c r="C2288">
        <v>15280.2</v>
      </c>
    </row>
    <row r="2289" spans="1:3" ht="15" hidden="1" customHeight="1" x14ac:dyDescent="0.3">
      <c r="A2289" t="s">
        <v>226</v>
      </c>
      <c r="B2289" s="2">
        <v>45839</v>
      </c>
      <c r="C2289">
        <v>17361.900000000001</v>
      </c>
    </row>
    <row r="2290" spans="1:3" ht="15" hidden="1" customHeight="1" x14ac:dyDescent="0.3">
      <c r="A2290" t="s">
        <v>226</v>
      </c>
      <c r="B2290" s="2">
        <v>45870</v>
      </c>
      <c r="C2290">
        <v>19303.2</v>
      </c>
    </row>
    <row r="2291" spans="1:3" ht="15" hidden="1" customHeight="1" x14ac:dyDescent="0.3">
      <c r="A2291" t="s">
        <v>226</v>
      </c>
      <c r="B2291" s="2">
        <v>45901</v>
      </c>
      <c r="C2291">
        <v>18141.3</v>
      </c>
    </row>
    <row r="2292" spans="1:3" ht="15" hidden="1" customHeight="1" x14ac:dyDescent="0.3">
      <c r="A2292" t="s">
        <v>226</v>
      </c>
      <c r="B2292" s="2">
        <v>45931</v>
      </c>
      <c r="C2292">
        <v>22548.6</v>
      </c>
    </row>
    <row r="2293" spans="1:3" ht="15" hidden="1" customHeight="1" x14ac:dyDescent="0.3">
      <c r="A2293" t="s">
        <v>226</v>
      </c>
      <c r="B2293" s="2">
        <v>45962</v>
      </c>
      <c r="C2293">
        <v>22923.9</v>
      </c>
    </row>
    <row r="2294" spans="1:3" ht="15" hidden="1" customHeight="1" x14ac:dyDescent="0.3">
      <c r="A2294" t="s">
        <v>226</v>
      </c>
      <c r="B2294" s="2">
        <v>45992</v>
      </c>
      <c r="C2294">
        <v>28392.3</v>
      </c>
    </row>
    <row r="2295" spans="1:3" ht="15" hidden="1" customHeight="1" x14ac:dyDescent="0.3">
      <c r="A2295" t="s">
        <v>226</v>
      </c>
      <c r="B2295" s="2">
        <v>46023</v>
      </c>
      <c r="C2295">
        <v>30721.5</v>
      </c>
    </row>
    <row r="2296" spans="1:3" ht="15" hidden="1" customHeight="1" x14ac:dyDescent="0.3">
      <c r="A2296" t="s">
        <v>226</v>
      </c>
      <c r="B2296" s="2">
        <v>46054</v>
      </c>
      <c r="C2296">
        <v>24282.9</v>
      </c>
    </row>
    <row r="2297" spans="1:3" ht="15" hidden="1" customHeight="1" x14ac:dyDescent="0.3">
      <c r="A2297" t="s">
        <v>226</v>
      </c>
      <c r="B2297" s="2">
        <v>46082</v>
      </c>
      <c r="C2297">
        <v>24146.1</v>
      </c>
    </row>
    <row r="2298" spans="1:3" ht="15" hidden="1" customHeight="1" x14ac:dyDescent="0.3">
      <c r="A2298" t="s">
        <v>226</v>
      </c>
      <c r="B2298" s="2">
        <v>46113</v>
      </c>
      <c r="C2298">
        <v>18389.7</v>
      </c>
    </row>
    <row r="2299" spans="1:3" ht="15" hidden="1" customHeight="1" x14ac:dyDescent="0.3">
      <c r="A2299" t="s">
        <v>226</v>
      </c>
      <c r="B2299" s="2">
        <v>46143</v>
      </c>
      <c r="C2299">
        <v>18961.2</v>
      </c>
    </row>
    <row r="2300" spans="1:3" ht="15" hidden="1" customHeight="1" x14ac:dyDescent="0.3">
      <c r="A2300" t="s">
        <v>226</v>
      </c>
      <c r="B2300" s="2">
        <v>46174</v>
      </c>
      <c r="C2300">
        <v>15280.2</v>
      </c>
    </row>
    <row r="2301" spans="1:3" ht="15" hidden="1" customHeight="1" x14ac:dyDescent="0.3">
      <c r="A2301" t="s">
        <v>226</v>
      </c>
      <c r="B2301" s="2">
        <v>46204</v>
      </c>
      <c r="C2301">
        <v>17361.900000000001</v>
      </c>
    </row>
    <row r="2302" spans="1:3" ht="15" customHeight="1" x14ac:dyDescent="0.3">
      <c r="A2302" t="s">
        <v>226</v>
      </c>
      <c r="B2302" s="2">
        <v>46235</v>
      </c>
      <c r="C2302">
        <v>19303.2</v>
      </c>
    </row>
    <row r="2303" spans="1:3" ht="15" hidden="1" customHeight="1" x14ac:dyDescent="0.3">
      <c r="A2303" t="s">
        <v>226</v>
      </c>
      <c r="B2303" s="2">
        <v>46266</v>
      </c>
      <c r="C2303">
        <v>18141.3</v>
      </c>
    </row>
    <row r="2304" spans="1:3" ht="15" hidden="1" customHeight="1" x14ac:dyDescent="0.3">
      <c r="A2304" t="s">
        <v>226</v>
      </c>
      <c r="B2304" s="2">
        <v>46296</v>
      </c>
      <c r="C2304">
        <v>22548.6</v>
      </c>
    </row>
    <row r="2305" spans="1:3" ht="15" hidden="1" customHeight="1" x14ac:dyDescent="0.3">
      <c r="A2305" t="s">
        <v>226</v>
      </c>
      <c r="B2305" s="2">
        <v>46327</v>
      </c>
      <c r="C2305">
        <v>22923.9</v>
      </c>
    </row>
    <row r="2306" spans="1:3" ht="15" hidden="1" customHeight="1" x14ac:dyDescent="0.3">
      <c r="A2306" t="s">
        <v>226</v>
      </c>
      <c r="B2306" s="2">
        <v>46357</v>
      </c>
      <c r="C2306">
        <v>28392.3</v>
      </c>
    </row>
    <row r="2307" spans="1:3" ht="15" hidden="1" customHeight="1" x14ac:dyDescent="0.3">
      <c r="A2307" t="s">
        <v>208</v>
      </c>
      <c r="B2307" s="2">
        <v>45292</v>
      </c>
      <c r="C2307">
        <v>18584.099999999999</v>
      </c>
    </row>
    <row r="2308" spans="1:3" ht="15" hidden="1" customHeight="1" x14ac:dyDescent="0.3">
      <c r="A2308" t="s">
        <v>208</v>
      </c>
      <c r="B2308" s="2">
        <v>45323</v>
      </c>
      <c r="C2308">
        <v>16101.9</v>
      </c>
    </row>
    <row r="2309" spans="1:3" ht="15" hidden="1" customHeight="1" x14ac:dyDescent="0.3">
      <c r="A2309" t="s">
        <v>208</v>
      </c>
      <c r="B2309" s="2">
        <v>45352</v>
      </c>
      <c r="C2309">
        <v>15901.2</v>
      </c>
    </row>
    <row r="2310" spans="1:3" ht="15" hidden="1" customHeight="1" x14ac:dyDescent="0.3">
      <c r="A2310" t="s">
        <v>208</v>
      </c>
      <c r="B2310" s="2">
        <v>45383</v>
      </c>
      <c r="C2310">
        <v>13660.2</v>
      </c>
    </row>
    <row r="2311" spans="1:3" ht="15" hidden="1" customHeight="1" x14ac:dyDescent="0.3">
      <c r="A2311" t="s">
        <v>208</v>
      </c>
      <c r="B2311" s="2">
        <v>45413</v>
      </c>
      <c r="C2311">
        <v>12620.7</v>
      </c>
    </row>
    <row r="2312" spans="1:3" ht="15" hidden="1" customHeight="1" x14ac:dyDescent="0.3">
      <c r="A2312" t="s">
        <v>208</v>
      </c>
      <c r="B2312" s="2">
        <v>45444</v>
      </c>
      <c r="C2312">
        <v>11094.3</v>
      </c>
    </row>
    <row r="2313" spans="1:3" ht="15" hidden="1" customHeight="1" x14ac:dyDescent="0.3">
      <c r="A2313" t="s">
        <v>208</v>
      </c>
      <c r="B2313" s="2">
        <v>45474</v>
      </c>
      <c r="C2313">
        <v>12367.8</v>
      </c>
    </row>
    <row r="2314" spans="1:3" ht="15" hidden="1" customHeight="1" x14ac:dyDescent="0.3">
      <c r="A2314" t="s">
        <v>208</v>
      </c>
      <c r="B2314" s="2">
        <v>45505</v>
      </c>
      <c r="C2314">
        <v>14484.6</v>
      </c>
    </row>
    <row r="2315" spans="1:3" ht="15" hidden="1" customHeight="1" x14ac:dyDescent="0.3">
      <c r="A2315" t="s">
        <v>208</v>
      </c>
      <c r="B2315" s="2">
        <v>45536</v>
      </c>
      <c r="C2315">
        <v>16189.2</v>
      </c>
    </row>
    <row r="2316" spans="1:3" ht="15" hidden="1" customHeight="1" x14ac:dyDescent="0.3">
      <c r="A2316" t="s">
        <v>208</v>
      </c>
      <c r="B2316" s="2">
        <v>45566</v>
      </c>
      <c r="C2316">
        <v>18663.3</v>
      </c>
    </row>
    <row r="2317" spans="1:3" ht="15" hidden="1" customHeight="1" x14ac:dyDescent="0.3">
      <c r="A2317" t="s">
        <v>208</v>
      </c>
      <c r="B2317" s="2">
        <v>45597</v>
      </c>
      <c r="C2317">
        <v>18589.5</v>
      </c>
    </row>
    <row r="2318" spans="1:3" ht="15" hidden="1" customHeight="1" x14ac:dyDescent="0.3">
      <c r="A2318" t="s">
        <v>208</v>
      </c>
      <c r="B2318" s="2">
        <v>45627</v>
      </c>
      <c r="C2318">
        <v>19022.400000000001</v>
      </c>
    </row>
    <row r="2319" spans="1:3" ht="15" hidden="1" customHeight="1" x14ac:dyDescent="0.3">
      <c r="A2319" t="s">
        <v>208</v>
      </c>
      <c r="B2319" s="2">
        <v>45658</v>
      </c>
      <c r="C2319">
        <v>18584.099999999999</v>
      </c>
    </row>
    <row r="2320" spans="1:3" ht="15" hidden="1" customHeight="1" x14ac:dyDescent="0.3">
      <c r="A2320" t="s">
        <v>208</v>
      </c>
      <c r="B2320" s="2">
        <v>45689</v>
      </c>
      <c r="C2320">
        <v>16101.9</v>
      </c>
    </row>
    <row r="2321" spans="1:3" ht="15" hidden="1" customHeight="1" x14ac:dyDescent="0.3">
      <c r="A2321" t="s">
        <v>208</v>
      </c>
      <c r="B2321" s="2">
        <v>45717</v>
      </c>
      <c r="C2321">
        <v>15901.2</v>
      </c>
    </row>
    <row r="2322" spans="1:3" ht="15" hidden="1" customHeight="1" x14ac:dyDescent="0.3">
      <c r="A2322" t="s">
        <v>208</v>
      </c>
      <c r="B2322" s="2">
        <v>45748</v>
      </c>
      <c r="C2322">
        <v>13660.2</v>
      </c>
    </row>
    <row r="2323" spans="1:3" ht="15" hidden="1" customHeight="1" x14ac:dyDescent="0.3">
      <c r="A2323" t="s">
        <v>208</v>
      </c>
      <c r="B2323" s="2">
        <v>45778</v>
      </c>
      <c r="C2323">
        <v>12620.7</v>
      </c>
    </row>
    <row r="2324" spans="1:3" ht="15" hidden="1" customHeight="1" x14ac:dyDescent="0.3">
      <c r="A2324" t="s">
        <v>208</v>
      </c>
      <c r="B2324" s="2">
        <v>45809</v>
      </c>
      <c r="C2324">
        <v>11094.3</v>
      </c>
    </row>
    <row r="2325" spans="1:3" ht="15" hidden="1" customHeight="1" x14ac:dyDescent="0.3">
      <c r="A2325" t="s">
        <v>208</v>
      </c>
      <c r="B2325" s="2">
        <v>45839</v>
      </c>
      <c r="C2325">
        <v>12367.8</v>
      </c>
    </row>
    <row r="2326" spans="1:3" ht="15" hidden="1" customHeight="1" x14ac:dyDescent="0.3">
      <c r="A2326" t="s">
        <v>208</v>
      </c>
      <c r="B2326" s="2">
        <v>45870</v>
      </c>
      <c r="C2326">
        <v>14484.6</v>
      </c>
    </row>
    <row r="2327" spans="1:3" ht="15" hidden="1" customHeight="1" x14ac:dyDescent="0.3">
      <c r="A2327" t="s">
        <v>208</v>
      </c>
      <c r="B2327" s="2">
        <v>45901</v>
      </c>
      <c r="C2327">
        <v>16189.2</v>
      </c>
    </row>
    <row r="2328" spans="1:3" ht="15" hidden="1" customHeight="1" x14ac:dyDescent="0.3">
      <c r="A2328" t="s">
        <v>208</v>
      </c>
      <c r="B2328" s="2">
        <v>45931</v>
      </c>
      <c r="C2328">
        <v>18663.3</v>
      </c>
    </row>
    <row r="2329" spans="1:3" ht="15" hidden="1" customHeight="1" x14ac:dyDescent="0.3">
      <c r="A2329" t="s">
        <v>208</v>
      </c>
      <c r="B2329" s="2">
        <v>45962</v>
      </c>
      <c r="C2329">
        <v>18589.5</v>
      </c>
    </row>
    <row r="2330" spans="1:3" ht="15" hidden="1" customHeight="1" x14ac:dyDescent="0.3">
      <c r="A2330" t="s">
        <v>208</v>
      </c>
      <c r="B2330" s="2">
        <v>45992</v>
      </c>
      <c r="C2330">
        <v>19022.400000000001</v>
      </c>
    </row>
    <row r="2331" spans="1:3" ht="15" hidden="1" customHeight="1" x14ac:dyDescent="0.3">
      <c r="A2331" t="s">
        <v>208</v>
      </c>
      <c r="B2331" s="2">
        <v>46023</v>
      </c>
      <c r="C2331">
        <v>18584.099999999999</v>
      </c>
    </row>
    <row r="2332" spans="1:3" ht="15" hidden="1" customHeight="1" x14ac:dyDescent="0.3">
      <c r="A2332" t="s">
        <v>208</v>
      </c>
      <c r="B2332" s="2">
        <v>46054</v>
      </c>
      <c r="C2332">
        <v>16101.9</v>
      </c>
    </row>
    <row r="2333" spans="1:3" ht="15" hidden="1" customHeight="1" x14ac:dyDescent="0.3">
      <c r="A2333" t="s">
        <v>208</v>
      </c>
      <c r="B2333" s="2">
        <v>46082</v>
      </c>
      <c r="C2333">
        <v>15901.2</v>
      </c>
    </row>
    <row r="2334" spans="1:3" ht="15" hidden="1" customHeight="1" x14ac:dyDescent="0.3">
      <c r="A2334" t="s">
        <v>208</v>
      </c>
      <c r="B2334" s="2">
        <v>46113</v>
      </c>
      <c r="C2334">
        <v>13660.2</v>
      </c>
    </row>
    <row r="2335" spans="1:3" ht="15" hidden="1" customHeight="1" x14ac:dyDescent="0.3">
      <c r="A2335" t="s">
        <v>208</v>
      </c>
      <c r="B2335" s="2">
        <v>46143</v>
      </c>
      <c r="C2335">
        <v>12620.7</v>
      </c>
    </row>
    <row r="2336" spans="1:3" ht="15" hidden="1" customHeight="1" x14ac:dyDescent="0.3">
      <c r="A2336" t="s">
        <v>208</v>
      </c>
      <c r="B2336" s="2">
        <v>46174</v>
      </c>
      <c r="C2336">
        <v>11094.3</v>
      </c>
    </row>
    <row r="2337" spans="1:3" ht="15" hidden="1" customHeight="1" x14ac:dyDescent="0.3">
      <c r="A2337" t="s">
        <v>208</v>
      </c>
      <c r="B2337" s="2">
        <v>46204</v>
      </c>
      <c r="C2337">
        <v>12367.8</v>
      </c>
    </row>
    <row r="2338" spans="1:3" ht="15" customHeight="1" x14ac:dyDescent="0.3">
      <c r="A2338" t="s">
        <v>208</v>
      </c>
      <c r="B2338" s="2">
        <v>46235</v>
      </c>
      <c r="C2338">
        <v>14484.6</v>
      </c>
    </row>
    <row r="2339" spans="1:3" ht="15" hidden="1" customHeight="1" x14ac:dyDescent="0.3">
      <c r="A2339" t="s">
        <v>208</v>
      </c>
      <c r="B2339" s="2">
        <v>46266</v>
      </c>
      <c r="C2339">
        <v>16189.2</v>
      </c>
    </row>
    <row r="2340" spans="1:3" ht="15" hidden="1" customHeight="1" x14ac:dyDescent="0.3">
      <c r="A2340" t="s">
        <v>208</v>
      </c>
      <c r="B2340" s="2">
        <v>46296</v>
      </c>
      <c r="C2340">
        <v>18663.3</v>
      </c>
    </row>
    <row r="2341" spans="1:3" ht="15" hidden="1" customHeight="1" x14ac:dyDescent="0.3">
      <c r="A2341" t="s">
        <v>208</v>
      </c>
      <c r="B2341" s="2">
        <v>46327</v>
      </c>
      <c r="C2341">
        <v>18589.5</v>
      </c>
    </row>
    <row r="2342" spans="1:3" ht="15" hidden="1" customHeight="1" x14ac:dyDescent="0.3">
      <c r="A2342" t="s">
        <v>208</v>
      </c>
      <c r="B2342" s="2">
        <v>46357</v>
      </c>
      <c r="C2342">
        <v>19022.400000000001</v>
      </c>
    </row>
    <row r="2343" spans="1:3" ht="15" hidden="1" customHeight="1" x14ac:dyDescent="0.3">
      <c r="A2343" t="s">
        <v>190</v>
      </c>
      <c r="B2343" s="2">
        <v>45292</v>
      </c>
      <c r="C2343">
        <v>16638.665000000001</v>
      </c>
    </row>
    <row r="2344" spans="1:3" ht="15" hidden="1" customHeight="1" x14ac:dyDescent="0.3">
      <c r="A2344" t="s">
        <v>190</v>
      </c>
      <c r="B2344" s="2">
        <v>45323</v>
      </c>
      <c r="C2344">
        <v>14215.06</v>
      </c>
    </row>
    <row r="2345" spans="1:3" ht="15" hidden="1" customHeight="1" x14ac:dyDescent="0.3">
      <c r="A2345" t="s">
        <v>190</v>
      </c>
      <c r="B2345" s="2">
        <v>45352</v>
      </c>
      <c r="C2345">
        <v>15137.31</v>
      </c>
    </row>
    <row r="2346" spans="1:3" ht="15" hidden="1" customHeight="1" x14ac:dyDescent="0.3">
      <c r="A2346" t="s">
        <v>190</v>
      </c>
      <c r="B2346" s="2">
        <v>45383</v>
      </c>
      <c r="C2346">
        <v>13176.87</v>
      </c>
    </row>
    <row r="2347" spans="1:3" ht="15" hidden="1" customHeight="1" x14ac:dyDescent="0.3">
      <c r="A2347" t="s">
        <v>190</v>
      </c>
      <c r="B2347" s="2">
        <v>45413</v>
      </c>
      <c r="C2347">
        <v>12813.75</v>
      </c>
    </row>
    <row r="2348" spans="1:3" ht="15" hidden="1" customHeight="1" x14ac:dyDescent="0.3">
      <c r="A2348" t="s">
        <v>190</v>
      </c>
      <c r="B2348" s="2">
        <v>45444</v>
      </c>
      <c r="C2348">
        <v>11578.87</v>
      </c>
    </row>
    <row r="2349" spans="1:3" ht="15" hidden="1" customHeight="1" x14ac:dyDescent="0.3">
      <c r="A2349" t="s">
        <v>190</v>
      </c>
      <c r="B2349" s="2">
        <v>45474</v>
      </c>
      <c r="C2349">
        <v>12892.545</v>
      </c>
    </row>
    <row r="2350" spans="1:3" ht="15" hidden="1" customHeight="1" x14ac:dyDescent="0.3">
      <c r="A2350" t="s">
        <v>190</v>
      </c>
      <c r="B2350" s="2">
        <v>45505</v>
      </c>
      <c r="C2350">
        <v>14836.92</v>
      </c>
    </row>
    <row r="2351" spans="1:3" ht="15" hidden="1" customHeight="1" x14ac:dyDescent="0.3">
      <c r="A2351" t="s">
        <v>190</v>
      </c>
      <c r="B2351" s="2">
        <v>45536</v>
      </c>
      <c r="C2351">
        <v>15996.15</v>
      </c>
    </row>
    <row r="2352" spans="1:3" ht="15" hidden="1" customHeight="1" x14ac:dyDescent="0.3">
      <c r="A2352" t="s">
        <v>190</v>
      </c>
      <c r="B2352" s="2">
        <v>45566</v>
      </c>
      <c r="C2352">
        <v>16796.169999999998</v>
      </c>
    </row>
    <row r="2353" spans="1:3" ht="15" hidden="1" customHeight="1" x14ac:dyDescent="0.3">
      <c r="A2353" t="s">
        <v>190</v>
      </c>
      <c r="B2353" s="2">
        <v>45597</v>
      </c>
      <c r="C2353">
        <v>16463.224999999999</v>
      </c>
    </row>
    <row r="2354" spans="1:3" ht="15" hidden="1" customHeight="1" x14ac:dyDescent="0.3">
      <c r="A2354" t="s">
        <v>190</v>
      </c>
      <c r="B2354" s="2">
        <v>45627</v>
      </c>
      <c r="C2354">
        <v>17398.904999999999</v>
      </c>
    </row>
    <row r="2355" spans="1:3" ht="15" hidden="1" customHeight="1" x14ac:dyDescent="0.3">
      <c r="A2355" t="s">
        <v>190</v>
      </c>
      <c r="B2355" s="2">
        <v>45658</v>
      </c>
      <c r="C2355">
        <v>16638.665000000001</v>
      </c>
    </row>
    <row r="2356" spans="1:3" ht="15" hidden="1" customHeight="1" x14ac:dyDescent="0.3">
      <c r="A2356" t="s">
        <v>190</v>
      </c>
      <c r="B2356" s="2">
        <v>45689</v>
      </c>
      <c r="C2356">
        <v>14215.06</v>
      </c>
    </row>
    <row r="2357" spans="1:3" ht="15" hidden="1" customHeight="1" x14ac:dyDescent="0.3">
      <c r="A2357" t="s">
        <v>190</v>
      </c>
      <c r="B2357" s="2">
        <v>45717</v>
      </c>
      <c r="C2357">
        <v>15137.31</v>
      </c>
    </row>
    <row r="2358" spans="1:3" ht="15" hidden="1" customHeight="1" x14ac:dyDescent="0.3">
      <c r="A2358" t="s">
        <v>190</v>
      </c>
      <c r="B2358" s="2">
        <v>45748</v>
      </c>
      <c r="C2358">
        <v>13176.87</v>
      </c>
    </row>
    <row r="2359" spans="1:3" ht="15" hidden="1" customHeight="1" x14ac:dyDescent="0.3">
      <c r="A2359" t="s">
        <v>190</v>
      </c>
      <c r="B2359" s="2">
        <v>45778</v>
      </c>
      <c r="C2359">
        <v>12813.75</v>
      </c>
    </row>
    <row r="2360" spans="1:3" ht="15" hidden="1" customHeight="1" x14ac:dyDescent="0.3">
      <c r="A2360" t="s">
        <v>190</v>
      </c>
      <c r="B2360" s="2">
        <v>45809</v>
      </c>
      <c r="C2360">
        <v>11578.87</v>
      </c>
    </row>
    <row r="2361" spans="1:3" ht="15" hidden="1" customHeight="1" x14ac:dyDescent="0.3">
      <c r="A2361" t="s">
        <v>190</v>
      </c>
      <c r="B2361" s="2">
        <v>45839</v>
      </c>
      <c r="C2361">
        <v>12892.545</v>
      </c>
    </row>
    <row r="2362" spans="1:3" ht="15" hidden="1" customHeight="1" x14ac:dyDescent="0.3">
      <c r="A2362" t="s">
        <v>190</v>
      </c>
      <c r="B2362" s="2">
        <v>45870</v>
      </c>
      <c r="C2362">
        <v>14836.92</v>
      </c>
    </row>
    <row r="2363" spans="1:3" ht="15" hidden="1" customHeight="1" x14ac:dyDescent="0.3">
      <c r="A2363" t="s">
        <v>190</v>
      </c>
      <c r="B2363" s="2">
        <v>45901</v>
      </c>
      <c r="C2363">
        <v>15996.15</v>
      </c>
    </row>
    <row r="2364" spans="1:3" ht="15" hidden="1" customHeight="1" x14ac:dyDescent="0.3">
      <c r="A2364" t="s">
        <v>190</v>
      </c>
      <c r="B2364" s="2">
        <v>45931</v>
      </c>
      <c r="C2364">
        <v>16796.169999999998</v>
      </c>
    </row>
    <row r="2365" spans="1:3" ht="15" hidden="1" customHeight="1" x14ac:dyDescent="0.3">
      <c r="A2365" t="s">
        <v>190</v>
      </c>
      <c r="B2365" s="2">
        <v>45962</v>
      </c>
      <c r="C2365">
        <v>16463.224999999999</v>
      </c>
    </row>
    <row r="2366" spans="1:3" ht="15" hidden="1" customHeight="1" x14ac:dyDescent="0.3">
      <c r="A2366" t="s">
        <v>190</v>
      </c>
      <c r="B2366" s="2">
        <v>45992</v>
      </c>
      <c r="C2366">
        <v>17398.904999999999</v>
      </c>
    </row>
    <row r="2367" spans="1:3" ht="15" hidden="1" customHeight="1" x14ac:dyDescent="0.3">
      <c r="A2367" t="s">
        <v>190</v>
      </c>
      <c r="B2367" s="2">
        <v>46023</v>
      </c>
      <c r="C2367">
        <v>16638.665000000001</v>
      </c>
    </row>
    <row r="2368" spans="1:3" ht="15" hidden="1" customHeight="1" x14ac:dyDescent="0.3">
      <c r="A2368" t="s">
        <v>190</v>
      </c>
      <c r="B2368" s="2">
        <v>46054</v>
      </c>
      <c r="C2368">
        <v>14215.06</v>
      </c>
    </row>
    <row r="2369" spans="1:3" ht="15" hidden="1" customHeight="1" x14ac:dyDescent="0.3">
      <c r="A2369" t="s">
        <v>190</v>
      </c>
      <c r="B2369" s="2">
        <v>46082</v>
      </c>
      <c r="C2369">
        <v>15137.31</v>
      </c>
    </row>
    <row r="2370" spans="1:3" ht="15" hidden="1" customHeight="1" x14ac:dyDescent="0.3">
      <c r="A2370" t="s">
        <v>190</v>
      </c>
      <c r="B2370" s="2">
        <v>46113</v>
      </c>
      <c r="C2370">
        <v>13176.87</v>
      </c>
    </row>
    <row r="2371" spans="1:3" ht="15" hidden="1" customHeight="1" x14ac:dyDescent="0.3">
      <c r="A2371" t="s">
        <v>190</v>
      </c>
      <c r="B2371" s="2">
        <v>46143</v>
      </c>
      <c r="C2371">
        <v>12813.75</v>
      </c>
    </row>
    <row r="2372" spans="1:3" ht="15" hidden="1" customHeight="1" x14ac:dyDescent="0.3">
      <c r="A2372" t="s">
        <v>190</v>
      </c>
      <c r="B2372" s="2">
        <v>46174</v>
      </c>
      <c r="C2372">
        <v>11578.87</v>
      </c>
    </row>
    <row r="2373" spans="1:3" ht="15" hidden="1" customHeight="1" x14ac:dyDescent="0.3">
      <c r="A2373" t="s">
        <v>190</v>
      </c>
      <c r="B2373" s="2">
        <v>46204</v>
      </c>
      <c r="C2373">
        <v>12892.545</v>
      </c>
    </row>
    <row r="2374" spans="1:3" ht="15" customHeight="1" x14ac:dyDescent="0.3">
      <c r="A2374" t="s">
        <v>190</v>
      </c>
      <c r="B2374" s="2">
        <v>46235</v>
      </c>
      <c r="C2374">
        <v>14836.92</v>
      </c>
    </row>
    <row r="2375" spans="1:3" ht="15" hidden="1" customHeight="1" x14ac:dyDescent="0.3">
      <c r="A2375" t="s">
        <v>190</v>
      </c>
      <c r="B2375" s="2">
        <v>46266</v>
      </c>
      <c r="C2375">
        <v>15996.15</v>
      </c>
    </row>
    <row r="2376" spans="1:3" ht="15" hidden="1" customHeight="1" x14ac:dyDescent="0.3">
      <c r="A2376" t="s">
        <v>190</v>
      </c>
      <c r="B2376" s="2">
        <v>46296</v>
      </c>
      <c r="C2376">
        <v>16796.169999999998</v>
      </c>
    </row>
    <row r="2377" spans="1:3" ht="15" hidden="1" customHeight="1" x14ac:dyDescent="0.3">
      <c r="A2377" t="s">
        <v>190</v>
      </c>
      <c r="B2377" s="2">
        <v>46327</v>
      </c>
      <c r="C2377">
        <v>16463.224999999999</v>
      </c>
    </row>
    <row r="2378" spans="1:3" ht="15" hidden="1" customHeight="1" x14ac:dyDescent="0.3">
      <c r="A2378" t="s">
        <v>190</v>
      </c>
      <c r="B2378" s="2">
        <v>46357</v>
      </c>
      <c r="C2378">
        <v>17398.904999999999</v>
      </c>
    </row>
    <row r="2379" spans="1:3" ht="15" hidden="1" customHeight="1" x14ac:dyDescent="0.3">
      <c r="A2379" t="s">
        <v>199</v>
      </c>
      <c r="B2379" s="2">
        <v>45292</v>
      </c>
      <c r="C2379">
        <v>3784.4250000000002</v>
      </c>
    </row>
    <row r="2380" spans="1:3" ht="15" hidden="1" customHeight="1" x14ac:dyDescent="0.3">
      <c r="A2380" t="s">
        <v>199</v>
      </c>
      <c r="B2380" s="2">
        <v>45323</v>
      </c>
      <c r="C2380">
        <v>3270.15</v>
      </c>
    </row>
    <row r="2381" spans="1:3" ht="15" hidden="1" customHeight="1" x14ac:dyDescent="0.3">
      <c r="A2381" t="s">
        <v>199</v>
      </c>
      <c r="B2381" s="2">
        <v>45352</v>
      </c>
      <c r="C2381">
        <v>3533.3249999999998</v>
      </c>
    </row>
    <row r="2382" spans="1:3" ht="15" hidden="1" customHeight="1" x14ac:dyDescent="0.3">
      <c r="A2382" t="s">
        <v>199</v>
      </c>
      <c r="B2382" s="2">
        <v>45383</v>
      </c>
      <c r="C2382">
        <v>3063.0749999999998</v>
      </c>
    </row>
    <row r="2383" spans="1:3" ht="15" hidden="1" customHeight="1" x14ac:dyDescent="0.3">
      <c r="A2383" t="s">
        <v>199</v>
      </c>
      <c r="B2383" s="2">
        <v>45413</v>
      </c>
      <c r="C2383">
        <v>3093.8249999999998</v>
      </c>
    </row>
    <row r="2384" spans="1:3" ht="15" hidden="1" customHeight="1" x14ac:dyDescent="0.3">
      <c r="A2384" t="s">
        <v>199</v>
      </c>
      <c r="B2384" s="2">
        <v>45444</v>
      </c>
      <c r="C2384">
        <v>2834.0250000000001</v>
      </c>
    </row>
    <row r="2385" spans="1:3" ht="15" hidden="1" customHeight="1" x14ac:dyDescent="0.3">
      <c r="A2385" t="s">
        <v>199</v>
      </c>
      <c r="B2385" s="2">
        <v>45474</v>
      </c>
      <c r="C2385">
        <v>3103.35</v>
      </c>
    </row>
    <row r="2386" spans="1:3" ht="15" hidden="1" customHeight="1" x14ac:dyDescent="0.3">
      <c r="A2386" t="s">
        <v>199</v>
      </c>
      <c r="B2386" s="2">
        <v>45505</v>
      </c>
      <c r="C2386">
        <v>3491.55</v>
      </c>
    </row>
    <row r="2387" spans="1:3" ht="15" hidden="1" customHeight="1" x14ac:dyDescent="0.3">
      <c r="A2387" t="s">
        <v>199</v>
      </c>
      <c r="B2387" s="2">
        <v>45536</v>
      </c>
      <c r="C2387">
        <v>3723.45</v>
      </c>
    </row>
    <row r="2388" spans="1:3" ht="15" hidden="1" customHeight="1" x14ac:dyDescent="0.3">
      <c r="A2388" t="s">
        <v>199</v>
      </c>
      <c r="B2388" s="2">
        <v>45566</v>
      </c>
      <c r="C2388">
        <v>3899.4</v>
      </c>
    </row>
    <row r="2389" spans="1:3" ht="15" hidden="1" customHeight="1" x14ac:dyDescent="0.3">
      <c r="A2389" t="s">
        <v>199</v>
      </c>
      <c r="B2389" s="2">
        <v>45597</v>
      </c>
      <c r="C2389">
        <v>3732.75</v>
      </c>
    </row>
    <row r="2390" spans="1:3" ht="15" hidden="1" customHeight="1" x14ac:dyDescent="0.3">
      <c r="A2390" t="s">
        <v>199</v>
      </c>
      <c r="B2390" s="2">
        <v>45627</v>
      </c>
      <c r="C2390">
        <v>4016.1750000000002</v>
      </c>
    </row>
    <row r="2391" spans="1:3" ht="15" hidden="1" customHeight="1" x14ac:dyDescent="0.3">
      <c r="A2391" t="s">
        <v>199</v>
      </c>
      <c r="B2391" s="2">
        <v>45658</v>
      </c>
      <c r="C2391">
        <v>3784.4250000000002</v>
      </c>
    </row>
    <row r="2392" spans="1:3" ht="15" hidden="1" customHeight="1" x14ac:dyDescent="0.3">
      <c r="A2392" t="s">
        <v>199</v>
      </c>
      <c r="B2392" s="2">
        <v>45689</v>
      </c>
      <c r="C2392">
        <v>3270.15</v>
      </c>
    </row>
    <row r="2393" spans="1:3" ht="15" hidden="1" customHeight="1" x14ac:dyDescent="0.3">
      <c r="A2393" t="s">
        <v>199</v>
      </c>
      <c r="B2393" s="2">
        <v>45717</v>
      </c>
      <c r="C2393">
        <v>3533.3249999999998</v>
      </c>
    </row>
    <row r="2394" spans="1:3" ht="15" hidden="1" customHeight="1" x14ac:dyDescent="0.3">
      <c r="A2394" t="s">
        <v>199</v>
      </c>
      <c r="B2394" s="2">
        <v>45748</v>
      </c>
      <c r="C2394">
        <v>3063.0749999999998</v>
      </c>
    </row>
    <row r="2395" spans="1:3" ht="15" hidden="1" customHeight="1" x14ac:dyDescent="0.3">
      <c r="A2395" t="s">
        <v>199</v>
      </c>
      <c r="B2395" s="2">
        <v>45778</v>
      </c>
      <c r="C2395">
        <v>3093.8249999999998</v>
      </c>
    </row>
    <row r="2396" spans="1:3" ht="15" hidden="1" customHeight="1" x14ac:dyDescent="0.3">
      <c r="A2396" t="s">
        <v>199</v>
      </c>
      <c r="B2396" s="2">
        <v>45809</v>
      </c>
      <c r="C2396">
        <v>2834.0250000000001</v>
      </c>
    </row>
    <row r="2397" spans="1:3" ht="15" hidden="1" customHeight="1" x14ac:dyDescent="0.3">
      <c r="A2397" t="s">
        <v>199</v>
      </c>
      <c r="B2397" s="2">
        <v>45839</v>
      </c>
      <c r="C2397">
        <v>3103.35</v>
      </c>
    </row>
    <row r="2398" spans="1:3" ht="15" hidden="1" customHeight="1" x14ac:dyDescent="0.3">
      <c r="A2398" t="s">
        <v>199</v>
      </c>
      <c r="B2398" s="2">
        <v>45870</v>
      </c>
      <c r="C2398">
        <v>3491.55</v>
      </c>
    </row>
    <row r="2399" spans="1:3" ht="15" hidden="1" customHeight="1" x14ac:dyDescent="0.3">
      <c r="A2399" t="s">
        <v>199</v>
      </c>
      <c r="B2399" s="2">
        <v>45901</v>
      </c>
      <c r="C2399">
        <v>3723.45</v>
      </c>
    </row>
    <row r="2400" spans="1:3" ht="15" hidden="1" customHeight="1" x14ac:dyDescent="0.3">
      <c r="A2400" t="s">
        <v>199</v>
      </c>
      <c r="B2400" s="2">
        <v>45931</v>
      </c>
      <c r="C2400">
        <v>3899.4</v>
      </c>
    </row>
    <row r="2401" spans="1:3" ht="15" hidden="1" customHeight="1" x14ac:dyDescent="0.3">
      <c r="A2401" t="s">
        <v>199</v>
      </c>
      <c r="B2401" s="2">
        <v>45962</v>
      </c>
      <c r="C2401">
        <v>3732.75</v>
      </c>
    </row>
    <row r="2402" spans="1:3" ht="15" hidden="1" customHeight="1" x14ac:dyDescent="0.3">
      <c r="A2402" t="s">
        <v>199</v>
      </c>
      <c r="B2402" s="2">
        <v>45992</v>
      </c>
      <c r="C2402">
        <v>4016.1750000000002</v>
      </c>
    </row>
    <row r="2403" spans="1:3" ht="15" hidden="1" customHeight="1" x14ac:dyDescent="0.3">
      <c r="A2403" t="s">
        <v>199</v>
      </c>
      <c r="B2403" s="2">
        <v>46023</v>
      </c>
      <c r="C2403">
        <v>3784.4250000000002</v>
      </c>
    </row>
    <row r="2404" spans="1:3" ht="15" hidden="1" customHeight="1" x14ac:dyDescent="0.3">
      <c r="A2404" t="s">
        <v>199</v>
      </c>
      <c r="B2404" s="2">
        <v>46054</v>
      </c>
      <c r="C2404">
        <v>3270.15</v>
      </c>
    </row>
    <row r="2405" spans="1:3" ht="15" hidden="1" customHeight="1" x14ac:dyDescent="0.3">
      <c r="A2405" t="s">
        <v>199</v>
      </c>
      <c r="B2405" s="2">
        <v>46082</v>
      </c>
      <c r="C2405">
        <v>3533.3249999999998</v>
      </c>
    </row>
    <row r="2406" spans="1:3" ht="15" hidden="1" customHeight="1" x14ac:dyDescent="0.3">
      <c r="A2406" t="s">
        <v>199</v>
      </c>
      <c r="B2406" s="2">
        <v>46113</v>
      </c>
      <c r="C2406">
        <v>3063.0749999999998</v>
      </c>
    </row>
    <row r="2407" spans="1:3" ht="15" hidden="1" customHeight="1" x14ac:dyDescent="0.3">
      <c r="A2407" t="s">
        <v>199</v>
      </c>
      <c r="B2407" s="2">
        <v>46143</v>
      </c>
      <c r="C2407">
        <v>3093.8249999999998</v>
      </c>
    </row>
    <row r="2408" spans="1:3" ht="15" hidden="1" customHeight="1" x14ac:dyDescent="0.3">
      <c r="A2408" t="s">
        <v>199</v>
      </c>
      <c r="B2408" s="2">
        <v>46174</v>
      </c>
      <c r="C2408">
        <v>2834.0250000000001</v>
      </c>
    </row>
    <row r="2409" spans="1:3" ht="15" hidden="1" customHeight="1" x14ac:dyDescent="0.3">
      <c r="A2409" t="s">
        <v>199</v>
      </c>
      <c r="B2409" s="2">
        <v>46204</v>
      </c>
      <c r="C2409">
        <v>3103.35</v>
      </c>
    </row>
    <row r="2410" spans="1:3" ht="15" customHeight="1" x14ac:dyDescent="0.3">
      <c r="A2410" t="s">
        <v>199</v>
      </c>
      <c r="B2410" s="2">
        <v>46235</v>
      </c>
      <c r="C2410">
        <v>3491.55</v>
      </c>
    </row>
    <row r="2411" spans="1:3" ht="15" hidden="1" customHeight="1" x14ac:dyDescent="0.3">
      <c r="A2411" t="s">
        <v>199</v>
      </c>
      <c r="B2411" s="2">
        <v>46266</v>
      </c>
      <c r="C2411">
        <v>3723.45</v>
      </c>
    </row>
    <row r="2412" spans="1:3" ht="15" hidden="1" customHeight="1" x14ac:dyDescent="0.3">
      <c r="A2412" t="s">
        <v>199</v>
      </c>
      <c r="B2412" s="2">
        <v>46296</v>
      </c>
      <c r="C2412">
        <v>3899.4</v>
      </c>
    </row>
    <row r="2413" spans="1:3" ht="15" hidden="1" customHeight="1" x14ac:dyDescent="0.3">
      <c r="A2413" t="s">
        <v>199</v>
      </c>
      <c r="B2413" s="2">
        <v>46327</v>
      </c>
      <c r="C2413">
        <v>3732.75</v>
      </c>
    </row>
    <row r="2414" spans="1:3" ht="15" hidden="1" customHeight="1" x14ac:dyDescent="0.3">
      <c r="A2414" t="s">
        <v>199</v>
      </c>
      <c r="B2414" s="2">
        <v>46357</v>
      </c>
      <c r="C2414">
        <v>4016.1750000000002</v>
      </c>
    </row>
    <row r="2415" spans="1:3" ht="15" hidden="1" customHeight="1" x14ac:dyDescent="0.3">
      <c r="A2415" t="s">
        <v>192</v>
      </c>
      <c r="B2415" s="2">
        <v>45292</v>
      </c>
      <c r="C2415">
        <v>0</v>
      </c>
    </row>
    <row r="2416" spans="1:3" ht="15" hidden="1" customHeight="1" x14ac:dyDescent="0.3">
      <c r="A2416" t="s">
        <v>192</v>
      </c>
      <c r="B2416" s="2">
        <v>45323</v>
      </c>
      <c r="C2416">
        <v>0</v>
      </c>
    </row>
    <row r="2417" spans="1:3" ht="15" hidden="1" customHeight="1" x14ac:dyDescent="0.3">
      <c r="A2417" t="s">
        <v>192</v>
      </c>
      <c r="B2417" s="2">
        <v>45352</v>
      </c>
      <c r="C2417">
        <v>0</v>
      </c>
    </row>
    <row r="2418" spans="1:3" ht="15" hidden="1" customHeight="1" x14ac:dyDescent="0.3">
      <c r="A2418" t="s">
        <v>192</v>
      </c>
      <c r="B2418" s="2">
        <v>45383</v>
      </c>
      <c r="C2418">
        <v>0</v>
      </c>
    </row>
    <row r="2419" spans="1:3" ht="15" hidden="1" customHeight="1" x14ac:dyDescent="0.3">
      <c r="A2419" t="s">
        <v>192</v>
      </c>
      <c r="B2419" s="2">
        <v>45413</v>
      </c>
      <c r="C2419">
        <v>0</v>
      </c>
    </row>
    <row r="2420" spans="1:3" ht="15" hidden="1" customHeight="1" x14ac:dyDescent="0.3">
      <c r="A2420" t="s">
        <v>192</v>
      </c>
      <c r="B2420" s="2">
        <v>45444</v>
      </c>
      <c r="C2420">
        <v>0</v>
      </c>
    </row>
    <row r="2421" spans="1:3" ht="15" hidden="1" customHeight="1" x14ac:dyDescent="0.3">
      <c r="A2421" t="s">
        <v>192</v>
      </c>
      <c r="B2421" s="2">
        <v>45474</v>
      </c>
      <c r="C2421">
        <v>0</v>
      </c>
    </row>
    <row r="2422" spans="1:3" ht="15" hidden="1" customHeight="1" x14ac:dyDescent="0.3">
      <c r="A2422" t="s">
        <v>192</v>
      </c>
      <c r="B2422" s="2">
        <v>45505</v>
      </c>
      <c r="C2422">
        <v>0</v>
      </c>
    </row>
    <row r="2423" spans="1:3" ht="15" hidden="1" customHeight="1" x14ac:dyDescent="0.3">
      <c r="A2423" t="s">
        <v>192</v>
      </c>
      <c r="B2423" s="2">
        <v>45536</v>
      </c>
      <c r="C2423">
        <v>0</v>
      </c>
    </row>
    <row r="2424" spans="1:3" ht="15" hidden="1" customHeight="1" x14ac:dyDescent="0.3">
      <c r="A2424" t="s">
        <v>192</v>
      </c>
      <c r="B2424" s="2">
        <v>45566</v>
      </c>
      <c r="C2424">
        <v>0</v>
      </c>
    </row>
    <row r="2425" spans="1:3" ht="15" hidden="1" customHeight="1" x14ac:dyDescent="0.3">
      <c r="A2425" t="s">
        <v>192</v>
      </c>
      <c r="B2425" s="2">
        <v>45597</v>
      </c>
      <c r="C2425">
        <v>0</v>
      </c>
    </row>
    <row r="2426" spans="1:3" ht="15" hidden="1" customHeight="1" x14ac:dyDescent="0.3">
      <c r="A2426" t="s">
        <v>192</v>
      </c>
      <c r="B2426" s="2">
        <v>45627</v>
      </c>
      <c r="C2426">
        <v>0</v>
      </c>
    </row>
    <row r="2427" spans="1:3" ht="15" hidden="1" customHeight="1" x14ac:dyDescent="0.3">
      <c r="A2427" t="s">
        <v>192</v>
      </c>
      <c r="B2427" s="2">
        <v>45658</v>
      </c>
      <c r="C2427">
        <v>0</v>
      </c>
    </row>
    <row r="2428" spans="1:3" ht="15" hidden="1" customHeight="1" x14ac:dyDescent="0.3">
      <c r="A2428" t="s">
        <v>192</v>
      </c>
      <c r="B2428" s="2">
        <v>45689</v>
      </c>
      <c r="C2428">
        <v>0</v>
      </c>
    </row>
    <row r="2429" spans="1:3" ht="15" hidden="1" customHeight="1" x14ac:dyDescent="0.3">
      <c r="A2429" t="s">
        <v>192</v>
      </c>
      <c r="B2429" s="2">
        <v>45717</v>
      </c>
      <c r="C2429">
        <v>0</v>
      </c>
    </row>
    <row r="2430" spans="1:3" ht="15" hidden="1" customHeight="1" x14ac:dyDescent="0.3">
      <c r="A2430" t="s">
        <v>192</v>
      </c>
      <c r="B2430" s="2">
        <v>45748</v>
      </c>
      <c r="C2430">
        <v>0</v>
      </c>
    </row>
    <row r="2431" spans="1:3" ht="15" hidden="1" customHeight="1" x14ac:dyDescent="0.3">
      <c r="A2431" t="s">
        <v>192</v>
      </c>
      <c r="B2431" s="2">
        <v>45778</v>
      </c>
      <c r="C2431">
        <v>0</v>
      </c>
    </row>
    <row r="2432" spans="1:3" ht="15" hidden="1" customHeight="1" x14ac:dyDescent="0.3">
      <c r="A2432" t="s">
        <v>192</v>
      </c>
      <c r="B2432" s="2">
        <v>45809</v>
      </c>
      <c r="C2432">
        <v>0</v>
      </c>
    </row>
    <row r="2433" spans="1:3" ht="15" hidden="1" customHeight="1" x14ac:dyDescent="0.3">
      <c r="A2433" t="s">
        <v>192</v>
      </c>
      <c r="B2433" s="2">
        <v>45839</v>
      </c>
      <c r="C2433">
        <v>0</v>
      </c>
    </row>
    <row r="2434" spans="1:3" ht="15" hidden="1" customHeight="1" x14ac:dyDescent="0.3">
      <c r="A2434" t="s">
        <v>192</v>
      </c>
      <c r="B2434" s="2">
        <v>45870</v>
      </c>
      <c r="C2434">
        <v>0</v>
      </c>
    </row>
    <row r="2435" spans="1:3" ht="15" hidden="1" customHeight="1" x14ac:dyDescent="0.3">
      <c r="A2435" t="s">
        <v>192</v>
      </c>
      <c r="B2435" s="2">
        <v>45901</v>
      </c>
      <c r="C2435">
        <v>0</v>
      </c>
    </row>
    <row r="2436" spans="1:3" ht="15" hidden="1" customHeight="1" x14ac:dyDescent="0.3">
      <c r="A2436" t="s">
        <v>192</v>
      </c>
      <c r="B2436" s="2">
        <v>45931</v>
      </c>
      <c r="C2436">
        <v>0</v>
      </c>
    </row>
    <row r="2437" spans="1:3" ht="15" hidden="1" customHeight="1" x14ac:dyDescent="0.3">
      <c r="A2437" t="s">
        <v>192</v>
      </c>
      <c r="B2437" s="2">
        <v>45962</v>
      </c>
      <c r="C2437">
        <v>0</v>
      </c>
    </row>
    <row r="2438" spans="1:3" ht="15" hidden="1" customHeight="1" x14ac:dyDescent="0.3">
      <c r="A2438" t="s">
        <v>192</v>
      </c>
      <c r="B2438" s="2">
        <v>45992</v>
      </c>
      <c r="C2438">
        <v>0</v>
      </c>
    </row>
    <row r="2439" spans="1:3" ht="15" hidden="1" customHeight="1" x14ac:dyDescent="0.3">
      <c r="A2439" t="s">
        <v>192</v>
      </c>
      <c r="B2439" s="2">
        <v>46023</v>
      </c>
      <c r="C2439">
        <v>0</v>
      </c>
    </row>
    <row r="2440" spans="1:3" ht="15" hidden="1" customHeight="1" x14ac:dyDescent="0.3">
      <c r="A2440" t="s">
        <v>192</v>
      </c>
      <c r="B2440" s="2">
        <v>46054</v>
      </c>
      <c r="C2440">
        <v>0</v>
      </c>
    </row>
    <row r="2441" spans="1:3" ht="15" hidden="1" customHeight="1" x14ac:dyDescent="0.3">
      <c r="A2441" t="s">
        <v>192</v>
      </c>
      <c r="B2441" s="2">
        <v>46082</v>
      </c>
      <c r="C2441">
        <v>0</v>
      </c>
    </row>
    <row r="2442" spans="1:3" ht="15" hidden="1" customHeight="1" x14ac:dyDescent="0.3">
      <c r="A2442" t="s">
        <v>192</v>
      </c>
      <c r="B2442" s="2">
        <v>46113</v>
      </c>
      <c r="C2442">
        <v>0</v>
      </c>
    </row>
    <row r="2443" spans="1:3" ht="15" hidden="1" customHeight="1" x14ac:dyDescent="0.3">
      <c r="A2443" t="s">
        <v>192</v>
      </c>
      <c r="B2443" s="2">
        <v>46143</v>
      </c>
      <c r="C2443">
        <v>0</v>
      </c>
    </row>
    <row r="2444" spans="1:3" ht="15" hidden="1" customHeight="1" x14ac:dyDescent="0.3">
      <c r="A2444" t="s">
        <v>192</v>
      </c>
      <c r="B2444" s="2">
        <v>46174</v>
      </c>
      <c r="C2444">
        <v>0</v>
      </c>
    </row>
    <row r="2445" spans="1:3" ht="15" hidden="1" customHeight="1" x14ac:dyDescent="0.3">
      <c r="A2445" t="s">
        <v>192</v>
      </c>
      <c r="B2445" s="2">
        <v>46204</v>
      </c>
      <c r="C2445">
        <v>0</v>
      </c>
    </row>
    <row r="2446" spans="1:3" ht="15" customHeight="1" x14ac:dyDescent="0.3">
      <c r="A2446" t="s">
        <v>192</v>
      </c>
      <c r="B2446" s="2">
        <v>46235</v>
      </c>
      <c r="C2446">
        <v>0</v>
      </c>
    </row>
    <row r="2447" spans="1:3" ht="15" hidden="1" customHeight="1" x14ac:dyDescent="0.3">
      <c r="A2447" t="s">
        <v>192</v>
      </c>
      <c r="B2447" s="2">
        <v>46266</v>
      </c>
      <c r="C2447">
        <v>0</v>
      </c>
    </row>
    <row r="2448" spans="1:3" ht="15" hidden="1" customHeight="1" x14ac:dyDescent="0.3">
      <c r="A2448" t="s">
        <v>192</v>
      </c>
      <c r="B2448" s="2">
        <v>46296</v>
      </c>
      <c r="C2448">
        <v>0</v>
      </c>
    </row>
    <row r="2449" spans="1:3" ht="15" hidden="1" customHeight="1" x14ac:dyDescent="0.3">
      <c r="A2449" t="s">
        <v>192</v>
      </c>
      <c r="B2449" s="2">
        <v>46327</v>
      </c>
      <c r="C2449">
        <v>0</v>
      </c>
    </row>
    <row r="2450" spans="1:3" ht="15" hidden="1" customHeight="1" x14ac:dyDescent="0.3">
      <c r="A2450" t="s">
        <v>192</v>
      </c>
      <c r="B2450" s="2">
        <v>46357</v>
      </c>
      <c r="C2450">
        <v>0</v>
      </c>
    </row>
    <row r="2451" spans="1:3" ht="15" hidden="1" customHeight="1" x14ac:dyDescent="0.3">
      <c r="A2451" t="s">
        <v>194</v>
      </c>
      <c r="B2451" s="2">
        <v>45292</v>
      </c>
      <c r="C2451">
        <v>7399.8</v>
      </c>
    </row>
    <row r="2452" spans="1:3" ht="15" hidden="1" customHeight="1" x14ac:dyDescent="0.3">
      <c r="A2452" t="s">
        <v>194</v>
      </c>
      <c r="B2452" s="2">
        <v>45323</v>
      </c>
      <c r="C2452">
        <v>6298.2</v>
      </c>
    </row>
    <row r="2453" spans="1:3" ht="15" hidden="1" customHeight="1" x14ac:dyDescent="0.3">
      <c r="A2453" t="s">
        <v>194</v>
      </c>
      <c r="B2453" s="2">
        <v>45352</v>
      </c>
      <c r="C2453">
        <v>6353.1</v>
      </c>
    </row>
    <row r="2454" spans="1:3" ht="15" hidden="1" customHeight="1" x14ac:dyDescent="0.3">
      <c r="A2454" t="s">
        <v>194</v>
      </c>
      <c r="B2454" s="2">
        <v>45383</v>
      </c>
      <c r="C2454">
        <v>5016.6000000000004</v>
      </c>
    </row>
    <row r="2455" spans="1:3" ht="15" hidden="1" customHeight="1" x14ac:dyDescent="0.3">
      <c r="A2455" t="s">
        <v>194</v>
      </c>
      <c r="B2455" s="2">
        <v>45413</v>
      </c>
      <c r="C2455">
        <v>4753.8</v>
      </c>
    </row>
    <row r="2456" spans="1:3" ht="15" hidden="1" customHeight="1" x14ac:dyDescent="0.3">
      <c r="A2456" t="s">
        <v>194</v>
      </c>
      <c r="B2456" s="2">
        <v>45444</v>
      </c>
      <c r="C2456">
        <v>4257</v>
      </c>
    </row>
    <row r="2457" spans="1:3" ht="15" hidden="1" customHeight="1" x14ac:dyDescent="0.3">
      <c r="A2457" t="s">
        <v>194</v>
      </c>
      <c r="B2457" s="2">
        <v>45474</v>
      </c>
      <c r="C2457">
        <v>4730.3999999999996</v>
      </c>
    </row>
    <row r="2458" spans="1:3" ht="15" hidden="1" customHeight="1" x14ac:dyDescent="0.3">
      <c r="A2458" t="s">
        <v>194</v>
      </c>
      <c r="B2458" s="2">
        <v>45505</v>
      </c>
      <c r="C2458">
        <v>5440.5</v>
      </c>
    </row>
    <row r="2459" spans="1:3" ht="15" hidden="1" customHeight="1" x14ac:dyDescent="0.3">
      <c r="A2459" t="s">
        <v>194</v>
      </c>
      <c r="B2459" s="2">
        <v>45536</v>
      </c>
      <c r="C2459">
        <v>6345.9</v>
      </c>
    </row>
    <row r="2460" spans="1:3" ht="15" hidden="1" customHeight="1" x14ac:dyDescent="0.3">
      <c r="A2460" t="s">
        <v>194</v>
      </c>
      <c r="B2460" s="2">
        <v>45566</v>
      </c>
      <c r="C2460">
        <v>7250.4</v>
      </c>
    </row>
    <row r="2461" spans="1:3" ht="15" hidden="1" customHeight="1" x14ac:dyDescent="0.3">
      <c r="A2461" t="s">
        <v>194</v>
      </c>
      <c r="B2461" s="2">
        <v>45597</v>
      </c>
      <c r="C2461">
        <v>7330.5</v>
      </c>
    </row>
    <row r="2462" spans="1:3" ht="15" hidden="1" customHeight="1" x14ac:dyDescent="0.3">
      <c r="A2462" t="s">
        <v>194</v>
      </c>
      <c r="B2462" s="2">
        <v>45627</v>
      </c>
      <c r="C2462">
        <v>7866</v>
      </c>
    </row>
    <row r="2463" spans="1:3" ht="15" hidden="1" customHeight="1" x14ac:dyDescent="0.3">
      <c r="A2463" t="s">
        <v>194</v>
      </c>
      <c r="B2463" s="2">
        <v>45658</v>
      </c>
      <c r="C2463">
        <v>7399.8</v>
      </c>
    </row>
    <row r="2464" spans="1:3" ht="15" hidden="1" customHeight="1" x14ac:dyDescent="0.3">
      <c r="A2464" t="s">
        <v>194</v>
      </c>
      <c r="B2464" s="2">
        <v>45689</v>
      </c>
      <c r="C2464">
        <v>6298.2</v>
      </c>
    </row>
    <row r="2465" spans="1:3" ht="15" hidden="1" customHeight="1" x14ac:dyDescent="0.3">
      <c r="A2465" t="s">
        <v>194</v>
      </c>
      <c r="B2465" s="2">
        <v>45717</v>
      </c>
      <c r="C2465">
        <v>6353.1</v>
      </c>
    </row>
    <row r="2466" spans="1:3" ht="15" hidden="1" customHeight="1" x14ac:dyDescent="0.3">
      <c r="A2466" t="s">
        <v>194</v>
      </c>
      <c r="B2466" s="2">
        <v>45748</v>
      </c>
      <c r="C2466">
        <v>5016.6000000000004</v>
      </c>
    </row>
    <row r="2467" spans="1:3" ht="15" hidden="1" customHeight="1" x14ac:dyDescent="0.3">
      <c r="A2467" t="s">
        <v>194</v>
      </c>
      <c r="B2467" s="2">
        <v>45778</v>
      </c>
      <c r="C2467">
        <v>4753.8</v>
      </c>
    </row>
    <row r="2468" spans="1:3" ht="15" hidden="1" customHeight="1" x14ac:dyDescent="0.3">
      <c r="A2468" t="s">
        <v>194</v>
      </c>
      <c r="B2468" s="2">
        <v>45809</v>
      </c>
      <c r="C2468">
        <v>4257</v>
      </c>
    </row>
    <row r="2469" spans="1:3" ht="15" hidden="1" customHeight="1" x14ac:dyDescent="0.3">
      <c r="A2469" t="s">
        <v>194</v>
      </c>
      <c r="B2469" s="2">
        <v>45839</v>
      </c>
      <c r="C2469">
        <v>4730.3999999999996</v>
      </c>
    </row>
    <row r="2470" spans="1:3" ht="15" hidden="1" customHeight="1" x14ac:dyDescent="0.3">
      <c r="A2470" t="s">
        <v>194</v>
      </c>
      <c r="B2470" s="2">
        <v>45870</v>
      </c>
      <c r="C2470">
        <v>5440.5</v>
      </c>
    </row>
    <row r="2471" spans="1:3" ht="15" hidden="1" customHeight="1" x14ac:dyDescent="0.3">
      <c r="A2471" t="s">
        <v>194</v>
      </c>
      <c r="B2471" s="2">
        <v>45901</v>
      </c>
      <c r="C2471">
        <v>6345.9</v>
      </c>
    </row>
    <row r="2472" spans="1:3" ht="15" hidden="1" customHeight="1" x14ac:dyDescent="0.3">
      <c r="A2472" t="s">
        <v>194</v>
      </c>
      <c r="B2472" s="2">
        <v>45931</v>
      </c>
      <c r="C2472">
        <v>7250.4</v>
      </c>
    </row>
    <row r="2473" spans="1:3" ht="15" hidden="1" customHeight="1" x14ac:dyDescent="0.3">
      <c r="A2473" t="s">
        <v>194</v>
      </c>
      <c r="B2473" s="2">
        <v>45962</v>
      </c>
      <c r="C2473">
        <v>7330.5</v>
      </c>
    </row>
    <row r="2474" spans="1:3" ht="15" hidden="1" customHeight="1" x14ac:dyDescent="0.3">
      <c r="A2474" t="s">
        <v>194</v>
      </c>
      <c r="B2474" s="2">
        <v>45992</v>
      </c>
      <c r="C2474">
        <v>7866</v>
      </c>
    </row>
    <row r="2475" spans="1:3" ht="15" hidden="1" customHeight="1" x14ac:dyDescent="0.3">
      <c r="A2475" t="s">
        <v>194</v>
      </c>
      <c r="B2475" s="2">
        <v>46023</v>
      </c>
      <c r="C2475">
        <v>7399.8</v>
      </c>
    </row>
    <row r="2476" spans="1:3" ht="15" hidden="1" customHeight="1" x14ac:dyDescent="0.3">
      <c r="A2476" t="s">
        <v>194</v>
      </c>
      <c r="B2476" s="2">
        <v>46054</v>
      </c>
      <c r="C2476">
        <v>6298.2</v>
      </c>
    </row>
    <row r="2477" spans="1:3" ht="15" hidden="1" customHeight="1" x14ac:dyDescent="0.3">
      <c r="A2477" t="s">
        <v>194</v>
      </c>
      <c r="B2477" s="2">
        <v>46082</v>
      </c>
      <c r="C2477">
        <v>6353.1</v>
      </c>
    </row>
    <row r="2478" spans="1:3" ht="15" hidden="1" customHeight="1" x14ac:dyDescent="0.3">
      <c r="A2478" t="s">
        <v>194</v>
      </c>
      <c r="B2478" s="2">
        <v>46113</v>
      </c>
      <c r="C2478">
        <v>5016.6000000000004</v>
      </c>
    </row>
    <row r="2479" spans="1:3" ht="15" hidden="1" customHeight="1" x14ac:dyDescent="0.3">
      <c r="A2479" t="s">
        <v>194</v>
      </c>
      <c r="B2479" s="2">
        <v>46143</v>
      </c>
      <c r="C2479">
        <v>4753.8</v>
      </c>
    </row>
    <row r="2480" spans="1:3" ht="15" hidden="1" customHeight="1" x14ac:dyDescent="0.3">
      <c r="A2480" t="s">
        <v>194</v>
      </c>
      <c r="B2480" s="2">
        <v>46174</v>
      </c>
      <c r="C2480">
        <v>4257</v>
      </c>
    </row>
    <row r="2481" spans="1:3" ht="15" hidden="1" customHeight="1" x14ac:dyDescent="0.3">
      <c r="A2481" t="s">
        <v>194</v>
      </c>
      <c r="B2481" s="2">
        <v>46204</v>
      </c>
      <c r="C2481">
        <v>4730.3999999999996</v>
      </c>
    </row>
    <row r="2482" spans="1:3" ht="15" customHeight="1" x14ac:dyDescent="0.3">
      <c r="A2482" t="s">
        <v>194</v>
      </c>
      <c r="B2482" s="2">
        <v>46235</v>
      </c>
      <c r="C2482">
        <v>5440.5</v>
      </c>
    </row>
    <row r="2483" spans="1:3" ht="15" hidden="1" customHeight="1" x14ac:dyDescent="0.3">
      <c r="A2483" t="s">
        <v>194</v>
      </c>
      <c r="B2483" s="2">
        <v>46266</v>
      </c>
      <c r="C2483">
        <v>6345.9</v>
      </c>
    </row>
    <row r="2484" spans="1:3" ht="15" hidden="1" customHeight="1" x14ac:dyDescent="0.3">
      <c r="A2484" t="s">
        <v>194</v>
      </c>
      <c r="B2484" s="2">
        <v>46296</v>
      </c>
      <c r="C2484">
        <v>7250.4</v>
      </c>
    </row>
    <row r="2485" spans="1:3" ht="15" hidden="1" customHeight="1" x14ac:dyDescent="0.3">
      <c r="A2485" t="s">
        <v>194</v>
      </c>
      <c r="B2485" s="2">
        <v>46327</v>
      </c>
      <c r="C2485">
        <v>7330.5</v>
      </c>
    </row>
    <row r="2486" spans="1:3" ht="15" hidden="1" customHeight="1" x14ac:dyDescent="0.3">
      <c r="A2486" t="s">
        <v>194</v>
      </c>
      <c r="B2486" s="2">
        <v>46357</v>
      </c>
      <c r="C2486">
        <v>7866</v>
      </c>
    </row>
    <row r="2487" spans="1:3" ht="15" hidden="1" customHeight="1" x14ac:dyDescent="0.3">
      <c r="A2487" t="s">
        <v>196</v>
      </c>
      <c r="B2487" s="2">
        <v>45292</v>
      </c>
      <c r="C2487">
        <v>4274.1000000000004</v>
      </c>
    </row>
    <row r="2488" spans="1:3" ht="15" hidden="1" customHeight="1" x14ac:dyDescent="0.3">
      <c r="A2488" t="s">
        <v>196</v>
      </c>
      <c r="B2488" s="2">
        <v>45323</v>
      </c>
      <c r="C2488">
        <v>3810.6</v>
      </c>
    </row>
    <row r="2489" spans="1:3" ht="15" hidden="1" customHeight="1" x14ac:dyDescent="0.3">
      <c r="A2489" t="s">
        <v>196</v>
      </c>
      <c r="B2489" s="2">
        <v>45352</v>
      </c>
      <c r="C2489">
        <v>3907.2750000000001</v>
      </c>
    </row>
    <row r="2490" spans="1:3" ht="15" hidden="1" customHeight="1" x14ac:dyDescent="0.3">
      <c r="A2490" t="s">
        <v>196</v>
      </c>
      <c r="B2490" s="2">
        <v>45383</v>
      </c>
      <c r="C2490">
        <v>3268.125</v>
      </c>
    </row>
    <row r="2491" spans="1:3" ht="15" hidden="1" customHeight="1" x14ac:dyDescent="0.3">
      <c r="A2491" t="s">
        <v>196</v>
      </c>
      <c r="B2491" s="2">
        <v>45413</v>
      </c>
      <c r="C2491">
        <v>2929.95</v>
      </c>
    </row>
    <row r="2492" spans="1:3" ht="15" hidden="1" customHeight="1" x14ac:dyDescent="0.3">
      <c r="A2492" t="s">
        <v>196</v>
      </c>
      <c r="B2492" s="2">
        <v>45444</v>
      </c>
      <c r="C2492">
        <v>2664.75</v>
      </c>
    </row>
    <row r="2493" spans="1:3" ht="15" hidden="1" customHeight="1" x14ac:dyDescent="0.3">
      <c r="A2493" t="s">
        <v>196</v>
      </c>
      <c r="B2493" s="2">
        <v>45474</v>
      </c>
      <c r="C2493">
        <v>2851.125</v>
      </c>
    </row>
    <row r="2494" spans="1:3" ht="15" hidden="1" customHeight="1" x14ac:dyDescent="0.3">
      <c r="A2494" t="s">
        <v>196</v>
      </c>
      <c r="B2494" s="2">
        <v>45505</v>
      </c>
      <c r="C2494">
        <v>3237</v>
      </c>
    </row>
    <row r="2495" spans="1:3" ht="15" hidden="1" customHeight="1" x14ac:dyDescent="0.3">
      <c r="A2495" t="s">
        <v>196</v>
      </c>
      <c r="B2495" s="2">
        <v>45536</v>
      </c>
      <c r="C2495">
        <v>3327.75</v>
      </c>
    </row>
    <row r="2496" spans="1:3" ht="15" hidden="1" customHeight="1" x14ac:dyDescent="0.3">
      <c r="A2496" t="s">
        <v>196</v>
      </c>
      <c r="B2496" s="2">
        <v>45566</v>
      </c>
      <c r="C2496">
        <v>3775.7249999999999</v>
      </c>
    </row>
    <row r="2497" spans="1:3" ht="15" hidden="1" customHeight="1" x14ac:dyDescent="0.3">
      <c r="A2497" t="s">
        <v>196</v>
      </c>
      <c r="B2497" s="2">
        <v>45597</v>
      </c>
      <c r="C2497">
        <v>3829.5749999999998</v>
      </c>
    </row>
    <row r="2498" spans="1:3" ht="15" hidden="1" customHeight="1" x14ac:dyDescent="0.3">
      <c r="A2498" t="s">
        <v>196</v>
      </c>
      <c r="B2498" s="2">
        <v>45627</v>
      </c>
      <c r="C2498">
        <v>4315.6499999999996</v>
      </c>
    </row>
    <row r="2499" spans="1:3" ht="15" hidden="1" customHeight="1" x14ac:dyDescent="0.3">
      <c r="A2499" t="s">
        <v>196</v>
      </c>
      <c r="B2499" s="2">
        <v>45658</v>
      </c>
      <c r="C2499">
        <v>4274.1000000000004</v>
      </c>
    </row>
    <row r="2500" spans="1:3" ht="15" hidden="1" customHeight="1" x14ac:dyDescent="0.3">
      <c r="A2500" t="s">
        <v>196</v>
      </c>
      <c r="B2500" s="2">
        <v>45689</v>
      </c>
      <c r="C2500">
        <v>3810.6</v>
      </c>
    </row>
    <row r="2501" spans="1:3" ht="15" hidden="1" customHeight="1" x14ac:dyDescent="0.3">
      <c r="A2501" t="s">
        <v>196</v>
      </c>
      <c r="B2501" s="2">
        <v>45717</v>
      </c>
      <c r="C2501">
        <v>3907.2750000000001</v>
      </c>
    </row>
    <row r="2502" spans="1:3" ht="15" hidden="1" customHeight="1" x14ac:dyDescent="0.3">
      <c r="A2502" t="s">
        <v>196</v>
      </c>
      <c r="B2502" s="2">
        <v>45748</v>
      </c>
      <c r="C2502">
        <v>3268.125</v>
      </c>
    </row>
    <row r="2503" spans="1:3" ht="15" hidden="1" customHeight="1" x14ac:dyDescent="0.3">
      <c r="A2503" t="s">
        <v>196</v>
      </c>
      <c r="B2503" s="2">
        <v>45778</v>
      </c>
      <c r="C2503">
        <v>2929.95</v>
      </c>
    </row>
    <row r="2504" spans="1:3" ht="15" hidden="1" customHeight="1" x14ac:dyDescent="0.3">
      <c r="A2504" t="s">
        <v>196</v>
      </c>
      <c r="B2504" s="2">
        <v>45809</v>
      </c>
      <c r="C2504">
        <v>2664.75</v>
      </c>
    </row>
    <row r="2505" spans="1:3" ht="15" hidden="1" customHeight="1" x14ac:dyDescent="0.3">
      <c r="A2505" t="s">
        <v>196</v>
      </c>
      <c r="B2505" s="2">
        <v>45839</v>
      </c>
      <c r="C2505">
        <v>2851.125</v>
      </c>
    </row>
    <row r="2506" spans="1:3" ht="15" hidden="1" customHeight="1" x14ac:dyDescent="0.3">
      <c r="A2506" t="s">
        <v>196</v>
      </c>
      <c r="B2506" s="2">
        <v>45870</v>
      </c>
      <c r="C2506">
        <v>3237</v>
      </c>
    </row>
    <row r="2507" spans="1:3" ht="15" hidden="1" customHeight="1" x14ac:dyDescent="0.3">
      <c r="A2507" t="s">
        <v>196</v>
      </c>
      <c r="B2507" s="2">
        <v>45901</v>
      </c>
      <c r="C2507">
        <v>3327.75</v>
      </c>
    </row>
    <row r="2508" spans="1:3" ht="15" hidden="1" customHeight="1" x14ac:dyDescent="0.3">
      <c r="A2508" t="s">
        <v>196</v>
      </c>
      <c r="B2508" s="2">
        <v>45931</v>
      </c>
      <c r="C2508">
        <v>3775.7249999999999</v>
      </c>
    </row>
    <row r="2509" spans="1:3" ht="15" hidden="1" customHeight="1" x14ac:dyDescent="0.3">
      <c r="A2509" t="s">
        <v>196</v>
      </c>
      <c r="B2509" s="2">
        <v>45962</v>
      </c>
      <c r="C2509">
        <v>3829.5749999999998</v>
      </c>
    </row>
    <row r="2510" spans="1:3" ht="15" hidden="1" customHeight="1" x14ac:dyDescent="0.3">
      <c r="A2510" t="s">
        <v>196</v>
      </c>
      <c r="B2510" s="2">
        <v>45992</v>
      </c>
      <c r="C2510">
        <v>4315.6499999999996</v>
      </c>
    </row>
    <row r="2511" spans="1:3" ht="15" hidden="1" customHeight="1" x14ac:dyDescent="0.3">
      <c r="A2511" t="s">
        <v>196</v>
      </c>
      <c r="B2511" s="2">
        <v>46023</v>
      </c>
      <c r="C2511">
        <v>4274.1000000000004</v>
      </c>
    </row>
    <row r="2512" spans="1:3" ht="15" hidden="1" customHeight="1" x14ac:dyDescent="0.3">
      <c r="A2512" t="s">
        <v>196</v>
      </c>
      <c r="B2512" s="2">
        <v>46054</v>
      </c>
      <c r="C2512">
        <v>3810.6</v>
      </c>
    </row>
    <row r="2513" spans="1:3" ht="15" hidden="1" customHeight="1" x14ac:dyDescent="0.3">
      <c r="A2513" t="s">
        <v>196</v>
      </c>
      <c r="B2513" s="2">
        <v>46082</v>
      </c>
      <c r="C2513">
        <v>3907.2750000000001</v>
      </c>
    </row>
    <row r="2514" spans="1:3" ht="15" hidden="1" customHeight="1" x14ac:dyDescent="0.3">
      <c r="A2514" t="s">
        <v>196</v>
      </c>
      <c r="B2514" s="2">
        <v>46113</v>
      </c>
      <c r="C2514">
        <v>3268.125</v>
      </c>
    </row>
    <row r="2515" spans="1:3" ht="15" hidden="1" customHeight="1" x14ac:dyDescent="0.3">
      <c r="A2515" t="s">
        <v>196</v>
      </c>
      <c r="B2515" s="2">
        <v>46143</v>
      </c>
      <c r="C2515">
        <v>2929.95</v>
      </c>
    </row>
    <row r="2516" spans="1:3" ht="15" hidden="1" customHeight="1" x14ac:dyDescent="0.3">
      <c r="A2516" t="s">
        <v>196</v>
      </c>
      <c r="B2516" s="2">
        <v>46174</v>
      </c>
      <c r="C2516">
        <v>2664.75</v>
      </c>
    </row>
    <row r="2517" spans="1:3" ht="15" hidden="1" customHeight="1" x14ac:dyDescent="0.3">
      <c r="A2517" t="s">
        <v>196</v>
      </c>
      <c r="B2517" s="2">
        <v>46204</v>
      </c>
      <c r="C2517">
        <v>2851.125</v>
      </c>
    </row>
    <row r="2518" spans="1:3" ht="15" customHeight="1" x14ac:dyDescent="0.3">
      <c r="A2518" t="s">
        <v>196</v>
      </c>
      <c r="B2518" s="2">
        <v>46235</v>
      </c>
      <c r="C2518">
        <v>3237</v>
      </c>
    </row>
    <row r="2519" spans="1:3" ht="15" hidden="1" customHeight="1" x14ac:dyDescent="0.3">
      <c r="A2519" t="s">
        <v>196</v>
      </c>
      <c r="B2519" s="2">
        <v>46266</v>
      </c>
      <c r="C2519">
        <v>3327.75</v>
      </c>
    </row>
    <row r="2520" spans="1:3" ht="15" hidden="1" customHeight="1" x14ac:dyDescent="0.3">
      <c r="A2520" t="s">
        <v>196</v>
      </c>
      <c r="B2520" s="2">
        <v>46296</v>
      </c>
      <c r="C2520">
        <v>3775.7249999999999</v>
      </c>
    </row>
    <row r="2521" spans="1:3" ht="15" hidden="1" customHeight="1" x14ac:dyDescent="0.3">
      <c r="A2521" t="s">
        <v>196</v>
      </c>
      <c r="B2521" s="2">
        <v>46327</v>
      </c>
      <c r="C2521">
        <v>3829.5749999999998</v>
      </c>
    </row>
    <row r="2522" spans="1:3" ht="15" hidden="1" customHeight="1" x14ac:dyDescent="0.3">
      <c r="A2522" t="s">
        <v>196</v>
      </c>
      <c r="B2522" s="2">
        <v>46357</v>
      </c>
      <c r="C2522">
        <v>4315.6499999999996</v>
      </c>
    </row>
    <row r="2523" spans="1:3" ht="15" hidden="1" customHeight="1" x14ac:dyDescent="0.3">
      <c r="A2523" t="s">
        <v>201</v>
      </c>
      <c r="B2523" s="2">
        <v>45292</v>
      </c>
      <c r="C2523">
        <v>13441.985000000001</v>
      </c>
    </row>
    <row r="2524" spans="1:3" ht="15" hidden="1" customHeight="1" x14ac:dyDescent="0.3">
      <c r="A2524" t="s">
        <v>201</v>
      </c>
      <c r="B2524" s="2">
        <v>45323</v>
      </c>
      <c r="C2524">
        <v>12055.125</v>
      </c>
    </row>
    <row r="2525" spans="1:3" ht="15" hidden="1" customHeight="1" x14ac:dyDescent="0.3">
      <c r="A2525" t="s">
        <v>201</v>
      </c>
      <c r="B2525" s="2">
        <v>45352</v>
      </c>
      <c r="C2525">
        <v>12858.46</v>
      </c>
    </row>
    <row r="2526" spans="1:3" ht="15" hidden="1" customHeight="1" x14ac:dyDescent="0.3">
      <c r="A2526" t="s">
        <v>201</v>
      </c>
      <c r="B2526" s="2">
        <v>45383</v>
      </c>
      <c r="C2526">
        <v>11531.27</v>
      </c>
    </row>
    <row r="2527" spans="1:3" ht="15" hidden="1" customHeight="1" x14ac:dyDescent="0.3">
      <c r="A2527" t="s">
        <v>201</v>
      </c>
      <c r="B2527" s="2">
        <v>45413</v>
      </c>
      <c r="C2527">
        <v>11785.93</v>
      </c>
    </row>
    <row r="2528" spans="1:3" ht="15" hidden="1" customHeight="1" x14ac:dyDescent="0.3">
      <c r="A2528" t="s">
        <v>201</v>
      </c>
      <c r="B2528" s="2">
        <v>45444</v>
      </c>
      <c r="C2528">
        <v>11018.635</v>
      </c>
    </row>
    <row r="2529" spans="1:3" ht="15" hidden="1" customHeight="1" x14ac:dyDescent="0.3">
      <c r="A2529" t="s">
        <v>201</v>
      </c>
      <c r="B2529" s="2">
        <v>45474</v>
      </c>
      <c r="C2529">
        <v>12024.27</v>
      </c>
    </row>
    <row r="2530" spans="1:3" ht="15" hidden="1" customHeight="1" x14ac:dyDescent="0.3">
      <c r="A2530" t="s">
        <v>201</v>
      </c>
      <c r="B2530" s="2">
        <v>45505</v>
      </c>
      <c r="C2530">
        <v>13262.635</v>
      </c>
    </row>
    <row r="2531" spans="1:3" ht="15" hidden="1" customHeight="1" x14ac:dyDescent="0.3">
      <c r="A2531" t="s">
        <v>201</v>
      </c>
      <c r="B2531" s="2">
        <v>45536</v>
      </c>
      <c r="C2531">
        <v>13540.33</v>
      </c>
    </row>
    <row r="2532" spans="1:3" ht="15" hidden="1" customHeight="1" x14ac:dyDescent="0.3">
      <c r="A2532" t="s">
        <v>201</v>
      </c>
      <c r="B2532" s="2">
        <v>45566</v>
      </c>
      <c r="C2532">
        <v>13925.295</v>
      </c>
    </row>
    <row r="2533" spans="1:3" ht="15" hidden="1" customHeight="1" x14ac:dyDescent="0.3">
      <c r="A2533" t="s">
        <v>201</v>
      </c>
      <c r="B2533" s="2">
        <v>45597</v>
      </c>
      <c r="C2533">
        <v>13508.37</v>
      </c>
    </row>
    <row r="2534" spans="1:3" ht="15" hidden="1" customHeight="1" x14ac:dyDescent="0.3">
      <c r="A2534" t="s">
        <v>201</v>
      </c>
      <c r="B2534" s="2">
        <v>45627</v>
      </c>
      <c r="C2534">
        <v>14234.525</v>
      </c>
    </row>
    <row r="2535" spans="1:3" ht="15" hidden="1" customHeight="1" x14ac:dyDescent="0.3">
      <c r="A2535" t="s">
        <v>201</v>
      </c>
      <c r="B2535" s="2">
        <v>45658</v>
      </c>
      <c r="C2535">
        <v>13441.985000000001</v>
      </c>
    </row>
    <row r="2536" spans="1:3" ht="15" hidden="1" customHeight="1" x14ac:dyDescent="0.3">
      <c r="A2536" t="s">
        <v>201</v>
      </c>
      <c r="B2536" s="2">
        <v>45689</v>
      </c>
      <c r="C2536">
        <v>12055.125</v>
      </c>
    </row>
    <row r="2537" spans="1:3" ht="15" hidden="1" customHeight="1" x14ac:dyDescent="0.3">
      <c r="A2537" t="s">
        <v>201</v>
      </c>
      <c r="B2537" s="2">
        <v>45717</v>
      </c>
      <c r="C2537">
        <v>12858.46</v>
      </c>
    </row>
    <row r="2538" spans="1:3" ht="15" hidden="1" customHeight="1" x14ac:dyDescent="0.3">
      <c r="A2538" t="s">
        <v>201</v>
      </c>
      <c r="B2538" s="2">
        <v>45748</v>
      </c>
      <c r="C2538">
        <v>11531.27</v>
      </c>
    </row>
    <row r="2539" spans="1:3" ht="15" hidden="1" customHeight="1" x14ac:dyDescent="0.3">
      <c r="A2539" t="s">
        <v>201</v>
      </c>
      <c r="B2539" s="2">
        <v>45778</v>
      </c>
      <c r="C2539">
        <v>11785.93</v>
      </c>
    </row>
    <row r="2540" spans="1:3" ht="15" hidden="1" customHeight="1" x14ac:dyDescent="0.3">
      <c r="A2540" t="s">
        <v>201</v>
      </c>
      <c r="B2540" s="2">
        <v>45809</v>
      </c>
      <c r="C2540">
        <v>11018.635</v>
      </c>
    </row>
    <row r="2541" spans="1:3" ht="15" hidden="1" customHeight="1" x14ac:dyDescent="0.3">
      <c r="A2541" t="s">
        <v>201</v>
      </c>
      <c r="B2541" s="2">
        <v>45839</v>
      </c>
      <c r="C2541">
        <v>12024.27</v>
      </c>
    </row>
    <row r="2542" spans="1:3" ht="15" hidden="1" customHeight="1" x14ac:dyDescent="0.3">
      <c r="A2542" t="s">
        <v>201</v>
      </c>
      <c r="B2542" s="2">
        <v>45870</v>
      </c>
      <c r="C2542">
        <v>13262.635</v>
      </c>
    </row>
    <row r="2543" spans="1:3" ht="15" hidden="1" customHeight="1" x14ac:dyDescent="0.3">
      <c r="A2543" t="s">
        <v>201</v>
      </c>
      <c r="B2543" s="2">
        <v>45901</v>
      </c>
      <c r="C2543">
        <v>13540.33</v>
      </c>
    </row>
    <row r="2544" spans="1:3" ht="15" hidden="1" customHeight="1" x14ac:dyDescent="0.3">
      <c r="A2544" t="s">
        <v>201</v>
      </c>
      <c r="B2544" s="2">
        <v>45931</v>
      </c>
      <c r="C2544">
        <v>13925.295</v>
      </c>
    </row>
    <row r="2545" spans="1:3" ht="15" hidden="1" customHeight="1" x14ac:dyDescent="0.3">
      <c r="A2545" t="s">
        <v>201</v>
      </c>
      <c r="B2545" s="2">
        <v>45962</v>
      </c>
      <c r="C2545">
        <v>13508.37</v>
      </c>
    </row>
    <row r="2546" spans="1:3" ht="15" hidden="1" customHeight="1" x14ac:dyDescent="0.3">
      <c r="A2546" t="s">
        <v>201</v>
      </c>
      <c r="B2546" s="2">
        <v>45992</v>
      </c>
      <c r="C2546">
        <v>14234.525</v>
      </c>
    </row>
    <row r="2547" spans="1:3" ht="15" hidden="1" customHeight="1" x14ac:dyDescent="0.3">
      <c r="A2547" t="s">
        <v>201</v>
      </c>
      <c r="B2547" s="2">
        <v>46023</v>
      </c>
      <c r="C2547">
        <v>13441.985000000001</v>
      </c>
    </row>
    <row r="2548" spans="1:3" ht="15" hidden="1" customHeight="1" x14ac:dyDescent="0.3">
      <c r="A2548" t="s">
        <v>201</v>
      </c>
      <c r="B2548" s="2">
        <v>46054</v>
      </c>
      <c r="C2548">
        <v>12055.125</v>
      </c>
    </row>
    <row r="2549" spans="1:3" ht="15" hidden="1" customHeight="1" x14ac:dyDescent="0.3">
      <c r="A2549" t="s">
        <v>201</v>
      </c>
      <c r="B2549" s="2">
        <v>46082</v>
      </c>
      <c r="C2549">
        <v>12858.46</v>
      </c>
    </row>
    <row r="2550" spans="1:3" ht="15" hidden="1" customHeight="1" x14ac:dyDescent="0.3">
      <c r="A2550" t="s">
        <v>201</v>
      </c>
      <c r="B2550" s="2">
        <v>46113</v>
      </c>
      <c r="C2550">
        <v>11531.27</v>
      </c>
    </row>
    <row r="2551" spans="1:3" ht="15" hidden="1" customHeight="1" x14ac:dyDescent="0.3">
      <c r="A2551" t="s">
        <v>201</v>
      </c>
      <c r="B2551" s="2">
        <v>46143</v>
      </c>
      <c r="C2551">
        <v>11785.93</v>
      </c>
    </row>
    <row r="2552" spans="1:3" ht="15" hidden="1" customHeight="1" x14ac:dyDescent="0.3">
      <c r="A2552" t="s">
        <v>201</v>
      </c>
      <c r="B2552" s="2">
        <v>46174</v>
      </c>
      <c r="C2552">
        <v>11018.635</v>
      </c>
    </row>
    <row r="2553" spans="1:3" ht="15" hidden="1" customHeight="1" x14ac:dyDescent="0.3">
      <c r="A2553" t="s">
        <v>201</v>
      </c>
      <c r="B2553" s="2">
        <v>46204</v>
      </c>
      <c r="C2553">
        <v>12024.27</v>
      </c>
    </row>
    <row r="2554" spans="1:3" ht="15" customHeight="1" x14ac:dyDescent="0.3">
      <c r="A2554" t="s">
        <v>201</v>
      </c>
      <c r="B2554" s="2">
        <v>46235</v>
      </c>
      <c r="C2554">
        <v>13262.635</v>
      </c>
    </row>
    <row r="2555" spans="1:3" ht="15" hidden="1" customHeight="1" x14ac:dyDescent="0.3">
      <c r="A2555" t="s">
        <v>201</v>
      </c>
      <c r="B2555" s="2">
        <v>46266</v>
      </c>
      <c r="C2555">
        <v>13540.33</v>
      </c>
    </row>
    <row r="2556" spans="1:3" ht="15" hidden="1" customHeight="1" x14ac:dyDescent="0.3">
      <c r="A2556" t="s">
        <v>201</v>
      </c>
      <c r="B2556" s="2">
        <v>46296</v>
      </c>
      <c r="C2556">
        <v>13925.295</v>
      </c>
    </row>
    <row r="2557" spans="1:3" ht="15" hidden="1" customHeight="1" x14ac:dyDescent="0.3">
      <c r="A2557" t="s">
        <v>201</v>
      </c>
      <c r="B2557" s="2">
        <v>46327</v>
      </c>
      <c r="C2557">
        <v>13508.37</v>
      </c>
    </row>
    <row r="2558" spans="1:3" ht="15" hidden="1" customHeight="1" x14ac:dyDescent="0.3">
      <c r="A2558" t="s">
        <v>201</v>
      </c>
      <c r="B2558" s="2">
        <v>46357</v>
      </c>
      <c r="C2558">
        <v>14234.525</v>
      </c>
    </row>
    <row r="2559" spans="1:3" ht="15" hidden="1" customHeight="1" x14ac:dyDescent="0.3">
      <c r="A2559" t="s">
        <v>211</v>
      </c>
      <c r="B2559" s="2">
        <v>45292</v>
      </c>
      <c r="C2559">
        <v>7299.9</v>
      </c>
    </row>
    <row r="2560" spans="1:3" ht="15" hidden="1" customHeight="1" x14ac:dyDescent="0.3">
      <c r="A2560" t="s">
        <v>211</v>
      </c>
      <c r="B2560" s="2">
        <v>45323</v>
      </c>
      <c r="C2560">
        <v>6223.5</v>
      </c>
    </row>
    <row r="2561" spans="1:3" ht="15" hidden="1" customHeight="1" x14ac:dyDescent="0.3">
      <c r="A2561" t="s">
        <v>211</v>
      </c>
      <c r="B2561" s="2">
        <v>45352</v>
      </c>
      <c r="C2561">
        <v>6048.9</v>
      </c>
    </row>
    <row r="2562" spans="1:3" ht="15" hidden="1" customHeight="1" x14ac:dyDescent="0.3">
      <c r="A2562" t="s">
        <v>211</v>
      </c>
      <c r="B2562" s="2">
        <v>45383</v>
      </c>
      <c r="C2562">
        <v>5130.8999999999996</v>
      </c>
    </row>
    <row r="2563" spans="1:3" ht="15" hidden="1" customHeight="1" x14ac:dyDescent="0.3">
      <c r="A2563" t="s">
        <v>211</v>
      </c>
      <c r="B2563" s="2">
        <v>45413</v>
      </c>
      <c r="C2563">
        <v>4621.5</v>
      </c>
    </row>
    <row r="2564" spans="1:3" ht="15" hidden="1" customHeight="1" x14ac:dyDescent="0.3">
      <c r="A2564" t="s">
        <v>211</v>
      </c>
      <c r="B2564" s="2">
        <v>45444</v>
      </c>
      <c r="C2564">
        <v>3931.2</v>
      </c>
    </row>
    <row r="2565" spans="1:3" ht="15" hidden="1" customHeight="1" x14ac:dyDescent="0.3">
      <c r="A2565" t="s">
        <v>211</v>
      </c>
      <c r="B2565" s="2">
        <v>45474</v>
      </c>
      <c r="C2565">
        <v>4065.3</v>
      </c>
    </row>
    <row r="2566" spans="1:3" ht="15" hidden="1" customHeight="1" x14ac:dyDescent="0.3">
      <c r="A2566" t="s">
        <v>211</v>
      </c>
      <c r="B2566" s="2">
        <v>45505</v>
      </c>
      <c r="C2566">
        <v>4723.2</v>
      </c>
    </row>
    <row r="2567" spans="1:3" ht="15" hidden="1" customHeight="1" x14ac:dyDescent="0.3">
      <c r="A2567" t="s">
        <v>211</v>
      </c>
      <c r="B2567" s="2">
        <v>45536</v>
      </c>
      <c r="C2567">
        <v>5251.5</v>
      </c>
    </row>
    <row r="2568" spans="1:3" ht="15" hidden="1" customHeight="1" x14ac:dyDescent="0.3">
      <c r="A2568" t="s">
        <v>211</v>
      </c>
      <c r="B2568" s="2">
        <v>45566</v>
      </c>
      <c r="C2568">
        <v>6489.9</v>
      </c>
    </row>
    <row r="2569" spans="1:3" ht="15" hidden="1" customHeight="1" x14ac:dyDescent="0.3">
      <c r="A2569" t="s">
        <v>211</v>
      </c>
      <c r="B2569" s="2">
        <v>45597</v>
      </c>
      <c r="C2569">
        <v>6813.9</v>
      </c>
    </row>
    <row r="2570" spans="1:3" ht="15" hidden="1" customHeight="1" x14ac:dyDescent="0.3">
      <c r="A2570" t="s">
        <v>211</v>
      </c>
      <c r="B2570" s="2">
        <v>45627</v>
      </c>
      <c r="C2570">
        <v>7296.3</v>
      </c>
    </row>
    <row r="2571" spans="1:3" ht="15" hidden="1" customHeight="1" x14ac:dyDescent="0.3">
      <c r="A2571" t="s">
        <v>211</v>
      </c>
      <c r="B2571" s="2">
        <v>45658</v>
      </c>
      <c r="C2571">
        <v>7299.9</v>
      </c>
    </row>
    <row r="2572" spans="1:3" ht="15" hidden="1" customHeight="1" x14ac:dyDescent="0.3">
      <c r="A2572" t="s">
        <v>211</v>
      </c>
      <c r="B2572" s="2">
        <v>45689</v>
      </c>
      <c r="C2572">
        <v>6223.5</v>
      </c>
    </row>
    <row r="2573" spans="1:3" ht="15" hidden="1" customHeight="1" x14ac:dyDescent="0.3">
      <c r="A2573" t="s">
        <v>211</v>
      </c>
      <c r="B2573" s="2">
        <v>45717</v>
      </c>
      <c r="C2573">
        <v>6048.9</v>
      </c>
    </row>
    <row r="2574" spans="1:3" ht="15" hidden="1" customHeight="1" x14ac:dyDescent="0.3">
      <c r="A2574" t="s">
        <v>211</v>
      </c>
      <c r="B2574" s="2">
        <v>45748</v>
      </c>
      <c r="C2574">
        <v>5130.8999999999996</v>
      </c>
    </row>
    <row r="2575" spans="1:3" ht="15" hidden="1" customHeight="1" x14ac:dyDescent="0.3">
      <c r="A2575" t="s">
        <v>211</v>
      </c>
      <c r="B2575" s="2">
        <v>45778</v>
      </c>
      <c r="C2575">
        <v>4621.5</v>
      </c>
    </row>
    <row r="2576" spans="1:3" ht="15" hidden="1" customHeight="1" x14ac:dyDescent="0.3">
      <c r="A2576" t="s">
        <v>211</v>
      </c>
      <c r="B2576" s="2">
        <v>45809</v>
      </c>
      <c r="C2576">
        <v>3931.2</v>
      </c>
    </row>
    <row r="2577" spans="1:3" ht="15" hidden="1" customHeight="1" x14ac:dyDescent="0.3">
      <c r="A2577" t="s">
        <v>211</v>
      </c>
      <c r="B2577" s="2">
        <v>45839</v>
      </c>
      <c r="C2577">
        <v>4065.3</v>
      </c>
    </row>
    <row r="2578" spans="1:3" ht="15" hidden="1" customHeight="1" x14ac:dyDescent="0.3">
      <c r="A2578" t="s">
        <v>211</v>
      </c>
      <c r="B2578" s="2">
        <v>45870</v>
      </c>
      <c r="C2578">
        <v>4723.2</v>
      </c>
    </row>
    <row r="2579" spans="1:3" ht="15" hidden="1" customHeight="1" x14ac:dyDescent="0.3">
      <c r="A2579" t="s">
        <v>211</v>
      </c>
      <c r="B2579" s="2">
        <v>45901</v>
      </c>
      <c r="C2579">
        <v>5251.5</v>
      </c>
    </row>
    <row r="2580" spans="1:3" ht="15" hidden="1" customHeight="1" x14ac:dyDescent="0.3">
      <c r="A2580" t="s">
        <v>211</v>
      </c>
      <c r="B2580" s="2">
        <v>45931</v>
      </c>
      <c r="C2580">
        <v>6489.9</v>
      </c>
    </row>
    <row r="2581" spans="1:3" ht="15" hidden="1" customHeight="1" x14ac:dyDescent="0.3">
      <c r="A2581" t="s">
        <v>211</v>
      </c>
      <c r="B2581" s="2">
        <v>45962</v>
      </c>
      <c r="C2581">
        <v>6813.9</v>
      </c>
    </row>
    <row r="2582" spans="1:3" ht="15" hidden="1" customHeight="1" x14ac:dyDescent="0.3">
      <c r="A2582" t="s">
        <v>211</v>
      </c>
      <c r="B2582" s="2">
        <v>45992</v>
      </c>
      <c r="C2582">
        <v>7296.3</v>
      </c>
    </row>
    <row r="2583" spans="1:3" ht="15" hidden="1" customHeight="1" x14ac:dyDescent="0.3">
      <c r="A2583" t="s">
        <v>211</v>
      </c>
      <c r="B2583" s="2">
        <v>46023</v>
      </c>
      <c r="C2583">
        <v>7299.9</v>
      </c>
    </row>
    <row r="2584" spans="1:3" ht="15" hidden="1" customHeight="1" x14ac:dyDescent="0.3">
      <c r="A2584" t="s">
        <v>211</v>
      </c>
      <c r="B2584" s="2">
        <v>46054</v>
      </c>
      <c r="C2584">
        <v>6223.5</v>
      </c>
    </row>
    <row r="2585" spans="1:3" ht="15" hidden="1" customHeight="1" x14ac:dyDescent="0.3">
      <c r="A2585" t="s">
        <v>211</v>
      </c>
      <c r="B2585" s="2">
        <v>46082</v>
      </c>
      <c r="C2585">
        <v>6048.9</v>
      </c>
    </row>
    <row r="2586" spans="1:3" ht="15" hidden="1" customHeight="1" x14ac:dyDescent="0.3">
      <c r="A2586" t="s">
        <v>211</v>
      </c>
      <c r="B2586" s="2">
        <v>46113</v>
      </c>
      <c r="C2586">
        <v>5130.8999999999996</v>
      </c>
    </row>
    <row r="2587" spans="1:3" ht="15" hidden="1" customHeight="1" x14ac:dyDescent="0.3">
      <c r="A2587" t="s">
        <v>211</v>
      </c>
      <c r="B2587" s="2">
        <v>46143</v>
      </c>
      <c r="C2587">
        <v>4621.5</v>
      </c>
    </row>
    <row r="2588" spans="1:3" ht="15" hidden="1" customHeight="1" x14ac:dyDescent="0.3">
      <c r="A2588" t="s">
        <v>211</v>
      </c>
      <c r="B2588" s="2">
        <v>46174</v>
      </c>
      <c r="C2588">
        <v>3931.2</v>
      </c>
    </row>
    <row r="2589" spans="1:3" ht="15" hidden="1" customHeight="1" x14ac:dyDescent="0.3">
      <c r="A2589" t="s">
        <v>211</v>
      </c>
      <c r="B2589" s="2">
        <v>46204</v>
      </c>
      <c r="C2589">
        <v>4065.3</v>
      </c>
    </row>
    <row r="2590" spans="1:3" ht="15" customHeight="1" x14ac:dyDescent="0.3">
      <c r="A2590" t="s">
        <v>211</v>
      </c>
      <c r="B2590" s="2">
        <v>46235</v>
      </c>
      <c r="C2590">
        <v>4723.2</v>
      </c>
    </row>
    <row r="2591" spans="1:3" ht="15" hidden="1" customHeight="1" x14ac:dyDescent="0.3">
      <c r="A2591" t="s">
        <v>211</v>
      </c>
      <c r="B2591" s="2">
        <v>46266</v>
      </c>
      <c r="C2591">
        <v>5251.5</v>
      </c>
    </row>
    <row r="2592" spans="1:3" ht="15" hidden="1" customHeight="1" x14ac:dyDescent="0.3">
      <c r="A2592" t="s">
        <v>211</v>
      </c>
      <c r="B2592" s="2">
        <v>46296</v>
      </c>
      <c r="C2592">
        <v>6489.9</v>
      </c>
    </row>
    <row r="2593" spans="1:3" ht="15" hidden="1" customHeight="1" x14ac:dyDescent="0.3">
      <c r="A2593" t="s">
        <v>211</v>
      </c>
      <c r="B2593" s="2">
        <v>46327</v>
      </c>
      <c r="C2593">
        <v>6813.9</v>
      </c>
    </row>
    <row r="2594" spans="1:3" ht="15" hidden="1" customHeight="1" x14ac:dyDescent="0.3">
      <c r="A2594" t="s">
        <v>211</v>
      </c>
      <c r="B2594" s="2">
        <v>46357</v>
      </c>
      <c r="C2594">
        <v>7296.3</v>
      </c>
    </row>
    <row r="2595" spans="1:3" ht="15" hidden="1" customHeight="1" x14ac:dyDescent="0.3">
      <c r="A2595" t="s">
        <v>202</v>
      </c>
      <c r="B2595" s="2">
        <v>45292</v>
      </c>
      <c r="C2595">
        <v>28027.8</v>
      </c>
    </row>
    <row r="2596" spans="1:3" ht="15" hidden="1" customHeight="1" x14ac:dyDescent="0.3">
      <c r="A2596" t="s">
        <v>202</v>
      </c>
      <c r="B2596" s="2">
        <v>45323</v>
      </c>
      <c r="C2596">
        <v>23853.599999999999</v>
      </c>
    </row>
    <row r="2597" spans="1:3" ht="15" hidden="1" customHeight="1" x14ac:dyDescent="0.3">
      <c r="A2597" t="s">
        <v>202</v>
      </c>
      <c r="B2597" s="2">
        <v>45352</v>
      </c>
      <c r="C2597">
        <v>24144.3</v>
      </c>
    </row>
    <row r="2598" spans="1:3" ht="15" hidden="1" customHeight="1" x14ac:dyDescent="0.3">
      <c r="A2598" t="s">
        <v>202</v>
      </c>
      <c r="B2598" s="2">
        <v>45383</v>
      </c>
      <c r="C2598">
        <v>20043</v>
      </c>
    </row>
    <row r="2599" spans="1:3" ht="15" hidden="1" customHeight="1" x14ac:dyDescent="0.3">
      <c r="A2599" t="s">
        <v>202</v>
      </c>
      <c r="B2599" s="2">
        <v>45413</v>
      </c>
      <c r="C2599">
        <v>19021.5</v>
      </c>
    </row>
    <row r="2600" spans="1:3" ht="15" hidden="1" customHeight="1" x14ac:dyDescent="0.3">
      <c r="A2600" t="s">
        <v>202</v>
      </c>
      <c r="B2600" s="2">
        <v>45444</v>
      </c>
      <c r="C2600">
        <v>17054.099999999999</v>
      </c>
    </row>
    <row r="2601" spans="1:3" ht="15" hidden="1" customHeight="1" x14ac:dyDescent="0.3">
      <c r="A2601" t="s">
        <v>202</v>
      </c>
      <c r="B2601" s="2">
        <v>45474</v>
      </c>
      <c r="C2601">
        <v>18900</v>
      </c>
    </row>
    <row r="2602" spans="1:3" ht="15" hidden="1" customHeight="1" x14ac:dyDescent="0.3">
      <c r="A2602" t="s">
        <v>202</v>
      </c>
      <c r="B2602" s="2">
        <v>45505</v>
      </c>
      <c r="C2602">
        <v>22066.2</v>
      </c>
    </row>
    <row r="2603" spans="1:3" ht="15" hidden="1" customHeight="1" x14ac:dyDescent="0.3">
      <c r="A2603" t="s">
        <v>202</v>
      </c>
      <c r="B2603" s="2">
        <v>45536</v>
      </c>
      <c r="C2603">
        <v>24526.799999999999</v>
      </c>
    </row>
    <row r="2604" spans="1:3" ht="15" hidden="1" customHeight="1" x14ac:dyDescent="0.3">
      <c r="A2604" t="s">
        <v>202</v>
      </c>
      <c r="B2604" s="2">
        <v>45566</v>
      </c>
      <c r="C2604">
        <v>27256.5</v>
      </c>
    </row>
    <row r="2605" spans="1:3" ht="15" hidden="1" customHeight="1" x14ac:dyDescent="0.3">
      <c r="A2605" t="s">
        <v>202</v>
      </c>
      <c r="B2605" s="2">
        <v>45597</v>
      </c>
      <c r="C2605">
        <v>26973.9</v>
      </c>
    </row>
    <row r="2606" spans="1:3" ht="15" hidden="1" customHeight="1" x14ac:dyDescent="0.3">
      <c r="A2606" t="s">
        <v>202</v>
      </c>
      <c r="B2606" s="2">
        <v>45627</v>
      </c>
      <c r="C2606">
        <v>29028.6</v>
      </c>
    </row>
    <row r="2607" spans="1:3" ht="15" hidden="1" customHeight="1" x14ac:dyDescent="0.3">
      <c r="A2607" t="s">
        <v>202</v>
      </c>
      <c r="B2607" s="2">
        <v>45658</v>
      </c>
      <c r="C2607">
        <v>28027.8</v>
      </c>
    </row>
    <row r="2608" spans="1:3" ht="15" hidden="1" customHeight="1" x14ac:dyDescent="0.3">
      <c r="A2608" t="s">
        <v>202</v>
      </c>
      <c r="B2608" s="2">
        <v>45689</v>
      </c>
      <c r="C2608">
        <v>23853.599999999999</v>
      </c>
    </row>
    <row r="2609" spans="1:3" ht="15" hidden="1" customHeight="1" x14ac:dyDescent="0.3">
      <c r="A2609" t="s">
        <v>202</v>
      </c>
      <c r="B2609" s="2">
        <v>45717</v>
      </c>
      <c r="C2609">
        <v>24144.3</v>
      </c>
    </row>
    <row r="2610" spans="1:3" ht="15" hidden="1" customHeight="1" x14ac:dyDescent="0.3">
      <c r="A2610" t="s">
        <v>202</v>
      </c>
      <c r="B2610" s="2">
        <v>45748</v>
      </c>
      <c r="C2610">
        <v>20043</v>
      </c>
    </row>
    <row r="2611" spans="1:3" ht="15" hidden="1" customHeight="1" x14ac:dyDescent="0.3">
      <c r="A2611" t="s">
        <v>202</v>
      </c>
      <c r="B2611" s="2">
        <v>45778</v>
      </c>
      <c r="C2611">
        <v>19021.5</v>
      </c>
    </row>
    <row r="2612" spans="1:3" ht="15" hidden="1" customHeight="1" x14ac:dyDescent="0.3">
      <c r="A2612" t="s">
        <v>202</v>
      </c>
      <c r="B2612" s="2">
        <v>45809</v>
      </c>
      <c r="C2612">
        <v>17054.099999999999</v>
      </c>
    </row>
    <row r="2613" spans="1:3" ht="15" hidden="1" customHeight="1" x14ac:dyDescent="0.3">
      <c r="A2613" t="s">
        <v>202</v>
      </c>
      <c r="B2613" s="2">
        <v>45839</v>
      </c>
      <c r="C2613">
        <v>18900</v>
      </c>
    </row>
    <row r="2614" spans="1:3" ht="15" hidden="1" customHeight="1" x14ac:dyDescent="0.3">
      <c r="A2614" t="s">
        <v>202</v>
      </c>
      <c r="B2614" s="2">
        <v>45870</v>
      </c>
      <c r="C2614">
        <v>22066.2</v>
      </c>
    </row>
    <row r="2615" spans="1:3" ht="15" hidden="1" customHeight="1" x14ac:dyDescent="0.3">
      <c r="A2615" t="s">
        <v>202</v>
      </c>
      <c r="B2615" s="2">
        <v>45901</v>
      </c>
      <c r="C2615">
        <v>24526.799999999999</v>
      </c>
    </row>
    <row r="2616" spans="1:3" ht="15" hidden="1" customHeight="1" x14ac:dyDescent="0.3">
      <c r="A2616" t="s">
        <v>202</v>
      </c>
      <c r="B2616" s="2">
        <v>45931</v>
      </c>
      <c r="C2616">
        <v>27256.5</v>
      </c>
    </row>
    <row r="2617" spans="1:3" ht="15" hidden="1" customHeight="1" x14ac:dyDescent="0.3">
      <c r="A2617" t="s">
        <v>202</v>
      </c>
      <c r="B2617" s="2">
        <v>45962</v>
      </c>
      <c r="C2617">
        <v>26973.9</v>
      </c>
    </row>
    <row r="2618" spans="1:3" ht="15" hidden="1" customHeight="1" x14ac:dyDescent="0.3">
      <c r="A2618" t="s">
        <v>202</v>
      </c>
      <c r="B2618" s="2">
        <v>45992</v>
      </c>
      <c r="C2618">
        <v>29028.6</v>
      </c>
    </row>
    <row r="2619" spans="1:3" ht="15" hidden="1" customHeight="1" x14ac:dyDescent="0.3">
      <c r="A2619" t="s">
        <v>202</v>
      </c>
      <c r="B2619" s="2">
        <v>46023</v>
      </c>
      <c r="C2619">
        <v>28027.8</v>
      </c>
    </row>
    <row r="2620" spans="1:3" ht="15" hidden="1" customHeight="1" x14ac:dyDescent="0.3">
      <c r="A2620" t="s">
        <v>202</v>
      </c>
      <c r="B2620" s="2">
        <v>46054</v>
      </c>
      <c r="C2620">
        <v>23853.599999999999</v>
      </c>
    </row>
    <row r="2621" spans="1:3" ht="15" hidden="1" customHeight="1" x14ac:dyDescent="0.3">
      <c r="A2621" t="s">
        <v>202</v>
      </c>
      <c r="B2621" s="2">
        <v>46082</v>
      </c>
      <c r="C2621">
        <v>24144.3</v>
      </c>
    </row>
    <row r="2622" spans="1:3" ht="15" hidden="1" customHeight="1" x14ac:dyDescent="0.3">
      <c r="A2622" t="s">
        <v>202</v>
      </c>
      <c r="B2622" s="2">
        <v>46113</v>
      </c>
      <c r="C2622">
        <v>20043</v>
      </c>
    </row>
    <row r="2623" spans="1:3" ht="15" hidden="1" customHeight="1" x14ac:dyDescent="0.3">
      <c r="A2623" t="s">
        <v>202</v>
      </c>
      <c r="B2623" s="2">
        <v>46143</v>
      </c>
      <c r="C2623">
        <v>19021.5</v>
      </c>
    </row>
    <row r="2624" spans="1:3" ht="15" hidden="1" customHeight="1" x14ac:dyDescent="0.3">
      <c r="A2624" t="s">
        <v>202</v>
      </c>
      <c r="B2624" s="2">
        <v>46174</v>
      </c>
      <c r="C2624">
        <v>17054.099999999999</v>
      </c>
    </row>
    <row r="2625" spans="1:3" ht="15" hidden="1" customHeight="1" x14ac:dyDescent="0.3">
      <c r="A2625" t="s">
        <v>202</v>
      </c>
      <c r="B2625" s="2">
        <v>46204</v>
      </c>
      <c r="C2625">
        <v>18900</v>
      </c>
    </row>
    <row r="2626" spans="1:3" ht="15" customHeight="1" x14ac:dyDescent="0.3">
      <c r="A2626" t="s">
        <v>202</v>
      </c>
      <c r="B2626" s="2">
        <v>46235</v>
      </c>
      <c r="C2626">
        <v>22066.2</v>
      </c>
    </row>
    <row r="2627" spans="1:3" ht="15" hidden="1" customHeight="1" x14ac:dyDescent="0.3">
      <c r="A2627" t="s">
        <v>202</v>
      </c>
      <c r="B2627" s="2">
        <v>46266</v>
      </c>
      <c r="C2627">
        <v>24526.799999999999</v>
      </c>
    </row>
    <row r="2628" spans="1:3" ht="15" hidden="1" customHeight="1" x14ac:dyDescent="0.3">
      <c r="A2628" t="s">
        <v>202</v>
      </c>
      <c r="B2628" s="2">
        <v>46296</v>
      </c>
      <c r="C2628">
        <v>27256.5</v>
      </c>
    </row>
    <row r="2629" spans="1:3" ht="15" hidden="1" customHeight="1" x14ac:dyDescent="0.3">
      <c r="A2629" t="s">
        <v>202</v>
      </c>
      <c r="B2629" s="2">
        <v>46327</v>
      </c>
      <c r="C2629">
        <v>26973.9</v>
      </c>
    </row>
    <row r="2630" spans="1:3" ht="15" hidden="1" customHeight="1" x14ac:dyDescent="0.3">
      <c r="A2630" t="s">
        <v>202</v>
      </c>
      <c r="B2630" s="2">
        <v>46357</v>
      </c>
      <c r="C2630">
        <v>29028.6</v>
      </c>
    </row>
    <row r="2631" spans="1:3" ht="15" hidden="1" customHeight="1" x14ac:dyDescent="0.3">
      <c r="A2631" t="s">
        <v>206</v>
      </c>
      <c r="B2631" s="2">
        <v>45292</v>
      </c>
    </row>
    <row r="2632" spans="1:3" ht="15" hidden="1" customHeight="1" x14ac:dyDescent="0.3">
      <c r="A2632" t="s">
        <v>206</v>
      </c>
      <c r="B2632" s="2">
        <v>45323</v>
      </c>
    </row>
    <row r="2633" spans="1:3" ht="15" hidden="1" customHeight="1" x14ac:dyDescent="0.3">
      <c r="A2633" t="s">
        <v>206</v>
      </c>
      <c r="B2633" s="2">
        <v>45352</v>
      </c>
    </row>
    <row r="2634" spans="1:3" ht="15" hidden="1" customHeight="1" x14ac:dyDescent="0.3">
      <c r="A2634" t="s">
        <v>206</v>
      </c>
      <c r="B2634" s="2">
        <v>45383</v>
      </c>
    </row>
    <row r="2635" spans="1:3" ht="15" hidden="1" customHeight="1" x14ac:dyDescent="0.3">
      <c r="A2635" t="s">
        <v>206</v>
      </c>
      <c r="B2635" s="2">
        <v>45413</v>
      </c>
    </row>
    <row r="2636" spans="1:3" ht="15" hidden="1" customHeight="1" x14ac:dyDescent="0.3">
      <c r="A2636" t="s">
        <v>206</v>
      </c>
      <c r="B2636" s="2">
        <v>45444</v>
      </c>
    </row>
    <row r="2637" spans="1:3" ht="15" hidden="1" customHeight="1" x14ac:dyDescent="0.3">
      <c r="A2637" t="s">
        <v>206</v>
      </c>
      <c r="B2637" s="2">
        <v>45474</v>
      </c>
    </row>
    <row r="2638" spans="1:3" ht="15" hidden="1" customHeight="1" x14ac:dyDescent="0.3">
      <c r="A2638" t="s">
        <v>206</v>
      </c>
      <c r="B2638" s="2">
        <v>45505</v>
      </c>
    </row>
    <row r="2639" spans="1:3" ht="15" hidden="1" customHeight="1" x14ac:dyDescent="0.3">
      <c r="A2639" t="s">
        <v>206</v>
      </c>
      <c r="B2639" s="2">
        <v>45536</v>
      </c>
    </row>
    <row r="2640" spans="1:3" ht="15" hidden="1" customHeight="1" x14ac:dyDescent="0.3">
      <c r="A2640" t="s">
        <v>206</v>
      </c>
      <c r="B2640" s="2">
        <v>45566</v>
      </c>
    </row>
    <row r="2641" spans="1:2" ht="15" hidden="1" customHeight="1" x14ac:dyDescent="0.3">
      <c r="A2641" t="s">
        <v>206</v>
      </c>
      <c r="B2641" s="2">
        <v>45597</v>
      </c>
    </row>
    <row r="2642" spans="1:2" ht="15" hidden="1" customHeight="1" x14ac:dyDescent="0.3">
      <c r="A2642" t="s">
        <v>206</v>
      </c>
      <c r="B2642" s="2">
        <v>45627</v>
      </c>
    </row>
    <row r="2643" spans="1:2" ht="15" hidden="1" customHeight="1" x14ac:dyDescent="0.3">
      <c r="A2643" t="s">
        <v>206</v>
      </c>
      <c r="B2643" s="2">
        <v>45658</v>
      </c>
    </row>
    <row r="2644" spans="1:2" ht="15" hidden="1" customHeight="1" x14ac:dyDescent="0.3">
      <c r="A2644" t="s">
        <v>206</v>
      </c>
      <c r="B2644" s="2">
        <v>45689</v>
      </c>
    </row>
    <row r="2645" spans="1:2" ht="15" hidden="1" customHeight="1" x14ac:dyDescent="0.3">
      <c r="A2645" t="s">
        <v>206</v>
      </c>
      <c r="B2645" s="2">
        <v>45717</v>
      </c>
    </row>
    <row r="2646" spans="1:2" ht="15" hidden="1" customHeight="1" x14ac:dyDescent="0.3">
      <c r="A2646" t="s">
        <v>206</v>
      </c>
      <c r="B2646" s="2">
        <v>45748</v>
      </c>
    </row>
    <row r="2647" spans="1:2" ht="15" hidden="1" customHeight="1" x14ac:dyDescent="0.3">
      <c r="A2647" t="s">
        <v>206</v>
      </c>
      <c r="B2647" s="2">
        <v>45778</v>
      </c>
    </row>
    <row r="2648" spans="1:2" ht="15" hidden="1" customHeight="1" x14ac:dyDescent="0.3">
      <c r="A2648" t="s">
        <v>206</v>
      </c>
      <c r="B2648" s="2">
        <v>45809</v>
      </c>
    </row>
    <row r="2649" spans="1:2" ht="15" hidden="1" customHeight="1" x14ac:dyDescent="0.3">
      <c r="A2649" t="s">
        <v>206</v>
      </c>
      <c r="B2649" s="2">
        <v>45839</v>
      </c>
    </row>
    <row r="2650" spans="1:2" ht="15" hidden="1" customHeight="1" x14ac:dyDescent="0.3">
      <c r="A2650" t="s">
        <v>206</v>
      </c>
      <c r="B2650" s="2">
        <v>45870</v>
      </c>
    </row>
    <row r="2651" spans="1:2" ht="15" hidden="1" customHeight="1" x14ac:dyDescent="0.3">
      <c r="A2651" t="s">
        <v>206</v>
      </c>
      <c r="B2651" s="2">
        <v>45901</v>
      </c>
    </row>
    <row r="2652" spans="1:2" ht="15" hidden="1" customHeight="1" x14ac:dyDescent="0.3">
      <c r="A2652" t="s">
        <v>206</v>
      </c>
      <c r="B2652" s="2">
        <v>45931</v>
      </c>
    </row>
    <row r="2653" spans="1:2" ht="15" hidden="1" customHeight="1" x14ac:dyDescent="0.3">
      <c r="A2653" t="s">
        <v>206</v>
      </c>
      <c r="B2653" s="2">
        <v>45962</v>
      </c>
    </row>
    <row r="2654" spans="1:2" ht="15" hidden="1" customHeight="1" x14ac:dyDescent="0.3">
      <c r="A2654" t="s">
        <v>206</v>
      </c>
      <c r="B2654" s="2">
        <v>45992</v>
      </c>
    </row>
    <row r="2655" spans="1:2" ht="15" hidden="1" customHeight="1" x14ac:dyDescent="0.3">
      <c r="A2655" t="s">
        <v>206</v>
      </c>
      <c r="B2655" s="2">
        <v>46023</v>
      </c>
    </row>
    <row r="2656" spans="1:2" ht="15" hidden="1" customHeight="1" x14ac:dyDescent="0.3">
      <c r="A2656" t="s">
        <v>206</v>
      </c>
      <c r="B2656" s="2">
        <v>46054</v>
      </c>
    </row>
    <row r="2657" spans="1:3" ht="15" hidden="1" customHeight="1" x14ac:dyDescent="0.3">
      <c r="A2657" t="s">
        <v>206</v>
      </c>
      <c r="B2657" s="2">
        <v>46082</v>
      </c>
    </row>
    <row r="2658" spans="1:3" ht="15" hidden="1" customHeight="1" x14ac:dyDescent="0.3">
      <c r="A2658" t="s">
        <v>206</v>
      </c>
      <c r="B2658" s="2">
        <v>46113</v>
      </c>
    </row>
    <row r="2659" spans="1:3" ht="15" hidden="1" customHeight="1" x14ac:dyDescent="0.3">
      <c r="A2659" t="s">
        <v>206</v>
      </c>
      <c r="B2659" s="2">
        <v>46143</v>
      </c>
    </row>
    <row r="2660" spans="1:3" ht="15" hidden="1" customHeight="1" x14ac:dyDescent="0.3">
      <c r="A2660" t="s">
        <v>206</v>
      </c>
      <c r="B2660" s="2">
        <v>46174</v>
      </c>
    </row>
    <row r="2661" spans="1:3" ht="15" hidden="1" customHeight="1" x14ac:dyDescent="0.3">
      <c r="A2661" t="s">
        <v>206</v>
      </c>
      <c r="B2661" s="2">
        <v>46204</v>
      </c>
    </row>
    <row r="2662" spans="1:3" ht="15" customHeight="1" x14ac:dyDescent="0.3">
      <c r="A2662" t="s">
        <v>206</v>
      </c>
      <c r="B2662" s="2">
        <v>46235</v>
      </c>
    </row>
    <row r="2663" spans="1:3" ht="15" hidden="1" customHeight="1" x14ac:dyDescent="0.3">
      <c r="A2663" t="s">
        <v>206</v>
      </c>
      <c r="B2663" s="2">
        <v>46266</v>
      </c>
    </row>
    <row r="2664" spans="1:3" ht="15" hidden="1" customHeight="1" x14ac:dyDescent="0.3">
      <c r="A2664" t="s">
        <v>206</v>
      </c>
      <c r="B2664" s="2">
        <v>46296</v>
      </c>
    </row>
    <row r="2665" spans="1:3" ht="15" hidden="1" customHeight="1" x14ac:dyDescent="0.3">
      <c r="A2665" t="s">
        <v>206</v>
      </c>
      <c r="B2665" s="2">
        <v>46327</v>
      </c>
    </row>
    <row r="2666" spans="1:3" ht="15" hidden="1" customHeight="1" x14ac:dyDescent="0.3">
      <c r="A2666" t="s">
        <v>206</v>
      </c>
      <c r="B2666" s="2">
        <v>46357</v>
      </c>
    </row>
    <row r="2667" spans="1:3" hidden="1" x14ac:dyDescent="0.3">
      <c r="A2667" t="s">
        <v>271</v>
      </c>
      <c r="B2667" s="2">
        <v>45292</v>
      </c>
      <c r="C2667" cm="1">
        <f t="array" ref="C2667">IFERROR(INDEX('Expected Production'!$C$2:$N$199,MATCH(A2667,'Expected Production'!$A$2:$A$199,0),MONTH(B2667)),"")</f>
        <v>17370.900000000001</v>
      </c>
    </row>
    <row r="2668" spans="1:3" hidden="1" x14ac:dyDescent="0.3">
      <c r="A2668" t="s">
        <v>271</v>
      </c>
      <c r="B2668" s="2">
        <v>45323</v>
      </c>
      <c r="C2668" cm="1">
        <f t="array" ref="C2668">IFERROR(INDEX('Expected Production'!$C$2:$N$199,MATCH(A2668,'Expected Production'!$A$2:$A$199,0),MONTH(B2668)),"")</f>
        <v>15077.7</v>
      </c>
    </row>
    <row r="2669" spans="1:3" hidden="1" x14ac:dyDescent="0.3">
      <c r="A2669" t="s">
        <v>271</v>
      </c>
      <c r="B2669" s="2">
        <v>45352</v>
      </c>
      <c r="C2669" cm="1">
        <f t="array" ref="C2669">IFERROR(INDEX('Expected Production'!$C$2:$N$199,MATCH(A2669,'Expected Production'!$A$2:$A$199,0),MONTH(B2669)),"")</f>
        <v>14634</v>
      </c>
    </row>
    <row r="2670" spans="1:3" hidden="1" x14ac:dyDescent="0.3">
      <c r="A2670" t="s">
        <v>271</v>
      </c>
      <c r="B2670" s="2">
        <v>45383</v>
      </c>
      <c r="C2670" cm="1">
        <f t="array" ref="C2670">IFERROR(INDEX('Expected Production'!$C$2:$N$199,MATCH(A2670,'Expected Production'!$A$2:$A$199,0),MONTH(B2670)),"")</f>
        <v>12420</v>
      </c>
    </row>
    <row r="2671" spans="1:3" hidden="1" x14ac:dyDescent="0.3">
      <c r="A2671" t="s">
        <v>271</v>
      </c>
      <c r="B2671" s="2">
        <v>45413</v>
      </c>
      <c r="C2671" cm="1">
        <f t="array" ref="C2671">IFERROR(INDEX('Expected Production'!$C$2:$N$199,MATCH(A2671,'Expected Production'!$A$2:$A$199,0),MONTH(B2671)),"")</f>
        <v>11402.1</v>
      </c>
    </row>
    <row r="2672" spans="1:3" hidden="1" x14ac:dyDescent="0.3">
      <c r="A2672" t="s">
        <v>271</v>
      </c>
      <c r="B2672" s="2">
        <v>45444</v>
      </c>
      <c r="C2672" cm="1">
        <f t="array" ref="C2672">IFERROR(INDEX('Expected Production'!$C$2:$N$199,MATCH(A2672,'Expected Production'!$A$2:$A$199,0),MONTH(B2672)),"")</f>
        <v>9989.1</v>
      </c>
    </row>
    <row r="2673" spans="1:3" hidden="1" x14ac:dyDescent="0.3">
      <c r="A2673" t="s">
        <v>271</v>
      </c>
      <c r="B2673" s="2">
        <v>45474</v>
      </c>
      <c r="C2673" cm="1">
        <f t="array" ref="C2673">IFERROR(INDEX('Expected Production'!$C$2:$N$199,MATCH(A2673,'Expected Production'!$A$2:$A$199,0),MONTH(B2673)),"")</f>
        <v>10986.300000000001</v>
      </c>
    </row>
    <row r="2674" spans="1:3" hidden="1" x14ac:dyDescent="0.3">
      <c r="A2674" t="s">
        <v>271</v>
      </c>
      <c r="B2674" s="2">
        <v>45505</v>
      </c>
      <c r="C2674" cm="1">
        <f t="array" ref="C2674">IFERROR(INDEX('Expected Production'!$C$2:$N$199,MATCH(A2674,'Expected Production'!$A$2:$A$199,0),MONTH(B2674)),"")</f>
        <v>13108.77</v>
      </c>
    </row>
    <row r="2675" spans="1:3" hidden="1" x14ac:dyDescent="0.3">
      <c r="A2675" t="s">
        <v>271</v>
      </c>
      <c r="B2675" s="2">
        <v>45536</v>
      </c>
      <c r="C2675" cm="1">
        <f t="array" ref="C2675">IFERROR(INDEX('Expected Production'!$C$2:$N$199,MATCH(A2675,'Expected Production'!$A$2:$A$199,0),MONTH(B2675)),"")</f>
        <v>14833.17</v>
      </c>
    </row>
    <row r="2676" spans="1:3" hidden="1" x14ac:dyDescent="0.3">
      <c r="A2676" t="s">
        <v>271</v>
      </c>
      <c r="B2676" s="2">
        <v>45566</v>
      </c>
      <c r="C2676" cm="1">
        <f t="array" ref="C2676">IFERROR(INDEX('Expected Production'!$C$2:$N$199,MATCH(A2676,'Expected Production'!$A$2:$A$199,0),MONTH(B2676)),"")</f>
        <v>17053.2</v>
      </c>
    </row>
    <row r="2677" spans="1:3" hidden="1" x14ac:dyDescent="0.3">
      <c r="A2677" t="s">
        <v>271</v>
      </c>
      <c r="B2677" s="2">
        <v>45597</v>
      </c>
      <c r="C2677" cm="1">
        <f t="array" ref="C2677">IFERROR(INDEX('Expected Production'!$C$2:$N$199,MATCH(A2677,'Expected Production'!$A$2:$A$199,0),MONTH(B2677)),"")</f>
        <v>17239.5</v>
      </c>
    </row>
    <row r="2678" spans="1:3" hidden="1" x14ac:dyDescent="0.3">
      <c r="A2678" t="s">
        <v>271</v>
      </c>
      <c r="B2678" s="2">
        <v>45627</v>
      </c>
      <c r="C2678" cm="1">
        <f t="array" ref="C2678">IFERROR(INDEX('Expected Production'!$C$2:$N$199,MATCH(A2678,'Expected Production'!$A$2:$A$199,0),MONTH(B2678)),"")</f>
        <v>17465.400000000001</v>
      </c>
    </row>
    <row r="2679" spans="1:3" hidden="1" x14ac:dyDescent="0.3">
      <c r="A2679" t="s">
        <v>271</v>
      </c>
      <c r="B2679" s="2">
        <v>45658</v>
      </c>
      <c r="C2679" cm="1">
        <f t="array" ref="C2679">IFERROR(INDEX('Expected Production'!$C$2:$N$199,MATCH(A2679,'Expected Production'!$A$2:$A$199,0),MONTH(B2679)),"")</f>
        <v>17370.900000000001</v>
      </c>
    </row>
    <row r="2680" spans="1:3" hidden="1" x14ac:dyDescent="0.3">
      <c r="A2680" t="s">
        <v>271</v>
      </c>
      <c r="B2680" s="2">
        <v>45689</v>
      </c>
      <c r="C2680" cm="1">
        <f t="array" ref="C2680">IFERROR(INDEX('Expected Production'!$C$2:$N$199,MATCH(A2680,'Expected Production'!$A$2:$A$199,0),MONTH(B2680)),"")</f>
        <v>15077.7</v>
      </c>
    </row>
    <row r="2681" spans="1:3" hidden="1" x14ac:dyDescent="0.3">
      <c r="A2681" t="s">
        <v>271</v>
      </c>
      <c r="B2681" s="2">
        <v>45717</v>
      </c>
      <c r="C2681" cm="1">
        <f t="array" ref="C2681">IFERROR(INDEX('Expected Production'!$C$2:$N$199,MATCH(A2681,'Expected Production'!$A$2:$A$199,0),MONTH(B2681)),"")</f>
        <v>14634</v>
      </c>
    </row>
    <row r="2682" spans="1:3" hidden="1" x14ac:dyDescent="0.3">
      <c r="A2682" t="s">
        <v>271</v>
      </c>
      <c r="B2682" s="2">
        <v>45748</v>
      </c>
      <c r="C2682" cm="1">
        <f t="array" ref="C2682">IFERROR(INDEX('Expected Production'!$C$2:$N$199,MATCH(A2682,'Expected Production'!$A$2:$A$199,0),MONTH(B2682)),"")</f>
        <v>12420</v>
      </c>
    </row>
    <row r="2683" spans="1:3" hidden="1" x14ac:dyDescent="0.3">
      <c r="A2683" t="s">
        <v>271</v>
      </c>
      <c r="B2683" s="2">
        <v>45778</v>
      </c>
      <c r="C2683" cm="1">
        <f t="array" ref="C2683">IFERROR(INDEX('Expected Production'!$C$2:$N$199,MATCH(A2683,'Expected Production'!$A$2:$A$199,0),MONTH(B2683)),"")</f>
        <v>11402.1</v>
      </c>
    </row>
    <row r="2684" spans="1:3" hidden="1" x14ac:dyDescent="0.3">
      <c r="A2684" t="s">
        <v>271</v>
      </c>
      <c r="B2684" s="2">
        <v>45809</v>
      </c>
      <c r="C2684" cm="1">
        <f t="array" ref="C2684">IFERROR(INDEX('Expected Production'!$C$2:$N$199,MATCH(A2684,'Expected Production'!$A$2:$A$199,0),MONTH(B2684)),"")</f>
        <v>9989.1</v>
      </c>
    </row>
    <row r="2685" spans="1:3" hidden="1" x14ac:dyDescent="0.3">
      <c r="A2685" t="s">
        <v>271</v>
      </c>
      <c r="B2685" s="2">
        <v>45839</v>
      </c>
      <c r="C2685" cm="1">
        <f t="array" ref="C2685">IFERROR(INDEX('Expected Production'!$C$2:$N$199,MATCH(A2685,'Expected Production'!$A$2:$A$199,0),MONTH(B2685)),"")</f>
        <v>10986.300000000001</v>
      </c>
    </row>
    <row r="2686" spans="1:3" hidden="1" x14ac:dyDescent="0.3">
      <c r="A2686" t="s">
        <v>271</v>
      </c>
      <c r="B2686" s="2">
        <v>45870</v>
      </c>
      <c r="C2686" cm="1">
        <f t="array" ref="C2686">IFERROR(INDEX('Expected Production'!$C$2:$N$199,MATCH(A2686,'Expected Production'!$A$2:$A$199,0),MONTH(B2686)),"")</f>
        <v>13108.77</v>
      </c>
    </row>
    <row r="2687" spans="1:3" hidden="1" x14ac:dyDescent="0.3">
      <c r="A2687" t="s">
        <v>271</v>
      </c>
      <c r="B2687" s="2">
        <v>45901</v>
      </c>
      <c r="C2687" cm="1">
        <f t="array" ref="C2687">IFERROR(INDEX('Expected Production'!$C$2:$N$199,MATCH(A2687,'Expected Production'!$A$2:$A$199,0),MONTH(B2687)),"")</f>
        <v>14833.17</v>
      </c>
    </row>
    <row r="2688" spans="1:3" hidden="1" x14ac:dyDescent="0.3">
      <c r="A2688" t="s">
        <v>271</v>
      </c>
      <c r="B2688" s="2">
        <v>45931</v>
      </c>
      <c r="C2688" cm="1">
        <f t="array" ref="C2688">IFERROR(INDEX('Expected Production'!$C$2:$N$199,MATCH(A2688,'Expected Production'!$A$2:$A$199,0),MONTH(B2688)),"")</f>
        <v>17053.2</v>
      </c>
    </row>
    <row r="2689" spans="1:3" hidden="1" x14ac:dyDescent="0.3">
      <c r="A2689" t="s">
        <v>271</v>
      </c>
      <c r="B2689" s="2">
        <v>45962</v>
      </c>
      <c r="C2689" cm="1">
        <f t="array" ref="C2689">IFERROR(INDEX('Expected Production'!$C$2:$N$199,MATCH(A2689,'Expected Production'!$A$2:$A$199,0),MONTH(B2689)),"")</f>
        <v>17239.5</v>
      </c>
    </row>
    <row r="2690" spans="1:3" hidden="1" x14ac:dyDescent="0.3">
      <c r="A2690" t="s">
        <v>271</v>
      </c>
      <c r="B2690" s="2">
        <v>45992</v>
      </c>
      <c r="C2690" cm="1">
        <f t="array" ref="C2690">IFERROR(INDEX('Expected Production'!$C$2:$N$199,MATCH(A2690,'Expected Production'!$A$2:$A$199,0),MONTH(B2690)),"")</f>
        <v>17465.400000000001</v>
      </c>
    </row>
    <row r="2691" spans="1:3" hidden="1" x14ac:dyDescent="0.3">
      <c r="A2691" t="s">
        <v>271</v>
      </c>
      <c r="B2691" s="2">
        <v>46023</v>
      </c>
      <c r="C2691" cm="1">
        <f t="array" ref="C2691">IFERROR(INDEX('Expected Production'!$C$2:$N$199,MATCH(A2691,'Expected Production'!$A$2:$A$199,0),MONTH(B2691)),"")</f>
        <v>17370.900000000001</v>
      </c>
    </row>
    <row r="2692" spans="1:3" hidden="1" x14ac:dyDescent="0.3">
      <c r="A2692" t="s">
        <v>271</v>
      </c>
      <c r="B2692" s="2">
        <v>46054</v>
      </c>
      <c r="C2692" cm="1">
        <f t="array" ref="C2692">IFERROR(INDEX('Expected Production'!$C$2:$N$199,MATCH(A2692,'Expected Production'!$A$2:$A$199,0),MONTH(B2692)),"")</f>
        <v>15077.7</v>
      </c>
    </row>
    <row r="2693" spans="1:3" hidden="1" x14ac:dyDescent="0.3">
      <c r="A2693" t="s">
        <v>271</v>
      </c>
      <c r="B2693" s="2">
        <v>46082</v>
      </c>
      <c r="C2693" cm="1">
        <f t="array" ref="C2693">IFERROR(INDEX('Expected Production'!$C$2:$N$199,MATCH(A2693,'Expected Production'!$A$2:$A$199,0),MONTH(B2693)),"")</f>
        <v>14634</v>
      </c>
    </row>
    <row r="2694" spans="1:3" hidden="1" x14ac:dyDescent="0.3">
      <c r="A2694" t="s">
        <v>271</v>
      </c>
      <c r="B2694" s="2">
        <v>46113</v>
      </c>
      <c r="C2694" cm="1">
        <f t="array" ref="C2694">IFERROR(INDEX('Expected Production'!$C$2:$N$199,MATCH(A2694,'Expected Production'!$A$2:$A$199,0),MONTH(B2694)),"")</f>
        <v>12420</v>
      </c>
    </row>
    <row r="2695" spans="1:3" hidden="1" x14ac:dyDescent="0.3">
      <c r="A2695" t="s">
        <v>271</v>
      </c>
      <c r="B2695" s="2">
        <v>46143</v>
      </c>
      <c r="C2695" cm="1">
        <f t="array" ref="C2695">IFERROR(INDEX('Expected Production'!$C$2:$N$199,MATCH(A2695,'Expected Production'!$A$2:$A$199,0),MONTH(B2695)),"")</f>
        <v>11402.1</v>
      </c>
    </row>
    <row r="2696" spans="1:3" hidden="1" x14ac:dyDescent="0.3">
      <c r="A2696" t="s">
        <v>271</v>
      </c>
      <c r="B2696" s="2">
        <v>46174</v>
      </c>
      <c r="C2696" cm="1">
        <f t="array" ref="C2696">IFERROR(INDEX('Expected Production'!$C$2:$N$199,MATCH(A2696,'Expected Production'!$A$2:$A$199,0),MONTH(B2696)),"")</f>
        <v>9989.1</v>
      </c>
    </row>
    <row r="2697" spans="1:3" hidden="1" x14ac:dyDescent="0.3">
      <c r="A2697" t="s">
        <v>271</v>
      </c>
      <c r="B2697" s="2">
        <v>46204</v>
      </c>
      <c r="C2697" cm="1">
        <f t="array" ref="C2697">IFERROR(INDEX('Expected Production'!$C$2:$N$199,MATCH(A2697,'Expected Production'!$A$2:$A$199,0),MONTH(B2697)),"")</f>
        <v>10986.300000000001</v>
      </c>
    </row>
    <row r="2698" spans="1:3" x14ac:dyDescent="0.3">
      <c r="A2698" t="s">
        <v>271</v>
      </c>
      <c r="B2698" s="2">
        <v>46235</v>
      </c>
      <c r="C2698" cm="1">
        <f t="array" ref="C2698">IFERROR(INDEX('Expected Production'!$C$2:$N$199,MATCH(A2698,'Expected Production'!$A$2:$A$199,0),MONTH(B2698)),"")</f>
        <v>13108.77</v>
      </c>
    </row>
    <row r="2699" spans="1:3" hidden="1" x14ac:dyDescent="0.3">
      <c r="A2699" t="s">
        <v>271</v>
      </c>
      <c r="B2699" s="2">
        <v>46266</v>
      </c>
      <c r="C2699" cm="1">
        <f t="array" ref="C2699">IFERROR(INDEX('Expected Production'!$C$2:$N$199,MATCH(A2699,'Expected Production'!$A$2:$A$199,0),MONTH(B2699)),"")</f>
        <v>14833.17</v>
      </c>
    </row>
    <row r="2700" spans="1:3" hidden="1" x14ac:dyDescent="0.3">
      <c r="A2700" t="s">
        <v>271</v>
      </c>
      <c r="B2700" s="2">
        <v>46296</v>
      </c>
      <c r="C2700" cm="1">
        <f t="array" ref="C2700">IFERROR(INDEX('Expected Production'!$C$2:$N$199,MATCH(A2700,'Expected Production'!$A$2:$A$199,0),MONTH(B2700)),"")</f>
        <v>17053.2</v>
      </c>
    </row>
    <row r="2701" spans="1:3" hidden="1" x14ac:dyDescent="0.3">
      <c r="A2701" t="s">
        <v>271</v>
      </c>
      <c r="B2701" s="2">
        <v>46327</v>
      </c>
      <c r="C2701" cm="1">
        <f t="array" ref="C2701">IFERROR(INDEX('Expected Production'!$C$2:$N$199,MATCH(A2701,'Expected Production'!$A$2:$A$199,0),MONTH(B2701)),"")</f>
        <v>17239.5</v>
      </c>
    </row>
    <row r="2702" spans="1:3" hidden="1" x14ac:dyDescent="0.3">
      <c r="A2702" t="s">
        <v>271</v>
      </c>
      <c r="B2702" s="2">
        <v>46357</v>
      </c>
      <c r="C2702" cm="1">
        <f t="array" ref="C2702">IFERROR(INDEX('Expected Production'!$C$2:$N$199,MATCH(A2702,'Expected Production'!$A$2:$A$199,0),MONTH(B2702)),"")</f>
        <v>17465.400000000001</v>
      </c>
    </row>
    <row r="2703" spans="1:3" hidden="1" x14ac:dyDescent="0.3">
      <c r="A2703" t="s">
        <v>251</v>
      </c>
      <c r="B2703" s="2">
        <v>45292</v>
      </c>
      <c r="C2703" cm="1">
        <f t="array" ref="C2703">IFERROR(INDEX('Expected Production'!$C$2:$N$199,MATCH(A2703,'Expected Production'!$A$2:$A$199,0),MONTH(B2703)),"")</f>
        <v>26451</v>
      </c>
    </row>
    <row r="2704" spans="1:3" hidden="1" x14ac:dyDescent="0.3">
      <c r="A2704" t="s">
        <v>251</v>
      </c>
      <c r="B2704" s="2">
        <v>45323</v>
      </c>
      <c r="C2704" cm="1">
        <f t="array" ref="C2704">IFERROR(INDEX('Expected Production'!$C$2:$N$199,MATCH(A2704,'Expected Production'!$A$2:$A$199,0),MONTH(B2704)),"")</f>
        <v>23215.5</v>
      </c>
    </row>
    <row r="2705" spans="1:3" hidden="1" x14ac:dyDescent="0.3">
      <c r="A2705" t="s">
        <v>251</v>
      </c>
      <c r="B2705" s="2">
        <v>45352</v>
      </c>
      <c r="C2705" cm="1">
        <f t="array" ref="C2705">IFERROR(INDEX('Expected Production'!$C$2:$N$199,MATCH(A2705,'Expected Production'!$A$2:$A$199,0),MONTH(B2705)),"")</f>
        <v>23034.600000000002</v>
      </c>
    </row>
    <row r="2706" spans="1:3" hidden="1" x14ac:dyDescent="0.3">
      <c r="A2706" t="s">
        <v>251</v>
      </c>
      <c r="B2706" s="2">
        <v>45383</v>
      </c>
      <c r="C2706" cm="1">
        <f t="array" ref="C2706">IFERROR(INDEX('Expected Production'!$C$2:$N$199,MATCH(A2706,'Expected Production'!$A$2:$A$199,0),MONTH(B2706)),"")</f>
        <v>19930.5</v>
      </c>
    </row>
    <row r="2707" spans="1:3" hidden="1" x14ac:dyDescent="0.3">
      <c r="A2707" t="s">
        <v>251</v>
      </c>
      <c r="B2707" s="2">
        <v>45413</v>
      </c>
      <c r="C2707" cm="1">
        <f t="array" ref="C2707">IFERROR(INDEX('Expected Production'!$C$2:$N$199,MATCH(A2707,'Expected Production'!$A$2:$A$199,0),MONTH(B2707)),"")</f>
        <v>18754.2</v>
      </c>
    </row>
    <row r="2708" spans="1:3" hidden="1" x14ac:dyDescent="0.3">
      <c r="A2708" t="s">
        <v>251</v>
      </c>
      <c r="B2708" s="2">
        <v>45444</v>
      </c>
      <c r="C2708" cm="1">
        <f t="array" ref="C2708">IFERROR(INDEX('Expected Production'!$C$2:$N$199,MATCH(A2708,'Expected Production'!$A$2:$A$199,0),MONTH(B2708)),"")</f>
        <v>16767.900000000001</v>
      </c>
    </row>
    <row r="2709" spans="1:3" hidden="1" x14ac:dyDescent="0.3">
      <c r="A2709" t="s">
        <v>251</v>
      </c>
      <c r="B2709" s="2">
        <v>45474</v>
      </c>
      <c r="C2709" cm="1">
        <f t="array" ref="C2709">IFERROR(INDEX('Expected Production'!$C$2:$N$199,MATCH(A2709,'Expected Production'!$A$2:$A$199,0),MONTH(B2709)),"")</f>
        <v>18261</v>
      </c>
    </row>
    <row r="2710" spans="1:3" hidden="1" x14ac:dyDescent="0.3">
      <c r="A2710" t="s">
        <v>251</v>
      </c>
      <c r="B2710" s="2">
        <v>45505</v>
      </c>
      <c r="C2710" cm="1">
        <f t="array" ref="C2710">IFERROR(INDEX('Expected Production'!$C$2:$N$199,MATCH(A2710,'Expected Production'!$A$2:$A$199,0),MONTH(B2710)),"")</f>
        <v>21311.100000000002</v>
      </c>
    </row>
    <row r="2711" spans="1:3" hidden="1" x14ac:dyDescent="0.3">
      <c r="A2711" t="s">
        <v>251</v>
      </c>
      <c r="B2711" s="2">
        <v>45536</v>
      </c>
      <c r="C2711" cm="1">
        <f t="array" ref="C2711">IFERROR(INDEX('Expected Production'!$C$2:$N$199,MATCH(A2711,'Expected Production'!$A$2:$A$199,0),MONTH(B2711)),"")</f>
        <v>23659.200000000001</v>
      </c>
    </row>
    <row r="2712" spans="1:3" hidden="1" x14ac:dyDescent="0.3">
      <c r="A2712" t="s">
        <v>251</v>
      </c>
      <c r="B2712" s="2">
        <v>45566</v>
      </c>
      <c r="C2712" cm="1">
        <f t="array" ref="C2712">IFERROR(INDEX('Expected Production'!$C$2:$N$199,MATCH(A2712,'Expected Production'!$A$2:$A$199,0),MONTH(B2712)),"")</f>
        <v>26865.9</v>
      </c>
    </row>
    <row r="2713" spans="1:3" hidden="1" x14ac:dyDescent="0.3">
      <c r="A2713" t="s">
        <v>251</v>
      </c>
      <c r="B2713" s="2">
        <v>45597</v>
      </c>
      <c r="C2713" cm="1">
        <f t="array" ref="C2713">IFERROR(INDEX('Expected Production'!$C$2:$N$199,MATCH(A2713,'Expected Production'!$A$2:$A$199,0),MONTH(B2713)),"")</f>
        <v>27153.9</v>
      </c>
    </row>
    <row r="2714" spans="1:3" hidden="1" x14ac:dyDescent="0.3">
      <c r="A2714" t="s">
        <v>251</v>
      </c>
      <c r="B2714" s="2">
        <v>45627</v>
      </c>
      <c r="C2714" cm="1">
        <f t="array" ref="C2714">IFERROR(INDEX('Expected Production'!$C$2:$N$199,MATCH(A2714,'Expected Production'!$A$2:$A$199,0),MONTH(B2714)),"")</f>
        <v>27402.3</v>
      </c>
    </row>
    <row r="2715" spans="1:3" hidden="1" x14ac:dyDescent="0.3">
      <c r="A2715" t="s">
        <v>251</v>
      </c>
      <c r="B2715" s="2">
        <v>45658</v>
      </c>
      <c r="C2715" cm="1">
        <f t="array" ref="C2715">IFERROR(INDEX('Expected Production'!$C$2:$N$199,MATCH(A2715,'Expected Production'!$A$2:$A$199,0),MONTH(B2715)),"")</f>
        <v>26451</v>
      </c>
    </row>
    <row r="2716" spans="1:3" hidden="1" x14ac:dyDescent="0.3">
      <c r="A2716" t="s">
        <v>251</v>
      </c>
      <c r="B2716" s="2">
        <v>45689</v>
      </c>
      <c r="C2716" cm="1">
        <f t="array" ref="C2716">IFERROR(INDEX('Expected Production'!$C$2:$N$199,MATCH(A2716,'Expected Production'!$A$2:$A$199,0),MONTH(B2716)),"")</f>
        <v>23215.5</v>
      </c>
    </row>
    <row r="2717" spans="1:3" hidden="1" x14ac:dyDescent="0.3">
      <c r="A2717" t="s">
        <v>251</v>
      </c>
      <c r="B2717" s="2">
        <v>45717</v>
      </c>
      <c r="C2717" cm="1">
        <f t="array" ref="C2717">IFERROR(INDEX('Expected Production'!$C$2:$N$199,MATCH(A2717,'Expected Production'!$A$2:$A$199,0),MONTH(B2717)),"")</f>
        <v>23034.600000000002</v>
      </c>
    </row>
    <row r="2718" spans="1:3" hidden="1" x14ac:dyDescent="0.3">
      <c r="A2718" t="s">
        <v>251</v>
      </c>
      <c r="B2718" s="2">
        <v>45748</v>
      </c>
      <c r="C2718" cm="1">
        <f t="array" ref="C2718">IFERROR(INDEX('Expected Production'!$C$2:$N$199,MATCH(A2718,'Expected Production'!$A$2:$A$199,0),MONTH(B2718)),"")</f>
        <v>19930.5</v>
      </c>
    </row>
    <row r="2719" spans="1:3" hidden="1" x14ac:dyDescent="0.3">
      <c r="A2719" t="s">
        <v>251</v>
      </c>
      <c r="B2719" s="2">
        <v>45778</v>
      </c>
      <c r="C2719" cm="1">
        <f t="array" ref="C2719">IFERROR(INDEX('Expected Production'!$C$2:$N$199,MATCH(A2719,'Expected Production'!$A$2:$A$199,0),MONTH(B2719)),"")</f>
        <v>18754.2</v>
      </c>
    </row>
    <row r="2720" spans="1:3" hidden="1" x14ac:dyDescent="0.3">
      <c r="A2720" t="s">
        <v>251</v>
      </c>
      <c r="B2720" s="2">
        <v>45809</v>
      </c>
      <c r="C2720" cm="1">
        <f t="array" ref="C2720">IFERROR(INDEX('Expected Production'!$C$2:$N$199,MATCH(A2720,'Expected Production'!$A$2:$A$199,0),MONTH(B2720)),"")</f>
        <v>16767.900000000001</v>
      </c>
    </row>
    <row r="2721" spans="1:3" hidden="1" x14ac:dyDescent="0.3">
      <c r="A2721" t="s">
        <v>251</v>
      </c>
      <c r="B2721" s="2">
        <v>45839</v>
      </c>
      <c r="C2721" cm="1">
        <f t="array" ref="C2721">IFERROR(INDEX('Expected Production'!$C$2:$N$199,MATCH(A2721,'Expected Production'!$A$2:$A$199,0),MONTH(B2721)),"")</f>
        <v>18261</v>
      </c>
    </row>
    <row r="2722" spans="1:3" hidden="1" x14ac:dyDescent="0.3">
      <c r="A2722" t="s">
        <v>251</v>
      </c>
      <c r="B2722" s="2">
        <v>45870</v>
      </c>
      <c r="C2722" cm="1">
        <f t="array" ref="C2722">IFERROR(INDEX('Expected Production'!$C$2:$N$199,MATCH(A2722,'Expected Production'!$A$2:$A$199,0),MONTH(B2722)),"")</f>
        <v>21311.100000000002</v>
      </c>
    </row>
    <row r="2723" spans="1:3" hidden="1" x14ac:dyDescent="0.3">
      <c r="A2723" t="s">
        <v>251</v>
      </c>
      <c r="B2723" s="2">
        <v>45901</v>
      </c>
      <c r="C2723" cm="1">
        <f t="array" ref="C2723">IFERROR(INDEX('Expected Production'!$C$2:$N$199,MATCH(A2723,'Expected Production'!$A$2:$A$199,0),MONTH(B2723)),"")</f>
        <v>23659.200000000001</v>
      </c>
    </row>
    <row r="2724" spans="1:3" hidden="1" x14ac:dyDescent="0.3">
      <c r="A2724" t="s">
        <v>251</v>
      </c>
      <c r="B2724" s="2">
        <v>45931</v>
      </c>
      <c r="C2724" cm="1">
        <f t="array" ref="C2724">IFERROR(INDEX('Expected Production'!$C$2:$N$199,MATCH(A2724,'Expected Production'!$A$2:$A$199,0),MONTH(B2724)),"")</f>
        <v>26865.9</v>
      </c>
    </row>
    <row r="2725" spans="1:3" hidden="1" x14ac:dyDescent="0.3">
      <c r="A2725" t="s">
        <v>251</v>
      </c>
      <c r="B2725" s="2">
        <v>45962</v>
      </c>
      <c r="C2725" cm="1">
        <f t="array" ref="C2725">IFERROR(INDEX('Expected Production'!$C$2:$N$199,MATCH(A2725,'Expected Production'!$A$2:$A$199,0),MONTH(B2725)),"")</f>
        <v>27153.9</v>
      </c>
    </row>
    <row r="2726" spans="1:3" hidden="1" x14ac:dyDescent="0.3">
      <c r="A2726" t="s">
        <v>251</v>
      </c>
      <c r="B2726" s="2">
        <v>45992</v>
      </c>
      <c r="C2726" cm="1">
        <f t="array" ref="C2726">IFERROR(INDEX('Expected Production'!$C$2:$N$199,MATCH(A2726,'Expected Production'!$A$2:$A$199,0),MONTH(B2726)),"")</f>
        <v>27402.3</v>
      </c>
    </row>
    <row r="2727" spans="1:3" hidden="1" x14ac:dyDescent="0.3">
      <c r="A2727" t="s">
        <v>251</v>
      </c>
      <c r="B2727" s="2">
        <v>46023</v>
      </c>
      <c r="C2727" cm="1">
        <f t="array" ref="C2727">IFERROR(INDEX('Expected Production'!$C$2:$N$199,MATCH(A2727,'Expected Production'!$A$2:$A$199,0),MONTH(B2727)),"")</f>
        <v>26451</v>
      </c>
    </row>
    <row r="2728" spans="1:3" hidden="1" x14ac:dyDescent="0.3">
      <c r="A2728" t="s">
        <v>251</v>
      </c>
      <c r="B2728" s="2">
        <v>46054</v>
      </c>
      <c r="C2728" cm="1">
        <f t="array" ref="C2728">IFERROR(INDEX('Expected Production'!$C$2:$N$199,MATCH(A2728,'Expected Production'!$A$2:$A$199,0),MONTH(B2728)),"")</f>
        <v>23215.5</v>
      </c>
    </row>
    <row r="2729" spans="1:3" hidden="1" x14ac:dyDescent="0.3">
      <c r="A2729" t="s">
        <v>251</v>
      </c>
      <c r="B2729" s="2">
        <v>46082</v>
      </c>
      <c r="C2729" cm="1">
        <f t="array" ref="C2729">IFERROR(INDEX('Expected Production'!$C$2:$N$199,MATCH(A2729,'Expected Production'!$A$2:$A$199,0),MONTH(B2729)),"")</f>
        <v>23034.600000000002</v>
      </c>
    </row>
    <row r="2730" spans="1:3" hidden="1" x14ac:dyDescent="0.3">
      <c r="A2730" t="s">
        <v>251</v>
      </c>
      <c r="B2730" s="2">
        <v>46113</v>
      </c>
      <c r="C2730" cm="1">
        <f t="array" ref="C2730">IFERROR(INDEX('Expected Production'!$C$2:$N$199,MATCH(A2730,'Expected Production'!$A$2:$A$199,0),MONTH(B2730)),"")</f>
        <v>19930.5</v>
      </c>
    </row>
    <row r="2731" spans="1:3" hidden="1" x14ac:dyDescent="0.3">
      <c r="A2731" t="s">
        <v>251</v>
      </c>
      <c r="B2731" s="2">
        <v>46143</v>
      </c>
      <c r="C2731" cm="1">
        <f t="array" ref="C2731">IFERROR(INDEX('Expected Production'!$C$2:$N$199,MATCH(A2731,'Expected Production'!$A$2:$A$199,0),MONTH(B2731)),"")</f>
        <v>18754.2</v>
      </c>
    </row>
    <row r="2732" spans="1:3" hidden="1" x14ac:dyDescent="0.3">
      <c r="A2732" t="s">
        <v>251</v>
      </c>
      <c r="B2732" s="2">
        <v>46174</v>
      </c>
      <c r="C2732" cm="1">
        <f t="array" ref="C2732">IFERROR(INDEX('Expected Production'!$C$2:$N$199,MATCH(A2732,'Expected Production'!$A$2:$A$199,0),MONTH(B2732)),"")</f>
        <v>16767.900000000001</v>
      </c>
    </row>
    <row r="2733" spans="1:3" hidden="1" x14ac:dyDescent="0.3">
      <c r="A2733" t="s">
        <v>251</v>
      </c>
      <c r="B2733" s="2">
        <v>46204</v>
      </c>
      <c r="C2733" cm="1">
        <f t="array" ref="C2733">IFERROR(INDEX('Expected Production'!$C$2:$N$199,MATCH(A2733,'Expected Production'!$A$2:$A$199,0),MONTH(B2733)),"")</f>
        <v>18261</v>
      </c>
    </row>
    <row r="2734" spans="1:3" x14ac:dyDescent="0.3">
      <c r="A2734" t="s">
        <v>251</v>
      </c>
      <c r="B2734" s="2">
        <v>46235</v>
      </c>
      <c r="C2734" cm="1">
        <f t="array" ref="C2734">IFERROR(INDEX('Expected Production'!$C$2:$N$199,MATCH(A2734,'Expected Production'!$A$2:$A$199,0),MONTH(B2734)),"")</f>
        <v>21311.100000000002</v>
      </c>
    </row>
    <row r="2735" spans="1:3" hidden="1" x14ac:dyDescent="0.3">
      <c r="A2735" t="s">
        <v>251</v>
      </c>
      <c r="B2735" s="2">
        <v>46266</v>
      </c>
      <c r="C2735" cm="1">
        <f t="array" ref="C2735">IFERROR(INDEX('Expected Production'!$C$2:$N$199,MATCH(A2735,'Expected Production'!$A$2:$A$199,0),MONTH(B2735)),"")</f>
        <v>23659.200000000001</v>
      </c>
    </row>
    <row r="2736" spans="1:3" hidden="1" x14ac:dyDescent="0.3">
      <c r="A2736" t="s">
        <v>251</v>
      </c>
      <c r="B2736" s="2">
        <v>46296</v>
      </c>
      <c r="C2736" cm="1">
        <f t="array" ref="C2736">IFERROR(INDEX('Expected Production'!$C$2:$N$199,MATCH(A2736,'Expected Production'!$A$2:$A$199,0),MONTH(B2736)),"")</f>
        <v>26865.9</v>
      </c>
    </row>
    <row r="2737" spans="1:3" hidden="1" x14ac:dyDescent="0.3">
      <c r="A2737" t="s">
        <v>251</v>
      </c>
      <c r="B2737" s="2">
        <v>46327</v>
      </c>
      <c r="C2737" cm="1">
        <f t="array" ref="C2737">IFERROR(INDEX('Expected Production'!$C$2:$N$199,MATCH(A2737,'Expected Production'!$A$2:$A$199,0),MONTH(B2737)),"")</f>
        <v>27153.9</v>
      </c>
    </row>
    <row r="2738" spans="1:3" hidden="1" x14ac:dyDescent="0.3">
      <c r="A2738" t="s">
        <v>251</v>
      </c>
      <c r="B2738" s="2">
        <v>46357</v>
      </c>
      <c r="C2738" cm="1">
        <f t="array" ref="C2738">IFERROR(INDEX('Expected Production'!$C$2:$N$199,MATCH(A2738,'Expected Production'!$A$2:$A$199,0),MONTH(B2738)),"")</f>
        <v>27402.3</v>
      </c>
    </row>
    <row r="2739" spans="1:3" hidden="1" x14ac:dyDescent="0.3">
      <c r="A2739" t="s">
        <v>250</v>
      </c>
      <c r="B2739" s="2">
        <v>45292</v>
      </c>
      <c r="C2739" cm="1">
        <f t="array" ref="C2739">IFERROR(INDEX('Expected Production'!$C$2:$N$199,MATCH(A2739,'Expected Production'!$A$2:$A$199,0),MONTH(B2739)),"")</f>
        <v>28877.4</v>
      </c>
    </row>
    <row r="2740" spans="1:3" hidden="1" x14ac:dyDescent="0.3">
      <c r="A2740" t="s">
        <v>250</v>
      </c>
      <c r="B2740" s="2">
        <v>45323</v>
      </c>
      <c r="C2740" cm="1">
        <f t="array" ref="C2740">IFERROR(INDEX('Expected Production'!$C$2:$N$199,MATCH(A2740,'Expected Production'!$A$2:$A$199,0),MONTH(B2740)),"")</f>
        <v>25884.9</v>
      </c>
    </row>
    <row r="2741" spans="1:3" hidden="1" x14ac:dyDescent="0.3">
      <c r="A2741" t="s">
        <v>250</v>
      </c>
      <c r="B2741" s="2">
        <v>45352</v>
      </c>
      <c r="C2741" cm="1">
        <f t="array" ref="C2741">IFERROR(INDEX('Expected Production'!$C$2:$N$199,MATCH(A2741,'Expected Production'!$A$2:$A$199,0),MONTH(B2741)),"")</f>
        <v>27341.100000000002</v>
      </c>
    </row>
    <row r="2742" spans="1:3" hidden="1" x14ac:dyDescent="0.3">
      <c r="A2742" t="s">
        <v>250</v>
      </c>
      <c r="B2742" s="2">
        <v>45383</v>
      </c>
      <c r="C2742" cm="1">
        <f t="array" ref="C2742">IFERROR(INDEX('Expected Production'!$C$2:$N$199,MATCH(A2742,'Expected Production'!$A$2:$A$199,0),MONTH(B2742)),"")</f>
        <v>27823.5</v>
      </c>
    </row>
    <row r="2743" spans="1:3" hidden="1" x14ac:dyDescent="0.3">
      <c r="A2743" t="s">
        <v>250</v>
      </c>
      <c r="B2743" s="2">
        <v>45413</v>
      </c>
      <c r="C2743" cm="1">
        <f t="array" ref="C2743">IFERROR(INDEX('Expected Production'!$C$2:$N$199,MATCH(A2743,'Expected Production'!$A$2:$A$199,0),MONTH(B2743)),"")</f>
        <v>29920.5</v>
      </c>
    </row>
    <row r="2744" spans="1:3" hidden="1" x14ac:dyDescent="0.3">
      <c r="A2744" t="s">
        <v>250</v>
      </c>
      <c r="B2744" s="2">
        <v>45444</v>
      </c>
      <c r="C2744" cm="1">
        <f t="array" ref="C2744">IFERROR(INDEX('Expected Production'!$C$2:$N$199,MATCH(A2744,'Expected Production'!$A$2:$A$199,0),MONTH(B2744)),"")</f>
        <v>28644.3</v>
      </c>
    </row>
    <row r="2745" spans="1:3" hidden="1" x14ac:dyDescent="0.3">
      <c r="A2745" t="s">
        <v>250</v>
      </c>
      <c r="B2745" s="2">
        <v>45474</v>
      </c>
      <c r="C2745" cm="1">
        <f t="array" ref="C2745">IFERROR(INDEX('Expected Production'!$C$2:$N$199,MATCH(A2745,'Expected Production'!$A$2:$A$199,0),MONTH(B2745)),"")</f>
        <v>28051.200000000001</v>
      </c>
    </row>
    <row r="2746" spans="1:3" hidden="1" x14ac:dyDescent="0.3">
      <c r="A2746" t="s">
        <v>250</v>
      </c>
      <c r="B2746" s="2">
        <v>45505</v>
      </c>
      <c r="C2746" cm="1">
        <f t="array" ref="C2746">IFERROR(INDEX('Expected Production'!$C$2:$N$199,MATCH(A2746,'Expected Production'!$A$2:$A$199,0),MONTH(B2746)),"")</f>
        <v>31649.4</v>
      </c>
    </row>
    <row r="2747" spans="1:3" hidden="1" x14ac:dyDescent="0.3">
      <c r="A2747" t="s">
        <v>250</v>
      </c>
      <c r="B2747" s="2">
        <v>45536</v>
      </c>
      <c r="C2747" cm="1">
        <f t="array" ref="C2747">IFERROR(INDEX('Expected Production'!$C$2:$N$199,MATCH(A2747,'Expected Production'!$A$2:$A$199,0),MONTH(B2747)),"")</f>
        <v>28250.100000000002</v>
      </c>
    </row>
    <row r="2748" spans="1:3" hidden="1" x14ac:dyDescent="0.3">
      <c r="A2748" t="s">
        <v>250</v>
      </c>
      <c r="B2748" s="2">
        <v>45566</v>
      </c>
      <c r="C2748" cm="1">
        <f t="array" ref="C2748">IFERROR(INDEX('Expected Production'!$C$2:$N$199,MATCH(A2748,'Expected Production'!$A$2:$A$199,0),MONTH(B2748)),"")</f>
        <v>28466.100000000002</v>
      </c>
    </row>
    <row r="2749" spans="1:3" hidden="1" x14ac:dyDescent="0.3">
      <c r="A2749" t="s">
        <v>250</v>
      </c>
      <c r="B2749" s="2">
        <v>45597</v>
      </c>
      <c r="C2749" cm="1">
        <f t="array" ref="C2749">IFERROR(INDEX('Expected Production'!$C$2:$N$199,MATCH(A2749,'Expected Production'!$A$2:$A$199,0),MONTH(B2749)),"")</f>
        <v>28991.7</v>
      </c>
    </row>
    <row r="2750" spans="1:3" hidden="1" x14ac:dyDescent="0.3">
      <c r="A2750" t="s">
        <v>250</v>
      </c>
      <c r="B2750" s="2">
        <v>45627</v>
      </c>
      <c r="C2750" cm="1">
        <f t="array" ref="C2750">IFERROR(INDEX('Expected Production'!$C$2:$N$199,MATCH(A2750,'Expected Production'!$A$2:$A$199,0),MONTH(B2750)),"")</f>
        <v>28903.5</v>
      </c>
    </row>
    <row r="2751" spans="1:3" hidden="1" x14ac:dyDescent="0.3">
      <c r="A2751" t="s">
        <v>250</v>
      </c>
      <c r="B2751" s="2">
        <v>45658</v>
      </c>
      <c r="C2751" cm="1">
        <f t="array" ref="C2751">IFERROR(INDEX('Expected Production'!$C$2:$N$199,MATCH(A2751,'Expected Production'!$A$2:$A$199,0),MONTH(B2751)),"")</f>
        <v>28877.4</v>
      </c>
    </row>
    <row r="2752" spans="1:3" hidden="1" x14ac:dyDescent="0.3">
      <c r="A2752" t="s">
        <v>250</v>
      </c>
      <c r="B2752" s="2">
        <v>45689</v>
      </c>
      <c r="C2752" cm="1">
        <f t="array" ref="C2752">IFERROR(INDEX('Expected Production'!$C$2:$N$199,MATCH(A2752,'Expected Production'!$A$2:$A$199,0),MONTH(B2752)),"")</f>
        <v>25884.9</v>
      </c>
    </row>
    <row r="2753" spans="1:3" hidden="1" x14ac:dyDescent="0.3">
      <c r="A2753" t="s">
        <v>250</v>
      </c>
      <c r="B2753" s="2">
        <v>45717</v>
      </c>
      <c r="C2753" cm="1">
        <f t="array" ref="C2753">IFERROR(INDEX('Expected Production'!$C$2:$N$199,MATCH(A2753,'Expected Production'!$A$2:$A$199,0),MONTH(B2753)),"")</f>
        <v>27341.100000000002</v>
      </c>
    </row>
    <row r="2754" spans="1:3" hidden="1" x14ac:dyDescent="0.3">
      <c r="A2754" t="s">
        <v>250</v>
      </c>
      <c r="B2754" s="2">
        <v>45748</v>
      </c>
      <c r="C2754" cm="1">
        <f t="array" ref="C2754">IFERROR(INDEX('Expected Production'!$C$2:$N$199,MATCH(A2754,'Expected Production'!$A$2:$A$199,0),MONTH(B2754)),"")</f>
        <v>27823.5</v>
      </c>
    </row>
    <row r="2755" spans="1:3" hidden="1" x14ac:dyDescent="0.3">
      <c r="A2755" t="s">
        <v>250</v>
      </c>
      <c r="B2755" s="2">
        <v>45778</v>
      </c>
      <c r="C2755" cm="1">
        <f t="array" ref="C2755">IFERROR(INDEX('Expected Production'!$C$2:$N$199,MATCH(A2755,'Expected Production'!$A$2:$A$199,0),MONTH(B2755)),"")</f>
        <v>29920.5</v>
      </c>
    </row>
    <row r="2756" spans="1:3" hidden="1" x14ac:dyDescent="0.3">
      <c r="A2756" t="s">
        <v>250</v>
      </c>
      <c r="B2756" s="2">
        <v>45809</v>
      </c>
      <c r="C2756" cm="1">
        <f t="array" ref="C2756">IFERROR(INDEX('Expected Production'!$C$2:$N$199,MATCH(A2756,'Expected Production'!$A$2:$A$199,0),MONTH(B2756)),"")</f>
        <v>28644.3</v>
      </c>
    </row>
    <row r="2757" spans="1:3" hidden="1" x14ac:dyDescent="0.3">
      <c r="A2757" t="s">
        <v>250</v>
      </c>
      <c r="B2757" s="2">
        <v>45839</v>
      </c>
      <c r="C2757" cm="1">
        <f t="array" ref="C2757">IFERROR(INDEX('Expected Production'!$C$2:$N$199,MATCH(A2757,'Expected Production'!$A$2:$A$199,0),MONTH(B2757)),"")</f>
        <v>28051.200000000001</v>
      </c>
    </row>
    <row r="2758" spans="1:3" hidden="1" x14ac:dyDescent="0.3">
      <c r="A2758" t="s">
        <v>250</v>
      </c>
      <c r="B2758" s="2">
        <v>45870</v>
      </c>
      <c r="C2758" cm="1">
        <f t="array" ref="C2758">IFERROR(INDEX('Expected Production'!$C$2:$N$199,MATCH(A2758,'Expected Production'!$A$2:$A$199,0),MONTH(B2758)),"")</f>
        <v>31649.4</v>
      </c>
    </row>
    <row r="2759" spans="1:3" hidden="1" x14ac:dyDescent="0.3">
      <c r="A2759" t="s">
        <v>250</v>
      </c>
      <c r="B2759" s="2">
        <v>45901</v>
      </c>
      <c r="C2759" cm="1">
        <f t="array" ref="C2759">IFERROR(INDEX('Expected Production'!$C$2:$N$199,MATCH(A2759,'Expected Production'!$A$2:$A$199,0),MONTH(B2759)),"")</f>
        <v>28250.100000000002</v>
      </c>
    </row>
    <row r="2760" spans="1:3" hidden="1" x14ac:dyDescent="0.3">
      <c r="A2760" t="s">
        <v>250</v>
      </c>
      <c r="B2760" s="2">
        <v>45931</v>
      </c>
      <c r="C2760" cm="1">
        <f t="array" ref="C2760">IFERROR(INDEX('Expected Production'!$C$2:$N$199,MATCH(A2760,'Expected Production'!$A$2:$A$199,0),MONTH(B2760)),"")</f>
        <v>28466.100000000002</v>
      </c>
    </row>
    <row r="2761" spans="1:3" hidden="1" x14ac:dyDescent="0.3">
      <c r="A2761" t="s">
        <v>250</v>
      </c>
      <c r="B2761" s="2">
        <v>45962</v>
      </c>
      <c r="C2761" cm="1">
        <f t="array" ref="C2761">IFERROR(INDEX('Expected Production'!$C$2:$N$199,MATCH(A2761,'Expected Production'!$A$2:$A$199,0),MONTH(B2761)),"")</f>
        <v>28991.7</v>
      </c>
    </row>
    <row r="2762" spans="1:3" hidden="1" x14ac:dyDescent="0.3">
      <c r="A2762" t="s">
        <v>250</v>
      </c>
      <c r="B2762" s="2">
        <v>45992</v>
      </c>
      <c r="C2762" cm="1">
        <f t="array" ref="C2762">IFERROR(INDEX('Expected Production'!$C$2:$N$199,MATCH(A2762,'Expected Production'!$A$2:$A$199,0),MONTH(B2762)),"")</f>
        <v>28903.5</v>
      </c>
    </row>
    <row r="2763" spans="1:3" hidden="1" x14ac:dyDescent="0.3">
      <c r="A2763" t="s">
        <v>250</v>
      </c>
      <c r="B2763" s="2">
        <v>46023</v>
      </c>
      <c r="C2763" cm="1">
        <f t="array" ref="C2763">IFERROR(INDEX('Expected Production'!$C$2:$N$199,MATCH(A2763,'Expected Production'!$A$2:$A$199,0),MONTH(B2763)),"")</f>
        <v>28877.4</v>
      </c>
    </row>
    <row r="2764" spans="1:3" hidden="1" x14ac:dyDescent="0.3">
      <c r="A2764" t="s">
        <v>250</v>
      </c>
      <c r="B2764" s="2">
        <v>46054</v>
      </c>
      <c r="C2764" cm="1">
        <f t="array" ref="C2764">IFERROR(INDEX('Expected Production'!$C$2:$N$199,MATCH(A2764,'Expected Production'!$A$2:$A$199,0),MONTH(B2764)),"")</f>
        <v>25884.9</v>
      </c>
    </row>
    <row r="2765" spans="1:3" hidden="1" x14ac:dyDescent="0.3">
      <c r="A2765" t="s">
        <v>250</v>
      </c>
      <c r="B2765" s="2">
        <v>46082</v>
      </c>
      <c r="C2765" cm="1">
        <f t="array" ref="C2765">IFERROR(INDEX('Expected Production'!$C$2:$N$199,MATCH(A2765,'Expected Production'!$A$2:$A$199,0),MONTH(B2765)),"")</f>
        <v>27341.100000000002</v>
      </c>
    </row>
    <row r="2766" spans="1:3" hidden="1" x14ac:dyDescent="0.3">
      <c r="A2766" t="s">
        <v>250</v>
      </c>
      <c r="B2766" s="2">
        <v>46113</v>
      </c>
      <c r="C2766" cm="1">
        <f t="array" ref="C2766">IFERROR(INDEX('Expected Production'!$C$2:$N$199,MATCH(A2766,'Expected Production'!$A$2:$A$199,0),MONTH(B2766)),"")</f>
        <v>27823.5</v>
      </c>
    </row>
    <row r="2767" spans="1:3" hidden="1" x14ac:dyDescent="0.3">
      <c r="A2767" t="s">
        <v>250</v>
      </c>
      <c r="B2767" s="2">
        <v>46143</v>
      </c>
      <c r="C2767" cm="1">
        <f t="array" ref="C2767">IFERROR(INDEX('Expected Production'!$C$2:$N$199,MATCH(A2767,'Expected Production'!$A$2:$A$199,0),MONTH(B2767)),"")</f>
        <v>29920.5</v>
      </c>
    </row>
    <row r="2768" spans="1:3" hidden="1" x14ac:dyDescent="0.3">
      <c r="A2768" t="s">
        <v>250</v>
      </c>
      <c r="B2768" s="2">
        <v>46174</v>
      </c>
      <c r="C2768" cm="1">
        <f t="array" ref="C2768">IFERROR(INDEX('Expected Production'!$C$2:$N$199,MATCH(A2768,'Expected Production'!$A$2:$A$199,0),MONTH(B2768)),"")</f>
        <v>28644.3</v>
      </c>
    </row>
    <row r="2769" spans="1:3" hidden="1" x14ac:dyDescent="0.3">
      <c r="A2769" t="s">
        <v>250</v>
      </c>
      <c r="B2769" s="2">
        <v>46204</v>
      </c>
      <c r="C2769" cm="1">
        <f t="array" ref="C2769">IFERROR(INDEX('Expected Production'!$C$2:$N$199,MATCH(A2769,'Expected Production'!$A$2:$A$199,0),MONTH(B2769)),"")</f>
        <v>28051.200000000001</v>
      </c>
    </row>
    <row r="2770" spans="1:3" x14ac:dyDescent="0.3">
      <c r="A2770" t="s">
        <v>250</v>
      </c>
      <c r="B2770" s="2">
        <v>46235</v>
      </c>
      <c r="C2770" cm="1">
        <f t="array" ref="C2770">IFERROR(INDEX('Expected Production'!$C$2:$N$199,MATCH(A2770,'Expected Production'!$A$2:$A$199,0),MONTH(B2770)),"")</f>
        <v>31649.4</v>
      </c>
    </row>
    <row r="2771" spans="1:3" hidden="1" x14ac:dyDescent="0.3">
      <c r="A2771" t="s">
        <v>250</v>
      </c>
      <c r="B2771" s="2">
        <v>46266</v>
      </c>
      <c r="C2771" cm="1">
        <f t="array" ref="C2771">IFERROR(INDEX('Expected Production'!$C$2:$N$199,MATCH(A2771,'Expected Production'!$A$2:$A$199,0),MONTH(B2771)),"")</f>
        <v>28250.100000000002</v>
      </c>
    </row>
    <row r="2772" spans="1:3" hidden="1" x14ac:dyDescent="0.3">
      <c r="A2772" t="s">
        <v>250</v>
      </c>
      <c r="B2772" s="2">
        <v>46296</v>
      </c>
      <c r="C2772" cm="1">
        <f t="array" ref="C2772">IFERROR(INDEX('Expected Production'!$C$2:$N$199,MATCH(A2772,'Expected Production'!$A$2:$A$199,0),MONTH(B2772)),"")</f>
        <v>28466.100000000002</v>
      </c>
    </row>
    <row r="2773" spans="1:3" hidden="1" x14ac:dyDescent="0.3">
      <c r="A2773" t="s">
        <v>250</v>
      </c>
      <c r="B2773" s="2">
        <v>46327</v>
      </c>
      <c r="C2773" cm="1">
        <f t="array" ref="C2773">IFERROR(INDEX('Expected Production'!$C$2:$N$199,MATCH(A2773,'Expected Production'!$A$2:$A$199,0),MONTH(B2773)),"")</f>
        <v>28991.7</v>
      </c>
    </row>
    <row r="2774" spans="1:3" hidden="1" x14ac:dyDescent="0.3">
      <c r="A2774" t="s">
        <v>250</v>
      </c>
      <c r="B2774" s="2">
        <v>46357</v>
      </c>
      <c r="C2774" cm="1">
        <f t="array" ref="C2774">IFERROR(INDEX('Expected Production'!$C$2:$N$199,MATCH(A2774,'Expected Production'!$A$2:$A$199,0),MONTH(B2774)),"")</f>
        <v>28903.5</v>
      </c>
    </row>
    <row r="2775" spans="1:3" hidden="1" x14ac:dyDescent="0.3">
      <c r="A2775" t="s">
        <v>1004</v>
      </c>
      <c r="B2775" s="2">
        <v>46204</v>
      </c>
      <c r="C2775" cm="1">
        <f t="array" ref="C2775">IFERROR(INDEX('Expected Production'!$C$2:$N$199,MATCH(A2775,'Expected Production'!$A$2:$A$199,0),MONTH(B2775)),"")</f>
        <v>4644.9000000000005</v>
      </c>
    </row>
    <row r="2776" spans="1:3" x14ac:dyDescent="0.3">
      <c r="A2776" t="s">
        <v>1004</v>
      </c>
      <c r="B2776" s="2">
        <v>46235</v>
      </c>
      <c r="C2776" cm="1">
        <f t="array" ref="C2776">IFERROR(INDEX('Expected Production'!$C$2:$N$199,MATCH(A2776,'Expected Production'!$A$2:$A$199,0),MONTH(B2776)),"")</f>
        <v>5254.2</v>
      </c>
    </row>
    <row r="2777" spans="1:3" hidden="1" x14ac:dyDescent="0.3">
      <c r="A2777" t="s">
        <v>1004</v>
      </c>
      <c r="B2777" s="2">
        <v>46266</v>
      </c>
      <c r="C2777" cm="1">
        <f t="array" ref="C2777">IFERROR(INDEX('Expected Production'!$C$2:$N$199,MATCH(A2777,'Expected Production'!$A$2:$A$199,0),MONTH(B2777)),"")</f>
        <v>5567.4000000000005</v>
      </c>
    </row>
    <row r="2778" spans="1:3" hidden="1" x14ac:dyDescent="0.3">
      <c r="A2778" t="s">
        <v>1004</v>
      </c>
      <c r="B2778" s="2">
        <v>46296</v>
      </c>
      <c r="C2778" cm="1">
        <f t="array" ref="C2778">IFERROR(INDEX('Expected Production'!$C$2:$N$199,MATCH(A2778,'Expected Production'!$A$2:$A$199,0),MONTH(B2778)),"")</f>
        <v>6030.9000000000005</v>
      </c>
    </row>
    <row r="2779" spans="1:3" hidden="1" x14ac:dyDescent="0.3">
      <c r="A2779" t="s">
        <v>1004</v>
      </c>
      <c r="B2779" s="2">
        <v>46327</v>
      </c>
      <c r="C2779" cm="1">
        <f t="array" ref="C2779">IFERROR(INDEX('Expected Production'!$C$2:$N$199,MATCH(A2779,'Expected Production'!$A$2:$A$199,0),MONTH(B2779)),"")</f>
        <v>5897.7</v>
      </c>
    </row>
    <row r="2780" spans="1:3" hidden="1" x14ac:dyDescent="0.3">
      <c r="A2780" t="s">
        <v>1004</v>
      </c>
      <c r="B2780" s="2">
        <v>46357</v>
      </c>
      <c r="C2780" cm="1">
        <f t="array" ref="C2780">IFERROR(INDEX('Expected Production'!$C$2:$N$199,MATCH(A2780,'Expected Production'!$A$2:$A$199,0),MONTH(B2780)),"")</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70" zoomScaleNormal="70" workbookViewId="0">
      <pane ySplit="23" topLeftCell="A25" activePane="bottomLeft" state="frozen"/>
      <selection pane="bottomLeft" activeCell="F415" sqref="F415"/>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hidden="1" x14ac:dyDescent="0.3">
      <c r="A2" t="s">
        <v>31</v>
      </c>
      <c r="B2" s="2">
        <v>45536</v>
      </c>
      <c r="C2" s="10"/>
    </row>
    <row r="3" spans="1:8" hidden="1" x14ac:dyDescent="0.3">
      <c r="A3" t="s">
        <v>31</v>
      </c>
      <c r="B3" s="2">
        <v>45566</v>
      </c>
      <c r="C3" s="10"/>
    </row>
    <row r="4" spans="1:8" hidden="1" x14ac:dyDescent="0.3">
      <c r="A4" t="s">
        <v>31</v>
      </c>
      <c r="B4" s="2">
        <v>45597</v>
      </c>
      <c r="C4" s="10"/>
    </row>
    <row r="5" spans="1:8" hidden="1" x14ac:dyDescent="0.3">
      <c r="A5" t="s">
        <v>31</v>
      </c>
      <c r="B5" s="2">
        <v>45627</v>
      </c>
      <c r="C5" s="10"/>
    </row>
    <row r="6" spans="1:8" hidden="1" x14ac:dyDescent="0.3">
      <c r="A6" t="s">
        <v>31</v>
      </c>
      <c r="B6" s="2">
        <v>45658</v>
      </c>
      <c r="C6" s="10"/>
    </row>
    <row r="7" spans="1:8" ht="72" hidden="1" customHeight="1" x14ac:dyDescent="0.3">
      <c r="A7" t="s">
        <v>31</v>
      </c>
      <c r="B7" s="2">
        <v>45689</v>
      </c>
      <c r="C7" s="10" t="s">
        <v>276</v>
      </c>
    </row>
    <row r="8" spans="1:8" ht="72" hidden="1" customHeight="1" x14ac:dyDescent="0.3">
      <c r="A8" t="s">
        <v>31</v>
      </c>
      <c r="B8" s="2">
        <v>45717</v>
      </c>
      <c r="C8" s="10" t="s">
        <v>277</v>
      </c>
    </row>
    <row r="9" spans="1:8" ht="57.6" hidden="1" customHeight="1" x14ac:dyDescent="0.3">
      <c r="A9" t="s">
        <v>31</v>
      </c>
      <c r="B9" s="2">
        <v>45748</v>
      </c>
      <c r="C9" s="10" t="s">
        <v>278</v>
      </c>
    </row>
    <row r="10" spans="1:8" ht="57.6" hidden="1" customHeight="1" x14ac:dyDescent="0.3">
      <c r="A10" t="s">
        <v>31</v>
      </c>
      <c r="B10" s="2">
        <v>45778</v>
      </c>
      <c r="C10" s="10" t="s">
        <v>279</v>
      </c>
    </row>
    <row r="11" spans="1:8" ht="57.6" hidden="1" customHeight="1" x14ac:dyDescent="0.3">
      <c r="A11" t="s">
        <v>31</v>
      </c>
      <c r="B11" s="2">
        <v>45809</v>
      </c>
      <c r="C11" s="10" t="s">
        <v>280</v>
      </c>
    </row>
    <row r="12" spans="1:8" ht="57.6" hidden="1" customHeight="1" x14ac:dyDescent="0.3">
      <c r="A12" t="s">
        <v>31</v>
      </c>
      <c r="B12" s="2">
        <v>45839</v>
      </c>
      <c r="C12" s="10" t="s">
        <v>281</v>
      </c>
    </row>
    <row r="13" spans="1:8" ht="57.6" hidden="1" customHeight="1" x14ac:dyDescent="0.3">
      <c r="A13" t="s">
        <v>31</v>
      </c>
      <c r="B13" s="2">
        <v>45870</v>
      </c>
      <c r="C13" s="10" t="s">
        <v>282</v>
      </c>
    </row>
    <row r="14" spans="1:8" ht="57.6" hidden="1" customHeight="1" x14ac:dyDescent="0.3">
      <c r="A14" t="s">
        <v>31</v>
      </c>
      <c r="B14" s="2">
        <v>45901</v>
      </c>
      <c r="C14" s="10" t="s">
        <v>283</v>
      </c>
    </row>
    <row r="15" spans="1:8" ht="57.6" hidden="1" customHeight="1" x14ac:dyDescent="0.3">
      <c r="A15" t="s">
        <v>31</v>
      </c>
      <c r="B15" s="2">
        <v>45931</v>
      </c>
      <c r="C15" s="10" t="s">
        <v>284</v>
      </c>
    </row>
    <row r="16" spans="1:8" ht="57.6" hidden="1" customHeight="1" x14ac:dyDescent="0.3">
      <c r="A16" t="s">
        <v>31</v>
      </c>
      <c r="B16" s="2">
        <v>45962</v>
      </c>
      <c r="C16" s="10" t="s">
        <v>285</v>
      </c>
    </row>
    <row r="17" spans="1:8" ht="28.8" hidden="1" x14ac:dyDescent="0.3">
      <c r="A17" t="s">
        <v>31</v>
      </c>
      <c r="B17" s="2">
        <v>45992</v>
      </c>
      <c r="C17" s="10" t="s">
        <v>286</v>
      </c>
    </row>
    <row r="18" spans="1:8" ht="28.8" hidden="1" x14ac:dyDescent="0.3">
      <c r="A18" t="s">
        <v>31</v>
      </c>
      <c r="B18" s="2">
        <v>46023</v>
      </c>
      <c r="C18" s="10" t="s">
        <v>286</v>
      </c>
    </row>
    <row r="19" spans="1:8" ht="28.8" hidden="1" x14ac:dyDescent="0.3">
      <c r="A19" t="s">
        <v>31</v>
      </c>
      <c r="B19" s="2">
        <v>46054</v>
      </c>
      <c r="C19" s="10" t="s">
        <v>286</v>
      </c>
    </row>
    <row r="20" spans="1:8" ht="28.8" hidden="1" x14ac:dyDescent="0.3">
      <c r="A20" t="s">
        <v>31</v>
      </c>
      <c r="B20" s="2">
        <v>46082</v>
      </c>
      <c r="C20" s="10" t="s">
        <v>286</v>
      </c>
    </row>
    <row r="21" spans="1:8" ht="28.95" hidden="1" customHeight="1" x14ac:dyDescent="0.3">
      <c r="A21" t="s">
        <v>31</v>
      </c>
      <c r="B21" s="2">
        <v>46113</v>
      </c>
      <c r="C21" s="10" t="s">
        <v>287</v>
      </c>
    </row>
    <row r="22" spans="1:8" hidden="1" x14ac:dyDescent="0.3">
      <c r="A22" t="s">
        <v>31</v>
      </c>
      <c r="B22" s="2">
        <v>46143</v>
      </c>
      <c r="C22" s="10" t="s">
        <v>852</v>
      </c>
    </row>
    <row r="23" spans="1:8" hidden="1" x14ac:dyDescent="0.3">
      <c r="A23" t="s">
        <v>31</v>
      </c>
      <c r="B23" s="2">
        <v>46174</v>
      </c>
      <c r="C23" s="10"/>
    </row>
    <row r="24" spans="1:8" hidden="1" x14ac:dyDescent="0.3">
      <c r="A24" t="s">
        <v>31</v>
      </c>
      <c r="B24" s="2">
        <v>46204</v>
      </c>
      <c r="C24" s="10">
        <v>31</v>
      </c>
      <c r="D24">
        <v>0</v>
      </c>
      <c r="E24" t="s">
        <v>33</v>
      </c>
      <c r="F24" t="s">
        <v>33</v>
      </c>
      <c r="G24" t="s">
        <v>1014</v>
      </c>
      <c r="H24" t="s">
        <v>36</v>
      </c>
    </row>
    <row r="25" spans="1:8" x14ac:dyDescent="0.3">
      <c r="A25" t="s">
        <v>31</v>
      </c>
      <c r="B25" s="2">
        <v>46235</v>
      </c>
      <c r="C25" s="10" t="s">
        <v>919</v>
      </c>
      <c r="D25">
        <v>0</v>
      </c>
      <c r="E25" t="s">
        <v>33</v>
      </c>
      <c r="F25" t="s">
        <v>33</v>
      </c>
      <c r="G25" t="s">
        <v>1073</v>
      </c>
      <c r="H25" t="s">
        <v>36</v>
      </c>
    </row>
    <row r="26" spans="1:8" hidden="1" x14ac:dyDescent="0.3">
      <c r="A26" t="s">
        <v>43</v>
      </c>
      <c r="B26" s="2">
        <v>45536</v>
      </c>
      <c r="C26" s="10"/>
    </row>
    <row r="27" spans="1:8" hidden="1" x14ac:dyDescent="0.3">
      <c r="A27" t="s">
        <v>43</v>
      </c>
      <c r="B27" s="2">
        <v>45566</v>
      </c>
      <c r="C27" s="10"/>
    </row>
    <row r="28" spans="1:8" hidden="1" x14ac:dyDescent="0.3">
      <c r="A28" t="s">
        <v>43</v>
      </c>
      <c r="B28" s="2">
        <v>45597</v>
      </c>
      <c r="C28" s="10"/>
    </row>
    <row r="29" spans="1:8" hidden="1" x14ac:dyDescent="0.3">
      <c r="A29" t="s">
        <v>43</v>
      </c>
      <c r="B29" s="2">
        <v>45627</v>
      </c>
      <c r="C29" s="10"/>
    </row>
    <row r="30" spans="1:8" hidden="1" x14ac:dyDescent="0.3">
      <c r="A30" t="s">
        <v>43</v>
      </c>
      <c r="B30" s="2">
        <v>45658</v>
      </c>
      <c r="C30" s="10"/>
    </row>
    <row r="31" spans="1:8" ht="43.2" hidden="1" customHeight="1" x14ac:dyDescent="0.3">
      <c r="A31" t="s">
        <v>43</v>
      </c>
      <c r="B31" s="2">
        <v>45689</v>
      </c>
      <c r="C31" s="10" t="s">
        <v>288</v>
      </c>
    </row>
    <row r="32" spans="1:8" hidden="1" x14ac:dyDescent="0.3">
      <c r="A32" t="s">
        <v>43</v>
      </c>
      <c r="B32" s="2">
        <v>45717</v>
      </c>
      <c r="C32" s="10" t="s">
        <v>289</v>
      </c>
    </row>
    <row r="33" spans="1:8" hidden="1" x14ac:dyDescent="0.3">
      <c r="A33" t="s">
        <v>43</v>
      </c>
      <c r="B33" s="2">
        <v>45748</v>
      </c>
      <c r="C33" s="10" t="s">
        <v>289</v>
      </c>
    </row>
    <row r="34" spans="1:8" ht="72" hidden="1" customHeight="1" x14ac:dyDescent="0.3">
      <c r="A34" t="s">
        <v>43</v>
      </c>
      <c r="B34" s="2">
        <v>45778</v>
      </c>
      <c r="C34" s="10" t="s">
        <v>290</v>
      </c>
    </row>
    <row r="35" spans="1:8" ht="72" hidden="1" customHeight="1" x14ac:dyDescent="0.3">
      <c r="A35" t="s">
        <v>43</v>
      </c>
      <c r="B35" s="2">
        <v>45809</v>
      </c>
      <c r="C35" s="10" t="s">
        <v>291</v>
      </c>
    </row>
    <row r="36" spans="1:8" ht="72" hidden="1" customHeight="1" x14ac:dyDescent="0.3">
      <c r="A36" t="s">
        <v>43</v>
      </c>
      <c r="B36" s="2">
        <v>45839</v>
      </c>
      <c r="C36" s="10" t="s">
        <v>292</v>
      </c>
    </row>
    <row r="37" spans="1:8" ht="57.6" hidden="1" customHeight="1" x14ac:dyDescent="0.3">
      <c r="A37" t="s">
        <v>43</v>
      </c>
      <c r="B37" s="2">
        <v>45870</v>
      </c>
      <c r="C37" s="10" t="s">
        <v>293</v>
      </c>
    </row>
    <row r="38" spans="1:8" ht="57.6" hidden="1" customHeight="1" x14ac:dyDescent="0.3">
      <c r="A38" t="s">
        <v>43</v>
      </c>
      <c r="B38" s="2">
        <v>45901</v>
      </c>
      <c r="C38" s="10" t="s">
        <v>294</v>
      </c>
    </row>
    <row r="39" spans="1:8" ht="72" hidden="1" customHeight="1" x14ac:dyDescent="0.3">
      <c r="A39" t="s">
        <v>43</v>
      </c>
      <c r="B39" s="2">
        <v>45931</v>
      </c>
      <c r="C39" s="10" t="s">
        <v>295</v>
      </c>
    </row>
    <row r="40" spans="1:8" ht="57.6" hidden="1" customHeight="1" x14ac:dyDescent="0.3">
      <c r="A40" t="s">
        <v>43</v>
      </c>
      <c r="B40" s="2">
        <v>45962</v>
      </c>
      <c r="C40" s="10" t="s">
        <v>296</v>
      </c>
    </row>
    <row r="41" spans="1:8" ht="28.8" hidden="1" x14ac:dyDescent="0.3">
      <c r="A41" t="s">
        <v>43</v>
      </c>
      <c r="B41" s="2">
        <v>45992</v>
      </c>
      <c r="C41" s="10" t="s">
        <v>297</v>
      </c>
    </row>
    <row r="42" spans="1:8" ht="28.8" hidden="1" x14ac:dyDescent="0.3">
      <c r="A42" t="s">
        <v>43</v>
      </c>
      <c r="B42" s="2">
        <v>46023</v>
      </c>
      <c r="C42" s="10" t="s">
        <v>298</v>
      </c>
    </row>
    <row r="43" spans="1:8" ht="28.8" hidden="1" x14ac:dyDescent="0.3">
      <c r="A43" t="s">
        <v>43</v>
      </c>
      <c r="B43" s="2">
        <v>46054</v>
      </c>
      <c r="C43" s="10" t="s">
        <v>299</v>
      </c>
    </row>
    <row r="44" spans="1:8" hidden="1" x14ac:dyDescent="0.3">
      <c r="A44" t="s">
        <v>43</v>
      </c>
      <c r="B44" s="2">
        <v>46082</v>
      </c>
      <c r="C44" s="10" t="s">
        <v>300</v>
      </c>
    </row>
    <row r="45" spans="1:8" hidden="1" x14ac:dyDescent="0.3">
      <c r="A45" t="s">
        <v>43</v>
      </c>
      <c r="B45" s="2">
        <v>46113</v>
      </c>
      <c r="C45" s="10" t="s">
        <v>300</v>
      </c>
    </row>
    <row r="46" spans="1:8" ht="28.8" hidden="1" x14ac:dyDescent="0.3">
      <c r="A46" t="s">
        <v>43</v>
      </c>
      <c r="B46" s="2">
        <v>46143</v>
      </c>
      <c r="C46" s="10" t="s">
        <v>867</v>
      </c>
    </row>
    <row r="47" spans="1:8" hidden="1" x14ac:dyDescent="0.3">
      <c r="A47" t="s">
        <v>43</v>
      </c>
      <c r="B47" s="2">
        <v>46174</v>
      </c>
      <c r="C47" s="10" t="s">
        <v>892</v>
      </c>
      <c r="D47">
        <v>0</v>
      </c>
      <c r="E47" t="s">
        <v>33</v>
      </c>
    </row>
    <row r="48" spans="1:8" hidden="1" x14ac:dyDescent="0.3">
      <c r="A48" t="s">
        <v>43</v>
      </c>
      <c r="B48" s="2">
        <v>46204</v>
      </c>
      <c r="C48" s="10">
        <v>31</v>
      </c>
      <c r="D48">
        <v>0</v>
      </c>
      <c r="E48" t="s">
        <v>33</v>
      </c>
      <c r="F48" t="s">
        <v>33</v>
      </c>
      <c r="G48" s="10" t="s">
        <v>932</v>
      </c>
      <c r="H48" t="s">
        <v>36</v>
      </c>
    </row>
    <row r="49" spans="1:8" x14ac:dyDescent="0.3">
      <c r="A49" t="s">
        <v>43</v>
      </c>
      <c r="B49" s="2">
        <v>46235</v>
      </c>
      <c r="C49" s="10" t="s">
        <v>919</v>
      </c>
      <c r="D49">
        <v>0</v>
      </c>
      <c r="E49" t="s">
        <v>33</v>
      </c>
      <c r="F49" t="s">
        <v>33</v>
      </c>
      <c r="G49" t="s">
        <v>1073</v>
      </c>
      <c r="H49" t="s">
        <v>36</v>
      </c>
    </row>
    <row r="50" spans="1:8" hidden="1" x14ac:dyDescent="0.3">
      <c r="A50" t="s">
        <v>49</v>
      </c>
      <c r="B50" s="2">
        <v>45536</v>
      </c>
      <c r="C50" s="10"/>
    </row>
    <row r="51" spans="1:8" hidden="1" x14ac:dyDescent="0.3">
      <c r="A51" t="s">
        <v>49</v>
      </c>
      <c r="B51" s="2">
        <v>45566</v>
      </c>
      <c r="C51" s="10"/>
    </row>
    <row r="52" spans="1:8" hidden="1" x14ac:dyDescent="0.3">
      <c r="A52" t="s">
        <v>49</v>
      </c>
      <c r="B52" s="2">
        <v>45597</v>
      </c>
      <c r="C52" s="10"/>
    </row>
    <row r="53" spans="1:8" hidden="1" x14ac:dyDescent="0.3">
      <c r="A53" t="s">
        <v>49</v>
      </c>
      <c r="B53" s="2">
        <v>45627</v>
      </c>
      <c r="C53" s="10"/>
    </row>
    <row r="54" spans="1:8" hidden="1" x14ac:dyDescent="0.3">
      <c r="A54" t="s">
        <v>49</v>
      </c>
      <c r="B54" s="2">
        <v>45658</v>
      </c>
      <c r="C54" s="10" t="s">
        <v>892</v>
      </c>
      <c r="D54" t="s">
        <v>33</v>
      </c>
      <c r="E54" t="s">
        <v>33</v>
      </c>
      <c r="F54" t="s">
        <v>893</v>
      </c>
      <c r="G54" s="10" t="s">
        <v>932</v>
      </c>
    </row>
    <row r="55" spans="1:8" hidden="1" x14ac:dyDescent="0.3">
      <c r="A55" t="s">
        <v>49</v>
      </c>
      <c r="B55" s="2">
        <v>45689</v>
      </c>
      <c r="C55" s="10" t="s">
        <v>895</v>
      </c>
      <c r="D55" t="s">
        <v>33</v>
      </c>
      <c r="E55" t="s">
        <v>33</v>
      </c>
      <c r="F55" t="s">
        <v>893</v>
      </c>
      <c r="G55" s="10" t="s">
        <v>932</v>
      </c>
    </row>
    <row r="56" spans="1:8" hidden="1" x14ac:dyDescent="0.3">
      <c r="A56" t="s">
        <v>49</v>
      </c>
      <c r="B56" s="2">
        <v>45717</v>
      </c>
      <c r="C56" s="10" t="s">
        <v>892</v>
      </c>
      <c r="D56" t="s">
        <v>33</v>
      </c>
      <c r="E56" t="s">
        <v>33</v>
      </c>
      <c r="F56" t="s">
        <v>893</v>
      </c>
      <c r="G56" s="10" t="s">
        <v>932</v>
      </c>
    </row>
    <row r="57" spans="1:8" hidden="1" x14ac:dyDescent="0.3">
      <c r="A57" t="s">
        <v>49</v>
      </c>
      <c r="B57" s="2">
        <v>45748</v>
      </c>
      <c r="C57" s="10" t="s">
        <v>896</v>
      </c>
      <c r="F57" t="s">
        <v>893</v>
      </c>
      <c r="G57" s="10" t="s">
        <v>932</v>
      </c>
    </row>
    <row r="58" spans="1:8" hidden="1" x14ac:dyDescent="0.3">
      <c r="A58" t="s">
        <v>49</v>
      </c>
      <c r="B58" s="2">
        <v>45778</v>
      </c>
      <c r="C58" s="10">
        <v>0</v>
      </c>
      <c r="D58">
        <v>30</v>
      </c>
      <c r="F58" t="s">
        <v>893</v>
      </c>
      <c r="G58" s="10" t="s">
        <v>932</v>
      </c>
    </row>
    <row r="59" spans="1:8" hidden="1" x14ac:dyDescent="0.3">
      <c r="A59" t="s">
        <v>49</v>
      </c>
      <c r="B59" s="2">
        <v>45809</v>
      </c>
      <c r="C59" s="10" t="s">
        <v>898</v>
      </c>
      <c r="D59">
        <v>4</v>
      </c>
      <c r="E59" t="s">
        <v>897</v>
      </c>
      <c r="F59" t="s">
        <v>893</v>
      </c>
      <c r="G59" s="10" t="s">
        <v>932</v>
      </c>
    </row>
    <row r="60" spans="1:8" hidden="1" x14ac:dyDescent="0.3">
      <c r="A60" t="s">
        <v>49</v>
      </c>
      <c r="B60" s="2">
        <v>45839</v>
      </c>
      <c r="C60" s="10" t="s">
        <v>899</v>
      </c>
      <c r="D60" s="10" t="s">
        <v>892</v>
      </c>
      <c r="E60" t="s">
        <v>913</v>
      </c>
      <c r="F60" t="s">
        <v>982</v>
      </c>
      <c r="G60" t="s">
        <v>992</v>
      </c>
    </row>
    <row r="61" spans="1:8" hidden="1" x14ac:dyDescent="0.3">
      <c r="A61" t="s">
        <v>49</v>
      </c>
      <c r="B61" s="2">
        <v>45870</v>
      </c>
      <c r="C61" s="10" t="s">
        <v>892</v>
      </c>
      <c r="D61">
        <v>0</v>
      </c>
      <c r="F61" t="s">
        <v>33</v>
      </c>
      <c r="G61" s="10" t="s">
        <v>932</v>
      </c>
    </row>
    <row r="62" spans="1:8" hidden="1" x14ac:dyDescent="0.3">
      <c r="A62" t="s">
        <v>49</v>
      </c>
      <c r="B62" s="2">
        <v>45901</v>
      </c>
      <c r="C62" s="10" t="s">
        <v>892</v>
      </c>
      <c r="D62">
        <v>0</v>
      </c>
      <c r="F62" t="s">
        <v>912</v>
      </c>
      <c r="G62" t="s">
        <v>914</v>
      </c>
    </row>
    <row r="63" spans="1:8" hidden="1" x14ac:dyDescent="0.3">
      <c r="A63" t="s">
        <v>49</v>
      </c>
      <c r="B63" s="2">
        <v>45931</v>
      </c>
      <c r="C63" s="10" t="s">
        <v>901</v>
      </c>
      <c r="D63" t="s">
        <v>900</v>
      </c>
      <c r="E63" t="s">
        <v>908</v>
      </c>
      <c r="F63" t="s">
        <v>915</v>
      </c>
      <c r="G63" s="10" t="s">
        <v>990</v>
      </c>
    </row>
    <row r="64" spans="1:8" hidden="1" x14ac:dyDescent="0.3">
      <c r="A64" t="s">
        <v>49</v>
      </c>
      <c r="B64" s="2">
        <v>45962</v>
      </c>
      <c r="C64" s="10" t="s">
        <v>896</v>
      </c>
      <c r="D64">
        <v>0</v>
      </c>
      <c r="F64" t="s">
        <v>33</v>
      </c>
      <c r="G64" s="10" t="s">
        <v>932</v>
      </c>
    </row>
    <row r="65" spans="1:8" hidden="1" x14ac:dyDescent="0.3">
      <c r="A65" t="s">
        <v>49</v>
      </c>
      <c r="B65" s="2">
        <v>45992</v>
      </c>
      <c r="C65" s="10" t="s">
        <v>911</v>
      </c>
      <c r="D65">
        <v>0</v>
      </c>
      <c r="E65" t="s">
        <v>33</v>
      </c>
      <c r="F65" t="s">
        <v>893</v>
      </c>
      <c r="G65" s="10" t="s">
        <v>932</v>
      </c>
    </row>
    <row r="66" spans="1:8" hidden="1" x14ac:dyDescent="0.3">
      <c r="A66" t="s">
        <v>49</v>
      </c>
      <c r="B66" s="2">
        <v>46023</v>
      </c>
      <c r="C66" s="10" t="s">
        <v>892</v>
      </c>
      <c r="D66">
        <v>0</v>
      </c>
      <c r="F66" t="s">
        <v>33</v>
      </c>
      <c r="G66" t="s">
        <v>894</v>
      </c>
    </row>
    <row r="67" spans="1:8" hidden="1" x14ac:dyDescent="0.3">
      <c r="A67" t="s">
        <v>49</v>
      </c>
      <c r="B67" s="2">
        <v>46054</v>
      </c>
      <c r="C67" s="10" t="s">
        <v>903</v>
      </c>
      <c r="D67">
        <v>0</v>
      </c>
      <c r="F67" t="s">
        <v>912</v>
      </c>
      <c r="G67" s="10" t="s">
        <v>932</v>
      </c>
    </row>
    <row r="68" spans="1:8" hidden="1" x14ac:dyDescent="0.3">
      <c r="A68" t="s">
        <v>49</v>
      </c>
      <c r="B68" s="2">
        <v>46082</v>
      </c>
      <c r="C68" s="10" t="s">
        <v>905</v>
      </c>
      <c r="D68" t="s">
        <v>904</v>
      </c>
      <c r="E68" t="s">
        <v>908</v>
      </c>
      <c r="F68" t="s">
        <v>910</v>
      </c>
      <c r="G68" s="10" t="s">
        <v>990</v>
      </c>
    </row>
    <row r="69" spans="1:8" hidden="1" x14ac:dyDescent="0.3">
      <c r="A69" t="s">
        <v>49</v>
      </c>
      <c r="B69" s="2">
        <v>46113</v>
      </c>
      <c r="C69" s="10" t="s">
        <v>896</v>
      </c>
      <c r="D69" t="s">
        <v>907</v>
      </c>
      <c r="E69" t="s">
        <v>908</v>
      </c>
      <c r="F69" t="s">
        <v>910</v>
      </c>
      <c r="G69" s="10" t="s">
        <v>991</v>
      </c>
    </row>
    <row r="70" spans="1:8" hidden="1" x14ac:dyDescent="0.3">
      <c r="A70" t="s">
        <v>49</v>
      </c>
      <c r="B70" s="2">
        <v>46143</v>
      </c>
      <c r="C70" s="10" t="s">
        <v>892</v>
      </c>
      <c r="D70" t="s">
        <v>906</v>
      </c>
      <c r="E70" t="s">
        <v>909</v>
      </c>
      <c r="F70" t="s">
        <v>910</v>
      </c>
      <c r="G70" s="10" t="s">
        <v>990</v>
      </c>
    </row>
    <row r="71" spans="1:8" hidden="1" x14ac:dyDescent="0.3">
      <c r="A71" t="s">
        <v>49</v>
      </c>
      <c r="B71" s="2">
        <v>46174</v>
      </c>
      <c r="C71" s="10" t="s">
        <v>896</v>
      </c>
      <c r="D71">
        <v>0</v>
      </c>
      <c r="E71" t="s">
        <v>33</v>
      </c>
      <c r="F71" t="s">
        <v>912</v>
      </c>
      <c r="G71" s="10" t="s">
        <v>1016</v>
      </c>
      <c r="H71" t="s">
        <v>36</v>
      </c>
    </row>
    <row r="72" spans="1:8" hidden="1" x14ac:dyDescent="0.3">
      <c r="A72" t="s">
        <v>49</v>
      </c>
      <c r="B72" s="2">
        <v>46204</v>
      </c>
      <c r="C72" s="10">
        <v>30</v>
      </c>
      <c r="D72" t="s">
        <v>1019</v>
      </c>
      <c r="E72" t="s">
        <v>927</v>
      </c>
      <c r="F72" t="s">
        <v>33</v>
      </c>
      <c r="G72" s="10" t="s">
        <v>1015</v>
      </c>
      <c r="H72" t="s">
        <v>36</v>
      </c>
    </row>
    <row r="73" spans="1:8" x14ac:dyDescent="0.3">
      <c r="A73" t="s">
        <v>49</v>
      </c>
      <c r="B73" s="2">
        <v>46235</v>
      </c>
      <c r="C73" s="10" t="s">
        <v>919</v>
      </c>
      <c r="D73">
        <v>0</v>
      </c>
      <c r="E73" t="s">
        <v>33</v>
      </c>
      <c r="F73" t="s">
        <v>33</v>
      </c>
      <c r="G73" t="s">
        <v>1073</v>
      </c>
      <c r="H73" t="s">
        <v>36</v>
      </c>
    </row>
    <row r="74" spans="1:8" hidden="1" x14ac:dyDescent="0.3">
      <c r="A74" t="s">
        <v>250</v>
      </c>
      <c r="B74" s="2">
        <v>46204</v>
      </c>
      <c r="C74">
        <v>31</v>
      </c>
      <c r="D74">
        <v>0</v>
      </c>
      <c r="E74" t="s">
        <v>33</v>
      </c>
      <c r="F74" t="s">
        <v>33</v>
      </c>
      <c r="G74" t="s">
        <v>959</v>
      </c>
      <c r="H74" t="s">
        <v>36</v>
      </c>
    </row>
    <row r="75" spans="1:8" hidden="1" x14ac:dyDescent="0.3">
      <c r="A75" t="s">
        <v>250</v>
      </c>
      <c r="B75" s="2">
        <v>46174</v>
      </c>
      <c r="C75" t="s">
        <v>919</v>
      </c>
      <c r="D75">
        <v>0</v>
      </c>
      <c r="E75" t="s">
        <v>33</v>
      </c>
      <c r="F75" t="s">
        <v>33</v>
      </c>
      <c r="G75" s="10" t="s">
        <v>996</v>
      </c>
      <c r="H75" t="s">
        <v>36</v>
      </c>
    </row>
    <row r="76" spans="1:8" hidden="1" x14ac:dyDescent="0.3">
      <c r="A76" t="s">
        <v>250</v>
      </c>
      <c r="B76" s="2">
        <v>45536</v>
      </c>
    </row>
    <row r="77" spans="1:8" hidden="1" x14ac:dyDescent="0.3">
      <c r="A77" t="s">
        <v>250</v>
      </c>
      <c r="B77" s="2">
        <v>45566</v>
      </c>
    </row>
    <row r="78" spans="1:8" hidden="1" x14ac:dyDescent="0.3">
      <c r="A78" t="s">
        <v>250</v>
      </c>
      <c r="B78" s="2">
        <v>45597</v>
      </c>
    </row>
    <row r="79" spans="1:8" ht="28.95" hidden="1" customHeight="1" x14ac:dyDescent="0.3">
      <c r="A79" t="s">
        <v>250</v>
      </c>
      <c r="B79" s="2">
        <v>45627</v>
      </c>
    </row>
    <row r="80" spans="1:8" ht="28.95" hidden="1" customHeight="1" x14ac:dyDescent="0.3">
      <c r="A80" t="s">
        <v>250</v>
      </c>
      <c r="B80" s="2">
        <v>45658</v>
      </c>
    </row>
    <row r="81" spans="1:8" hidden="1" x14ac:dyDescent="0.3">
      <c r="A81" t="s">
        <v>250</v>
      </c>
      <c r="B81" s="2">
        <v>45689</v>
      </c>
    </row>
    <row r="82" spans="1:8" ht="43.2" hidden="1" customHeight="1" x14ac:dyDescent="0.3">
      <c r="A82" t="s">
        <v>250</v>
      </c>
      <c r="B82" s="2">
        <v>45717</v>
      </c>
    </row>
    <row r="83" spans="1:8" ht="57.6" hidden="1" customHeight="1" x14ac:dyDescent="0.3">
      <c r="A83" t="s">
        <v>250</v>
      </c>
      <c r="B83" s="2">
        <v>45748</v>
      </c>
    </row>
    <row r="84" spans="1:8" ht="43.2" hidden="1" customHeight="1" x14ac:dyDescent="0.3">
      <c r="A84" t="s">
        <v>250</v>
      </c>
      <c r="B84" s="2">
        <v>45778</v>
      </c>
    </row>
    <row r="85" spans="1:8" ht="72" hidden="1" customHeight="1" x14ac:dyDescent="0.3">
      <c r="A85" t="s">
        <v>250</v>
      </c>
      <c r="B85" s="2">
        <v>45809</v>
      </c>
    </row>
    <row r="86" spans="1:8" ht="43.2" hidden="1" customHeight="1" x14ac:dyDescent="0.3">
      <c r="A86" t="s">
        <v>250</v>
      </c>
      <c r="B86" s="2">
        <v>45839</v>
      </c>
      <c r="C86" t="s">
        <v>911</v>
      </c>
      <c r="D86" t="s">
        <v>36</v>
      </c>
      <c r="E86" t="s">
        <v>36</v>
      </c>
      <c r="F86" t="s">
        <v>36</v>
      </c>
      <c r="G86" t="s">
        <v>36</v>
      </c>
      <c r="H86" t="s">
        <v>916</v>
      </c>
    </row>
    <row r="87" spans="1:8" ht="43.2" hidden="1" customHeight="1" x14ac:dyDescent="0.3">
      <c r="A87" t="s">
        <v>250</v>
      </c>
      <c r="B87" s="2">
        <v>45870</v>
      </c>
      <c r="C87" t="s">
        <v>911</v>
      </c>
      <c r="D87" t="s">
        <v>36</v>
      </c>
      <c r="E87" t="s">
        <v>36</v>
      </c>
      <c r="F87" t="s">
        <v>36</v>
      </c>
      <c r="G87" t="s">
        <v>36</v>
      </c>
      <c r="H87" t="s">
        <v>916</v>
      </c>
    </row>
    <row r="88" spans="1:8" ht="43.2" hidden="1" customHeight="1" x14ac:dyDescent="0.3">
      <c r="A88" t="s">
        <v>250</v>
      </c>
      <c r="B88" s="2">
        <v>45901</v>
      </c>
      <c r="C88" t="s">
        <v>919</v>
      </c>
      <c r="D88" t="s">
        <v>36</v>
      </c>
      <c r="E88" t="s">
        <v>36</v>
      </c>
      <c r="F88" t="s">
        <v>36</v>
      </c>
      <c r="G88" t="s">
        <v>36</v>
      </c>
      <c r="H88" t="s">
        <v>916</v>
      </c>
    </row>
    <row r="89" spans="1:8" hidden="1" x14ac:dyDescent="0.3">
      <c r="A89" t="s">
        <v>250</v>
      </c>
      <c r="B89" s="2">
        <v>45931</v>
      </c>
      <c r="C89" t="s">
        <v>911</v>
      </c>
      <c r="D89" t="s">
        <v>36</v>
      </c>
      <c r="E89" t="s">
        <v>36</v>
      </c>
      <c r="F89" t="s">
        <v>36</v>
      </c>
      <c r="G89" t="s">
        <v>36</v>
      </c>
      <c r="H89" t="s">
        <v>916</v>
      </c>
    </row>
    <row r="90" spans="1:8" hidden="1" x14ac:dyDescent="0.3">
      <c r="A90" t="s">
        <v>250</v>
      </c>
      <c r="B90" s="2">
        <v>45962</v>
      </c>
      <c r="C90" t="s">
        <v>919</v>
      </c>
      <c r="D90" t="s">
        <v>36</v>
      </c>
      <c r="E90" t="s">
        <v>36</v>
      </c>
      <c r="F90" t="s">
        <v>36</v>
      </c>
      <c r="G90" t="s">
        <v>36</v>
      </c>
      <c r="H90" t="s">
        <v>916</v>
      </c>
    </row>
    <row r="91" spans="1:8" hidden="1" x14ac:dyDescent="0.3">
      <c r="A91" t="s">
        <v>250</v>
      </c>
      <c r="B91" s="2">
        <v>45992</v>
      </c>
      <c r="C91" t="s">
        <v>911</v>
      </c>
      <c r="D91" t="s">
        <v>36</v>
      </c>
      <c r="E91" t="s">
        <v>36</v>
      </c>
      <c r="F91" t="s">
        <v>36</v>
      </c>
      <c r="G91" t="s">
        <v>36</v>
      </c>
      <c r="H91" t="s">
        <v>916</v>
      </c>
    </row>
    <row r="92" spans="1:8" hidden="1" x14ac:dyDescent="0.3">
      <c r="A92" t="s">
        <v>250</v>
      </c>
      <c r="B92" s="2">
        <v>46023</v>
      </c>
      <c r="C92" t="s">
        <v>911</v>
      </c>
      <c r="D92" t="s">
        <v>36</v>
      </c>
      <c r="E92" t="s">
        <v>36</v>
      </c>
      <c r="F92" t="s">
        <v>36</v>
      </c>
      <c r="G92" t="s">
        <v>36</v>
      </c>
      <c r="H92" t="s">
        <v>916</v>
      </c>
    </row>
    <row r="93" spans="1:8" hidden="1" x14ac:dyDescent="0.3">
      <c r="A93" t="s">
        <v>250</v>
      </c>
      <c r="B93" s="2">
        <v>46054</v>
      </c>
      <c r="C93" t="s">
        <v>895</v>
      </c>
      <c r="D93" t="s">
        <v>36</v>
      </c>
      <c r="E93" t="s">
        <v>36</v>
      </c>
      <c r="F93" t="s">
        <v>36</v>
      </c>
      <c r="G93" t="s">
        <v>36</v>
      </c>
      <c r="H93" t="s">
        <v>916</v>
      </c>
    </row>
    <row r="94" spans="1:8" hidden="1" x14ac:dyDescent="0.3">
      <c r="A94" t="s">
        <v>250</v>
      </c>
      <c r="B94" s="2">
        <v>46082</v>
      </c>
      <c r="C94" t="s">
        <v>911</v>
      </c>
      <c r="D94" t="s">
        <v>36</v>
      </c>
      <c r="E94" t="s">
        <v>36</v>
      </c>
      <c r="F94" t="s">
        <v>36</v>
      </c>
      <c r="G94" t="s">
        <v>36</v>
      </c>
      <c r="H94" t="s">
        <v>916</v>
      </c>
    </row>
    <row r="95" spans="1:8" hidden="1" x14ac:dyDescent="0.3">
      <c r="A95" t="s">
        <v>250</v>
      </c>
      <c r="B95" s="2">
        <v>46113</v>
      </c>
      <c r="C95" t="s">
        <v>963</v>
      </c>
      <c r="D95" t="s">
        <v>962</v>
      </c>
      <c r="E95" t="s">
        <v>916</v>
      </c>
      <c r="F95" t="s">
        <v>33</v>
      </c>
      <c r="G95" t="s">
        <v>33</v>
      </c>
      <c r="H95" t="s">
        <v>36</v>
      </c>
    </row>
    <row r="96" spans="1:8" hidden="1" x14ac:dyDescent="0.3">
      <c r="A96" t="s">
        <v>250</v>
      </c>
      <c r="B96" s="2">
        <v>46143</v>
      </c>
      <c r="C96" t="s">
        <v>911</v>
      </c>
      <c r="D96" t="s">
        <v>33</v>
      </c>
      <c r="E96" t="s">
        <v>33</v>
      </c>
      <c r="F96" t="s">
        <v>33</v>
      </c>
      <c r="G96" t="s">
        <v>943</v>
      </c>
      <c r="H96" t="s">
        <v>36</v>
      </c>
    </row>
    <row r="97" spans="1:8" x14ac:dyDescent="0.3">
      <c r="A97" t="s">
        <v>250</v>
      </c>
      <c r="B97" s="2">
        <v>46235</v>
      </c>
      <c r="C97" s="10" t="s">
        <v>919</v>
      </c>
      <c r="D97">
        <v>0</v>
      </c>
      <c r="E97" t="s">
        <v>33</v>
      </c>
      <c r="F97" t="s">
        <v>33</v>
      </c>
      <c r="G97" t="s">
        <v>959</v>
      </c>
      <c r="H97" t="s">
        <v>36</v>
      </c>
    </row>
    <row r="98" spans="1:8" ht="28.8" hidden="1" x14ac:dyDescent="0.3">
      <c r="A98" t="s">
        <v>55</v>
      </c>
      <c r="B98" s="2">
        <v>45536</v>
      </c>
      <c r="C98" s="10" t="s">
        <v>315</v>
      </c>
    </row>
    <row r="99" spans="1:8" hidden="1" x14ac:dyDescent="0.3">
      <c r="A99" t="s">
        <v>55</v>
      </c>
      <c r="B99" s="2">
        <v>45566</v>
      </c>
      <c r="C99" s="10"/>
    </row>
    <row r="100" spans="1:8" hidden="1" x14ac:dyDescent="0.3">
      <c r="A100" t="s">
        <v>55</v>
      </c>
      <c r="B100" s="2">
        <v>45597</v>
      </c>
      <c r="C100" s="10"/>
    </row>
    <row r="101" spans="1:8" hidden="1" x14ac:dyDescent="0.3">
      <c r="A101" t="s">
        <v>55</v>
      </c>
      <c r="B101" s="2">
        <v>45627</v>
      </c>
      <c r="C101" s="10"/>
    </row>
    <row r="102" spans="1:8" hidden="1" x14ac:dyDescent="0.3">
      <c r="A102" t="s">
        <v>55</v>
      </c>
      <c r="B102" s="2">
        <v>45658</v>
      </c>
      <c r="C102" s="10"/>
    </row>
    <row r="103" spans="1:8" ht="72" hidden="1" customHeight="1" x14ac:dyDescent="0.3">
      <c r="A103" t="s">
        <v>55</v>
      </c>
      <c r="B103" s="2">
        <v>45689</v>
      </c>
      <c r="C103" s="10" t="s">
        <v>316</v>
      </c>
    </row>
    <row r="104" spans="1:8" ht="86.4" hidden="1" customHeight="1" x14ac:dyDescent="0.3">
      <c r="A104" t="s">
        <v>55</v>
      </c>
      <c r="B104" s="2">
        <v>45717</v>
      </c>
      <c r="C104" s="10" t="s">
        <v>317</v>
      </c>
    </row>
    <row r="105" spans="1:8" ht="72" hidden="1" customHeight="1" x14ac:dyDescent="0.3">
      <c r="A105" t="s">
        <v>55</v>
      </c>
      <c r="B105" s="2">
        <v>45748</v>
      </c>
      <c r="C105" s="10" t="s">
        <v>318</v>
      </c>
    </row>
    <row r="106" spans="1:8" ht="72" hidden="1" customHeight="1" x14ac:dyDescent="0.3">
      <c r="A106" t="s">
        <v>55</v>
      </c>
      <c r="B106" s="2">
        <v>45778</v>
      </c>
      <c r="C106" s="10" t="s">
        <v>319</v>
      </c>
    </row>
    <row r="107" spans="1:8" ht="57.6" hidden="1" customHeight="1" x14ac:dyDescent="0.3">
      <c r="A107" t="s">
        <v>55</v>
      </c>
      <c r="B107" s="2">
        <v>45809</v>
      </c>
      <c r="C107" s="10" t="s">
        <v>320</v>
      </c>
    </row>
    <row r="108" spans="1:8" ht="72" hidden="1" customHeight="1" x14ac:dyDescent="0.3">
      <c r="A108" t="s">
        <v>55</v>
      </c>
      <c r="B108" s="2">
        <v>45839</v>
      </c>
      <c r="C108" s="10" t="s">
        <v>321</v>
      </c>
    </row>
    <row r="109" spans="1:8" ht="57.6" hidden="1" customHeight="1" x14ac:dyDescent="0.3">
      <c r="A109" t="s">
        <v>55</v>
      </c>
      <c r="B109" s="2">
        <v>45870</v>
      </c>
      <c r="C109" s="10" t="s">
        <v>322</v>
      </c>
    </row>
    <row r="110" spans="1:8" ht="72" hidden="1" customHeight="1" x14ac:dyDescent="0.3">
      <c r="A110" t="s">
        <v>55</v>
      </c>
      <c r="B110" s="2">
        <v>45901</v>
      </c>
      <c r="C110" s="10" t="s">
        <v>323</v>
      </c>
    </row>
    <row r="111" spans="1:8" ht="86.4" hidden="1" customHeight="1" x14ac:dyDescent="0.3">
      <c r="A111" t="s">
        <v>55</v>
      </c>
      <c r="B111" s="2">
        <v>45931</v>
      </c>
      <c r="C111" s="10" t="s">
        <v>324</v>
      </c>
    </row>
    <row r="112" spans="1:8" ht="57.6" hidden="1" customHeight="1" x14ac:dyDescent="0.3">
      <c r="A112" t="s">
        <v>55</v>
      </c>
      <c r="B112" s="2">
        <v>45962</v>
      </c>
      <c r="C112" s="10" t="s">
        <v>325</v>
      </c>
    </row>
    <row r="113" spans="1:8" hidden="1" x14ac:dyDescent="0.3">
      <c r="A113" t="s">
        <v>55</v>
      </c>
      <c r="B113" s="2">
        <v>45992</v>
      </c>
      <c r="C113" s="10" t="s">
        <v>326</v>
      </c>
    </row>
    <row r="114" spans="1:8" ht="28.8" hidden="1" x14ac:dyDescent="0.3">
      <c r="A114" t="s">
        <v>55</v>
      </c>
      <c r="B114" s="2">
        <v>46023</v>
      </c>
      <c r="C114" s="10" t="s">
        <v>327</v>
      </c>
    </row>
    <row r="115" spans="1:8" ht="43.2" hidden="1" x14ac:dyDescent="0.3">
      <c r="A115" t="s">
        <v>55</v>
      </c>
      <c r="B115" s="2">
        <v>46054</v>
      </c>
      <c r="C115" s="10" t="s">
        <v>314</v>
      </c>
    </row>
    <row r="116" spans="1:8" hidden="1" x14ac:dyDescent="0.3">
      <c r="A116" t="s">
        <v>55</v>
      </c>
      <c r="B116" s="2">
        <v>46082</v>
      </c>
      <c r="C116" s="10" t="s">
        <v>300</v>
      </c>
    </row>
    <row r="117" spans="1:8" hidden="1" x14ac:dyDescent="0.3">
      <c r="A117" t="s">
        <v>55</v>
      </c>
      <c r="B117" s="2">
        <v>46113</v>
      </c>
      <c r="C117" s="10" t="s">
        <v>300</v>
      </c>
    </row>
    <row r="118" spans="1:8" hidden="1" x14ac:dyDescent="0.3">
      <c r="A118" t="s">
        <v>55</v>
      </c>
      <c r="B118" s="2">
        <v>46143</v>
      </c>
      <c r="C118" s="10" t="s">
        <v>852</v>
      </c>
    </row>
    <row r="119" spans="1:8" hidden="1" x14ac:dyDescent="0.3">
      <c r="A119" t="s">
        <v>55</v>
      </c>
      <c r="B119" s="2">
        <v>46174</v>
      </c>
      <c r="C119" s="10"/>
    </row>
    <row r="120" spans="1:8" hidden="1" x14ac:dyDescent="0.3">
      <c r="A120" t="s">
        <v>55</v>
      </c>
      <c r="B120" s="2">
        <v>46204</v>
      </c>
      <c r="C120" s="10">
        <v>31</v>
      </c>
      <c r="D120">
        <v>0</v>
      </c>
      <c r="E120" t="s">
        <v>33</v>
      </c>
      <c r="F120" t="s">
        <v>33</v>
      </c>
      <c r="G120" s="10" t="s">
        <v>932</v>
      </c>
      <c r="H120" t="s">
        <v>36</v>
      </c>
    </row>
    <row r="121" spans="1:8" x14ac:dyDescent="0.3">
      <c r="A121" t="s">
        <v>55</v>
      </c>
      <c r="B121" s="2">
        <v>46235</v>
      </c>
      <c r="C121" s="10" t="s">
        <v>919</v>
      </c>
      <c r="D121">
        <v>0</v>
      </c>
      <c r="E121" t="s">
        <v>33</v>
      </c>
      <c r="F121" t="s">
        <v>33</v>
      </c>
      <c r="G121" t="s">
        <v>1073</v>
      </c>
      <c r="H121" t="s">
        <v>36</v>
      </c>
    </row>
    <row r="122" spans="1:8" hidden="1" x14ac:dyDescent="0.3">
      <c r="A122" t="s">
        <v>60</v>
      </c>
      <c r="B122" s="2">
        <v>45536</v>
      </c>
      <c r="C122" s="10"/>
    </row>
    <row r="123" spans="1:8" hidden="1" x14ac:dyDescent="0.3">
      <c r="A123" t="s">
        <v>60</v>
      </c>
      <c r="B123" s="2">
        <v>45566</v>
      </c>
      <c r="C123" s="10"/>
    </row>
    <row r="124" spans="1:8" hidden="1" x14ac:dyDescent="0.3">
      <c r="A124" t="s">
        <v>60</v>
      </c>
      <c r="B124" s="2">
        <v>45597</v>
      </c>
      <c r="C124" s="10"/>
    </row>
    <row r="125" spans="1:8" hidden="1" x14ac:dyDescent="0.3">
      <c r="A125" t="s">
        <v>60</v>
      </c>
      <c r="B125" s="2">
        <v>45627</v>
      </c>
      <c r="C125" s="10"/>
    </row>
    <row r="126" spans="1:8" hidden="1" x14ac:dyDescent="0.3">
      <c r="A126" t="s">
        <v>60</v>
      </c>
      <c r="B126" s="2">
        <v>45658</v>
      </c>
      <c r="C126" s="10"/>
    </row>
    <row r="127" spans="1:8" ht="28.95" hidden="1" customHeight="1" x14ac:dyDescent="0.3">
      <c r="A127" t="s">
        <v>60</v>
      </c>
      <c r="B127" s="2">
        <v>45689</v>
      </c>
      <c r="C127" s="10" t="s">
        <v>328</v>
      </c>
    </row>
    <row r="128" spans="1:8" ht="57.6" hidden="1" customHeight="1" x14ac:dyDescent="0.3">
      <c r="A128" t="s">
        <v>60</v>
      </c>
      <c r="B128" s="2">
        <v>45717</v>
      </c>
      <c r="C128" s="10" t="s">
        <v>329</v>
      </c>
    </row>
    <row r="129" spans="1:8" ht="86.4" hidden="1" customHeight="1" x14ac:dyDescent="0.3">
      <c r="A129" t="s">
        <v>60</v>
      </c>
      <c r="B129" s="2">
        <v>45748</v>
      </c>
      <c r="C129" s="10" t="s">
        <v>330</v>
      </c>
    </row>
    <row r="130" spans="1:8" ht="72" hidden="1" customHeight="1" x14ac:dyDescent="0.3">
      <c r="A130" t="s">
        <v>60</v>
      </c>
      <c r="B130" s="2">
        <v>45778</v>
      </c>
      <c r="C130" s="10" t="s">
        <v>331</v>
      </c>
    </row>
    <row r="131" spans="1:8" ht="72" hidden="1" customHeight="1" x14ac:dyDescent="0.3">
      <c r="A131" t="s">
        <v>60</v>
      </c>
      <c r="B131" s="2">
        <v>45809</v>
      </c>
      <c r="C131" s="10" t="s">
        <v>332</v>
      </c>
    </row>
    <row r="132" spans="1:8" ht="72" hidden="1" customHeight="1" x14ac:dyDescent="0.3">
      <c r="A132" t="s">
        <v>60</v>
      </c>
      <c r="B132" s="2">
        <v>45839</v>
      </c>
      <c r="C132" s="10" t="s">
        <v>333</v>
      </c>
    </row>
    <row r="133" spans="1:8" ht="72" hidden="1" customHeight="1" x14ac:dyDescent="0.3">
      <c r="A133" t="s">
        <v>60</v>
      </c>
      <c r="B133" s="2">
        <v>45870</v>
      </c>
      <c r="C133" s="10" t="s">
        <v>334</v>
      </c>
    </row>
    <row r="134" spans="1:8" ht="57.6" hidden="1" customHeight="1" x14ac:dyDescent="0.3">
      <c r="A134" t="s">
        <v>60</v>
      </c>
      <c r="B134" s="2">
        <v>45901</v>
      </c>
      <c r="C134" s="10" t="s">
        <v>335</v>
      </c>
    </row>
    <row r="135" spans="1:8" ht="57.6" hidden="1" customHeight="1" x14ac:dyDescent="0.3">
      <c r="A135" t="s">
        <v>60</v>
      </c>
      <c r="B135" s="2">
        <v>45931</v>
      </c>
      <c r="C135" s="10" t="s">
        <v>336</v>
      </c>
    </row>
    <row r="136" spans="1:8" ht="57.6" hidden="1" customHeight="1" x14ac:dyDescent="0.3">
      <c r="A136" t="s">
        <v>60</v>
      </c>
      <c r="B136" s="2">
        <v>45962</v>
      </c>
      <c r="C136" s="10" t="s">
        <v>337</v>
      </c>
    </row>
    <row r="137" spans="1:8" hidden="1" x14ac:dyDescent="0.3">
      <c r="A137" t="s">
        <v>60</v>
      </c>
      <c r="B137" s="2">
        <v>45992</v>
      </c>
      <c r="C137" s="10" t="s">
        <v>326</v>
      </c>
    </row>
    <row r="138" spans="1:8" hidden="1" x14ac:dyDescent="0.3">
      <c r="A138" t="s">
        <v>60</v>
      </c>
      <c r="B138" s="2">
        <v>46023</v>
      </c>
      <c r="C138" s="10" t="s">
        <v>338</v>
      </c>
    </row>
    <row r="139" spans="1:8" hidden="1" x14ac:dyDescent="0.3">
      <c r="A139" t="s">
        <v>60</v>
      </c>
      <c r="B139" s="2">
        <v>46054</v>
      </c>
      <c r="C139" s="10" t="s">
        <v>326</v>
      </c>
    </row>
    <row r="140" spans="1:8" hidden="1" x14ac:dyDescent="0.3">
      <c r="A140" t="s">
        <v>60</v>
      </c>
      <c r="B140" s="2">
        <v>46082</v>
      </c>
      <c r="C140" s="10" t="s">
        <v>339</v>
      </c>
    </row>
    <row r="141" spans="1:8" hidden="1" x14ac:dyDescent="0.3">
      <c r="A141" t="s">
        <v>60</v>
      </c>
      <c r="B141" s="2">
        <v>46113</v>
      </c>
      <c r="C141" s="10" t="s">
        <v>339</v>
      </c>
    </row>
    <row r="142" spans="1:8" hidden="1" x14ac:dyDescent="0.3">
      <c r="A142" t="s">
        <v>60</v>
      </c>
      <c r="B142" s="2">
        <v>46143</v>
      </c>
      <c r="C142" s="10" t="s">
        <v>868</v>
      </c>
    </row>
    <row r="143" spans="1:8" hidden="1" x14ac:dyDescent="0.3">
      <c r="A143" t="s">
        <v>60</v>
      </c>
      <c r="B143" s="2">
        <v>46174</v>
      </c>
      <c r="C143" s="10"/>
    </row>
    <row r="144" spans="1:8" hidden="1" x14ac:dyDescent="0.3">
      <c r="A144" t="s">
        <v>60</v>
      </c>
      <c r="B144" s="2">
        <v>46204</v>
      </c>
      <c r="C144" s="10">
        <v>31</v>
      </c>
      <c r="D144">
        <v>0</v>
      </c>
      <c r="E144" t="s">
        <v>33</v>
      </c>
      <c r="F144" t="s">
        <v>33</v>
      </c>
      <c r="G144" t="s">
        <v>1014</v>
      </c>
      <c r="H144" t="s">
        <v>36</v>
      </c>
    </row>
    <row r="145" spans="1:8" x14ac:dyDescent="0.3">
      <c r="A145" t="s">
        <v>60</v>
      </c>
      <c r="B145" s="2">
        <v>46235</v>
      </c>
      <c r="C145" s="10" t="s">
        <v>919</v>
      </c>
      <c r="D145">
        <v>0</v>
      </c>
      <c r="E145" t="s">
        <v>33</v>
      </c>
      <c r="F145" t="s">
        <v>33</v>
      </c>
      <c r="G145" t="s">
        <v>959</v>
      </c>
      <c r="H145" t="s">
        <v>36</v>
      </c>
    </row>
    <row r="146" spans="1:8" hidden="1" x14ac:dyDescent="0.3">
      <c r="A146" t="s">
        <v>61</v>
      </c>
      <c r="B146" s="2">
        <v>45536</v>
      </c>
      <c r="C146" s="10"/>
    </row>
    <row r="147" spans="1:8" hidden="1" x14ac:dyDescent="0.3">
      <c r="A147" t="s">
        <v>61</v>
      </c>
      <c r="B147" s="2">
        <v>45566</v>
      </c>
      <c r="C147" s="10"/>
    </row>
    <row r="148" spans="1:8" hidden="1" x14ac:dyDescent="0.3">
      <c r="A148" t="s">
        <v>61</v>
      </c>
      <c r="B148" s="2">
        <v>45597</v>
      </c>
      <c r="C148" s="10"/>
    </row>
    <row r="149" spans="1:8" hidden="1" x14ac:dyDescent="0.3">
      <c r="A149" t="s">
        <v>61</v>
      </c>
      <c r="B149" s="2">
        <v>45627</v>
      </c>
      <c r="C149" s="10"/>
    </row>
    <row r="150" spans="1:8" hidden="1" x14ac:dyDescent="0.3">
      <c r="A150" t="s">
        <v>61</v>
      </c>
      <c r="B150" s="2">
        <v>45658</v>
      </c>
      <c r="C150" s="10"/>
    </row>
    <row r="151" spans="1:8" ht="43.2" hidden="1" customHeight="1" x14ac:dyDescent="0.3">
      <c r="A151" t="s">
        <v>61</v>
      </c>
      <c r="B151" s="2">
        <v>45689</v>
      </c>
      <c r="C151" s="10" t="s">
        <v>340</v>
      </c>
    </row>
    <row r="152" spans="1:8" ht="57.6" hidden="1" customHeight="1" x14ac:dyDescent="0.3">
      <c r="A152" t="s">
        <v>61</v>
      </c>
      <c r="B152" s="2">
        <v>45717</v>
      </c>
      <c r="C152" s="10" t="s">
        <v>341</v>
      </c>
    </row>
    <row r="153" spans="1:8" ht="28.95" hidden="1" customHeight="1" x14ac:dyDescent="0.3">
      <c r="A153" t="s">
        <v>61</v>
      </c>
      <c r="B153" s="2">
        <v>45748</v>
      </c>
      <c r="C153" s="10" t="s">
        <v>342</v>
      </c>
    </row>
    <row r="154" spans="1:8" ht="57.6" hidden="1" customHeight="1" x14ac:dyDescent="0.3">
      <c r="A154" t="s">
        <v>61</v>
      </c>
      <c r="B154" s="2">
        <v>45778</v>
      </c>
      <c r="C154" s="10" t="s">
        <v>343</v>
      </c>
    </row>
    <row r="155" spans="1:8" ht="72" hidden="1" customHeight="1" x14ac:dyDescent="0.3">
      <c r="A155" t="s">
        <v>61</v>
      </c>
      <c r="B155" s="2">
        <v>45809</v>
      </c>
      <c r="C155" s="10" t="s">
        <v>344</v>
      </c>
    </row>
    <row r="156" spans="1:8" ht="57.6" hidden="1" customHeight="1" x14ac:dyDescent="0.3">
      <c r="A156" t="s">
        <v>61</v>
      </c>
      <c r="B156" s="2">
        <v>45839</v>
      </c>
      <c r="C156" s="10" t="s">
        <v>345</v>
      </c>
    </row>
    <row r="157" spans="1:8" ht="72" hidden="1" customHeight="1" x14ac:dyDescent="0.3">
      <c r="A157" t="s">
        <v>61</v>
      </c>
      <c r="B157" s="2">
        <v>45870</v>
      </c>
      <c r="C157" s="10" t="s">
        <v>346</v>
      </c>
    </row>
    <row r="158" spans="1:8" ht="57.6" hidden="1" customHeight="1" x14ac:dyDescent="0.3">
      <c r="A158" t="s">
        <v>61</v>
      </c>
      <c r="B158" s="2">
        <v>45901</v>
      </c>
      <c r="C158" s="10" t="s">
        <v>347</v>
      </c>
    </row>
    <row r="159" spans="1:8" ht="57.6" hidden="1" customHeight="1" x14ac:dyDescent="0.3">
      <c r="A159" t="s">
        <v>61</v>
      </c>
      <c r="B159" s="2">
        <v>45931</v>
      </c>
      <c r="C159" s="10" t="s">
        <v>348</v>
      </c>
    </row>
    <row r="160" spans="1:8" ht="57.6" hidden="1" customHeight="1" x14ac:dyDescent="0.3">
      <c r="A160" t="s">
        <v>61</v>
      </c>
      <c r="B160" s="2">
        <v>45962</v>
      </c>
      <c r="C160" s="10" t="s">
        <v>349</v>
      </c>
    </row>
    <row r="161" spans="1:8" hidden="1" x14ac:dyDescent="0.3">
      <c r="A161" t="s">
        <v>61</v>
      </c>
      <c r="B161" s="2">
        <v>45992</v>
      </c>
      <c r="C161" s="10" t="s">
        <v>326</v>
      </c>
    </row>
    <row r="162" spans="1:8" hidden="1" x14ac:dyDescent="0.3">
      <c r="A162" t="s">
        <v>61</v>
      </c>
      <c r="B162" s="2">
        <v>46023</v>
      </c>
      <c r="C162" s="10" t="s">
        <v>338</v>
      </c>
    </row>
    <row r="163" spans="1:8" ht="43.2" hidden="1" x14ac:dyDescent="0.3">
      <c r="A163" t="s">
        <v>61</v>
      </c>
      <c r="B163" s="2">
        <v>46054</v>
      </c>
      <c r="C163" s="10" t="s">
        <v>314</v>
      </c>
    </row>
    <row r="164" spans="1:8" hidden="1" x14ac:dyDescent="0.3">
      <c r="A164" t="s">
        <v>61</v>
      </c>
      <c r="B164" s="2">
        <v>46082</v>
      </c>
      <c r="C164" s="10" t="s">
        <v>338</v>
      </c>
    </row>
    <row r="165" spans="1:8" hidden="1" x14ac:dyDescent="0.3">
      <c r="A165" t="s">
        <v>61</v>
      </c>
      <c r="B165" s="2">
        <v>46113</v>
      </c>
      <c r="C165" s="10" t="s">
        <v>302</v>
      </c>
    </row>
    <row r="166" spans="1:8" hidden="1" x14ac:dyDescent="0.3">
      <c r="A166" t="s">
        <v>61</v>
      </c>
      <c r="B166" s="2">
        <v>46143</v>
      </c>
      <c r="C166" s="10" t="s">
        <v>302</v>
      </c>
    </row>
    <row r="167" spans="1:8" hidden="1" x14ac:dyDescent="0.3">
      <c r="A167" t="s">
        <v>61</v>
      </c>
      <c r="B167" s="2">
        <v>46174</v>
      </c>
      <c r="C167" s="10"/>
    </row>
    <row r="168" spans="1:8" hidden="1" x14ac:dyDescent="0.3">
      <c r="A168" t="s">
        <v>61</v>
      </c>
      <c r="B168" s="2">
        <v>46204</v>
      </c>
      <c r="C168" s="10">
        <v>31</v>
      </c>
      <c r="D168">
        <v>0</v>
      </c>
      <c r="E168" t="s">
        <v>33</v>
      </c>
      <c r="F168" t="s">
        <v>33</v>
      </c>
      <c r="G168" t="s">
        <v>1014</v>
      </c>
      <c r="H168" t="s">
        <v>36</v>
      </c>
    </row>
    <row r="169" spans="1:8" x14ac:dyDescent="0.3">
      <c r="A169" t="s">
        <v>61</v>
      </c>
      <c r="B169" s="2">
        <v>46235</v>
      </c>
      <c r="C169" s="10" t="s">
        <v>919</v>
      </c>
      <c r="D169">
        <v>0</v>
      </c>
      <c r="E169" t="s">
        <v>33</v>
      </c>
      <c r="F169" t="s">
        <v>33</v>
      </c>
      <c r="G169" t="s">
        <v>959</v>
      </c>
      <c r="H169" t="s">
        <v>36</v>
      </c>
    </row>
    <row r="170" spans="1:8" hidden="1" x14ac:dyDescent="0.3">
      <c r="A170" t="s">
        <v>64</v>
      </c>
      <c r="B170" s="2">
        <v>45536</v>
      </c>
      <c r="C170" s="10"/>
    </row>
    <row r="171" spans="1:8" hidden="1" x14ac:dyDescent="0.3">
      <c r="A171" t="s">
        <v>64</v>
      </c>
      <c r="B171" s="2">
        <v>45566</v>
      </c>
      <c r="C171" s="10"/>
    </row>
    <row r="172" spans="1:8" hidden="1" x14ac:dyDescent="0.3">
      <c r="A172" t="s">
        <v>64</v>
      </c>
      <c r="B172" s="2">
        <v>45597</v>
      </c>
      <c r="C172" s="10"/>
    </row>
    <row r="173" spans="1:8" hidden="1" x14ac:dyDescent="0.3">
      <c r="A173" t="s">
        <v>64</v>
      </c>
      <c r="B173" s="2">
        <v>45627</v>
      </c>
      <c r="C173" s="10"/>
    </row>
    <row r="174" spans="1:8" hidden="1" x14ac:dyDescent="0.3">
      <c r="A174" t="s">
        <v>64</v>
      </c>
      <c r="B174" s="2">
        <v>45658</v>
      </c>
      <c r="C174" s="10"/>
    </row>
    <row r="175" spans="1:8" ht="28.95" hidden="1" customHeight="1" x14ac:dyDescent="0.3">
      <c r="A175" t="s">
        <v>64</v>
      </c>
      <c r="B175" s="2">
        <v>45689</v>
      </c>
      <c r="C175" s="10" t="s">
        <v>303</v>
      </c>
    </row>
    <row r="176" spans="1:8" ht="28.95" hidden="1" customHeight="1" x14ac:dyDescent="0.3">
      <c r="A176" t="s">
        <v>64</v>
      </c>
      <c r="B176" s="2">
        <v>45717</v>
      </c>
      <c r="C176" s="10" t="s">
        <v>304</v>
      </c>
    </row>
    <row r="177" spans="1:8" ht="28.95" hidden="1" customHeight="1" x14ac:dyDescent="0.3">
      <c r="A177" t="s">
        <v>64</v>
      </c>
      <c r="B177" s="2">
        <v>45748</v>
      </c>
      <c r="C177" s="10" t="s">
        <v>305</v>
      </c>
    </row>
    <row r="178" spans="1:8" ht="28.95" hidden="1" customHeight="1" x14ac:dyDescent="0.3">
      <c r="A178" t="s">
        <v>64</v>
      </c>
      <c r="B178" s="2">
        <v>45778</v>
      </c>
      <c r="C178" s="10" t="s">
        <v>306</v>
      </c>
    </row>
    <row r="179" spans="1:8" ht="28.95" hidden="1" customHeight="1" x14ac:dyDescent="0.3">
      <c r="A179" t="s">
        <v>64</v>
      </c>
      <c r="B179" s="2">
        <v>45809</v>
      </c>
      <c r="C179" s="10" t="s">
        <v>307</v>
      </c>
    </row>
    <row r="180" spans="1:8" ht="28.95" hidden="1" customHeight="1" x14ac:dyDescent="0.3">
      <c r="A180" t="s">
        <v>64</v>
      </c>
      <c r="B180" s="2">
        <v>45839</v>
      </c>
      <c r="C180" s="10" t="s">
        <v>308</v>
      </c>
    </row>
    <row r="181" spans="1:8" ht="28.95" hidden="1" customHeight="1" x14ac:dyDescent="0.3">
      <c r="A181" t="s">
        <v>64</v>
      </c>
      <c r="B181" s="2">
        <v>45870</v>
      </c>
      <c r="C181" s="10" t="s">
        <v>309</v>
      </c>
    </row>
    <row r="182" spans="1:8" ht="28.95" hidden="1" customHeight="1" x14ac:dyDescent="0.3">
      <c r="A182" t="s">
        <v>64</v>
      </c>
      <c r="B182" s="2">
        <v>45901</v>
      </c>
      <c r="C182" s="10" t="s">
        <v>310</v>
      </c>
    </row>
    <row r="183" spans="1:8" ht="43.2" hidden="1" customHeight="1" x14ac:dyDescent="0.3">
      <c r="A183" t="s">
        <v>64</v>
      </c>
      <c r="B183" s="2">
        <v>45931</v>
      </c>
      <c r="C183" s="10" t="s">
        <v>311</v>
      </c>
    </row>
    <row r="184" spans="1:8" ht="86.4" hidden="1" x14ac:dyDescent="0.3">
      <c r="A184" t="s">
        <v>64</v>
      </c>
      <c r="B184" s="2">
        <v>45962</v>
      </c>
      <c r="C184" s="10" t="s">
        <v>312</v>
      </c>
    </row>
    <row r="185" spans="1:8" ht="28.8" hidden="1" x14ac:dyDescent="0.3">
      <c r="A185" t="s">
        <v>64</v>
      </c>
      <c r="B185" s="2">
        <v>45992</v>
      </c>
      <c r="C185" s="10" t="s">
        <v>313</v>
      </c>
    </row>
    <row r="186" spans="1:8" ht="28.8" hidden="1" x14ac:dyDescent="0.3">
      <c r="A186" t="s">
        <v>64</v>
      </c>
      <c r="B186" s="2">
        <v>46023</v>
      </c>
      <c r="C186" s="10" t="s">
        <v>313</v>
      </c>
    </row>
    <row r="187" spans="1:8" ht="43.2" hidden="1" x14ac:dyDescent="0.3">
      <c r="A187" t="s">
        <v>64</v>
      </c>
      <c r="B187" s="2">
        <v>46054</v>
      </c>
      <c r="C187" s="10" t="s">
        <v>314</v>
      </c>
    </row>
    <row r="188" spans="1:8" hidden="1" x14ac:dyDescent="0.3">
      <c r="A188" t="s">
        <v>64</v>
      </c>
      <c r="B188" s="2">
        <v>46082</v>
      </c>
      <c r="C188" s="10" t="s">
        <v>300</v>
      </c>
    </row>
    <row r="189" spans="1:8" hidden="1" x14ac:dyDescent="0.3">
      <c r="A189" t="s">
        <v>64</v>
      </c>
      <c r="B189" s="2">
        <v>46113</v>
      </c>
      <c r="C189" s="10" t="s">
        <v>300</v>
      </c>
    </row>
    <row r="190" spans="1:8" hidden="1" x14ac:dyDescent="0.3">
      <c r="A190" t="s">
        <v>64</v>
      </c>
      <c r="B190" s="2">
        <v>46143</v>
      </c>
      <c r="C190" s="10" t="s">
        <v>852</v>
      </c>
    </row>
    <row r="191" spans="1:8" x14ac:dyDescent="0.3">
      <c r="A191" t="s">
        <v>64</v>
      </c>
      <c r="B191" s="2">
        <v>46235</v>
      </c>
      <c r="C191" s="10" t="s">
        <v>898</v>
      </c>
      <c r="D191" t="s">
        <v>1074</v>
      </c>
      <c r="E191" t="s">
        <v>1076</v>
      </c>
      <c r="F191" t="s">
        <v>1075</v>
      </c>
      <c r="G191" t="s">
        <v>1077</v>
      </c>
      <c r="H191" t="s">
        <v>36</v>
      </c>
    </row>
    <row r="192" spans="1:8" ht="27.6" hidden="1" customHeight="1" x14ac:dyDescent="0.3">
      <c r="A192" t="s">
        <v>64</v>
      </c>
      <c r="B192" s="2">
        <v>46174</v>
      </c>
      <c r="C192" s="10"/>
    </row>
    <row r="193" spans="1:8" hidden="1" x14ac:dyDescent="0.3">
      <c r="A193" t="s">
        <v>64</v>
      </c>
      <c r="B193" s="2">
        <v>46204</v>
      </c>
      <c r="C193" s="10">
        <v>31</v>
      </c>
      <c r="D193">
        <v>0</v>
      </c>
      <c r="E193" t="s">
        <v>33</v>
      </c>
      <c r="F193" t="s">
        <v>33</v>
      </c>
      <c r="G193" s="10" t="s">
        <v>932</v>
      </c>
      <c r="H193" t="s">
        <v>36</v>
      </c>
    </row>
    <row r="194" spans="1:8" hidden="1" x14ac:dyDescent="0.3">
      <c r="A194" t="s">
        <v>66</v>
      </c>
      <c r="B194" s="2">
        <v>45536</v>
      </c>
      <c r="C194" s="10"/>
    </row>
    <row r="195" spans="1:8" hidden="1" x14ac:dyDescent="0.3">
      <c r="A195" t="s">
        <v>66</v>
      </c>
      <c r="B195" s="2">
        <v>45566</v>
      </c>
      <c r="C195" s="10"/>
    </row>
    <row r="196" spans="1:8" hidden="1" x14ac:dyDescent="0.3">
      <c r="A196" t="s">
        <v>66</v>
      </c>
      <c r="B196" s="2">
        <v>45597</v>
      </c>
      <c r="C196" s="10"/>
    </row>
    <row r="197" spans="1:8" hidden="1" x14ac:dyDescent="0.3">
      <c r="A197" t="s">
        <v>66</v>
      </c>
      <c r="B197" s="2">
        <v>45627</v>
      </c>
      <c r="C197" s="10"/>
    </row>
    <row r="198" spans="1:8" hidden="1" x14ac:dyDescent="0.3">
      <c r="A198" t="s">
        <v>66</v>
      </c>
      <c r="B198" s="2">
        <v>45658</v>
      </c>
      <c r="C198" s="10"/>
    </row>
    <row r="199" spans="1:8" ht="28.95" hidden="1" customHeight="1" x14ac:dyDescent="0.3">
      <c r="A199" t="s">
        <v>66</v>
      </c>
      <c r="B199" s="2">
        <v>45689</v>
      </c>
      <c r="C199" s="10" t="s">
        <v>350</v>
      </c>
    </row>
    <row r="200" spans="1:8" ht="28.95" hidden="1" customHeight="1" x14ac:dyDescent="0.3">
      <c r="A200" t="s">
        <v>66</v>
      </c>
      <c r="B200" s="2">
        <v>45717</v>
      </c>
      <c r="C200" s="10" t="s">
        <v>350</v>
      </c>
    </row>
    <row r="201" spans="1:8" ht="28.95" hidden="1" customHeight="1" x14ac:dyDescent="0.3">
      <c r="A201" t="s">
        <v>66</v>
      </c>
      <c r="B201" s="2">
        <v>45748</v>
      </c>
      <c r="C201" s="10" t="s">
        <v>350</v>
      </c>
    </row>
    <row r="202" spans="1:8" ht="43.2" hidden="1" customHeight="1" x14ac:dyDescent="0.3">
      <c r="A202" t="s">
        <v>66</v>
      </c>
      <c r="B202" s="2">
        <v>45778</v>
      </c>
      <c r="C202" s="10" t="s">
        <v>350</v>
      </c>
    </row>
    <row r="203" spans="1:8" ht="72" hidden="1" customHeight="1" x14ac:dyDescent="0.3">
      <c r="A203" t="s">
        <v>66</v>
      </c>
      <c r="B203" s="2">
        <v>45809</v>
      </c>
      <c r="C203" s="10" t="s">
        <v>350</v>
      </c>
    </row>
    <row r="204" spans="1:8" ht="72" hidden="1" customHeight="1" x14ac:dyDescent="0.3">
      <c r="A204" t="s">
        <v>66</v>
      </c>
      <c r="B204" s="2">
        <v>45839</v>
      </c>
      <c r="C204" s="10" t="s">
        <v>350</v>
      </c>
    </row>
    <row r="205" spans="1:8" ht="72" hidden="1" customHeight="1" x14ac:dyDescent="0.3">
      <c r="A205" t="s">
        <v>66</v>
      </c>
      <c r="B205" s="2">
        <v>45870</v>
      </c>
      <c r="C205" s="10" t="s">
        <v>350</v>
      </c>
    </row>
    <row r="206" spans="1:8" ht="57.6" hidden="1" customHeight="1" x14ac:dyDescent="0.3">
      <c r="A206" t="s">
        <v>66</v>
      </c>
      <c r="B206" s="2">
        <v>45901</v>
      </c>
      <c r="C206" s="10" t="s">
        <v>351</v>
      </c>
    </row>
    <row r="207" spans="1:8" ht="57.6" hidden="1" customHeight="1" x14ac:dyDescent="0.3">
      <c r="A207" t="s">
        <v>66</v>
      </c>
      <c r="B207" s="2">
        <v>45931</v>
      </c>
      <c r="C207" s="10" t="s">
        <v>352</v>
      </c>
    </row>
    <row r="208" spans="1:8" ht="57.6" hidden="1" customHeight="1" x14ac:dyDescent="0.3">
      <c r="A208" t="s">
        <v>66</v>
      </c>
      <c r="B208" s="2">
        <v>45962</v>
      </c>
      <c r="C208" s="10" t="s">
        <v>353</v>
      </c>
    </row>
    <row r="209" spans="1:8" hidden="1" x14ac:dyDescent="0.3">
      <c r="A209" t="s">
        <v>66</v>
      </c>
      <c r="B209" s="2">
        <v>45992</v>
      </c>
      <c r="C209" s="10" t="s">
        <v>353</v>
      </c>
    </row>
    <row r="210" spans="1:8" hidden="1" x14ac:dyDescent="0.3">
      <c r="A210" t="s">
        <v>66</v>
      </c>
      <c r="B210" s="2">
        <v>46023</v>
      </c>
      <c r="C210" s="10" t="s">
        <v>353</v>
      </c>
    </row>
    <row r="211" spans="1:8" hidden="1" x14ac:dyDescent="0.3">
      <c r="A211" t="s">
        <v>66</v>
      </c>
      <c r="B211" s="2">
        <v>46054</v>
      </c>
      <c r="C211" s="10" t="s">
        <v>353</v>
      </c>
    </row>
    <row r="212" spans="1:8" hidden="1" x14ac:dyDescent="0.3">
      <c r="A212" t="s">
        <v>66</v>
      </c>
      <c r="B212" s="2">
        <v>46082</v>
      </c>
      <c r="C212" s="10" t="s">
        <v>353</v>
      </c>
    </row>
    <row r="213" spans="1:8" hidden="1" x14ac:dyDescent="0.3">
      <c r="A213" t="s">
        <v>66</v>
      </c>
      <c r="B213" s="2">
        <v>46113</v>
      </c>
      <c r="C213" s="10" t="s">
        <v>353</v>
      </c>
    </row>
    <row r="214" spans="1:8" hidden="1" x14ac:dyDescent="0.3">
      <c r="A214" t="s">
        <v>66</v>
      </c>
      <c r="B214" s="2">
        <v>46143</v>
      </c>
      <c r="C214" s="10" t="s">
        <v>853</v>
      </c>
    </row>
    <row r="215" spans="1:8" x14ac:dyDescent="0.3">
      <c r="A215" t="s">
        <v>66</v>
      </c>
      <c r="B215" s="2">
        <v>46235</v>
      </c>
      <c r="C215" t="s">
        <v>896</v>
      </c>
      <c r="D215">
        <v>0</v>
      </c>
      <c r="E215" t="s">
        <v>33</v>
      </c>
      <c r="F215" t="s">
        <v>1078</v>
      </c>
      <c r="G215" t="s">
        <v>1073</v>
      </c>
      <c r="H215" t="s">
        <v>36</v>
      </c>
    </row>
    <row r="216" spans="1:8" hidden="1" x14ac:dyDescent="0.3">
      <c r="A216" t="s">
        <v>66</v>
      </c>
      <c r="B216" s="2">
        <v>46174</v>
      </c>
      <c r="C216" s="10"/>
    </row>
    <row r="217" spans="1:8" hidden="1" x14ac:dyDescent="0.3">
      <c r="A217" t="s">
        <v>66</v>
      </c>
      <c r="B217" s="2">
        <v>46204</v>
      </c>
      <c r="C217" s="10">
        <v>31</v>
      </c>
      <c r="D217">
        <v>0</v>
      </c>
      <c r="E217" t="s">
        <v>33</v>
      </c>
      <c r="F217" t="s">
        <v>33</v>
      </c>
      <c r="G217" s="10" t="s">
        <v>932</v>
      </c>
      <c r="H217" t="s">
        <v>36</v>
      </c>
    </row>
    <row r="218" spans="1:8" hidden="1" x14ac:dyDescent="0.3">
      <c r="A218" t="s">
        <v>71</v>
      </c>
      <c r="B218" s="2">
        <v>45536</v>
      </c>
      <c r="C218" s="10"/>
    </row>
    <row r="219" spans="1:8" hidden="1" x14ac:dyDescent="0.3">
      <c r="A219" t="s">
        <v>71</v>
      </c>
      <c r="B219" s="2">
        <v>45566</v>
      </c>
      <c r="C219" s="10"/>
    </row>
    <row r="220" spans="1:8" hidden="1" x14ac:dyDescent="0.3">
      <c r="A220" t="s">
        <v>71</v>
      </c>
      <c r="B220" s="2">
        <v>45597</v>
      </c>
      <c r="C220" s="10"/>
    </row>
    <row r="221" spans="1:8" hidden="1" x14ac:dyDescent="0.3">
      <c r="A221" t="s">
        <v>71</v>
      </c>
      <c r="B221" s="2">
        <v>45627</v>
      </c>
      <c r="C221" s="10"/>
    </row>
    <row r="222" spans="1:8" hidden="1" x14ac:dyDescent="0.3">
      <c r="A222" t="s">
        <v>71</v>
      </c>
      <c r="B222" s="2">
        <v>45658</v>
      </c>
      <c r="C222" s="10"/>
    </row>
    <row r="223" spans="1:8" ht="28.8" hidden="1" x14ac:dyDescent="0.3">
      <c r="A223" t="s">
        <v>71</v>
      </c>
      <c r="B223" s="2">
        <v>45689</v>
      </c>
      <c r="C223" s="10" t="s">
        <v>354</v>
      </c>
    </row>
    <row r="224" spans="1:8" ht="28.95" hidden="1" customHeight="1" x14ac:dyDescent="0.3">
      <c r="A224" t="s">
        <v>71</v>
      </c>
      <c r="B224" s="2">
        <v>45717</v>
      </c>
      <c r="C224" s="10" t="s">
        <v>355</v>
      </c>
    </row>
    <row r="225" spans="1:8" ht="43.2" hidden="1" customHeight="1" x14ac:dyDescent="0.3">
      <c r="A225" t="s">
        <v>71</v>
      </c>
      <c r="B225" s="2">
        <v>45748</v>
      </c>
      <c r="C225" s="10" t="s">
        <v>356</v>
      </c>
    </row>
    <row r="226" spans="1:8" ht="57.6" hidden="1" customHeight="1" x14ac:dyDescent="0.3">
      <c r="A226" t="s">
        <v>71</v>
      </c>
      <c r="B226" s="2">
        <v>45778</v>
      </c>
      <c r="C226" s="10" t="s">
        <v>357</v>
      </c>
    </row>
    <row r="227" spans="1:8" ht="57.6" hidden="1" customHeight="1" x14ac:dyDescent="0.3">
      <c r="A227" t="s">
        <v>71</v>
      </c>
      <c r="B227" s="2">
        <v>45809</v>
      </c>
      <c r="C227" s="10" t="s">
        <v>358</v>
      </c>
    </row>
    <row r="228" spans="1:8" ht="43.2" hidden="1" customHeight="1" x14ac:dyDescent="0.3">
      <c r="A228" t="s">
        <v>71</v>
      </c>
      <c r="B228" s="2">
        <v>45839</v>
      </c>
      <c r="C228" s="10" t="s">
        <v>359</v>
      </c>
    </row>
    <row r="229" spans="1:8" ht="43.2" hidden="1" customHeight="1" x14ac:dyDescent="0.3">
      <c r="A229" t="s">
        <v>71</v>
      </c>
      <c r="B229" s="2">
        <v>45870</v>
      </c>
      <c r="C229" s="10" t="s">
        <v>360</v>
      </c>
    </row>
    <row r="230" spans="1:8" ht="43.2" hidden="1" customHeight="1" x14ac:dyDescent="0.3">
      <c r="A230" t="s">
        <v>71</v>
      </c>
      <c r="B230" s="2">
        <v>45901</v>
      </c>
      <c r="C230" s="10" t="s">
        <v>361</v>
      </c>
    </row>
    <row r="231" spans="1:8" ht="43.2" hidden="1" customHeight="1" x14ac:dyDescent="0.3">
      <c r="A231" t="s">
        <v>71</v>
      </c>
      <c r="B231" s="2">
        <v>45931</v>
      </c>
      <c r="C231" s="10" t="s">
        <v>362</v>
      </c>
    </row>
    <row r="232" spans="1:8" ht="43.2" hidden="1" customHeight="1" x14ac:dyDescent="0.3">
      <c r="A232" t="s">
        <v>71</v>
      </c>
      <c r="B232" s="2">
        <v>45962</v>
      </c>
      <c r="C232" s="10" t="s">
        <v>363</v>
      </c>
    </row>
    <row r="233" spans="1:8" ht="28.8" hidden="1" x14ac:dyDescent="0.3">
      <c r="A233" t="s">
        <v>71</v>
      </c>
      <c r="B233" s="2">
        <v>45992</v>
      </c>
      <c r="C233" s="10" t="s">
        <v>364</v>
      </c>
    </row>
    <row r="234" spans="1:8" hidden="1" x14ac:dyDescent="0.3">
      <c r="A234" t="s">
        <v>71</v>
      </c>
      <c r="B234" s="2">
        <v>46023</v>
      </c>
      <c r="C234" s="10" t="s">
        <v>338</v>
      </c>
    </row>
    <row r="235" spans="1:8" hidden="1" x14ac:dyDescent="0.3">
      <c r="A235" t="s">
        <v>71</v>
      </c>
      <c r="B235" s="2">
        <v>46054</v>
      </c>
      <c r="C235" s="10" t="s">
        <v>326</v>
      </c>
    </row>
    <row r="236" spans="1:8" hidden="1" x14ac:dyDescent="0.3">
      <c r="A236" t="s">
        <v>71</v>
      </c>
      <c r="B236" s="2">
        <v>46082</v>
      </c>
      <c r="C236" s="10" t="s">
        <v>326</v>
      </c>
    </row>
    <row r="237" spans="1:8" hidden="1" x14ac:dyDescent="0.3">
      <c r="A237" t="s">
        <v>71</v>
      </c>
      <c r="B237" s="2">
        <v>46113</v>
      </c>
      <c r="C237" s="10" t="s">
        <v>302</v>
      </c>
    </row>
    <row r="238" spans="1:8" hidden="1" x14ac:dyDescent="0.3">
      <c r="A238" t="s">
        <v>71</v>
      </c>
      <c r="B238" s="2">
        <v>46143</v>
      </c>
      <c r="C238" s="10" t="s">
        <v>302</v>
      </c>
    </row>
    <row r="239" spans="1:8" ht="28.8" x14ac:dyDescent="0.3">
      <c r="A239" t="s">
        <v>71</v>
      </c>
      <c r="B239" s="2">
        <v>46235</v>
      </c>
      <c r="C239" s="10" t="s">
        <v>898</v>
      </c>
      <c r="D239" t="s">
        <v>1079</v>
      </c>
      <c r="E239" s="32" t="s">
        <v>1017</v>
      </c>
      <c r="F239" s="32" t="s">
        <v>1018</v>
      </c>
      <c r="G239" s="10" t="s">
        <v>1020</v>
      </c>
      <c r="H239" t="s">
        <v>36</v>
      </c>
    </row>
    <row r="240" spans="1:8" hidden="1" x14ac:dyDescent="0.3">
      <c r="A240" t="s">
        <v>71</v>
      </c>
      <c r="B240" s="2">
        <v>46174</v>
      </c>
      <c r="C240" s="10"/>
    </row>
    <row r="241" spans="1:8" ht="28.8" hidden="1" x14ac:dyDescent="0.3">
      <c r="A241" t="s">
        <v>71</v>
      </c>
      <c r="B241" s="2">
        <v>46204</v>
      </c>
      <c r="C241" s="10">
        <v>24</v>
      </c>
      <c r="D241" t="s">
        <v>1023</v>
      </c>
      <c r="E241" s="32" t="s">
        <v>1017</v>
      </c>
      <c r="F241" s="32" t="s">
        <v>1018</v>
      </c>
      <c r="G241" s="10" t="s">
        <v>1020</v>
      </c>
      <c r="H241" t="s">
        <v>36</v>
      </c>
    </row>
    <row r="242" spans="1:8" hidden="1" x14ac:dyDescent="0.3">
      <c r="A242" t="s">
        <v>251</v>
      </c>
      <c r="B242" s="2">
        <v>46204</v>
      </c>
      <c r="C242">
        <v>31</v>
      </c>
      <c r="D242">
        <v>0</v>
      </c>
      <c r="E242" t="s">
        <v>33</v>
      </c>
      <c r="F242" t="s">
        <v>33</v>
      </c>
      <c r="G242" t="s">
        <v>338</v>
      </c>
      <c r="H242" t="s">
        <v>36</v>
      </c>
    </row>
    <row r="243" spans="1:8" hidden="1" x14ac:dyDescent="0.3">
      <c r="A243" t="s">
        <v>251</v>
      </c>
      <c r="B243" s="2">
        <v>46174</v>
      </c>
    </row>
    <row r="244" spans="1:8" hidden="1" x14ac:dyDescent="0.3">
      <c r="A244" t="s">
        <v>251</v>
      </c>
      <c r="B244" s="2">
        <v>46143</v>
      </c>
      <c r="C244" t="s">
        <v>302</v>
      </c>
    </row>
    <row r="245" spans="1:8" x14ac:dyDescent="0.3">
      <c r="A245" t="s">
        <v>251</v>
      </c>
      <c r="B245" s="2">
        <v>46235</v>
      </c>
      <c r="C245" t="s">
        <v>896</v>
      </c>
      <c r="D245">
        <v>0</v>
      </c>
      <c r="E245" t="s">
        <v>33</v>
      </c>
      <c r="F245" t="s">
        <v>33</v>
      </c>
      <c r="G245" t="s">
        <v>338</v>
      </c>
      <c r="H245" t="s">
        <v>36</v>
      </c>
    </row>
    <row r="246" spans="1:8" hidden="1" x14ac:dyDescent="0.3">
      <c r="A246" t="s">
        <v>251</v>
      </c>
      <c r="B246" s="2">
        <v>46266</v>
      </c>
    </row>
    <row r="247" spans="1:8" hidden="1" x14ac:dyDescent="0.3">
      <c r="A247" t="s">
        <v>251</v>
      </c>
      <c r="B247" s="2">
        <v>46296</v>
      </c>
    </row>
    <row r="248" spans="1:8" ht="28.95" hidden="1" customHeight="1" x14ac:dyDescent="0.3">
      <c r="A248" t="s">
        <v>251</v>
      </c>
      <c r="B248" s="2">
        <v>46327</v>
      </c>
    </row>
    <row r="249" spans="1:8" ht="43.2" hidden="1" customHeight="1" x14ac:dyDescent="0.3">
      <c r="A249" t="s">
        <v>251</v>
      </c>
      <c r="B249" s="2">
        <v>46357</v>
      </c>
    </row>
    <row r="250" spans="1:8" ht="57.6" hidden="1" customHeight="1" x14ac:dyDescent="0.3">
      <c r="A250" t="s">
        <v>77</v>
      </c>
      <c r="B250" s="2">
        <v>45536</v>
      </c>
      <c r="C250" s="10"/>
    </row>
    <row r="251" spans="1:8" ht="57.6" hidden="1" customHeight="1" x14ac:dyDescent="0.3">
      <c r="A251" t="s">
        <v>77</v>
      </c>
      <c r="B251" s="2">
        <v>45566</v>
      </c>
      <c r="C251" s="10"/>
    </row>
    <row r="252" spans="1:8" ht="43.2" hidden="1" customHeight="1" x14ac:dyDescent="0.3">
      <c r="A252" t="s">
        <v>77</v>
      </c>
      <c r="B252" s="2">
        <v>45597</v>
      </c>
      <c r="C252" s="10"/>
    </row>
    <row r="253" spans="1:8" ht="43.2" hidden="1" customHeight="1" x14ac:dyDescent="0.3">
      <c r="A253" t="s">
        <v>77</v>
      </c>
      <c r="B253" s="2">
        <v>45627</v>
      </c>
      <c r="C253" s="10"/>
    </row>
    <row r="254" spans="1:8" ht="43.2" hidden="1" customHeight="1" x14ac:dyDescent="0.3">
      <c r="A254" t="s">
        <v>77</v>
      </c>
      <c r="B254" s="2">
        <v>45658</v>
      </c>
      <c r="C254" s="10"/>
    </row>
    <row r="255" spans="1:8" ht="43.2" hidden="1" customHeight="1" x14ac:dyDescent="0.3">
      <c r="A255" t="s">
        <v>77</v>
      </c>
      <c r="B255" s="2">
        <v>45689</v>
      </c>
      <c r="C255" s="10" t="s">
        <v>365</v>
      </c>
    </row>
    <row r="256" spans="1:8" ht="57.6" hidden="1" customHeight="1" x14ac:dyDescent="0.3">
      <c r="A256" t="s">
        <v>77</v>
      </c>
      <c r="B256" s="2">
        <v>45717</v>
      </c>
      <c r="C256" s="10" t="s">
        <v>366</v>
      </c>
    </row>
    <row r="257" spans="1:8" ht="57.6" hidden="1" x14ac:dyDescent="0.3">
      <c r="A257" t="s">
        <v>77</v>
      </c>
      <c r="B257" s="2">
        <v>45748</v>
      </c>
      <c r="C257" s="10" t="s">
        <v>367</v>
      </c>
    </row>
    <row r="258" spans="1:8" ht="100.8" hidden="1" x14ac:dyDescent="0.3">
      <c r="A258" t="s">
        <v>77</v>
      </c>
      <c r="B258" s="2">
        <v>45778</v>
      </c>
      <c r="C258" s="10" t="s">
        <v>368</v>
      </c>
    </row>
    <row r="259" spans="1:8" ht="115.2" hidden="1" x14ac:dyDescent="0.3">
      <c r="A259" t="s">
        <v>77</v>
      </c>
      <c r="B259" s="2">
        <v>45809</v>
      </c>
      <c r="C259" s="10" t="s">
        <v>369</v>
      </c>
    </row>
    <row r="260" spans="1:8" ht="72" hidden="1" x14ac:dyDescent="0.3">
      <c r="A260" t="s">
        <v>77</v>
      </c>
      <c r="B260" s="2">
        <v>45839</v>
      </c>
      <c r="C260" s="10" t="s">
        <v>370</v>
      </c>
    </row>
    <row r="261" spans="1:8" ht="72" hidden="1" x14ac:dyDescent="0.3">
      <c r="A261" t="s">
        <v>77</v>
      </c>
      <c r="B261" s="2">
        <v>45870</v>
      </c>
      <c r="C261" s="10" t="s">
        <v>371</v>
      </c>
    </row>
    <row r="262" spans="1:8" ht="72" hidden="1" x14ac:dyDescent="0.3">
      <c r="A262" t="s">
        <v>77</v>
      </c>
      <c r="B262" s="2">
        <v>45901</v>
      </c>
      <c r="C262" s="10" t="s">
        <v>372</v>
      </c>
    </row>
    <row r="263" spans="1:8" ht="10.199999999999999" hidden="1" customHeight="1" x14ac:dyDescent="0.3">
      <c r="A263" t="s">
        <v>77</v>
      </c>
      <c r="B263" s="2">
        <v>45931</v>
      </c>
      <c r="C263" s="10" t="s">
        <v>373</v>
      </c>
    </row>
    <row r="264" spans="1:8" ht="86.4" hidden="1" x14ac:dyDescent="0.3">
      <c r="A264" t="s">
        <v>77</v>
      </c>
      <c r="B264" s="2">
        <v>45962</v>
      </c>
      <c r="C264" s="10" t="s">
        <v>374</v>
      </c>
    </row>
    <row r="265" spans="1:8" hidden="1" x14ac:dyDescent="0.3">
      <c r="A265" t="s">
        <v>77</v>
      </c>
      <c r="B265" s="2">
        <v>45992</v>
      </c>
      <c r="C265" s="10" t="s">
        <v>326</v>
      </c>
    </row>
    <row r="266" spans="1:8" hidden="1" x14ac:dyDescent="0.3">
      <c r="A266" t="s">
        <v>77</v>
      </c>
      <c r="B266" s="2">
        <v>46023</v>
      </c>
      <c r="C266" s="10" t="s">
        <v>375</v>
      </c>
    </row>
    <row r="267" spans="1:8" hidden="1" x14ac:dyDescent="0.3">
      <c r="A267" t="s">
        <v>77</v>
      </c>
      <c r="B267" s="2">
        <v>46054</v>
      </c>
      <c r="C267" s="10" t="s">
        <v>326</v>
      </c>
    </row>
    <row r="268" spans="1:8" hidden="1" x14ac:dyDescent="0.3">
      <c r="A268" t="s">
        <v>77</v>
      </c>
      <c r="B268" s="2">
        <v>46082</v>
      </c>
      <c r="C268" s="10" t="s">
        <v>326</v>
      </c>
    </row>
    <row r="269" spans="1:8" hidden="1" x14ac:dyDescent="0.3">
      <c r="A269" t="s">
        <v>77</v>
      </c>
      <c r="B269" s="2">
        <v>46113</v>
      </c>
      <c r="C269" s="10" t="s">
        <v>302</v>
      </c>
    </row>
    <row r="270" spans="1:8" hidden="1" x14ac:dyDescent="0.3">
      <c r="A270" t="s">
        <v>77</v>
      </c>
      <c r="B270" s="2">
        <v>46143</v>
      </c>
      <c r="C270" s="10" t="s">
        <v>302</v>
      </c>
    </row>
    <row r="271" spans="1:8" x14ac:dyDescent="0.3">
      <c r="A271" t="s">
        <v>77</v>
      </c>
      <c r="B271" s="2">
        <v>46235</v>
      </c>
      <c r="C271" t="s">
        <v>896</v>
      </c>
      <c r="D271">
        <v>0</v>
      </c>
      <c r="E271" t="s">
        <v>33</v>
      </c>
      <c r="F271" t="s">
        <v>33</v>
      </c>
      <c r="G271" t="s">
        <v>338</v>
      </c>
      <c r="H271" t="s">
        <v>36</v>
      </c>
    </row>
    <row r="272" spans="1:8" ht="28.95" hidden="1" customHeight="1" x14ac:dyDescent="0.3">
      <c r="A272" t="s">
        <v>77</v>
      </c>
      <c r="B272" s="2">
        <v>46174</v>
      </c>
      <c r="C272" s="10"/>
    </row>
    <row r="273" spans="1:8" ht="28.95" hidden="1" customHeight="1" x14ac:dyDescent="0.3">
      <c r="A273" t="s">
        <v>77</v>
      </c>
      <c r="B273" s="2">
        <v>46204</v>
      </c>
      <c r="C273" s="10">
        <v>31</v>
      </c>
      <c r="D273">
        <v>0</v>
      </c>
      <c r="E273" t="s">
        <v>33</v>
      </c>
      <c r="F273" t="s">
        <v>33</v>
      </c>
      <c r="G273" t="s">
        <v>1014</v>
      </c>
      <c r="H273" t="s">
        <v>36</v>
      </c>
    </row>
    <row r="274" spans="1:8" ht="72" hidden="1" customHeight="1" x14ac:dyDescent="0.3">
      <c r="A274" t="s">
        <v>80</v>
      </c>
      <c r="B274" s="2">
        <v>45536</v>
      </c>
      <c r="C274" s="10"/>
    </row>
    <row r="275" spans="1:8" ht="43.2" hidden="1" customHeight="1" x14ac:dyDescent="0.3">
      <c r="A275" t="s">
        <v>80</v>
      </c>
      <c r="B275" s="2">
        <v>45566</v>
      </c>
      <c r="C275" s="10"/>
    </row>
    <row r="276" spans="1:8" hidden="1" x14ac:dyDescent="0.3">
      <c r="A276" t="s">
        <v>80</v>
      </c>
      <c r="B276" s="2">
        <v>45597</v>
      </c>
      <c r="C276" s="10"/>
    </row>
    <row r="277" spans="1:8" hidden="1" x14ac:dyDescent="0.3">
      <c r="A277" t="s">
        <v>80</v>
      </c>
      <c r="B277" s="2">
        <v>45627</v>
      </c>
      <c r="C277" s="10"/>
    </row>
    <row r="278" spans="1:8" hidden="1" x14ac:dyDescent="0.3">
      <c r="A278" t="s">
        <v>80</v>
      </c>
      <c r="B278" s="2">
        <v>45658</v>
      </c>
      <c r="C278" s="10"/>
      <c r="G278" s="45"/>
    </row>
    <row r="279" spans="1:8" hidden="1" x14ac:dyDescent="0.3">
      <c r="A279" t="s">
        <v>80</v>
      </c>
      <c r="B279" s="2">
        <v>45689</v>
      </c>
      <c r="C279" s="10" t="s">
        <v>365</v>
      </c>
      <c r="G279" s="45"/>
    </row>
    <row r="280" spans="1:8" ht="57.6" hidden="1" customHeight="1" x14ac:dyDescent="0.3">
      <c r="A280" t="s">
        <v>80</v>
      </c>
      <c r="B280" s="2">
        <v>45717</v>
      </c>
      <c r="C280" s="10" t="s">
        <v>376</v>
      </c>
      <c r="G280" s="45"/>
    </row>
    <row r="281" spans="1:8" ht="57.6" hidden="1" x14ac:dyDescent="0.3">
      <c r="A281" t="s">
        <v>80</v>
      </c>
      <c r="B281" s="2">
        <v>45748</v>
      </c>
      <c r="C281" s="10" t="s">
        <v>377</v>
      </c>
    </row>
    <row r="282" spans="1:8" ht="100.8" hidden="1" x14ac:dyDescent="0.3">
      <c r="A282" t="s">
        <v>80</v>
      </c>
      <c r="B282" s="2">
        <v>45778</v>
      </c>
      <c r="C282" s="10" t="s">
        <v>378</v>
      </c>
      <c r="G282" s="45"/>
    </row>
    <row r="283" spans="1:8" ht="115.2" hidden="1" x14ac:dyDescent="0.3">
      <c r="A283" t="s">
        <v>80</v>
      </c>
      <c r="B283" s="2">
        <v>45809</v>
      </c>
      <c r="C283" s="10" t="s">
        <v>379</v>
      </c>
    </row>
    <row r="284" spans="1:8" ht="86.4" hidden="1" x14ac:dyDescent="0.3">
      <c r="A284" t="s">
        <v>80</v>
      </c>
      <c r="B284" s="2">
        <v>45839</v>
      </c>
      <c r="C284" s="10" t="s">
        <v>380</v>
      </c>
    </row>
    <row r="285" spans="1:8" ht="72" hidden="1" x14ac:dyDescent="0.3">
      <c r="A285" t="s">
        <v>80</v>
      </c>
      <c r="B285" s="2">
        <v>45870</v>
      </c>
      <c r="C285" s="10" t="s">
        <v>381</v>
      </c>
    </row>
    <row r="286" spans="1:8" ht="86.4" hidden="1" x14ac:dyDescent="0.3">
      <c r="A286" t="s">
        <v>80</v>
      </c>
      <c r="B286" s="2">
        <v>45901</v>
      </c>
      <c r="C286" s="10" t="s">
        <v>382</v>
      </c>
    </row>
    <row r="287" spans="1:8" ht="72" hidden="1" x14ac:dyDescent="0.3">
      <c r="A287" t="s">
        <v>80</v>
      </c>
      <c r="B287" s="2">
        <v>45931</v>
      </c>
      <c r="C287" s="10" t="s">
        <v>383</v>
      </c>
    </row>
    <row r="288" spans="1:8" ht="100.8" hidden="1" x14ac:dyDescent="0.3">
      <c r="A288" t="s">
        <v>80</v>
      </c>
      <c r="B288" s="2">
        <v>45962</v>
      </c>
      <c r="C288" s="10" t="s">
        <v>384</v>
      </c>
    </row>
    <row r="289" spans="1:8" hidden="1" x14ac:dyDescent="0.3">
      <c r="A289" t="s">
        <v>80</v>
      </c>
      <c r="B289" s="2">
        <v>45992</v>
      </c>
      <c r="C289" s="10" t="s">
        <v>385</v>
      </c>
    </row>
    <row r="290" spans="1:8" hidden="1" x14ac:dyDescent="0.3">
      <c r="A290" t="s">
        <v>80</v>
      </c>
      <c r="B290" s="2">
        <v>46023</v>
      </c>
      <c r="C290" s="10" t="s">
        <v>375</v>
      </c>
    </row>
    <row r="291" spans="1:8" hidden="1" x14ac:dyDescent="0.3">
      <c r="A291" t="s">
        <v>80</v>
      </c>
      <c r="B291" s="2">
        <v>46054</v>
      </c>
      <c r="C291" s="10" t="s">
        <v>326</v>
      </c>
    </row>
    <row r="292" spans="1:8" ht="28.8" hidden="1" x14ac:dyDescent="0.3">
      <c r="A292" t="s">
        <v>80</v>
      </c>
      <c r="B292" s="2">
        <v>46082</v>
      </c>
      <c r="C292" s="10" t="s">
        <v>386</v>
      </c>
    </row>
    <row r="293" spans="1:8" hidden="1" x14ac:dyDescent="0.3">
      <c r="A293" t="s">
        <v>80</v>
      </c>
      <c r="B293" s="2">
        <v>46113</v>
      </c>
      <c r="C293" s="10" t="s">
        <v>302</v>
      </c>
    </row>
    <row r="294" spans="1:8" hidden="1" x14ac:dyDescent="0.3">
      <c r="A294" t="s">
        <v>80</v>
      </c>
      <c r="B294" s="2">
        <v>46143</v>
      </c>
      <c r="C294" s="10" t="s">
        <v>302</v>
      </c>
    </row>
    <row r="295" spans="1:8" x14ac:dyDescent="0.3">
      <c r="A295" t="s">
        <v>80</v>
      </c>
      <c r="B295" s="2">
        <v>46235</v>
      </c>
      <c r="C295" t="s">
        <v>896</v>
      </c>
      <c r="D295">
        <v>0</v>
      </c>
      <c r="E295" t="s">
        <v>33</v>
      </c>
      <c r="F295" t="s">
        <v>33</v>
      </c>
      <c r="G295" t="s">
        <v>338</v>
      </c>
      <c r="H295" t="s">
        <v>36</v>
      </c>
    </row>
    <row r="296" spans="1:8" ht="86.4" hidden="1" customHeight="1" x14ac:dyDescent="0.3">
      <c r="A296" t="s">
        <v>80</v>
      </c>
      <c r="B296" s="2">
        <v>46174</v>
      </c>
      <c r="C296" s="10"/>
    </row>
    <row r="297" spans="1:8" ht="57.6" hidden="1" customHeight="1" x14ac:dyDescent="0.3">
      <c r="A297" t="s">
        <v>80</v>
      </c>
      <c r="B297" s="2">
        <v>46204</v>
      </c>
      <c r="C297" s="10">
        <v>31</v>
      </c>
      <c r="D297">
        <v>0</v>
      </c>
      <c r="E297" t="s">
        <v>33</v>
      </c>
      <c r="F297" t="s">
        <v>33</v>
      </c>
      <c r="G297" t="s">
        <v>1014</v>
      </c>
      <c r="H297" t="s">
        <v>36</v>
      </c>
    </row>
    <row r="298" spans="1:8" ht="57.6" hidden="1" customHeight="1" x14ac:dyDescent="0.3">
      <c r="A298" t="s">
        <v>81</v>
      </c>
      <c r="B298" s="2">
        <v>45536</v>
      </c>
      <c r="C298" s="10"/>
    </row>
    <row r="299" spans="1:8" ht="57.6" hidden="1" customHeight="1" x14ac:dyDescent="0.3">
      <c r="A299" t="s">
        <v>81</v>
      </c>
      <c r="B299" s="2">
        <v>45566</v>
      </c>
      <c r="C299" s="10"/>
    </row>
    <row r="300" spans="1:8" ht="57.6" hidden="1" customHeight="1" x14ac:dyDescent="0.3">
      <c r="A300" t="s">
        <v>81</v>
      </c>
      <c r="B300" s="2">
        <v>45597</v>
      </c>
      <c r="C300" s="10"/>
    </row>
    <row r="301" spans="1:8" ht="72" hidden="1" customHeight="1" x14ac:dyDescent="0.3">
      <c r="A301" t="s">
        <v>81</v>
      </c>
      <c r="B301" s="2">
        <v>45627</v>
      </c>
      <c r="C301" s="10"/>
    </row>
    <row r="302" spans="1:8" ht="57.6" hidden="1" customHeight="1" x14ac:dyDescent="0.3">
      <c r="A302" t="s">
        <v>81</v>
      </c>
      <c r="B302" s="2">
        <v>45658</v>
      </c>
      <c r="C302" s="10"/>
    </row>
    <row r="303" spans="1:8" ht="57.6" hidden="1" customHeight="1" x14ac:dyDescent="0.3">
      <c r="A303" t="s">
        <v>81</v>
      </c>
      <c r="B303" s="2">
        <v>45689</v>
      </c>
      <c r="C303" s="10" t="s">
        <v>387</v>
      </c>
    </row>
    <row r="304" spans="1:8" ht="72" hidden="1" customHeight="1" x14ac:dyDescent="0.3">
      <c r="A304" t="s">
        <v>81</v>
      </c>
      <c r="B304" s="2">
        <v>45717</v>
      </c>
      <c r="C304" s="10" t="s">
        <v>388</v>
      </c>
    </row>
    <row r="305" spans="1:8" ht="43.2" hidden="1" x14ac:dyDescent="0.3">
      <c r="A305" t="s">
        <v>81</v>
      </c>
      <c r="B305" s="2">
        <v>45748</v>
      </c>
      <c r="C305" s="10" t="s">
        <v>388</v>
      </c>
    </row>
    <row r="306" spans="1:8" ht="144" hidden="1" x14ac:dyDescent="0.3">
      <c r="A306" t="s">
        <v>81</v>
      </c>
      <c r="B306" s="2">
        <v>45778</v>
      </c>
      <c r="C306" s="10" t="s">
        <v>389</v>
      </c>
    </row>
    <row r="307" spans="1:8" ht="72" hidden="1" x14ac:dyDescent="0.3">
      <c r="A307" t="s">
        <v>81</v>
      </c>
      <c r="B307" s="2">
        <v>45809</v>
      </c>
      <c r="C307" s="10" t="s">
        <v>390</v>
      </c>
    </row>
    <row r="308" spans="1:8" hidden="1" x14ac:dyDescent="0.3">
      <c r="A308" t="s">
        <v>81</v>
      </c>
      <c r="B308" s="2">
        <v>45839</v>
      </c>
      <c r="C308" t="s">
        <v>911</v>
      </c>
      <c r="G308" s="10" t="s">
        <v>971</v>
      </c>
      <c r="H308" t="s">
        <v>36</v>
      </c>
    </row>
    <row r="309" spans="1:8" ht="28.95" hidden="1" customHeight="1" x14ac:dyDescent="0.3">
      <c r="A309" t="s">
        <v>81</v>
      </c>
      <c r="B309" s="2">
        <v>45870</v>
      </c>
      <c r="C309" t="s">
        <v>911</v>
      </c>
      <c r="D309">
        <v>0</v>
      </c>
      <c r="E309" t="s">
        <v>33</v>
      </c>
      <c r="F309" t="s">
        <v>33</v>
      </c>
      <c r="G309" s="10" t="s">
        <v>971</v>
      </c>
      <c r="H309" t="s">
        <v>36</v>
      </c>
    </row>
    <row r="310" spans="1:8" hidden="1" x14ac:dyDescent="0.3">
      <c r="A310" t="s">
        <v>81</v>
      </c>
      <c r="B310" s="2">
        <v>45901</v>
      </c>
      <c r="C310" t="s">
        <v>919</v>
      </c>
      <c r="D310">
        <v>0</v>
      </c>
      <c r="E310" t="s">
        <v>33</v>
      </c>
      <c r="F310" t="s">
        <v>33</v>
      </c>
      <c r="G310" s="44" t="s">
        <v>932</v>
      </c>
      <c r="H310" t="s">
        <v>36</v>
      </c>
    </row>
    <row r="311" spans="1:8" hidden="1" x14ac:dyDescent="0.3">
      <c r="A311" t="s">
        <v>81</v>
      </c>
      <c r="B311" s="2">
        <v>45931</v>
      </c>
      <c r="C311" t="s">
        <v>911</v>
      </c>
      <c r="D311">
        <v>0</v>
      </c>
      <c r="E311" t="s">
        <v>33</v>
      </c>
      <c r="F311" t="s">
        <v>33</v>
      </c>
      <c r="G311" s="44" t="s">
        <v>932</v>
      </c>
      <c r="H311" t="s">
        <v>36</v>
      </c>
    </row>
    <row r="312" spans="1:8" hidden="1" x14ac:dyDescent="0.3">
      <c r="A312" t="s">
        <v>81</v>
      </c>
      <c r="B312" s="2">
        <v>45962</v>
      </c>
      <c r="C312" t="s">
        <v>919</v>
      </c>
      <c r="D312">
        <v>0</v>
      </c>
      <c r="E312" t="s">
        <v>33</v>
      </c>
      <c r="F312" t="s">
        <v>33</v>
      </c>
      <c r="G312" s="44" t="s">
        <v>932</v>
      </c>
      <c r="H312" t="s">
        <v>36</v>
      </c>
    </row>
    <row r="313" spans="1:8" hidden="1" x14ac:dyDescent="0.3">
      <c r="A313" t="s">
        <v>81</v>
      </c>
      <c r="B313" s="2">
        <v>45992</v>
      </c>
      <c r="C313" t="s">
        <v>911</v>
      </c>
      <c r="D313">
        <v>0</v>
      </c>
      <c r="E313" t="s">
        <v>33</v>
      </c>
      <c r="F313" t="s">
        <v>33</v>
      </c>
      <c r="G313" s="10" t="s">
        <v>971</v>
      </c>
      <c r="H313" t="s">
        <v>36</v>
      </c>
    </row>
    <row r="314" spans="1:8" hidden="1" x14ac:dyDescent="0.3">
      <c r="A314" t="s">
        <v>81</v>
      </c>
      <c r="B314" s="2">
        <v>46023</v>
      </c>
      <c r="C314" t="s">
        <v>911</v>
      </c>
      <c r="D314">
        <v>0</v>
      </c>
      <c r="E314" t="s">
        <v>33</v>
      </c>
      <c r="F314" t="s">
        <v>33</v>
      </c>
      <c r="G314" s="44" t="s">
        <v>932</v>
      </c>
      <c r="H314" t="s">
        <v>36</v>
      </c>
    </row>
    <row r="315" spans="1:8" ht="28.8" hidden="1" x14ac:dyDescent="0.3">
      <c r="A315" t="s">
        <v>81</v>
      </c>
      <c r="B315" s="2">
        <v>46054</v>
      </c>
      <c r="C315" t="s">
        <v>895</v>
      </c>
      <c r="D315">
        <v>0</v>
      </c>
      <c r="E315" t="s">
        <v>33</v>
      </c>
      <c r="F315" t="s">
        <v>978</v>
      </c>
      <c r="G315" s="10" t="s">
        <v>979</v>
      </c>
      <c r="H315" t="s">
        <v>36</v>
      </c>
    </row>
    <row r="316" spans="1:8" ht="28.8" hidden="1" x14ac:dyDescent="0.3">
      <c r="A316" t="s">
        <v>81</v>
      </c>
      <c r="B316" s="2">
        <v>46082</v>
      </c>
      <c r="C316" t="s">
        <v>911</v>
      </c>
      <c r="D316">
        <v>0</v>
      </c>
      <c r="E316" t="s">
        <v>33</v>
      </c>
      <c r="F316" t="s">
        <v>978</v>
      </c>
      <c r="G316" s="10" t="s">
        <v>979</v>
      </c>
      <c r="H316" t="s">
        <v>36</v>
      </c>
    </row>
    <row r="317" spans="1:8" hidden="1" x14ac:dyDescent="0.3">
      <c r="A317" t="s">
        <v>81</v>
      </c>
      <c r="B317" s="2">
        <v>46113</v>
      </c>
      <c r="C317" t="s">
        <v>919</v>
      </c>
      <c r="D317">
        <v>0</v>
      </c>
      <c r="E317" t="s">
        <v>33</v>
      </c>
      <c r="F317" t="s">
        <v>33</v>
      </c>
      <c r="G317" s="10" t="s">
        <v>971</v>
      </c>
      <c r="H317" t="s">
        <v>36</v>
      </c>
    </row>
    <row r="318" spans="1:8" hidden="1" x14ac:dyDescent="0.3">
      <c r="A318" t="s">
        <v>81</v>
      </c>
      <c r="B318" s="2">
        <v>46143</v>
      </c>
      <c r="C318" t="s">
        <v>911</v>
      </c>
      <c r="D318">
        <v>0</v>
      </c>
      <c r="E318" t="s">
        <v>33</v>
      </c>
      <c r="F318" t="s">
        <v>33</v>
      </c>
      <c r="G318" s="10" t="s">
        <v>971</v>
      </c>
      <c r="H318" t="s">
        <v>36</v>
      </c>
    </row>
    <row r="319" spans="1:8" x14ac:dyDescent="0.3">
      <c r="A319" t="s">
        <v>81</v>
      </c>
      <c r="B319" s="2">
        <v>46235</v>
      </c>
      <c r="C319" t="s">
        <v>896</v>
      </c>
      <c r="D319">
        <v>0</v>
      </c>
      <c r="E319" t="s">
        <v>33</v>
      </c>
      <c r="F319" t="s">
        <v>33</v>
      </c>
      <c r="G319" t="s">
        <v>338</v>
      </c>
      <c r="H319" t="s">
        <v>36</v>
      </c>
    </row>
    <row r="320" spans="1:8" ht="86.4" hidden="1" customHeight="1" x14ac:dyDescent="0.3">
      <c r="A320" t="s">
        <v>81</v>
      </c>
      <c r="B320" s="2">
        <v>46174</v>
      </c>
      <c r="C320" t="s">
        <v>919</v>
      </c>
      <c r="D320">
        <v>0</v>
      </c>
      <c r="E320" t="s">
        <v>33</v>
      </c>
      <c r="F320" t="s">
        <v>33</v>
      </c>
      <c r="G320" s="10" t="s">
        <v>971</v>
      </c>
      <c r="H320" t="s">
        <v>36</v>
      </c>
    </row>
    <row r="321" spans="1:8" ht="57.6" hidden="1" customHeight="1" x14ac:dyDescent="0.3">
      <c r="A321" t="s">
        <v>81</v>
      </c>
      <c r="B321" s="2">
        <v>46204</v>
      </c>
      <c r="C321" s="10">
        <v>31</v>
      </c>
      <c r="D321">
        <v>0</v>
      </c>
      <c r="E321" t="s">
        <v>33</v>
      </c>
      <c r="F321" t="s">
        <v>33</v>
      </c>
      <c r="G321" t="s">
        <v>338</v>
      </c>
      <c r="H321" t="s">
        <v>36</v>
      </c>
    </row>
    <row r="322" spans="1:8" ht="57.6" hidden="1" customHeight="1" x14ac:dyDescent="0.3">
      <c r="A322" t="s">
        <v>85</v>
      </c>
      <c r="B322" s="2">
        <v>45536</v>
      </c>
      <c r="C322" s="10"/>
    </row>
    <row r="323" spans="1:8" ht="57.6" hidden="1" customHeight="1" x14ac:dyDescent="0.3">
      <c r="A323" t="s">
        <v>85</v>
      </c>
      <c r="B323" s="2">
        <v>45566</v>
      </c>
      <c r="C323" s="10"/>
    </row>
    <row r="324" spans="1:8" ht="57.6" hidden="1" customHeight="1" x14ac:dyDescent="0.3">
      <c r="A324" t="s">
        <v>85</v>
      </c>
      <c r="B324" s="2">
        <v>45597</v>
      </c>
      <c r="C324" s="10"/>
    </row>
    <row r="325" spans="1:8" ht="57.6" hidden="1" customHeight="1" x14ac:dyDescent="0.3">
      <c r="A325" t="s">
        <v>85</v>
      </c>
      <c r="B325" s="2">
        <v>45627</v>
      </c>
      <c r="C325" s="10"/>
    </row>
    <row r="326" spans="1:8" ht="57.6" hidden="1" customHeight="1" x14ac:dyDescent="0.3">
      <c r="A326" t="s">
        <v>85</v>
      </c>
      <c r="B326" s="2">
        <v>45658</v>
      </c>
      <c r="C326" s="10"/>
    </row>
    <row r="327" spans="1:8" ht="57.6" hidden="1" customHeight="1" x14ac:dyDescent="0.3">
      <c r="A327" t="s">
        <v>85</v>
      </c>
      <c r="B327" s="2">
        <v>45689</v>
      </c>
      <c r="C327" s="10" t="s">
        <v>391</v>
      </c>
    </row>
    <row r="328" spans="1:8" ht="57.6" hidden="1" customHeight="1" x14ac:dyDescent="0.3">
      <c r="A328" t="s">
        <v>85</v>
      </c>
      <c r="B328" s="2">
        <v>45717</v>
      </c>
      <c r="C328" s="10" t="s">
        <v>392</v>
      </c>
    </row>
    <row r="329" spans="1:8" ht="86.4" hidden="1" x14ac:dyDescent="0.3">
      <c r="A329" t="s">
        <v>85</v>
      </c>
      <c r="B329" s="2">
        <v>45748</v>
      </c>
      <c r="C329" s="10" t="s">
        <v>393</v>
      </c>
    </row>
    <row r="330" spans="1:8" ht="115.2" hidden="1" x14ac:dyDescent="0.3">
      <c r="A330" t="s">
        <v>85</v>
      </c>
      <c r="B330" s="2">
        <v>45778</v>
      </c>
      <c r="C330" s="10" t="s">
        <v>394</v>
      </c>
    </row>
    <row r="331" spans="1:8" ht="115.2" hidden="1" x14ac:dyDescent="0.3">
      <c r="A331" t="s">
        <v>85</v>
      </c>
      <c r="B331" s="2">
        <v>45809</v>
      </c>
      <c r="C331" s="10" t="s">
        <v>395</v>
      </c>
    </row>
    <row r="332" spans="1:8" ht="115.2" hidden="1" x14ac:dyDescent="0.3">
      <c r="A332" t="s">
        <v>85</v>
      </c>
      <c r="B332" s="2">
        <v>45839</v>
      </c>
      <c r="C332" s="10" t="s">
        <v>396</v>
      </c>
    </row>
    <row r="333" spans="1:8" ht="144" hidden="1" x14ac:dyDescent="0.3">
      <c r="A333" t="s">
        <v>85</v>
      </c>
      <c r="B333" s="2">
        <v>45870</v>
      </c>
      <c r="C333" s="10" t="s">
        <v>397</v>
      </c>
    </row>
    <row r="334" spans="1:8" ht="115.2" hidden="1" x14ac:dyDescent="0.3">
      <c r="A334" t="s">
        <v>85</v>
      </c>
      <c r="B334" s="2">
        <v>45901</v>
      </c>
      <c r="C334" s="10" t="s">
        <v>398</v>
      </c>
    </row>
    <row r="335" spans="1:8" ht="115.2" hidden="1" x14ac:dyDescent="0.3">
      <c r="A335" t="s">
        <v>85</v>
      </c>
      <c r="B335" s="2">
        <v>45931</v>
      </c>
      <c r="C335" s="10" t="s">
        <v>399</v>
      </c>
    </row>
    <row r="336" spans="1:8" ht="144" hidden="1" x14ac:dyDescent="0.3">
      <c r="A336" t="s">
        <v>85</v>
      </c>
      <c r="B336" s="2">
        <v>45962</v>
      </c>
      <c r="C336" s="10" t="s">
        <v>400</v>
      </c>
    </row>
    <row r="337" spans="1:8" ht="28.8" hidden="1" x14ac:dyDescent="0.3">
      <c r="A337" t="s">
        <v>85</v>
      </c>
      <c r="B337" s="2">
        <v>45992</v>
      </c>
      <c r="C337" s="10" t="s">
        <v>401</v>
      </c>
    </row>
    <row r="338" spans="1:8" ht="28.8" hidden="1" x14ac:dyDescent="0.3">
      <c r="A338" t="s">
        <v>85</v>
      </c>
      <c r="B338" s="2">
        <v>46023</v>
      </c>
      <c r="C338" s="10" t="s">
        <v>401</v>
      </c>
    </row>
    <row r="339" spans="1:8" ht="28.8" hidden="1" x14ac:dyDescent="0.3">
      <c r="A339" t="s">
        <v>85</v>
      </c>
      <c r="B339" s="2">
        <v>46054</v>
      </c>
      <c r="C339" s="10" t="s">
        <v>401</v>
      </c>
    </row>
    <row r="340" spans="1:8" ht="28.8" hidden="1" x14ac:dyDescent="0.3">
      <c r="A340" t="s">
        <v>85</v>
      </c>
      <c r="B340" s="2">
        <v>46082</v>
      </c>
      <c r="C340" s="10" t="s">
        <v>402</v>
      </c>
    </row>
    <row r="341" spans="1:8" ht="57.6" hidden="1" x14ac:dyDescent="0.3">
      <c r="A341" t="s">
        <v>85</v>
      </c>
      <c r="B341" s="2">
        <v>46113</v>
      </c>
      <c r="C341" s="10" t="s">
        <v>403</v>
      </c>
    </row>
    <row r="342" spans="1:8" hidden="1" x14ac:dyDescent="0.3">
      <c r="A342" t="s">
        <v>85</v>
      </c>
      <c r="B342" s="2">
        <v>46143</v>
      </c>
      <c r="C342" s="10" t="s">
        <v>852</v>
      </c>
    </row>
    <row r="343" spans="1:8" x14ac:dyDescent="0.3">
      <c r="A343" t="s">
        <v>85</v>
      </c>
      <c r="B343" s="2">
        <v>46235</v>
      </c>
      <c r="C343" s="10">
        <v>30</v>
      </c>
      <c r="D343">
        <v>0</v>
      </c>
      <c r="E343" t="s">
        <v>33</v>
      </c>
      <c r="F343" t="s">
        <v>33</v>
      </c>
      <c r="G343" t="s">
        <v>1073</v>
      </c>
      <c r="H343" t="s">
        <v>36</v>
      </c>
    </row>
    <row r="344" spans="1:8" hidden="1" x14ac:dyDescent="0.3">
      <c r="A344" t="s">
        <v>85</v>
      </c>
      <c r="B344" s="2">
        <v>46174</v>
      </c>
      <c r="C344" s="10"/>
    </row>
    <row r="345" spans="1:8" hidden="1" x14ac:dyDescent="0.3">
      <c r="A345" t="s">
        <v>85</v>
      </c>
      <c r="B345" s="2">
        <v>46204</v>
      </c>
      <c r="C345" s="10">
        <v>31</v>
      </c>
      <c r="D345">
        <v>0</v>
      </c>
      <c r="E345" t="s">
        <v>33</v>
      </c>
      <c r="F345" t="s">
        <v>33</v>
      </c>
      <c r="G345" t="s">
        <v>338</v>
      </c>
      <c r="H345" t="s">
        <v>36</v>
      </c>
    </row>
    <row r="346" spans="1:8" hidden="1" x14ac:dyDescent="0.3">
      <c r="A346" t="s">
        <v>90</v>
      </c>
      <c r="B346" s="2">
        <v>45536</v>
      </c>
      <c r="C346" s="10"/>
    </row>
    <row r="347" spans="1:8" hidden="1" x14ac:dyDescent="0.3">
      <c r="A347" t="s">
        <v>90</v>
      </c>
      <c r="B347" s="2">
        <v>45566</v>
      </c>
      <c r="C347" s="10"/>
    </row>
    <row r="348" spans="1:8" hidden="1" x14ac:dyDescent="0.3">
      <c r="A348" t="s">
        <v>90</v>
      </c>
      <c r="B348" s="2">
        <v>45597</v>
      </c>
      <c r="C348" s="10"/>
    </row>
    <row r="349" spans="1:8" hidden="1" x14ac:dyDescent="0.3">
      <c r="A349" t="s">
        <v>90</v>
      </c>
      <c r="B349" s="2">
        <v>45627</v>
      </c>
      <c r="C349" s="10"/>
    </row>
    <row r="350" spans="1:8" hidden="1" x14ac:dyDescent="0.3">
      <c r="A350" t="s">
        <v>90</v>
      </c>
      <c r="B350" s="2">
        <v>45658</v>
      </c>
      <c r="C350" s="10"/>
    </row>
    <row r="351" spans="1:8" ht="86.4" hidden="1" x14ac:dyDescent="0.3">
      <c r="A351" t="s">
        <v>90</v>
      </c>
      <c r="B351" s="2">
        <v>45689</v>
      </c>
      <c r="C351" s="10" t="s">
        <v>404</v>
      </c>
    </row>
    <row r="352" spans="1:8" ht="43.2" hidden="1" customHeight="1" x14ac:dyDescent="0.3">
      <c r="A352" t="s">
        <v>90</v>
      </c>
      <c r="B352" s="2">
        <v>45717</v>
      </c>
      <c r="C352" s="10" t="s">
        <v>405</v>
      </c>
    </row>
    <row r="353" spans="1:8" ht="86.4" hidden="1" x14ac:dyDescent="0.3">
      <c r="A353" t="s">
        <v>90</v>
      </c>
      <c r="B353" s="2">
        <v>45748</v>
      </c>
      <c r="C353" s="10" t="s">
        <v>406</v>
      </c>
    </row>
    <row r="354" spans="1:8" ht="100.8" hidden="1" x14ac:dyDescent="0.3">
      <c r="A354" t="s">
        <v>90</v>
      </c>
      <c r="B354" s="2">
        <v>45778</v>
      </c>
      <c r="C354" s="10" t="s">
        <v>407</v>
      </c>
    </row>
    <row r="355" spans="1:8" ht="129.6" hidden="1" x14ac:dyDescent="0.3">
      <c r="A355" t="s">
        <v>90</v>
      </c>
      <c r="B355" s="2">
        <v>45809</v>
      </c>
      <c r="C355" s="10" t="s">
        <v>408</v>
      </c>
    </row>
    <row r="356" spans="1:8" ht="129.6" hidden="1" x14ac:dyDescent="0.3">
      <c r="A356" t="s">
        <v>90</v>
      </c>
      <c r="B356" s="2">
        <v>45839</v>
      </c>
      <c r="C356" s="10" t="s">
        <v>409</v>
      </c>
    </row>
    <row r="357" spans="1:8" ht="129.6" hidden="1" x14ac:dyDescent="0.3">
      <c r="A357" t="s">
        <v>90</v>
      </c>
      <c r="B357" s="2">
        <v>45870</v>
      </c>
      <c r="C357" s="10" t="s">
        <v>410</v>
      </c>
    </row>
    <row r="358" spans="1:8" ht="129.6" hidden="1" x14ac:dyDescent="0.3">
      <c r="A358" t="s">
        <v>90</v>
      </c>
      <c r="B358" s="2">
        <v>45901</v>
      </c>
      <c r="C358" s="10" t="s">
        <v>411</v>
      </c>
    </row>
    <row r="359" spans="1:8" ht="115.2" hidden="1" x14ac:dyDescent="0.3">
      <c r="A359" t="s">
        <v>90</v>
      </c>
      <c r="B359" s="2">
        <v>45931</v>
      </c>
      <c r="C359" s="10" t="s">
        <v>412</v>
      </c>
    </row>
    <row r="360" spans="1:8" ht="115.2" hidden="1" x14ac:dyDescent="0.3">
      <c r="A360" t="s">
        <v>90</v>
      </c>
      <c r="B360" s="2">
        <v>45962</v>
      </c>
      <c r="C360" s="10" t="s">
        <v>413</v>
      </c>
    </row>
    <row r="361" spans="1:8" hidden="1" x14ac:dyDescent="0.3">
      <c r="A361" t="s">
        <v>90</v>
      </c>
      <c r="B361" s="2">
        <v>45992</v>
      </c>
      <c r="C361" s="10" t="s">
        <v>326</v>
      </c>
    </row>
    <row r="362" spans="1:8" hidden="1" x14ac:dyDescent="0.3">
      <c r="A362" t="s">
        <v>90</v>
      </c>
      <c r="B362" s="2">
        <v>46023</v>
      </c>
      <c r="C362" s="10" t="s">
        <v>338</v>
      </c>
    </row>
    <row r="363" spans="1:8" ht="28.95" hidden="1" customHeight="1" x14ac:dyDescent="0.3">
      <c r="A363" t="s">
        <v>90</v>
      </c>
      <c r="B363" s="2">
        <v>46054</v>
      </c>
      <c r="C363" s="10" t="s">
        <v>326</v>
      </c>
    </row>
    <row r="364" spans="1:8" hidden="1" x14ac:dyDescent="0.3">
      <c r="A364" t="s">
        <v>90</v>
      </c>
      <c r="B364" s="2">
        <v>46082</v>
      </c>
      <c r="C364" s="10" t="s">
        <v>326</v>
      </c>
    </row>
    <row r="365" spans="1:8" hidden="1" x14ac:dyDescent="0.3">
      <c r="A365" t="s">
        <v>90</v>
      </c>
      <c r="B365" s="2">
        <v>46113</v>
      </c>
      <c r="C365" s="10" t="s">
        <v>302</v>
      </c>
    </row>
    <row r="366" spans="1:8" hidden="1" x14ac:dyDescent="0.3">
      <c r="A366" t="s">
        <v>90</v>
      </c>
      <c r="B366" s="2">
        <v>46143</v>
      </c>
      <c r="C366" s="10" t="s">
        <v>302</v>
      </c>
    </row>
    <row r="367" spans="1:8" x14ac:dyDescent="0.3">
      <c r="A367" t="s">
        <v>90</v>
      </c>
      <c r="B367" s="2">
        <v>46235</v>
      </c>
      <c r="C367" t="s">
        <v>896</v>
      </c>
      <c r="D367">
        <v>0</v>
      </c>
      <c r="E367" t="s">
        <v>33</v>
      </c>
      <c r="F367" t="s">
        <v>33</v>
      </c>
      <c r="G367" t="s">
        <v>338</v>
      </c>
      <c r="H367" t="s">
        <v>36</v>
      </c>
    </row>
    <row r="368" spans="1:8" ht="43.2" hidden="1" customHeight="1" x14ac:dyDescent="0.3">
      <c r="A368" t="s">
        <v>90</v>
      </c>
      <c r="B368" s="2">
        <v>46174</v>
      </c>
      <c r="C368" s="10"/>
    </row>
    <row r="369" spans="1:8" ht="43.2" hidden="1" customHeight="1" x14ac:dyDescent="0.3">
      <c r="A369" t="s">
        <v>90</v>
      </c>
      <c r="B369" s="2">
        <v>46204</v>
      </c>
      <c r="C369" s="10">
        <v>31</v>
      </c>
      <c r="D369">
        <v>0</v>
      </c>
      <c r="E369" t="s">
        <v>33</v>
      </c>
      <c r="F369" t="s">
        <v>33</v>
      </c>
      <c r="G369" t="s">
        <v>338</v>
      </c>
      <c r="H369" t="s">
        <v>36</v>
      </c>
    </row>
    <row r="370" spans="1:8" ht="57.6" hidden="1" customHeight="1" x14ac:dyDescent="0.3">
      <c r="A370" t="s">
        <v>93</v>
      </c>
      <c r="B370" s="2">
        <v>45536</v>
      </c>
      <c r="C370" s="10"/>
    </row>
    <row r="371" spans="1:8" ht="57.6" hidden="1" customHeight="1" x14ac:dyDescent="0.3">
      <c r="A371" t="s">
        <v>93</v>
      </c>
      <c r="B371" s="2">
        <v>45566</v>
      </c>
      <c r="C371" s="10"/>
    </row>
    <row r="372" spans="1:8" hidden="1" x14ac:dyDescent="0.3">
      <c r="A372" t="s">
        <v>93</v>
      </c>
      <c r="B372" s="2">
        <v>45597</v>
      </c>
      <c r="C372" s="10"/>
    </row>
    <row r="373" spans="1:8" hidden="1" x14ac:dyDescent="0.3">
      <c r="A373" t="s">
        <v>93</v>
      </c>
      <c r="B373" s="2">
        <v>45627</v>
      </c>
      <c r="C373" s="10"/>
    </row>
    <row r="374" spans="1:8" hidden="1" x14ac:dyDescent="0.3">
      <c r="A374" t="s">
        <v>93</v>
      </c>
      <c r="B374" s="2">
        <v>45658</v>
      </c>
      <c r="C374" s="10"/>
    </row>
    <row r="375" spans="1:8" hidden="1" x14ac:dyDescent="0.3">
      <c r="A375" t="s">
        <v>93</v>
      </c>
      <c r="B375" s="2">
        <v>45689</v>
      </c>
      <c r="C375" s="10"/>
    </row>
    <row r="376" spans="1:8" hidden="1" x14ac:dyDescent="0.3">
      <c r="A376" t="s">
        <v>93</v>
      </c>
      <c r="B376" s="2">
        <v>45717</v>
      </c>
      <c r="C376" s="10"/>
    </row>
    <row r="377" spans="1:8" hidden="1" x14ac:dyDescent="0.3">
      <c r="A377" t="s">
        <v>93</v>
      </c>
      <c r="B377" s="2">
        <v>45748</v>
      </c>
      <c r="C377" s="10"/>
    </row>
    <row r="378" spans="1:8" hidden="1" x14ac:dyDescent="0.3">
      <c r="A378" t="s">
        <v>93</v>
      </c>
      <c r="B378" s="2">
        <v>45778</v>
      </c>
      <c r="C378" s="10"/>
    </row>
    <row r="379" spans="1:8" hidden="1" x14ac:dyDescent="0.3">
      <c r="A379" t="s">
        <v>93</v>
      </c>
      <c r="B379" s="2">
        <v>45809</v>
      </c>
      <c r="C379" s="10"/>
    </row>
    <row r="380" spans="1:8" hidden="1" x14ac:dyDescent="0.3">
      <c r="A380" t="s">
        <v>93</v>
      </c>
      <c r="B380" s="2">
        <v>45839</v>
      </c>
      <c r="C380" s="10"/>
    </row>
    <row r="381" spans="1:8" hidden="1" x14ac:dyDescent="0.3">
      <c r="A381" t="s">
        <v>93</v>
      </c>
      <c r="B381" s="2">
        <v>45870</v>
      </c>
      <c r="C381" s="10"/>
    </row>
    <row r="382" spans="1:8" hidden="1" x14ac:dyDescent="0.3">
      <c r="A382" t="s">
        <v>93</v>
      </c>
      <c r="B382" s="2">
        <v>45901</v>
      </c>
      <c r="C382" s="10"/>
    </row>
    <row r="383" spans="1:8" hidden="1" x14ac:dyDescent="0.3">
      <c r="A383" t="s">
        <v>93</v>
      </c>
      <c r="B383" s="2">
        <v>45931</v>
      </c>
      <c r="C383" s="10"/>
    </row>
    <row r="384" spans="1:8" ht="72" hidden="1" x14ac:dyDescent="0.3">
      <c r="A384" t="s">
        <v>93</v>
      </c>
      <c r="B384" s="2">
        <v>45962</v>
      </c>
      <c r="C384" s="10" t="s">
        <v>414</v>
      </c>
    </row>
    <row r="385" spans="1:8" hidden="1" x14ac:dyDescent="0.3">
      <c r="A385" t="s">
        <v>93</v>
      </c>
      <c r="B385" s="2">
        <v>45992</v>
      </c>
      <c r="C385" s="10" t="s">
        <v>415</v>
      </c>
    </row>
    <row r="386" spans="1:8" hidden="1" x14ac:dyDescent="0.3">
      <c r="A386" t="s">
        <v>93</v>
      </c>
      <c r="B386" s="2">
        <v>46023</v>
      </c>
      <c r="C386" s="10" t="s">
        <v>338</v>
      </c>
    </row>
    <row r="387" spans="1:8" hidden="1" x14ac:dyDescent="0.3">
      <c r="A387" t="s">
        <v>93</v>
      </c>
      <c r="B387" s="2">
        <v>46054</v>
      </c>
      <c r="C387" s="10" t="s">
        <v>326</v>
      </c>
    </row>
    <row r="388" spans="1:8" hidden="1" x14ac:dyDescent="0.3">
      <c r="A388" t="s">
        <v>93</v>
      </c>
      <c r="B388" s="2">
        <v>46082</v>
      </c>
      <c r="C388" s="10" t="s">
        <v>326</v>
      </c>
    </row>
    <row r="389" spans="1:8" hidden="1" x14ac:dyDescent="0.3">
      <c r="A389" t="s">
        <v>93</v>
      </c>
      <c r="B389" s="2">
        <v>46113</v>
      </c>
      <c r="C389" s="10" t="s">
        <v>416</v>
      </c>
    </row>
    <row r="390" spans="1:8" hidden="1" x14ac:dyDescent="0.3">
      <c r="A390" t="s">
        <v>93</v>
      </c>
      <c r="B390" s="2">
        <v>46143</v>
      </c>
      <c r="C390" s="10" t="s">
        <v>854</v>
      </c>
    </row>
    <row r="391" spans="1:8" x14ac:dyDescent="0.3">
      <c r="A391" t="s">
        <v>93</v>
      </c>
      <c r="B391" s="2">
        <v>46235</v>
      </c>
      <c r="C391" t="s">
        <v>36</v>
      </c>
      <c r="D391" t="s">
        <v>36</v>
      </c>
      <c r="E391" t="s">
        <v>36</v>
      </c>
      <c r="F391" t="s">
        <v>36</v>
      </c>
      <c r="G391" t="s">
        <v>36</v>
      </c>
      <c r="H391" t="s">
        <v>1094</v>
      </c>
    </row>
    <row r="392" spans="1:8" hidden="1" x14ac:dyDescent="0.3">
      <c r="A392" t="s">
        <v>93</v>
      </c>
      <c r="B392" s="2">
        <v>46174</v>
      </c>
      <c r="C392" s="10"/>
    </row>
    <row r="393" spans="1:8" hidden="1" x14ac:dyDescent="0.3">
      <c r="A393" t="s">
        <v>93</v>
      </c>
      <c r="B393" s="2">
        <v>46204</v>
      </c>
      <c r="C393" s="10">
        <v>31</v>
      </c>
      <c r="D393">
        <v>0</v>
      </c>
      <c r="E393" t="s">
        <v>33</v>
      </c>
      <c r="F393" t="s">
        <v>1064</v>
      </c>
      <c r="G393" s="10" t="s">
        <v>36</v>
      </c>
      <c r="H393" s="10" t="s">
        <v>36</v>
      </c>
    </row>
    <row r="394" spans="1:8" ht="28.8" hidden="1" x14ac:dyDescent="0.3">
      <c r="A394" t="s">
        <v>95</v>
      </c>
      <c r="B394" s="2">
        <v>45536</v>
      </c>
      <c r="C394" s="10" t="s">
        <v>417</v>
      </c>
    </row>
    <row r="395" spans="1:8" ht="57.6" hidden="1" x14ac:dyDescent="0.3">
      <c r="A395" t="s">
        <v>95</v>
      </c>
      <c r="B395" s="2">
        <v>45566</v>
      </c>
      <c r="C395" s="10" t="s">
        <v>418</v>
      </c>
    </row>
    <row r="396" spans="1:8" hidden="1" x14ac:dyDescent="0.3">
      <c r="A396" t="s">
        <v>95</v>
      </c>
      <c r="B396" s="2">
        <v>45597</v>
      </c>
      <c r="C396" s="10"/>
    </row>
    <row r="397" spans="1:8" hidden="1" x14ac:dyDescent="0.3">
      <c r="A397" t="s">
        <v>95</v>
      </c>
      <c r="B397" s="2">
        <v>45627</v>
      </c>
      <c r="C397" s="10"/>
    </row>
    <row r="398" spans="1:8" hidden="1" x14ac:dyDescent="0.3">
      <c r="A398" t="s">
        <v>95</v>
      </c>
      <c r="B398" s="2">
        <v>45658</v>
      </c>
      <c r="C398" s="10"/>
    </row>
    <row r="399" spans="1:8" ht="100.8" hidden="1" x14ac:dyDescent="0.3">
      <c r="A399" t="s">
        <v>95</v>
      </c>
      <c r="B399" s="2">
        <v>45689</v>
      </c>
      <c r="C399" s="10" t="s">
        <v>419</v>
      </c>
    </row>
    <row r="400" spans="1:8" ht="72" hidden="1" x14ac:dyDescent="0.3">
      <c r="A400" t="s">
        <v>95</v>
      </c>
      <c r="B400" s="2">
        <v>45717</v>
      </c>
      <c r="C400" s="10" t="s">
        <v>420</v>
      </c>
    </row>
    <row r="401" spans="1:8" ht="72" hidden="1" x14ac:dyDescent="0.3">
      <c r="A401" t="s">
        <v>95</v>
      </c>
      <c r="B401" s="2">
        <v>45748</v>
      </c>
      <c r="C401" s="10" t="s">
        <v>420</v>
      </c>
    </row>
    <row r="402" spans="1:8" ht="115.2" hidden="1" x14ac:dyDescent="0.3">
      <c r="A402" t="s">
        <v>95</v>
      </c>
      <c r="B402" s="2">
        <v>45778</v>
      </c>
      <c r="C402" s="10" t="s">
        <v>421</v>
      </c>
    </row>
    <row r="403" spans="1:8" ht="115.2" hidden="1" x14ac:dyDescent="0.3">
      <c r="A403" t="s">
        <v>95</v>
      </c>
      <c r="B403" s="2">
        <v>45809</v>
      </c>
      <c r="C403" s="10" t="s">
        <v>422</v>
      </c>
    </row>
    <row r="404" spans="1:8" hidden="1" x14ac:dyDescent="0.3">
      <c r="A404" t="s">
        <v>95</v>
      </c>
      <c r="B404" s="2">
        <v>45839</v>
      </c>
      <c r="C404" s="10" t="s">
        <v>911</v>
      </c>
      <c r="D404">
        <v>0</v>
      </c>
      <c r="E404" t="s">
        <v>33</v>
      </c>
      <c r="F404" t="s">
        <v>33</v>
      </c>
      <c r="G404" s="10" t="s">
        <v>932</v>
      </c>
      <c r="H404" t="s">
        <v>36</v>
      </c>
    </row>
    <row r="405" spans="1:8" hidden="1" x14ac:dyDescent="0.3">
      <c r="A405" t="s">
        <v>95</v>
      </c>
      <c r="B405" s="2">
        <v>45870</v>
      </c>
      <c r="C405" s="10" t="s">
        <v>911</v>
      </c>
      <c r="D405">
        <v>0</v>
      </c>
      <c r="E405" t="s">
        <v>33</v>
      </c>
      <c r="F405" t="s">
        <v>33</v>
      </c>
      <c r="G405" s="10" t="s">
        <v>932</v>
      </c>
      <c r="H405" t="s">
        <v>36</v>
      </c>
    </row>
    <row r="406" spans="1:8" hidden="1" x14ac:dyDescent="0.3">
      <c r="A406" t="s">
        <v>95</v>
      </c>
      <c r="B406" s="2">
        <v>45901</v>
      </c>
      <c r="C406" s="10" t="s">
        <v>931</v>
      </c>
      <c r="D406">
        <v>0</v>
      </c>
      <c r="E406" t="s">
        <v>33</v>
      </c>
      <c r="F406" t="s">
        <v>33</v>
      </c>
      <c r="G406" s="10" t="s">
        <v>932</v>
      </c>
      <c r="H406" t="s">
        <v>36</v>
      </c>
    </row>
    <row r="407" spans="1:8" hidden="1" x14ac:dyDescent="0.3">
      <c r="A407" t="s">
        <v>95</v>
      </c>
      <c r="B407" s="2">
        <v>45931</v>
      </c>
      <c r="C407" s="10" t="s">
        <v>911</v>
      </c>
      <c r="D407">
        <v>0</v>
      </c>
      <c r="E407" t="s">
        <v>33</v>
      </c>
      <c r="F407" t="s">
        <v>33</v>
      </c>
      <c r="G407" s="10" t="s">
        <v>932</v>
      </c>
      <c r="H407" t="s">
        <v>36</v>
      </c>
    </row>
    <row r="408" spans="1:8" hidden="1" x14ac:dyDescent="0.3">
      <c r="A408" t="s">
        <v>95</v>
      </c>
      <c r="B408" s="2">
        <v>45962</v>
      </c>
      <c r="C408" s="10" t="s">
        <v>931</v>
      </c>
      <c r="D408">
        <v>0</v>
      </c>
      <c r="E408" t="s">
        <v>33</v>
      </c>
      <c r="F408" t="s">
        <v>33</v>
      </c>
      <c r="G408" s="10" t="s">
        <v>933</v>
      </c>
      <c r="H408" t="s">
        <v>36</v>
      </c>
    </row>
    <row r="409" spans="1:8" hidden="1" x14ac:dyDescent="0.3">
      <c r="A409" t="s">
        <v>95</v>
      </c>
      <c r="B409" s="2">
        <v>45992</v>
      </c>
      <c r="C409" s="10" t="s">
        <v>935</v>
      </c>
      <c r="D409" t="s">
        <v>934</v>
      </c>
      <c r="E409" t="s">
        <v>936</v>
      </c>
      <c r="F409" t="s">
        <v>33</v>
      </c>
      <c r="G409" s="10" t="s">
        <v>938</v>
      </c>
      <c r="H409" t="s">
        <v>36</v>
      </c>
    </row>
    <row r="410" spans="1:8" hidden="1" x14ac:dyDescent="0.3">
      <c r="A410" t="s">
        <v>95</v>
      </c>
      <c r="B410" s="2">
        <v>46023</v>
      </c>
      <c r="C410" s="10" t="s">
        <v>930</v>
      </c>
      <c r="D410" t="s">
        <v>904</v>
      </c>
      <c r="E410" t="s">
        <v>937</v>
      </c>
      <c r="F410" t="s">
        <v>939</v>
      </c>
      <c r="G410" s="10" t="s">
        <v>938</v>
      </c>
      <c r="H410" t="s">
        <v>36</v>
      </c>
    </row>
    <row r="411" spans="1:8" ht="28.8" hidden="1" x14ac:dyDescent="0.3">
      <c r="A411" t="s">
        <v>95</v>
      </c>
      <c r="B411" s="2">
        <v>46054</v>
      </c>
      <c r="C411" s="10" t="s">
        <v>940</v>
      </c>
      <c r="D411" t="s">
        <v>941</v>
      </c>
      <c r="E411" t="s">
        <v>937</v>
      </c>
      <c r="F411" t="s">
        <v>939</v>
      </c>
      <c r="G411" s="10" t="s">
        <v>424</v>
      </c>
      <c r="H411" t="s">
        <v>36</v>
      </c>
    </row>
    <row r="412" spans="1:8" hidden="1" x14ac:dyDescent="0.3">
      <c r="A412" t="s">
        <v>95</v>
      </c>
      <c r="B412" s="2">
        <v>46082</v>
      </c>
      <c r="C412" s="10" t="s">
        <v>911</v>
      </c>
      <c r="D412">
        <v>0</v>
      </c>
      <c r="E412" t="s">
        <v>33</v>
      </c>
      <c r="F412" t="s">
        <v>33</v>
      </c>
      <c r="G412" s="10" t="s">
        <v>932</v>
      </c>
      <c r="H412" t="s">
        <v>36</v>
      </c>
    </row>
    <row r="413" spans="1:8" hidden="1" x14ac:dyDescent="0.3">
      <c r="A413" t="s">
        <v>95</v>
      </c>
      <c r="B413" s="2">
        <v>46113</v>
      </c>
      <c r="C413" s="10" t="s">
        <v>919</v>
      </c>
      <c r="D413">
        <v>0</v>
      </c>
      <c r="E413" t="s">
        <v>33</v>
      </c>
      <c r="F413" t="s">
        <v>33</v>
      </c>
      <c r="G413" s="10" t="s">
        <v>932</v>
      </c>
      <c r="H413" t="s">
        <v>36</v>
      </c>
    </row>
    <row r="414" spans="1:8" hidden="1" x14ac:dyDescent="0.3">
      <c r="A414" t="s">
        <v>95</v>
      </c>
      <c r="B414" s="2">
        <v>46143</v>
      </c>
      <c r="C414" s="10" t="s">
        <v>911</v>
      </c>
      <c r="D414">
        <v>0</v>
      </c>
      <c r="E414" t="s">
        <v>33</v>
      </c>
      <c r="F414" t="s">
        <v>33</v>
      </c>
      <c r="G414" s="10" t="s">
        <v>932</v>
      </c>
      <c r="H414" t="s">
        <v>36</v>
      </c>
    </row>
    <row r="415" spans="1:8" x14ac:dyDescent="0.3">
      <c r="A415" t="s">
        <v>95</v>
      </c>
      <c r="B415" s="2">
        <v>46235</v>
      </c>
      <c r="C415" s="10" t="s">
        <v>919</v>
      </c>
      <c r="D415">
        <v>0</v>
      </c>
      <c r="E415" t="s">
        <v>33</v>
      </c>
      <c r="F415" t="s">
        <v>33</v>
      </c>
      <c r="G415" t="s">
        <v>1073</v>
      </c>
      <c r="H415" t="s">
        <v>36</v>
      </c>
    </row>
    <row r="416" spans="1:8" ht="28.95" hidden="1" customHeight="1" x14ac:dyDescent="0.3">
      <c r="A416" t="s">
        <v>95</v>
      </c>
      <c r="B416" s="2">
        <v>46174</v>
      </c>
      <c r="C416" s="10" t="s">
        <v>919</v>
      </c>
      <c r="D416">
        <v>0</v>
      </c>
      <c r="E416" t="s">
        <v>33</v>
      </c>
      <c r="F416" t="s">
        <v>33</v>
      </c>
      <c r="G416" s="10" t="s">
        <v>932</v>
      </c>
      <c r="H416" t="s">
        <v>36</v>
      </c>
    </row>
    <row r="417" spans="1:8" ht="43.2" hidden="1" customHeight="1" x14ac:dyDescent="0.3">
      <c r="A417" t="s">
        <v>95</v>
      </c>
      <c r="B417" s="2">
        <v>46204</v>
      </c>
      <c r="C417" s="10">
        <v>31</v>
      </c>
      <c r="D417">
        <v>0</v>
      </c>
      <c r="E417" t="s">
        <v>33</v>
      </c>
      <c r="F417" t="s">
        <v>33</v>
      </c>
      <c r="G417" s="10" t="s">
        <v>932</v>
      </c>
      <c r="H417" t="s">
        <v>36</v>
      </c>
    </row>
    <row r="418" spans="1:8" ht="72" hidden="1" customHeight="1" x14ac:dyDescent="0.3">
      <c r="A418" t="s">
        <v>271</v>
      </c>
      <c r="B418" s="2">
        <v>46174</v>
      </c>
      <c r="C418" t="s">
        <v>919</v>
      </c>
      <c r="D418">
        <v>0</v>
      </c>
      <c r="E418" t="s">
        <v>36</v>
      </c>
      <c r="F418" t="s">
        <v>912</v>
      </c>
      <c r="G418" t="s">
        <v>33</v>
      </c>
      <c r="H418" t="s">
        <v>36</v>
      </c>
    </row>
    <row r="419" spans="1:8" ht="72" hidden="1" customHeight="1" x14ac:dyDescent="0.3">
      <c r="A419" t="s">
        <v>271</v>
      </c>
      <c r="B419" s="2">
        <v>46204</v>
      </c>
      <c r="C419">
        <v>18</v>
      </c>
      <c r="D419" s="41" t="s">
        <v>1022</v>
      </c>
      <c r="E419" t="s">
        <v>1024</v>
      </c>
      <c r="F419" t="s">
        <v>1008</v>
      </c>
      <c r="G419" s="32" t="s">
        <v>1025</v>
      </c>
      <c r="H419" t="s">
        <v>36</v>
      </c>
    </row>
    <row r="420" spans="1:8" ht="72" hidden="1" customHeight="1" x14ac:dyDescent="0.3">
      <c r="A420" t="s">
        <v>271</v>
      </c>
      <c r="B420" s="2">
        <v>45536</v>
      </c>
    </row>
    <row r="421" spans="1:8" ht="57.6" hidden="1" customHeight="1" x14ac:dyDescent="0.3">
      <c r="A421" t="s">
        <v>271</v>
      </c>
      <c r="B421" s="2">
        <v>45566</v>
      </c>
    </row>
    <row r="422" spans="1:8" ht="57.6" hidden="1" customHeight="1" x14ac:dyDescent="0.3">
      <c r="A422" t="s">
        <v>271</v>
      </c>
      <c r="B422" s="2">
        <v>45597</v>
      </c>
    </row>
    <row r="423" spans="1:8" ht="57.6" hidden="1" customHeight="1" x14ac:dyDescent="0.3">
      <c r="A423" t="s">
        <v>271</v>
      </c>
      <c r="B423" s="2">
        <v>45627</v>
      </c>
    </row>
    <row r="424" spans="1:8" ht="57.6" hidden="1" customHeight="1" x14ac:dyDescent="0.3">
      <c r="A424" t="s">
        <v>271</v>
      </c>
      <c r="B424" s="2">
        <v>45658</v>
      </c>
    </row>
    <row r="425" spans="1:8" hidden="1" x14ac:dyDescent="0.3">
      <c r="A425" t="s">
        <v>271</v>
      </c>
      <c r="B425" s="2">
        <v>45689</v>
      </c>
    </row>
    <row r="426" spans="1:8" hidden="1" x14ac:dyDescent="0.3">
      <c r="A426" t="s">
        <v>271</v>
      </c>
      <c r="B426" s="2">
        <v>45717</v>
      </c>
    </row>
    <row r="427" spans="1:8" hidden="1" x14ac:dyDescent="0.3">
      <c r="A427" t="s">
        <v>271</v>
      </c>
      <c r="B427" s="2">
        <v>45748</v>
      </c>
    </row>
    <row r="428" spans="1:8" hidden="1" x14ac:dyDescent="0.3">
      <c r="A428" t="s">
        <v>271</v>
      </c>
      <c r="B428" s="2">
        <v>45778</v>
      </c>
    </row>
    <row r="429" spans="1:8" hidden="1" x14ac:dyDescent="0.3">
      <c r="A429" t="s">
        <v>271</v>
      </c>
      <c r="B429" s="2">
        <v>45809</v>
      </c>
    </row>
    <row r="430" spans="1:8" hidden="1" x14ac:dyDescent="0.3">
      <c r="A430" t="s">
        <v>271</v>
      </c>
      <c r="B430" s="2">
        <v>45839</v>
      </c>
      <c r="C430" t="s">
        <v>36</v>
      </c>
      <c r="D430" t="s">
        <v>36</v>
      </c>
      <c r="E430" t="s">
        <v>36</v>
      </c>
      <c r="F430" t="s">
        <v>36</v>
      </c>
      <c r="G430" t="s">
        <v>36</v>
      </c>
      <c r="H430" t="s">
        <v>916</v>
      </c>
    </row>
    <row r="431" spans="1:8" hidden="1" x14ac:dyDescent="0.3">
      <c r="A431" t="s">
        <v>271</v>
      </c>
      <c r="B431" s="2">
        <v>45870</v>
      </c>
      <c r="C431" t="s">
        <v>36</v>
      </c>
      <c r="D431" t="s">
        <v>36</v>
      </c>
      <c r="E431" t="s">
        <v>36</v>
      </c>
      <c r="F431" t="s">
        <v>36</v>
      </c>
      <c r="G431" t="s">
        <v>36</v>
      </c>
      <c r="H431" t="s">
        <v>916</v>
      </c>
    </row>
    <row r="432" spans="1:8" hidden="1" x14ac:dyDescent="0.3">
      <c r="A432" t="s">
        <v>271</v>
      </c>
      <c r="B432" s="2">
        <v>45901</v>
      </c>
      <c r="C432" t="s">
        <v>36</v>
      </c>
      <c r="D432" t="s">
        <v>36</v>
      </c>
      <c r="E432" t="s">
        <v>36</v>
      </c>
      <c r="F432" t="s">
        <v>36</v>
      </c>
      <c r="G432" t="s">
        <v>36</v>
      </c>
      <c r="H432" t="s">
        <v>916</v>
      </c>
    </row>
    <row r="433" spans="1:8" hidden="1" x14ac:dyDescent="0.3">
      <c r="A433" t="s">
        <v>271</v>
      </c>
      <c r="B433" s="2">
        <v>45931</v>
      </c>
      <c r="C433" t="s">
        <v>36</v>
      </c>
      <c r="D433" t="s">
        <v>36</v>
      </c>
      <c r="E433" t="s">
        <v>36</v>
      </c>
      <c r="F433" t="s">
        <v>36</v>
      </c>
      <c r="G433" t="s">
        <v>36</v>
      </c>
      <c r="H433" t="s">
        <v>916</v>
      </c>
    </row>
    <row r="434" spans="1:8" hidden="1" x14ac:dyDescent="0.3">
      <c r="A434" t="s">
        <v>271</v>
      </c>
      <c r="B434" s="2">
        <v>45962</v>
      </c>
      <c r="C434" t="s">
        <v>36</v>
      </c>
      <c r="D434" t="s">
        <v>36</v>
      </c>
      <c r="E434" t="s">
        <v>36</v>
      </c>
      <c r="F434" t="s">
        <v>36</v>
      </c>
      <c r="G434" t="s">
        <v>36</v>
      </c>
      <c r="H434" t="s">
        <v>916</v>
      </c>
    </row>
    <row r="435" spans="1:8" hidden="1" x14ac:dyDescent="0.3">
      <c r="A435" t="s">
        <v>271</v>
      </c>
      <c r="B435" s="2">
        <v>45992</v>
      </c>
      <c r="C435" t="s">
        <v>36</v>
      </c>
      <c r="D435" t="s">
        <v>36</v>
      </c>
      <c r="E435" t="s">
        <v>36</v>
      </c>
      <c r="F435" t="s">
        <v>36</v>
      </c>
      <c r="G435" t="s">
        <v>36</v>
      </c>
      <c r="H435" t="s">
        <v>916</v>
      </c>
    </row>
    <row r="436" spans="1:8" hidden="1" x14ac:dyDescent="0.3">
      <c r="A436" t="s">
        <v>271</v>
      </c>
      <c r="B436" s="2">
        <v>46023</v>
      </c>
      <c r="C436" t="s">
        <v>36</v>
      </c>
      <c r="D436" t="s">
        <v>36</v>
      </c>
      <c r="E436" t="s">
        <v>36</v>
      </c>
      <c r="F436" t="s">
        <v>36</v>
      </c>
      <c r="G436" t="s">
        <v>36</v>
      </c>
      <c r="H436" t="s">
        <v>916</v>
      </c>
    </row>
    <row r="437" spans="1:8" hidden="1" x14ac:dyDescent="0.3">
      <c r="A437" t="s">
        <v>271</v>
      </c>
      <c r="B437" s="2">
        <v>46054</v>
      </c>
      <c r="C437" t="s">
        <v>36</v>
      </c>
      <c r="D437" t="s">
        <v>36</v>
      </c>
      <c r="E437" t="s">
        <v>36</v>
      </c>
      <c r="F437" t="s">
        <v>36</v>
      </c>
      <c r="G437" t="s">
        <v>36</v>
      </c>
      <c r="H437" t="s">
        <v>916</v>
      </c>
    </row>
    <row r="438" spans="1:8" hidden="1" x14ac:dyDescent="0.3">
      <c r="A438" t="s">
        <v>271</v>
      </c>
      <c r="B438" s="2">
        <v>46082</v>
      </c>
      <c r="C438" t="s">
        <v>36</v>
      </c>
      <c r="D438" t="s">
        <v>36</v>
      </c>
      <c r="E438" t="s">
        <v>36</v>
      </c>
      <c r="F438" t="s">
        <v>36</v>
      </c>
      <c r="G438" t="s">
        <v>36</v>
      </c>
      <c r="H438" t="s">
        <v>916</v>
      </c>
    </row>
    <row r="439" spans="1:8" ht="57.6" hidden="1" customHeight="1" x14ac:dyDescent="0.3">
      <c r="A439" t="s">
        <v>271</v>
      </c>
      <c r="B439" s="2">
        <v>46113</v>
      </c>
      <c r="C439" t="s">
        <v>36</v>
      </c>
      <c r="D439" t="s">
        <v>36</v>
      </c>
      <c r="E439" t="s">
        <v>36</v>
      </c>
      <c r="F439" t="s">
        <v>36</v>
      </c>
      <c r="G439" t="s">
        <v>36</v>
      </c>
      <c r="H439" t="s">
        <v>916</v>
      </c>
    </row>
    <row r="440" spans="1:8" ht="43.2" hidden="1" customHeight="1" x14ac:dyDescent="0.3">
      <c r="A440" t="s">
        <v>271</v>
      </c>
      <c r="B440" s="2">
        <v>46143</v>
      </c>
      <c r="C440" t="s">
        <v>917</v>
      </c>
      <c r="D440" t="s">
        <v>918</v>
      </c>
      <c r="E440" t="s">
        <v>916</v>
      </c>
      <c r="F440" t="s">
        <v>36</v>
      </c>
      <c r="G440" t="s">
        <v>36</v>
      </c>
    </row>
    <row r="441" spans="1:8" x14ac:dyDescent="0.3">
      <c r="A441" t="s">
        <v>271</v>
      </c>
      <c r="B441" s="2">
        <v>46235</v>
      </c>
      <c r="C441" t="s">
        <v>896</v>
      </c>
      <c r="D441">
        <v>0</v>
      </c>
      <c r="E441" t="s">
        <v>33</v>
      </c>
      <c r="F441" t="s">
        <v>33</v>
      </c>
      <c r="G441" t="s">
        <v>338</v>
      </c>
      <c r="H441" t="s">
        <v>36</v>
      </c>
    </row>
    <row r="442" spans="1:8" ht="57.6" hidden="1" customHeight="1" x14ac:dyDescent="0.3">
      <c r="A442" t="s">
        <v>239</v>
      </c>
      <c r="B442" s="2">
        <v>45536</v>
      </c>
      <c r="C442" s="10"/>
    </row>
    <row r="443" spans="1:8" ht="72" hidden="1" customHeight="1" x14ac:dyDescent="0.3">
      <c r="A443" t="s">
        <v>239</v>
      </c>
      <c r="B443" s="2">
        <v>45566</v>
      </c>
      <c r="C443" s="10"/>
    </row>
    <row r="444" spans="1:8" ht="57.6" hidden="1" customHeight="1" x14ac:dyDescent="0.3">
      <c r="A444" t="s">
        <v>239</v>
      </c>
      <c r="B444" s="2">
        <v>45597</v>
      </c>
      <c r="C444" s="10"/>
    </row>
    <row r="445" spans="1:8" ht="86.4" hidden="1" customHeight="1" x14ac:dyDescent="0.3">
      <c r="A445" t="s">
        <v>239</v>
      </c>
      <c r="B445" s="2">
        <v>45627</v>
      </c>
      <c r="C445" s="10"/>
    </row>
    <row r="446" spans="1:8" ht="57.6" hidden="1" customHeight="1" x14ac:dyDescent="0.3">
      <c r="A446" t="s">
        <v>239</v>
      </c>
      <c r="B446" s="2">
        <v>45658</v>
      </c>
      <c r="C446" s="10"/>
    </row>
    <row r="447" spans="1:8" ht="57.6" hidden="1" customHeight="1" x14ac:dyDescent="0.3">
      <c r="A447" t="s">
        <v>239</v>
      </c>
      <c r="B447" s="2">
        <v>45689</v>
      </c>
      <c r="C447" s="10"/>
    </row>
    <row r="448" spans="1:8" ht="57.6" hidden="1" customHeight="1" x14ac:dyDescent="0.3">
      <c r="A448" t="s">
        <v>239</v>
      </c>
      <c r="B448" s="2">
        <v>45717</v>
      </c>
      <c r="C448" s="10"/>
    </row>
    <row r="449" spans="1:8" hidden="1" x14ac:dyDescent="0.3">
      <c r="A449" t="s">
        <v>239</v>
      </c>
      <c r="B449" s="2">
        <v>45748</v>
      </c>
      <c r="C449" s="10"/>
    </row>
    <row r="450" spans="1:8" hidden="1" x14ac:dyDescent="0.3">
      <c r="A450" t="s">
        <v>239</v>
      </c>
      <c r="B450" s="2">
        <v>45778</v>
      </c>
      <c r="C450" s="10"/>
    </row>
    <row r="451" spans="1:8" hidden="1" x14ac:dyDescent="0.3">
      <c r="A451" t="s">
        <v>239</v>
      </c>
      <c r="B451" s="2">
        <v>45809</v>
      </c>
      <c r="C451" s="10"/>
    </row>
    <row r="452" spans="1:8" hidden="1" x14ac:dyDescent="0.3">
      <c r="A452" t="s">
        <v>239</v>
      </c>
      <c r="B452" s="2">
        <v>45839</v>
      </c>
      <c r="C452" t="s">
        <v>911</v>
      </c>
      <c r="D452" t="s">
        <v>36</v>
      </c>
      <c r="E452" t="s">
        <v>36</v>
      </c>
      <c r="F452" t="s">
        <v>36</v>
      </c>
      <c r="G452" t="s">
        <v>36</v>
      </c>
      <c r="H452" t="s">
        <v>967</v>
      </c>
    </row>
    <row r="453" spans="1:8" hidden="1" x14ac:dyDescent="0.3">
      <c r="A453" t="s">
        <v>239</v>
      </c>
      <c r="B453" s="2">
        <v>45870</v>
      </c>
      <c r="C453" t="s">
        <v>911</v>
      </c>
      <c r="D453" t="s">
        <v>36</v>
      </c>
      <c r="E453" t="s">
        <v>36</v>
      </c>
      <c r="F453" t="s">
        <v>36</v>
      </c>
      <c r="G453" t="s">
        <v>36</v>
      </c>
      <c r="H453" t="s">
        <v>967</v>
      </c>
    </row>
    <row r="454" spans="1:8" hidden="1" x14ac:dyDescent="0.3">
      <c r="A454" t="s">
        <v>239</v>
      </c>
      <c r="B454" s="2">
        <v>45901</v>
      </c>
      <c r="C454" t="s">
        <v>919</v>
      </c>
      <c r="D454" t="s">
        <v>36</v>
      </c>
      <c r="E454" t="s">
        <v>36</v>
      </c>
      <c r="F454" t="s">
        <v>36</v>
      </c>
      <c r="G454" t="s">
        <v>36</v>
      </c>
      <c r="H454" t="s">
        <v>967</v>
      </c>
    </row>
    <row r="455" spans="1:8" hidden="1" x14ac:dyDescent="0.3">
      <c r="A455" t="s">
        <v>239</v>
      </c>
      <c r="B455" s="2">
        <v>45931</v>
      </c>
      <c r="C455" t="s">
        <v>911</v>
      </c>
      <c r="D455" t="s">
        <v>36</v>
      </c>
      <c r="E455" t="s">
        <v>36</v>
      </c>
      <c r="F455" t="s">
        <v>36</v>
      </c>
      <c r="G455" t="s">
        <v>36</v>
      </c>
      <c r="H455" t="s">
        <v>967</v>
      </c>
    </row>
    <row r="456" spans="1:8" hidden="1" x14ac:dyDescent="0.3">
      <c r="A456" t="s">
        <v>239</v>
      </c>
      <c r="B456" s="2">
        <v>45962</v>
      </c>
      <c r="C456" t="s">
        <v>919</v>
      </c>
      <c r="D456">
        <v>0</v>
      </c>
      <c r="E456" t="s">
        <v>33</v>
      </c>
      <c r="F456" t="s">
        <v>33</v>
      </c>
      <c r="G456" s="10" t="s">
        <v>338</v>
      </c>
      <c r="H456" t="s">
        <v>36</v>
      </c>
    </row>
    <row r="457" spans="1:8" hidden="1" x14ac:dyDescent="0.3">
      <c r="A457" t="s">
        <v>239</v>
      </c>
      <c r="B457" s="2">
        <v>45992</v>
      </c>
      <c r="C457" t="s">
        <v>911</v>
      </c>
      <c r="D457">
        <v>0</v>
      </c>
      <c r="E457" t="s">
        <v>33</v>
      </c>
      <c r="F457" t="s">
        <v>33</v>
      </c>
      <c r="G457" s="10" t="s">
        <v>338</v>
      </c>
      <c r="H457" t="s">
        <v>36</v>
      </c>
    </row>
    <row r="458" spans="1:8" hidden="1" x14ac:dyDescent="0.3">
      <c r="A458" t="s">
        <v>239</v>
      </c>
      <c r="B458" s="2">
        <v>46023</v>
      </c>
      <c r="C458" t="s">
        <v>911</v>
      </c>
      <c r="D458">
        <v>0</v>
      </c>
      <c r="E458" t="s">
        <v>33</v>
      </c>
      <c r="F458" t="s">
        <v>33</v>
      </c>
      <c r="G458" s="10" t="s">
        <v>338</v>
      </c>
      <c r="H458" t="s">
        <v>36</v>
      </c>
    </row>
    <row r="459" spans="1:8" hidden="1" x14ac:dyDescent="0.3">
      <c r="A459" t="s">
        <v>239</v>
      </c>
      <c r="B459" s="2">
        <v>46054</v>
      </c>
      <c r="C459" t="s">
        <v>895</v>
      </c>
      <c r="D459">
        <v>0</v>
      </c>
      <c r="E459" t="s">
        <v>33</v>
      </c>
      <c r="F459" t="s">
        <v>33</v>
      </c>
      <c r="G459" s="10" t="s">
        <v>338</v>
      </c>
      <c r="H459" t="s">
        <v>36</v>
      </c>
    </row>
    <row r="460" spans="1:8" hidden="1" x14ac:dyDescent="0.3">
      <c r="A460" t="s">
        <v>239</v>
      </c>
      <c r="B460" s="2">
        <v>46082</v>
      </c>
      <c r="C460" t="s">
        <v>911</v>
      </c>
      <c r="D460">
        <v>0</v>
      </c>
      <c r="E460" t="s">
        <v>33</v>
      </c>
      <c r="F460" t="s">
        <v>33</v>
      </c>
      <c r="G460" s="10" t="s">
        <v>338</v>
      </c>
      <c r="H460" t="s">
        <v>36</v>
      </c>
    </row>
    <row r="461" spans="1:8" hidden="1" x14ac:dyDescent="0.3">
      <c r="A461" t="s">
        <v>239</v>
      </c>
      <c r="B461" s="2">
        <v>46113</v>
      </c>
      <c r="C461" t="s">
        <v>919</v>
      </c>
      <c r="D461">
        <v>0</v>
      </c>
      <c r="E461" t="s">
        <v>33</v>
      </c>
      <c r="F461" t="s">
        <v>33</v>
      </c>
      <c r="G461" s="10" t="s">
        <v>302</v>
      </c>
      <c r="H461" t="s">
        <v>36</v>
      </c>
    </row>
    <row r="462" spans="1:8" hidden="1" x14ac:dyDescent="0.3">
      <c r="A462" t="s">
        <v>239</v>
      </c>
      <c r="B462" s="2">
        <v>46143</v>
      </c>
      <c r="C462" t="s">
        <v>911</v>
      </c>
      <c r="D462">
        <v>0</v>
      </c>
      <c r="E462" t="s">
        <v>33</v>
      </c>
      <c r="F462" t="s">
        <v>33</v>
      </c>
      <c r="G462" s="10" t="s">
        <v>302</v>
      </c>
      <c r="H462" t="s">
        <v>36</v>
      </c>
    </row>
    <row r="463" spans="1:8" x14ac:dyDescent="0.3">
      <c r="A463" t="s">
        <v>239</v>
      </c>
      <c r="B463" s="2">
        <v>46235</v>
      </c>
      <c r="C463" t="s">
        <v>896</v>
      </c>
      <c r="D463">
        <v>0</v>
      </c>
      <c r="E463" t="s">
        <v>33</v>
      </c>
      <c r="F463" t="s">
        <v>33</v>
      </c>
      <c r="G463" t="s">
        <v>338</v>
      </c>
      <c r="H463" t="s">
        <v>36</v>
      </c>
    </row>
    <row r="464" spans="1:8" ht="57.6" hidden="1" customHeight="1" x14ac:dyDescent="0.3">
      <c r="A464" t="s">
        <v>239</v>
      </c>
      <c r="B464" s="2">
        <v>46174</v>
      </c>
      <c r="C464" t="s">
        <v>919</v>
      </c>
      <c r="D464">
        <v>0</v>
      </c>
      <c r="E464" t="s">
        <v>33</v>
      </c>
      <c r="F464" t="s">
        <v>33</v>
      </c>
      <c r="G464" t="s">
        <v>959</v>
      </c>
      <c r="H464" t="s">
        <v>36</v>
      </c>
    </row>
    <row r="465" spans="1:8" ht="57.6" hidden="1" customHeight="1" x14ac:dyDescent="0.3">
      <c r="A465" t="s">
        <v>239</v>
      </c>
      <c r="B465" s="2">
        <v>46204</v>
      </c>
      <c r="C465" s="10">
        <v>31</v>
      </c>
      <c r="D465">
        <v>0</v>
      </c>
      <c r="E465" t="s">
        <v>33</v>
      </c>
      <c r="F465" t="s">
        <v>1026</v>
      </c>
      <c r="G465" t="s">
        <v>338</v>
      </c>
      <c r="H465" t="s">
        <v>36</v>
      </c>
    </row>
    <row r="466" spans="1:8" ht="72" hidden="1" customHeight="1" x14ac:dyDescent="0.3">
      <c r="A466" t="s">
        <v>98</v>
      </c>
      <c r="B466" s="2">
        <v>45536</v>
      </c>
      <c r="C466" s="10"/>
    </row>
    <row r="467" spans="1:8" ht="57.6" hidden="1" customHeight="1" x14ac:dyDescent="0.3">
      <c r="A467" t="s">
        <v>98</v>
      </c>
      <c r="B467" s="2">
        <v>45566</v>
      </c>
      <c r="C467" s="10"/>
    </row>
    <row r="468" spans="1:8" hidden="1" x14ac:dyDescent="0.3">
      <c r="A468" t="s">
        <v>98</v>
      </c>
      <c r="B468" s="2">
        <v>45597</v>
      </c>
      <c r="C468" s="10"/>
    </row>
    <row r="469" spans="1:8" hidden="1" x14ac:dyDescent="0.3">
      <c r="A469" t="s">
        <v>98</v>
      </c>
      <c r="B469" s="2">
        <v>45627</v>
      </c>
      <c r="C469" s="10"/>
    </row>
    <row r="470" spans="1:8" hidden="1" x14ac:dyDescent="0.3">
      <c r="A470" t="s">
        <v>98</v>
      </c>
      <c r="B470" s="2">
        <v>45658</v>
      </c>
      <c r="C470" s="10"/>
    </row>
    <row r="471" spans="1:8" ht="43.2" hidden="1" x14ac:dyDescent="0.3">
      <c r="A471" t="s">
        <v>98</v>
      </c>
      <c r="B471" s="2">
        <v>45689</v>
      </c>
      <c r="C471" s="10" t="s">
        <v>425</v>
      </c>
    </row>
    <row r="472" spans="1:8" ht="43.2" hidden="1" x14ac:dyDescent="0.3">
      <c r="A472" t="s">
        <v>98</v>
      </c>
      <c r="B472" s="2">
        <v>45717</v>
      </c>
      <c r="C472" s="10" t="s">
        <v>426</v>
      </c>
    </row>
    <row r="473" spans="1:8" ht="43.2" hidden="1" x14ac:dyDescent="0.3">
      <c r="A473" t="s">
        <v>98</v>
      </c>
      <c r="B473" s="2">
        <v>45748</v>
      </c>
      <c r="C473" s="10" t="s">
        <v>427</v>
      </c>
    </row>
    <row r="474" spans="1:8" ht="129.6" hidden="1" x14ac:dyDescent="0.3">
      <c r="A474" t="s">
        <v>98</v>
      </c>
      <c r="B474" s="2">
        <v>45778</v>
      </c>
      <c r="C474" s="10" t="s">
        <v>428</v>
      </c>
    </row>
    <row r="475" spans="1:8" ht="129.6" hidden="1" x14ac:dyDescent="0.3">
      <c r="A475" t="s">
        <v>98</v>
      </c>
      <c r="B475" s="2">
        <v>45809</v>
      </c>
      <c r="C475" s="10" t="s">
        <v>429</v>
      </c>
    </row>
    <row r="476" spans="1:8" ht="129.6" hidden="1" x14ac:dyDescent="0.3">
      <c r="A476" t="s">
        <v>98</v>
      </c>
      <c r="B476" s="2">
        <v>45839</v>
      </c>
      <c r="C476" s="10" t="s">
        <v>430</v>
      </c>
    </row>
    <row r="477" spans="1:8" ht="115.2" hidden="1" x14ac:dyDescent="0.3">
      <c r="A477" t="s">
        <v>98</v>
      </c>
      <c r="B477" s="2">
        <v>45870</v>
      </c>
      <c r="C477" s="10" t="s">
        <v>431</v>
      </c>
    </row>
    <row r="478" spans="1:8" ht="115.2" hidden="1" x14ac:dyDescent="0.3">
      <c r="A478" t="s">
        <v>98</v>
      </c>
      <c r="B478" s="2">
        <v>45901</v>
      </c>
      <c r="C478" s="10" t="s">
        <v>432</v>
      </c>
    </row>
    <row r="479" spans="1:8" ht="115.2" hidden="1" x14ac:dyDescent="0.3">
      <c r="A479" t="s">
        <v>98</v>
      </c>
      <c r="B479" s="2">
        <v>45931</v>
      </c>
      <c r="C479" s="10" t="s">
        <v>433</v>
      </c>
    </row>
    <row r="480" spans="1:8" ht="115.2" hidden="1" x14ac:dyDescent="0.3">
      <c r="A480" t="s">
        <v>98</v>
      </c>
      <c r="B480" s="2">
        <v>45962</v>
      </c>
      <c r="C480" s="10" t="s">
        <v>434</v>
      </c>
    </row>
    <row r="481" spans="1:8" ht="28.8" hidden="1" x14ac:dyDescent="0.3">
      <c r="A481" t="s">
        <v>98</v>
      </c>
      <c r="B481" s="2">
        <v>45992</v>
      </c>
      <c r="C481" s="10" t="s">
        <v>435</v>
      </c>
    </row>
    <row r="482" spans="1:8" ht="28.8" hidden="1" x14ac:dyDescent="0.3">
      <c r="A482" t="s">
        <v>98</v>
      </c>
      <c r="B482" s="2">
        <v>46023</v>
      </c>
      <c r="C482" s="10" t="s">
        <v>436</v>
      </c>
    </row>
    <row r="483" spans="1:8" ht="43.2" hidden="1" x14ac:dyDescent="0.3">
      <c r="A483" t="s">
        <v>98</v>
      </c>
      <c r="B483" s="2">
        <v>46054</v>
      </c>
      <c r="C483" s="10" t="s">
        <v>437</v>
      </c>
    </row>
    <row r="484" spans="1:8" ht="28.8" hidden="1" x14ac:dyDescent="0.3">
      <c r="A484" t="s">
        <v>98</v>
      </c>
      <c r="B484" s="2">
        <v>46082</v>
      </c>
      <c r="C484" s="10" t="s">
        <v>438</v>
      </c>
    </row>
    <row r="485" spans="1:8" ht="28.8" hidden="1" x14ac:dyDescent="0.3">
      <c r="A485" t="s">
        <v>98</v>
      </c>
      <c r="B485" s="2">
        <v>46113</v>
      </c>
      <c r="C485" s="10" t="s">
        <v>438</v>
      </c>
    </row>
    <row r="486" spans="1:8" ht="28.8" hidden="1" x14ac:dyDescent="0.3">
      <c r="A486" t="s">
        <v>98</v>
      </c>
      <c r="B486" s="2">
        <v>46143</v>
      </c>
      <c r="C486" s="10" t="s">
        <v>855</v>
      </c>
    </row>
    <row r="487" spans="1:8" x14ac:dyDescent="0.3">
      <c r="A487" t="s">
        <v>98</v>
      </c>
      <c r="B487" s="2">
        <v>46235</v>
      </c>
      <c r="C487" t="s">
        <v>896</v>
      </c>
      <c r="D487">
        <v>0</v>
      </c>
      <c r="E487" t="s">
        <v>33</v>
      </c>
      <c r="F487" t="s">
        <v>33</v>
      </c>
      <c r="G487" t="s">
        <v>1073</v>
      </c>
      <c r="H487" t="s">
        <v>36</v>
      </c>
    </row>
    <row r="488" spans="1:8" hidden="1" x14ac:dyDescent="0.3">
      <c r="A488" t="s">
        <v>98</v>
      </c>
      <c r="B488" s="2">
        <v>46174</v>
      </c>
      <c r="C488" s="10"/>
    </row>
    <row r="489" spans="1:8" hidden="1" x14ac:dyDescent="0.3">
      <c r="A489" t="s">
        <v>98</v>
      </c>
      <c r="B489" s="2">
        <v>46204</v>
      </c>
      <c r="C489" s="10">
        <v>31</v>
      </c>
      <c r="D489">
        <v>0</v>
      </c>
      <c r="E489" t="s">
        <v>33</v>
      </c>
      <c r="F489" t="s">
        <v>1026</v>
      </c>
      <c r="G489" s="10" t="s">
        <v>932</v>
      </c>
      <c r="H489" t="s">
        <v>36</v>
      </c>
    </row>
    <row r="490" spans="1:8" ht="57.6" hidden="1" customHeight="1" x14ac:dyDescent="0.3">
      <c r="A490" t="s">
        <v>102</v>
      </c>
      <c r="B490" s="2">
        <v>45536</v>
      </c>
      <c r="C490" s="10"/>
    </row>
    <row r="491" spans="1:8" ht="57.6" hidden="1" customHeight="1" x14ac:dyDescent="0.3">
      <c r="A491" t="s">
        <v>102</v>
      </c>
      <c r="B491" s="2">
        <v>45566</v>
      </c>
      <c r="C491" s="10"/>
    </row>
    <row r="492" spans="1:8" hidden="1" x14ac:dyDescent="0.3">
      <c r="A492" t="s">
        <v>102</v>
      </c>
      <c r="B492" s="2">
        <v>45597</v>
      </c>
      <c r="C492" s="10"/>
    </row>
    <row r="493" spans="1:8" hidden="1" x14ac:dyDescent="0.3">
      <c r="A493" t="s">
        <v>102</v>
      </c>
      <c r="B493" s="2">
        <v>45627</v>
      </c>
      <c r="C493" s="10"/>
    </row>
    <row r="494" spans="1:8" hidden="1" x14ac:dyDescent="0.3">
      <c r="A494" t="s">
        <v>102</v>
      </c>
      <c r="B494" s="2">
        <v>45658</v>
      </c>
      <c r="C494" s="10"/>
    </row>
    <row r="495" spans="1:8" ht="57.6" hidden="1" x14ac:dyDescent="0.3">
      <c r="A495" t="s">
        <v>102</v>
      </c>
      <c r="B495" s="2">
        <v>45689</v>
      </c>
      <c r="C495" s="10" t="s">
        <v>439</v>
      </c>
    </row>
    <row r="496" spans="1:8" ht="43.2" hidden="1" x14ac:dyDescent="0.3">
      <c r="A496" t="s">
        <v>102</v>
      </c>
      <c r="B496" s="2">
        <v>45717</v>
      </c>
      <c r="C496" s="10" t="s">
        <v>440</v>
      </c>
    </row>
    <row r="497" spans="1:8" ht="43.2" hidden="1" x14ac:dyDescent="0.3">
      <c r="A497" t="s">
        <v>102</v>
      </c>
      <c r="B497" s="2">
        <v>45748</v>
      </c>
      <c r="C497" s="10" t="s">
        <v>441</v>
      </c>
    </row>
    <row r="498" spans="1:8" ht="115.2" hidden="1" x14ac:dyDescent="0.3">
      <c r="A498" t="s">
        <v>102</v>
      </c>
      <c r="B498" s="2">
        <v>45778</v>
      </c>
      <c r="C498" s="10" t="s">
        <v>442</v>
      </c>
    </row>
    <row r="499" spans="1:8" ht="144" hidden="1" x14ac:dyDescent="0.3">
      <c r="A499" t="s">
        <v>102</v>
      </c>
      <c r="B499" s="2">
        <v>45809</v>
      </c>
      <c r="C499" s="10" t="s">
        <v>443</v>
      </c>
    </row>
    <row r="500" spans="1:8" ht="115.2" hidden="1" x14ac:dyDescent="0.3">
      <c r="A500" t="s">
        <v>102</v>
      </c>
      <c r="B500" s="2">
        <v>45839</v>
      </c>
      <c r="C500" s="10" t="s">
        <v>444</v>
      </c>
    </row>
    <row r="501" spans="1:8" ht="187.2" hidden="1" x14ac:dyDescent="0.3">
      <c r="A501" t="s">
        <v>102</v>
      </c>
      <c r="B501" s="2">
        <v>45870</v>
      </c>
      <c r="C501" s="10" t="s">
        <v>445</v>
      </c>
    </row>
    <row r="502" spans="1:8" ht="115.2" hidden="1" x14ac:dyDescent="0.3">
      <c r="A502" t="s">
        <v>102</v>
      </c>
      <c r="B502" s="2">
        <v>45901</v>
      </c>
      <c r="C502" s="10" t="s">
        <v>446</v>
      </c>
    </row>
    <row r="503" spans="1:8" ht="115.2" hidden="1" x14ac:dyDescent="0.3">
      <c r="A503" t="s">
        <v>102</v>
      </c>
      <c r="B503" s="2">
        <v>45931</v>
      </c>
      <c r="C503" s="10" t="s">
        <v>447</v>
      </c>
    </row>
    <row r="504" spans="1:8" ht="115.2" hidden="1" x14ac:dyDescent="0.3">
      <c r="A504" t="s">
        <v>102</v>
      </c>
      <c r="B504" s="2">
        <v>45962</v>
      </c>
      <c r="C504" s="10" t="s">
        <v>448</v>
      </c>
    </row>
    <row r="505" spans="1:8" ht="28.8" hidden="1" x14ac:dyDescent="0.3">
      <c r="A505" t="s">
        <v>102</v>
      </c>
      <c r="B505" s="2">
        <v>45992</v>
      </c>
      <c r="C505" s="10" t="s">
        <v>435</v>
      </c>
    </row>
    <row r="506" spans="1:8" hidden="1" x14ac:dyDescent="0.3">
      <c r="A506" t="s">
        <v>102</v>
      </c>
      <c r="B506" s="2">
        <v>46023</v>
      </c>
      <c r="C506" s="10" t="s">
        <v>423</v>
      </c>
    </row>
    <row r="507" spans="1:8" hidden="1" x14ac:dyDescent="0.3">
      <c r="A507" t="s">
        <v>102</v>
      </c>
      <c r="B507" s="2">
        <v>46054</v>
      </c>
      <c r="C507" s="10" t="s">
        <v>423</v>
      </c>
    </row>
    <row r="508" spans="1:8" hidden="1" x14ac:dyDescent="0.3">
      <c r="A508" t="s">
        <v>102</v>
      </c>
      <c r="B508" s="2">
        <v>46082</v>
      </c>
      <c r="C508" s="10" t="s">
        <v>423</v>
      </c>
    </row>
    <row r="509" spans="1:8" hidden="1" x14ac:dyDescent="0.3">
      <c r="A509" t="s">
        <v>102</v>
      </c>
      <c r="B509" s="2">
        <v>46113</v>
      </c>
      <c r="C509" s="10" t="s">
        <v>423</v>
      </c>
    </row>
    <row r="510" spans="1:8" hidden="1" x14ac:dyDescent="0.3">
      <c r="A510" t="s">
        <v>102</v>
      </c>
      <c r="B510" s="2">
        <v>46143</v>
      </c>
      <c r="C510" s="10" t="s">
        <v>852</v>
      </c>
    </row>
    <row r="511" spans="1:8" x14ac:dyDescent="0.3">
      <c r="A511" t="s">
        <v>102</v>
      </c>
      <c r="B511" s="2">
        <v>46235</v>
      </c>
      <c r="C511" t="s">
        <v>896</v>
      </c>
      <c r="D511">
        <v>0</v>
      </c>
      <c r="E511" t="s">
        <v>33</v>
      </c>
      <c r="F511" t="s">
        <v>33</v>
      </c>
      <c r="G511" t="s">
        <v>1073</v>
      </c>
      <c r="H511" t="s">
        <v>36</v>
      </c>
    </row>
    <row r="512" spans="1:8" hidden="1" x14ac:dyDescent="0.3">
      <c r="A512" t="s">
        <v>102</v>
      </c>
      <c r="B512" s="2">
        <v>46174</v>
      </c>
      <c r="C512" s="10"/>
    </row>
    <row r="513" spans="1:8" hidden="1" x14ac:dyDescent="0.3">
      <c r="A513" t="s">
        <v>102</v>
      </c>
      <c r="B513" s="2">
        <v>46204</v>
      </c>
      <c r="C513" s="10">
        <v>31</v>
      </c>
      <c r="D513">
        <v>0</v>
      </c>
      <c r="E513" t="s">
        <v>33</v>
      </c>
      <c r="F513" t="s">
        <v>1026</v>
      </c>
      <c r="G513" s="10" t="s">
        <v>932</v>
      </c>
      <c r="H513" t="s">
        <v>36</v>
      </c>
    </row>
    <row r="514" spans="1:8" hidden="1" x14ac:dyDescent="0.3">
      <c r="A514" t="s">
        <v>104</v>
      </c>
      <c r="B514" s="2">
        <v>45536</v>
      </c>
      <c r="C514" s="10" t="s">
        <v>449</v>
      </c>
    </row>
    <row r="515" spans="1:8" hidden="1" x14ac:dyDescent="0.3">
      <c r="A515" t="s">
        <v>104</v>
      </c>
      <c r="B515" s="2">
        <v>45566</v>
      </c>
      <c r="C515" s="10" t="s">
        <v>449</v>
      </c>
    </row>
    <row r="516" spans="1:8" hidden="1" x14ac:dyDescent="0.3">
      <c r="A516" t="s">
        <v>104</v>
      </c>
      <c r="B516" s="2">
        <v>45597</v>
      </c>
      <c r="C516" s="10"/>
    </row>
    <row r="517" spans="1:8" hidden="1" x14ac:dyDescent="0.3">
      <c r="A517" t="s">
        <v>104</v>
      </c>
      <c r="B517" s="2">
        <v>45627</v>
      </c>
      <c r="C517" s="10"/>
    </row>
    <row r="518" spans="1:8" hidden="1" x14ac:dyDescent="0.3">
      <c r="A518" t="s">
        <v>104</v>
      </c>
      <c r="B518" s="2">
        <v>45658</v>
      </c>
      <c r="C518" s="10"/>
    </row>
    <row r="519" spans="1:8" ht="57.6" hidden="1" x14ac:dyDescent="0.3">
      <c r="A519" t="s">
        <v>104</v>
      </c>
      <c r="B519" s="2">
        <v>45689</v>
      </c>
      <c r="C519" s="10" t="s">
        <v>450</v>
      </c>
    </row>
    <row r="520" spans="1:8" ht="72" hidden="1" x14ac:dyDescent="0.3">
      <c r="A520" t="s">
        <v>104</v>
      </c>
      <c r="B520" s="2">
        <v>45717</v>
      </c>
      <c r="C520" s="10" t="s">
        <v>451</v>
      </c>
    </row>
    <row r="521" spans="1:8" ht="57.6" hidden="1" x14ac:dyDescent="0.3">
      <c r="A521" t="s">
        <v>104</v>
      </c>
      <c r="B521" s="2">
        <v>45748</v>
      </c>
      <c r="C521" s="10" t="s">
        <v>452</v>
      </c>
    </row>
    <row r="522" spans="1:8" ht="144" hidden="1" x14ac:dyDescent="0.3">
      <c r="A522" t="s">
        <v>104</v>
      </c>
      <c r="B522" s="2">
        <v>45778</v>
      </c>
      <c r="C522" s="10" t="s">
        <v>453</v>
      </c>
    </row>
    <row r="523" spans="1:8" ht="115.2" hidden="1" x14ac:dyDescent="0.3">
      <c r="A523" t="s">
        <v>104</v>
      </c>
      <c r="B523" s="2">
        <v>45809</v>
      </c>
      <c r="C523" s="10" t="s">
        <v>454</v>
      </c>
    </row>
    <row r="524" spans="1:8" hidden="1" x14ac:dyDescent="0.3">
      <c r="A524" t="s">
        <v>104</v>
      </c>
      <c r="B524" s="2">
        <v>45839</v>
      </c>
      <c r="C524" t="s">
        <v>949</v>
      </c>
      <c r="D524" t="s">
        <v>948</v>
      </c>
      <c r="E524" t="s">
        <v>950</v>
      </c>
      <c r="F524" t="s">
        <v>951</v>
      </c>
      <c r="G524" s="10" t="s">
        <v>932</v>
      </c>
      <c r="H524" t="s">
        <v>36</v>
      </c>
    </row>
    <row r="525" spans="1:8" hidden="1" x14ac:dyDescent="0.3">
      <c r="A525" t="s">
        <v>104</v>
      </c>
      <c r="B525" s="2">
        <v>45870</v>
      </c>
      <c r="C525" t="s">
        <v>898</v>
      </c>
      <c r="D525" t="s">
        <v>952</v>
      </c>
      <c r="E525" t="s">
        <v>950</v>
      </c>
      <c r="F525" t="s">
        <v>951</v>
      </c>
      <c r="G525" s="10" t="s">
        <v>932</v>
      </c>
      <c r="H525" t="s">
        <v>36</v>
      </c>
    </row>
    <row r="526" spans="1:8" hidden="1" x14ac:dyDescent="0.3">
      <c r="A526" t="s">
        <v>104</v>
      </c>
      <c r="B526" s="2">
        <v>45901</v>
      </c>
      <c r="C526" t="s">
        <v>919</v>
      </c>
      <c r="D526" t="s">
        <v>33</v>
      </c>
      <c r="E526" t="s">
        <v>33</v>
      </c>
      <c r="F526" t="s">
        <v>33</v>
      </c>
      <c r="G526" s="10" t="s">
        <v>932</v>
      </c>
      <c r="H526" t="s">
        <v>36</v>
      </c>
    </row>
    <row r="527" spans="1:8" hidden="1" x14ac:dyDescent="0.3">
      <c r="A527" t="s">
        <v>104</v>
      </c>
      <c r="B527" s="2">
        <v>45931</v>
      </c>
      <c r="C527" t="s">
        <v>954</v>
      </c>
      <c r="D527" t="s">
        <v>953</v>
      </c>
      <c r="E527" t="s">
        <v>950</v>
      </c>
      <c r="F527" t="s">
        <v>951</v>
      </c>
      <c r="G527" s="10" t="s">
        <v>932</v>
      </c>
      <c r="H527" t="s">
        <v>36</v>
      </c>
    </row>
    <row r="528" spans="1:8" hidden="1" x14ac:dyDescent="0.3">
      <c r="A528" t="s">
        <v>104</v>
      </c>
      <c r="B528" s="2">
        <v>45962</v>
      </c>
      <c r="C528" t="s">
        <v>919</v>
      </c>
      <c r="D528">
        <v>0</v>
      </c>
      <c r="E528" t="s">
        <v>33</v>
      </c>
      <c r="F528" t="s">
        <v>33</v>
      </c>
      <c r="G528" s="10" t="s">
        <v>932</v>
      </c>
      <c r="H528" t="s">
        <v>36</v>
      </c>
    </row>
    <row r="529" spans="1:8" hidden="1" x14ac:dyDescent="0.3">
      <c r="A529" t="s">
        <v>104</v>
      </c>
      <c r="B529" s="2">
        <v>45992</v>
      </c>
      <c r="C529" t="s">
        <v>919</v>
      </c>
      <c r="D529" t="s">
        <v>955</v>
      </c>
      <c r="E529" t="s">
        <v>936</v>
      </c>
      <c r="F529" t="s">
        <v>33</v>
      </c>
      <c r="G529" s="10" t="s">
        <v>932</v>
      </c>
      <c r="H529" t="s">
        <v>36</v>
      </c>
    </row>
    <row r="530" spans="1:8" hidden="1" x14ac:dyDescent="0.3">
      <c r="A530" t="s">
        <v>104</v>
      </c>
      <c r="B530" s="2">
        <v>46023</v>
      </c>
      <c r="C530" t="s">
        <v>911</v>
      </c>
      <c r="D530">
        <v>0</v>
      </c>
      <c r="E530" t="s">
        <v>33</v>
      </c>
      <c r="F530" t="s">
        <v>33</v>
      </c>
      <c r="G530" s="10" t="s">
        <v>932</v>
      </c>
      <c r="H530" t="s">
        <v>36</v>
      </c>
    </row>
    <row r="531" spans="1:8" hidden="1" x14ac:dyDescent="0.3">
      <c r="A531" t="s">
        <v>104</v>
      </c>
      <c r="B531" s="2">
        <v>46054</v>
      </c>
      <c r="C531" t="s">
        <v>895</v>
      </c>
      <c r="D531">
        <v>0</v>
      </c>
      <c r="E531" t="s">
        <v>33</v>
      </c>
      <c r="F531" t="s">
        <v>33</v>
      </c>
      <c r="G531" s="10" t="s">
        <v>932</v>
      </c>
      <c r="H531" t="s">
        <v>36</v>
      </c>
    </row>
    <row r="532" spans="1:8" hidden="1" x14ac:dyDescent="0.3">
      <c r="A532" t="s">
        <v>104</v>
      </c>
      <c r="B532" s="2">
        <v>46082</v>
      </c>
      <c r="C532" t="s">
        <v>917</v>
      </c>
      <c r="D532" t="s">
        <v>956</v>
      </c>
      <c r="E532" t="s">
        <v>950</v>
      </c>
      <c r="F532" t="s">
        <v>951</v>
      </c>
      <c r="G532" s="10" t="s">
        <v>932</v>
      </c>
      <c r="H532" t="s">
        <v>36</v>
      </c>
    </row>
    <row r="533" spans="1:8" hidden="1" x14ac:dyDescent="0.3">
      <c r="A533" t="s">
        <v>104</v>
      </c>
      <c r="B533" s="2">
        <v>46113</v>
      </c>
      <c r="C533" t="s">
        <v>919</v>
      </c>
      <c r="D533">
        <v>0</v>
      </c>
      <c r="E533" t="s">
        <v>33</v>
      </c>
      <c r="F533" t="s">
        <v>33</v>
      </c>
      <c r="G533" s="10" t="s">
        <v>932</v>
      </c>
    </row>
    <row r="534" spans="1:8" hidden="1" x14ac:dyDescent="0.3">
      <c r="A534" t="s">
        <v>104</v>
      </c>
      <c r="B534" s="2">
        <v>46143</v>
      </c>
      <c r="C534" t="s">
        <v>957</v>
      </c>
      <c r="D534" t="s">
        <v>958</v>
      </c>
      <c r="E534" t="s">
        <v>950</v>
      </c>
      <c r="F534" t="s">
        <v>951</v>
      </c>
      <c r="G534" s="10" t="s">
        <v>856</v>
      </c>
    </row>
    <row r="535" spans="1:8" ht="28.95" customHeight="1" x14ac:dyDescent="0.3">
      <c r="A535" t="s">
        <v>104</v>
      </c>
      <c r="B535" s="2">
        <v>46235</v>
      </c>
      <c r="C535" t="s">
        <v>896</v>
      </c>
      <c r="D535">
        <v>0</v>
      </c>
      <c r="E535" t="s">
        <v>33</v>
      </c>
      <c r="F535" t="s">
        <v>33</v>
      </c>
      <c r="G535" t="s">
        <v>1073</v>
      </c>
      <c r="H535" t="s">
        <v>36</v>
      </c>
    </row>
    <row r="536" spans="1:8" hidden="1" x14ac:dyDescent="0.3">
      <c r="A536" t="s">
        <v>104</v>
      </c>
      <c r="B536" s="2">
        <v>46174</v>
      </c>
      <c r="C536" t="s">
        <v>919</v>
      </c>
      <c r="D536">
        <v>0</v>
      </c>
      <c r="E536" t="s">
        <v>33</v>
      </c>
      <c r="F536" t="s">
        <v>998</v>
      </c>
      <c r="G536" s="10" t="s">
        <v>996</v>
      </c>
      <c r="H536" t="s">
        <v>36</v>
      </c>
    </row>
    <row r="537" spans="1:8" hidden="1" x14ac:dyDescent="0.3">
      <c r="A537" t="s">
        <v>104</v>
      </c>
      <c r="B537" s="2">
        <v>46204</v>
      </c>
      <c r="C537" s="10">
        <v>31</v>
      </c>
      <c r="D537">
        <v>0</v>
      </c>
      <c r="E537" t="s">
        <v>33</v>
      </c>
      <c r="F537" t="s">
        <v>912</v>
      </c>
      <c r="G537" s="10" t="s">
        <v>932</v>
      </c>
      <c r="H537" t="s">
        <v>1027</v>
      </c>
    </row>
    <row r="538" spans="1:8" ht="43.2" hidden="1" customHeight="1" x14ac:dyDescent="0.3">
      <c r="A538" t="s">
        <v>107</v>
      </c>
      <c r="B538" s="2">
        <v>45536</v>
      </c>
      <c r="C538" s="10"/>
    </row>
    <row r="539" spans="1:8" ht="57.6" hidden="1" customHeight="1" x14ac:dyDescent="0.3">
      <c r="A539" t="s">
        <v>107</v>
      </c>
      <c r="B539" s="2">
        <v>45566</v>
      </c>
      <c r="C539" s="10"/>
    </row>
    <row r="540" spans="1:8" ht="57.6" hidden="1" customHeight="1" x14ac:dyDescent="0.3">
      <c r="A540" t="s">
        <v>107</v>
      </c>
      <c r="B540" s="2">
        <v>45597</v>
      </c>
      <c r="C540" s="10"/>
    </row>
    <row r="541" spans="1:8" ht="57.6" hidden="1" customHeight="1" x14ac:dyDescent="0.3">
      <c r="A541" t="s">
        <v>107</v>
      </c>
      <c r="B541" s="2">
        <v>45627</v>
      </c>
      <c r="C541" s="10"/>
    </row>
    <row r="542" spans="1:8" ht="57.6" hidden="1" customHeight="1" x14ac:dyDescent="0.3">
      <c r="A542" t="s">
        <v>107</v>
      </c>
      <c r="B542" s="2">
        <v>45658</v>
      </c>
      <c r="C542" s="10"/>
    </row>
    <row r="543" spans="1:8" ht="57.6" hidden="1" customHeight="1" x14ac:dyDescent="0.3">
      <c r="A543" t="s">
        <v>107</v>
      </c>
      <c r="B543" s="2">
        <v>45689</v>
      </c>
      <c r="C543" s="10" t="s">
        <v>450</v>
      </c>
    </row>
    <row r="544" spans="1:8" ht="57.6" hidden="1" customHeight="1" x14ac:dyDescent="0.3">
      <c r="A544" t="s">
        <v>107</v>
      </c>
      <c r="B544" s="2">
        <v>45717</v>
      </c>
      <c r="C544" s="10" t="s">
        <v>455</v>
      </c>
    </row>
    <row r="545" spans="1:8" hidden="1" x14ac:dyDescent="0.3">
      <c r="A545" t="s">
        <v>107</v>
      </c>
      <c r="B545" s="2">
        <v>45748</v>
      </c>
      <c r="C545" s="10" t="s">
        <v>455</v>
      </c>
    </row>
    <row r="546" spans="1:8" ht="129.6" hidden="1" x14ac:dyDescent="0.3">
      <c r="A546" t="s">
        <v>107</v>
      </c>
      <c r="B546" s="2">
        <v>45778</v>
      </c>
      <c r="C546" s="10" t="s">
        <v>456</v>
      </c>
    </row>
    <row r="547" spans="1:8" ht="129.6" hidden="1" x14ac:dyDescent="0.3">
      <c r="A547" t="s">
        <v>107</v>
      </c>
      <c r="B547" s="2">
        <v>45809</v>
      </c>
      <c r="C547" s="10" t="s">
        <v>457</v>
      </c>
    </row>
    <row r="548" spans="1:8" hidden="1" x14ac:dyDescent="0.3">
      <c r="A548" t="s">
        <v>107</v>
      </c>
      <c r="B548" s="2">
        <v>45839</v>
      </c>
      <c r="C548" t="s">
        <v>911</v>
      </c>
      <c r="D548">
        <v>0</v>
      </c>
      <c r="E548" t="s">
        <v>33</v>
      </c>
      <c r="F548" t="s">
        <v>33</v>
      </c>
      <c r="G548" s="10" t="s">
        <v>959</v>
      </c>
      <c r="H548" t="s">
        <v>36</v>
      </c>
    </row>
    <row r="549" spans="1:8" hidden="1" x14ac:dyDescent="0.3">
      <c r="A549" t="s">
        <v>107</v>
      </c>
      <c r="B549" s="2">
        <v>45870</v>
      </c>
      <c r="C549" t="s">
        <v>898</v>
      </c>
      <c r="D549" t="s">
        <v>960</v>
      </c>
      <c r="E549" t="s">
        <v>469</v>
      </c>
      <c r="F549" t="s">
        <v>951</v>
      </c>
      <c r="G549" s="10" t="s">
        <v>961</v>
      </c>
      <c r="H549" t="s">
        <v>36</v>
      </c>
    </row>
    <row r="550" spans="1:8" hidden="1" x14ac:dyDescent="0.3">
      <c r="A550" t="s">
        <v>107</v>
      </c>
      <c r="B550" s="2">
        <v>45901</v>
      </c>
      <c r="C550" t="s">
        <v>919</v>
      </c>
      <c r="D550">
        <v>0</v>
      </c>
      <c r="E550" t="s">
        <v>33</v>
      </c>
      <c r="F550" t="s">
        <v>33</v>
      </c>
      <c r="G550" s="10" t="s">
        <v>959</v>
      </c>
      <c r="H550" t="s">
        <v>36</v>
      </c>
    </row>
    <row r="551" spans="1:8" hidden="1" x14ac:dyDescent="0.3">
      <c r="A551" t="s">
        <v>107</v>
      </c>
      <c r="B551" s="2">
        <v>45931</v>
      </c>
      <c r="C551" t="s">
        <v>911</v>
      </c>
      <c r="D551">
        <v>0</v>
      </c>
      <c r="E551" t="s">
        <v>33</v>
      </c>
      <c r="F551" t="s">
        <v>33</v>
      </c>
      <c r="G551" s="10" t="s">
        <v>959</v>
      </c>
      <c r="H551" t="s">
        <v>36</v>
      </c>
    </row>
    <row r="552" spans="1:8" hidden="1" x14ac:dyDescent="0.3">
      <c r="A552" t="s">
        <v>107</v>
      </c>
      <c r="B552" s="2">
        <v>45962</v>
      </c>
      <c r="C552" t="s">
        <v>919</v>
      </c>
      <c r="D552">
        <v>0</v>
      </c>
      <c r="E552" t="s">
        <v>33</v>
      </c>
      <c r="F552" t="s">
        <v>33</v>
      </c>
      <c r="G552" s="10" t="s">
        <v>959</v>
      </c>
      <c r="H552" t="s">
        <v>36</v>
      </c>
    </row>
    <row r="553" spans="1:8" hidden="1" x14ac:dyDescent="0.3">
      <c r="A553" t="s">
        <v>107</v>
      </c>
      <c r="B553" s="2">
        <v>45992</v>
      </c>
      <c r="C553" t="s">
        <v>911</v>
      </c>
      <c r="D553">
        <v>0</v>
      </c>
      <c r="E553" t="s">
        <v>33</v>
      </c>
      <c r="F553" t="s">
        <v>33</v>
      </c>
      <c r="G553" s="10" t="s">
        <v>959</v>
      </c>
      <c r="H553" t="s">
        <v>36</v>
      </c>
    </row>
    <row r="554" spans="1:8" ht="28.8" hidden="1" x14ac:dyDescent="0.3">
      <c r="A554" t="s">
        <v>107</v>
      </c>
      <c r="B554" s="2">
        <v>46023</v>
      </c>
      <c r="C554" t="s">
        <v>911</v>
      </c>
      <c r="D554">
        <v>0</v>
      </c>
      <c r="E554" t="s">
        <v>33</v>
      </c>
      <c r="F554" t="s">
        <v>33</v>
      </c>
      <c r="G554" s="10" t="s">
        <v>959</v>
      </c>
      <c r="H554" s="10" t="s">
        <v>458</v>
      </c>
    </row>
    <row r="555" spans="1:8" hidden="1" x14ac:dyDescent="0.3">
      <c r="A555" t="s">
        <v>107</v>
      </c>
      <c r="B555" s="2">
        <v>46054</v>
      </c>
      <c r="C555" t="s">
        <v>895</v>
      </c>
      <c r="D555">
        <v>0</v>
      </c>
      <c r="E555" t="s">
        <v>33</v>
      </c>
      <c r="F555" t="s">
        <v>33</v>
      </c>
      <c r="G555" s="10" t="s">
        <v>959</v>
      </c>
      <c r="H555" t="s">
        <v>36</v>
      </c>
    </row>
    <row r="556" spans="1:8" hidden="1" x14ac:dyDescent="0.3">
      <c r="A556" t="s">
        <v>107</v>
      </c>
      <c r="B556" s="2">
        <v>46082</v>
      </c>
      <c r="C556" t="s">
        <v>911</v>
      </c>
      <c r="D556">
        <v>0</v>
      </c>
      <c r="E556" t="s">
        <v>33</v>
      </c>
      <c r="F556" t="s">
        <v>33</v>
      </c>
      <c r="G556" s="10" t="s">
        <v>932</v>
      </c>
      <c r="H556" t="s">
        <v>36</v>
      </c>
    </row>
    <row r="557" spans="1:8" hidden="1" x14ac:dyDescent="0.3">
      <c r="A557" t="s">
        <v>107</v>
      </c>
      <c r="B557" s="2">
        <v>46113</v>
      </c>
      <c r="C557" t="s">
        <v>919</v>
      </c>
      <c r="D557">
        <v>0</v>
      </c>
      <c r="E557" t="s">
        <v>33</v>
      </c>
      <c r="F557" t="s">
        <v>33</v>
      </c>
      <c r="G557" s="10" t="s">
        <v>932</v>
      </c>
      <c r="H557" t="s">
        <v>36</v>
      </c>
    </row>
    <row r="558" spans="1:8" hidden="1" x14ac:dyDescent="0.3">
      <c r="A558" t="s">
        <v>107</v>
      </c>
      <c r="B558" s="2">
        <v>46143</v>
      </c>
      <c r="C558" t="s">
        <v>911</v>
      </c>
      <c r="D558">
        <v>0</v>
      </c>
      <c r="E558" t="s">
        <v>33</v>
      </c>
      <c r="F558" t="s">
        <v>33</v>
      </c>
      <c r="G558" s="10" t="s">
        <v>959</v>
      </c>
      <c r="H558" t="s">
        <v>36</v>
      </c>
    </row>
    <row r="559" spans="1:8" x14ac:dyDescent="0.3">
      <c r="A559" t="s">
        <v>107</v>
      </c>
      <c r="B559" s="2">
        <v>46235</v>
      </c>
      <c r="C559" s="10">
        <v>0</v>
      </c>
      <c r="D559">
        <v>30</v>
      </c>
      <c r="E559" t="s">
        <v>1080</v>
      </c>
      <c r="F559" t="s">
        <v>33</v>
      </c>
      <c r="G559" t="s">
        <v>36</v>
      </c>
      <c r="H559" t="s">
        <v>36</v>
      </c>
    </row>
    <row r="560" spans="1:8" ht="28.95" hidden="1" customHeight="1" x14ac:dyDescent="0.3">
      <c r="A560" t="s">
        <v>107</v>
      </c>
      <c r="B560" s="2">
        <v>46204</v>
      </c>
      <c r="C560" s="10">
        <v>17</v>
      </c>
      <c r="D560" t="s">
        <v>1028</v>
      </c>
      <c r="E560" t="s">
        <v>1029</v>
      </c>
      <c r="F560" t="s">
        <v>33</v>
      </c>
      <c r="G560" s="10" t="s">
        <v>1030</v>
      </c>
      <c r="H560" s="32" t="s">
        <v>1031</v>
      </c>
    </row>
    <row r="561" spans="1:8" ht="28.95" hidden="1" customHeight="1" x14ac:dyDescent="0.3">
      <c r="A561" t="s">
        <v>107</v>
      </c>
      <c r="B561" s="2">
        <v>46174</v>
      </c>
      <c r="C561" t="s">
        <v>919</v>
      </c>
      <c r="D561">
        <v>0</v>
      </c>
      <c r="E561" t="s">
        <v>33</v>
      </c>
      <c r="F561" t="s">
        <v>33</v>
      </c>
      <c r="G561" s="10" t="s">
        <v>338</v>
      </c>
      <c r="H561" t="s">
        <v>36</v>
      </c>
    </row>
    <row r="562" spans="1:8" ht="72" hidden="1" customHeight="1" x14ac:dyDescent="0.3">
      <c r="A562" t="s">
        <v>228</v>
      </c>
      <c r="B562" s="2">
        <v>45536</v>
      </c>
      <c r="C562" s="10"/>
    </row>
    <row r="563" spans="1:8" ht="57.6" hidden="1" customHeight="1" x14ac:dyDescent="0.3">
      <c r="A563" t="s">
        <v>228</v>
      </c>
      <c r="B563" s="2">
        <v>45566</v>
      </c>
      <c r="C563" s="10"/>
    </row>
    <row r="564" spans="1:8" ht="57.6" hidden="1" customHeight="1" x14ac:dyDescent="0.3">
      <c r="A564" t="s">
        <v>228</v>
      </c>
      <c r="B564" s="2">
        <v>45597</v>
      </c>
      <c r="C564" s="10"/>
    </row>
    <row r="565" spans="1:8" ht="57.6" hidden="1" customHeight="1" x14ac:dyDescent="0.3">
      <c r="A565" t="s">
        <v>228</v>
      </c>
      <c r="B565" s="2">
        <v>45627</v>
      </c>
      <c r="C565" s="10"/>
    </row>
    <row r="566" spans="1:8" ht="57.6" hidden="1" customHeight="1" x14ac:dyDescent="0.3">
      <c r="A566" t="s">
        <v>228</v>
      </c>
      <c r="B566" s="2">
        <v>45658</v>
      </c>
      <c r="C566" s="10"/>
    </row>
    <row r="567" spans="1:8" ht="57.6" hidden="1" customHeight="1" x14ac:dyDescent="0.3">
      <c r="A567" t="s">
        <v>228</v>
      </c>
      <c r="B567" s="2">
        <v>45689</v>
      </c>
      <c r="C567" s="10"/>
    </row>
    <row r="568" spans="1:8" ht="57.6" hidden="1" customHeight="1" x14ac:dyDescent="0.3">
      <c r="A568" t="s">
        <v>228</v>
      </c>
      <c r="B568" s="2">
        <v>45717</v>
      </c>
      <c r="C568" s="10"/>
    </row>
    <row r="569" spans="1:8" hidden="1" x14ac:dyDescent="0.3">
      <c r="A569" t="s">
        <v>228</v>
      </c>
      <c r="B569" s="2">
        <v>45748</v>
      </c>
      <c r="C569" s="10"/>
    </row>
    <row r="570" spans="1:8" hidden="1" x14ac:dyDescent="0.3">
      <c r="A570" t="s">
        <v>228</v>
      </c>
      <c r="B570" s="2">
        <v>45778</v>
      </c>
      <c r="C570" s="10"/>
    </row>
    <row r="571" spans="1:8" hidden="1" x14ac:dyDescent="0.3">
      <c r="A571" t="s">
        <v>228</v>
      </c>
      <c r="B571" s="2">
        <v>45809</v>
      </c>
      <c r="C571" s="10"/>
    </row>
    <row r="572" spans="1:8" hidden="1" x14ac:dyDescent="0.3">
      <c r="A572" t="s">
        <v>228</v>
      </c>
      <c r="B572" s="2">
        <v>45839</v>
      </c>
      <c r="C572" s="10"/>
    </row>
    <row r="573" spans="1:8" hidden="1" x14ac:dyDescent="0.3">
      <c r="A573" t="s">
        <v>228</v>
      </c>
      <c r="B573" s="2">
        <v>45870</v>
      </c>
      <c r="C573" s="10"/>
    </row>
    <row r="574" spans="1:8" hidden="1" x14ac:dyDescent="0.3">
      <c r="A574" t="s">
        <v>228</v>
      </c>
      <c r="B574" s="2">
        <v>45901</v>
      </c>
      <c r="C574" s="10"/>
    </row>
    <row r="575" spans="1:8" hidden="1" x14ac:dyDescent="0.3">
      <c r="A575" t="s">
        <v>228</v>
      </c>
      <c r="B575" s="2">
        <v>45931</v>
      </c>
      <c r="C575" s="10"/>
    </row>
    <row r="576" spans="1:8" hidden="1" x14ac:dyDescent="0.3">
      <c r="A576" t="s">
        <v>228</v>
      </c>
      <c r="B576" s="2">
        <v>45962</v>
      </c>
      <c r="C576" s="10"/>
    </row>
    <row r="577" spans="1:8" hidden="1" x14ac:dyDescent="0.3">
      <c r="A577" t="s">
        <v>228</v>
      </c>
      <c r="B577" s="2">
        <v>45992</v>
      </c>
      <c r="C577" s="10"/>
    </row>
    <row r="578" spans="1:8" hidden="1" x14ac:dyDescent="0.3">
      <c r="A578" t="s">
        <v>228</v>
      </c>
      <c r="B578" s="2">
        <v>46023</v>
      </c>
      <c r="C578" s="10"/>
    </row>
    <row r="579" spans="1:8" hidden="1" x14ac:dyDescent="0.3">
      <c r="A579" t="s">
        <v>228</v>
      </c>
      <c r="B579" s="2">
        <v>46054</v>
      </c>
      <c r="C579" s="10"/>
    </row>
    <row r="580" spans="1:8" hidden="1" x14ac:dyDescent="0.3">
      <c r="A580" t="s">
        <v>228</v>
      </c>
      <c r="B580" s="2">
        <v>46082</v>
      </c>
      <c r="C580" s="10" t="s">
        <v>459</v>
      </c>
    </row>
    <row r="581" spans="1:8" hidden="1" x14ac:dyDescent="0.3">
      <c r="A581" t="s">
        <v>228</v>
      </c>
      <c r="B581" s="2">
        <v>46113</v>
      </c>
      <c r="C581" s="10" t="s">
        <v>460</v>
      </c>
    </row>
    <row r="582" spans="1:8" hidden="1" x14ac:dyDescent="0.3">
      <c r="A582" t="s">
        <v>228</v>
      </c>
      <c r="B582" s="2">
        <v>46143</v>
      </c>
      <c r="C582" s="10" t="s">
        <v>852</v>
      </c>
    </row>
    <row r="583" spans="1:8" x14ac:dyDescent="0.3">
      <c r="A583" t="s">
        <v>228</v>
      </c>
      <c r="B583" s="2">
        <v>46235</v>
      </c>
      <c r="C583" t="s">
        <v>896</v>
      </c>
      <c r="D583">
        <v>0</v>
      </c>
      <c r="E583" t="s">
        <v>33</v>
      </c>
      <c r="F583" t="s">
        <v>33</v>
      </c>
      <c r="G583" t="s">
        <v>1073</v>
      </c>
      <c r="H583" t="s">
        <v>36</v>
      </c>
    </row>
    <row r="584" spans="1:8" ht="43.2" hidden="1" customHeight="1" x14ac:dyDescent="0.3">
      <c r="A584" t="s">
        <v>228</v>
      </c>
      <c r="B584" s="2">
        <v>46174</v>
      </c>
      <c r="C584" s="10"/>
    </row>
    <row r="585" spans="1:8" ht="57.6" hidden="1" customHeight="1" x14ac:dyDescent="0.3">
      <c r="A585" t="s">
        <v>228</v>
      </c>
      <c r="B585" s="2">
        <v>46204</v>
      </c>
      <c r="C585">
        <v>31</v>
      </c>
      <c r="D585">
        <v>0</v>
      </c>
      <c r="E585" t="s">
        <v>33</v>
      </c>
      <c r="F585" t="s">
        <v>33</v>
      </c>
      <c r="G585" s="10" t="s">
        <v>932</v>
      </c>
      <c r="H585" t="s">
        <v>36</v>
      </c>
    </row>
    <row r="586" spans="1:8" ht="57.6" hidden="1" customHeight="1" x14ac:dyDescent="0.3">
      <c r="A586" t="s">
        <v>109</v>
      </c>
      <c r="B586" s="2">
        <v>45536</v>
      </c>
      <c r="C586" s="10"/>
    </row>
    <row r="587" spans="1:8" ht="57.6" hidden="1" customHeight="1" x14ac:dyDescent="0.3">
      <c r="A587" t="s">
        <v>109</v>
      </c>
      <c r="B587" s="2">
        <v>45566</v>
      </c>
      <c r="C587" s="10"/>
    </row>
    <row r="588" spans="1:8" hidden="1" x14ac:dyDescent="0.3">
      <c r="A588" t="s">
        <v>109</v>
      </c>
      <c r="B588" s="2">
        <v>45597</v>
      </c>
      <c r="C588" s="10"/>
    </row>
    <row r="589" spans="1:8" hidden="1" x14ac:dyDescent="0.3">
      <c r="A589" t="s">
        <v>109</v>
      </c>
      <c r="B589" s="2">
        <v>45627</v>
      </c>
      <c r="C589" s="10"/>
    </row>
    <row r="590" spans="1:8" hidden="1" x14ac:dyDescent="0.3">
      <c r="A590" t="s">
        <v>109</v>
      </c>
      <c r="B590" s="2">
        <v>45658</v>
      </c>
      <c r="C590" s="10"/>
    </row>
    <row r="591" spans="1:8" ht="28.8" hidden="1" x14ac:dyDescent="0.3">
      <c r="A591" t="s">
        <v>109</v>
      </c>
      <c r="B591" s="2">
        <v>45689</v>
      </c>
      <c r="C591" s="10" t="s">
        <v>461</v>
      </c>
    </row>
    <row r="592" spans="1:8" hidden="1" x14ac:dyDescent="0.3">
      <c r="A592" t="s">
        <v>109</v>
      </c>
      <c r="B592" s="2">
        <v>45717</v>
      </c>
      <c r="C592" s="10"/>
    </row>
    <row r="593" spans="1:8" hidden="1" x14ac:dyDescent="0.3">
      <c r="A593" t="s">
        <v>109</v>
      </c>
      <c r="B593" s="2">
        <v>45748</v>
      </c>
      <c r="C593" s="10"/>
    </row>
    <row r="594" spans="1:8" ht="72" hidden="1" x14ac:dyDescent="0.3">
      <c r="A594" t="s">
        <v>109</v>
      </c>
      <c r="B594" s="2">
        <v>45778</v>
      </c>
      <c r="C594" s="10" t="s">
        <v>462</v>
      </c>
    </row>
    <row r="595" spans="1:8" ht="129.6" hidden="1" x14ac:dyDescent="0.3">
      <c r="A595" t="s">
        <v>109</v>
      </c>
      <c r="B595" s="2">
        <v>45809</v>
      </c>
      <c r="C595" s="10" t="s">
        <v>463</v>
      </c>
    </row>
    <row r="596" spans="1:8" ht="129.6" hidden="1" x14ac:dyDescent="0.3">
      <c r="A596" t="s">
        <v>109</v>
      </c>
      <c r="B596" s="2">
        <v>45839</v>
      </c>
      <c r="C596" s="10" t="s">
        <v>464</v>
      </c>
    </row>
    <row r="597" spans="1:8" ht="129.6" hidden="1" x14ac:dyDescent="0.3">
      <c r="A597" t="s">
        <v>109</v>
      </c>
      <c r="B597" s="2">
        <v>45870</v>
      </c>
      <c r="C597" s="10" t="s">
        <v>465</v>
      </c>
    </row>
    <row r="598" spans="1:8" ht="115.2" hidden="1" x14ac:dyDescent="0.3">
      <c r="A598" t="s">
        <v>109</v>
      </c>
      <c r="B598" s="2">
        <v>45901</v>
      </c>
      <c r="C598" s="10" t="s">
        <v>466</v>
      </c>
    </row>
    <row r="599" spans="1:8" ht="100.8" hidden="1" x14ac:dyDescent="0.3">
      <c r="A599" t="s">
        <v>109</v>
      </c>
      <c r="B599" s="2">
        <v>45931</v>
      </c>
      <c r="C599" s="10" t="s">
        <v>467</v>
      </c>
    </row>
    <row r="600" spans="1:8" ht="115.2" hidden="1" x14ac:dyDescent="0.3">
      <c r="A600" t="s">
        <v>109</v>
      </c>
      <c r="B600" s="2">
        <v>45962</v>
      </c>
      <c r="C600" s="10" t="s">
        <v>468</v>
      </c>
    </row>
    <row r="601" spans="1:8" hidden="1" x14ac:dyDescent="0.3">
      <c r="A601" t="s">
        <v>109</v>
      </c>
      <c r="B601" s="2">
        <v>45992</v>
      </c>
      <c r="C601" s="10" t="s">
        <v>469</v>
      </c>
    </row>
    <row r="602" spans="1:8" hidden="1" x14ac:dyDescent="0.3">
      <c r="A602" t="s">
        <v>109</v>
      </c>
      <c r="B602" s="2">
        <v>46023</v>
      </c>
      <c r="C602" s="10" t="s">
        <v>469</v>
      </c>
    </row>
    <row r="603" spans="1:8" hidden="1" x14ac:dyDescent="0.3">
      <c r="A603" t="s">
        <v>109</v>
      </c>
      <c r="B603" s="2">
        <v>46054</v>
      </c>
      <c r="C603" s="10" t="s">
        <v>326</v>
      </c>
    </row>
    <row r="604" spans="1:8" ht="28.8" hidden="1" x14ac:dyDescent="0.3">
      <c r="A604" t="s">
        <v>109</v>
      </c>
      <c r="B604" s="2">
        <v>46082</v>
      </c>
      <c r="C604" s="10" t="s">
        <v>470</v>
      </c>
    </row>
    <row r="605" spans="1:8" ht="28.8" hidden="1" x14ac:dyDescent="0.3">
      <c r="A605" t="s">
        <v>109</v>
      </c>
      <c r="B605" s="2">
        <v>46113</v>
      </c>
      <c r="C605" s="10" t="s">
        <v>470</v>
      </c>
    </row>
    <row r="606" spans="1:8" hidden="1" x14ac:dyDescent="0.3">
      <c r="A606" t="s">
        <v>109</v>
      </c>
      <c r="B606" s="2">
        <v>46143</v>
      </c>
      <c r="C606" s="10" t="s">
        <v>857</v>
      </c>
    </row>
    <row r="607" spans="1:8" x14ac:dyDescent="0.3">
      <c r="A607" t="s">
        <v>109</v>
      </c>
      <c r="B607" s="2">
        <v>46235</v>
      </c>
      <c r="C607" t="s">
        <v>896</v>
      </c>
      <c r="D607">
        <v>0</v>
      </c>
      <c r="E607" t="s">
        <v>33</v>
      </c>
      <c r="F607" t="s">
        <v>33</v>
      </c>
      <c r="G607" t="s">
        <v>1073</v>
      </c>
      <c r="H607" t="s">
        <v>36</v>
      </c>
    </row>
    <row r="608" spans="1:8" ht="28.95" hidden="1" customHeight="1" x14ac:dyDescent="0.3">
      <c r="A608" t="s">
        <v>109</v>
      </c>
      <c r="B608" s="2">
        <v>46174</v>
      </c>
      <c r="C608" s="10"/>
    </row>
    <row r="609" spans="1:8" hidden="1" x14ac:dyDescent="0.3">
      <c r="A609" t="s">
        <v>109</v>
      </c>
      <c r="B609" s="2">
        <v>46204</v>
      </c>
      <c r="C609" s="10">
        <v>31</v>
      </c>
      <c r="D609">
        <v>0</v>
      </c>
      <c r="E609" t="s">
        <v>33</v>
      </c>
      <c r="F609" t="s">
        <v>33</v>
      </c>
      <c r="G609" s="10" t="s">
        <v>932</v>
      </c>
      <c r="H609" t="s">
        <v>36</v>
      </c>
    </row>
    <row r="610" spans="1:8" ht="43.2" hidden="1" customHeight="1" x14ac:dyDescent="0.3">
      <c r="A610" t="s">
        <v>113</v>
      </c>
      <c r="B610" s="2">
        <v>45536</v>
      </c>
      <c r="C610" s="10"/>
    </row>
    <row r="611" spans="1:8" ht="43.2" hidden="1" customHeight="1" x14ac:dyDescent="0.3">
      <c r="A611" t="s">
        <v>113</v>
      </c>
      <c r="B611" s="2">
        <v>45566</v>
      </c>
      <c r="C611" s="10"/>
    </row>
    <row r="612" spans="1:8" ht="48" hidden="1" customHeight="1" x14ac:dyDescent="0.3">
      <c r="A612" t="s">
        <v>113</v>
      </c>
      <c r="B612" s="2">
        <v>45597</v>
      </c>
      <c r="C612" s="10"/>
    </row>
    <row r="613" spans="1:8" ht="57.6" hidden="1" customHeight="1" x14ac:dyDescent="0.3">
      <c r="A613" t="s">
        <v>113</v>
      </c>
      <c r="B613" s="2">
        <v>45627</v>
      </c>
      <c r="C613" s="10"/>
    </row>
    <row r="614" spans="1:8" ht="57.6" hidden="1" customHeight="1" x14ac:dyDescent="0.3">
      <c r="A614" t="s">
        <v>113</v>
      </c>
      <c r="B614" s="2">
        <v>45658</v>
      </c>
      <c r="C614" s="10"/>
    </row>
    <row r="615" spans="1:8" ht="57.6" hidden="1" customHeight="1" x14ac:dyDescent="0.3">
      <c r="A615" t="s">
        <v>113</v>
      </c>
      <c r="B615" s="2">
        <v>45689</v>
      </c>
      <c r="C615" s="10" t="s">
        <v>471</v>
      </c>
    </row>
    <row r="616" spans="1:8" ht="57.6" hidden="1" customHeight="1" x14ac:dyDescent="0.3">
      <c r="A616" t="s">
        <v>113</v>
      </c>
      <c r="B616" s="2">
        <v>45717</v>
      </c>
      <c r="C616" s="10" t="s">
        <v>472</v>
      </c>
    </row>
    <row r="617" spans="1:8" ht="28.8" hidden="1" x14ac:dyDescent="0.3">
      <c r="A617" t="s">
        <v>113</v>
      </c>
      <c r="B617" s="2">
        <v>45748</v>
      </c>
      <c r="C617" s="10" t="s">
        <v>473</v>
      </c>
    </row>
    <row r="618" spans="1:8" ht="129.6" hidden="1" x14ac:dyDescent="0.3">
      <c r="A618" t="s">
        <v>113</v>
      </c>
      <c r="B618" s="2">
        <v>45778</v>
      </c>
      <c r="C618" s="10" t="s">
        <v>474</v>
      </c>
    </row>
    <row r="619" spans="1:8" ht="129.6" hidden="1" x14ac:dyDescent="0.3">
      <c r="A619" t="s">
        <v>113</v>
      </c>
      <c r="B619" s="2">
        <v>45809</v>
      </c>
      <c r="C619" s="10" t="s">
        <v>475</v>
      </c>
    </row>
    <row r="620" spans="1:8" ht="129.6" hidden="1" x14ac:dyDescent="0.3">
      <c r="A620" t="s">
        <v>113</v>
      </c>
      <c r="B620" s="2">
        <v>45839</v>
      </c>
      <c r="C620" s="10" t="s">
        <v>476</v>
      </c>
    </row>
    <row r="621" spans="1:8" ht="129.6" hidden="1" x14ac:dyDescent="0.3">
      <c r="A621" t="s">
        <v>113</v>
      </c>
      <c r="B621" s="2">
        <v>45870</v>
      </c>
      <c r="C621" s="10" t="s">
        <v>477</v>
      </c>
    </row>
    <row r="622" spans="1:8" ht="100.8" hidden="1" x14ac:dyDescent="0.3">
      <c r="A622" t="s">
        <v>113</v>
      </c>
      <c r="B622" s="2">
        <v>45901</v>
      </c>
      <c r="C622" s="10" t="s">
        <v>478</v>
      </c>
    </row>
    <row r="623" spans="1:8" ht="100.8" hidden="1" x14ac:dyDescent="0.3">
      <c r="A623" t="s">
        <v>113</v>
      </c>
      <c r="B623" s="2">
        <v>45931</v>
      </c>
      <c r="C623" s="10" t="s">
        <v>479</v>
      </c>
    </row>
    <row r="624" spans="1:8" ht="100.8" hidden="1" x14ac:dyDescent="0.3">
      <c r="A624" t="s">
        <v>113</v>
      </c>
      <c r="B624" s="2">
        <v>45962</v>
      </c>
      <c r="C624" s="10" t="s">
        <v>480</v>
      </c>
    </row>
    <row r="625" spans="1:8" hidden="1" x14ac:dyDescent="0.3">
      <c r="A625" t="s">
        <v>113</v>
      </c>
      <c r="B625" s="2">
        <v>45992</v>
      </c>
      <c r="C625" s="10" t="s">
        <v>326</v>
      </c>
    </row>
    <row r="626" spans="1:8" hidden="1" x14ac:dyDescent="0.3">
      <c r="A626" t="s">
        <v>113</v>
      </c>
      <c r="B626" s="2">
        <v>46023</v>
      </c>
      <c r="C626" s="10" t="s">
        <v>338</v>
      </c>
    </row>
    <row r="627" spans="1:8" hidden="1" x14ac:dyDescent="0.3">
      <c r="A627" t="s">
        <v>113</v>
      </c>
      <c r="B627" s="2">
        <v>46054</v>
      </c>
      <c r="C627" s="10" t="s">
        <v>326</v>
      </c>
    </row>
    <row r="628" spans="1:8" hidden="1" x14ac:dyDescent="0.3">
      <c r="A628" t="s">
        <v>113</v>
      </c>
      <c r="B628" s="2">
        <v>46082</v>
      </c>
      <c r="C628" s="10" t="s">
        <v>326</v>
      </c>
    </row>
    <row r="629" spans="1:8" hidden="1" x14ac:dyDescent="0.3">
      <c r="A629" t="s">
        <v>113</v>
      </c>
      <c r="B629" s="2">
        <v>46113</v>
      </c>
      <c r="C629" s="10" t="s">
        <v>481</v>
      </c>
    </row>
    <row r="630" spans="1:8" ht="28.8" hidden="1" x14ac:dyDescent="0.3">
      <c r="A630" t="s">
        <v>113</v>
      </c>
      <c r="B630" s="2">
        <v>46143</v>
      </c>
      <c r="C630" s="10" t="s">
        <v>867</v>
      </c>
    </row>
    <row r="631" spans="1:8" x14ac:dyDescent="0.3">
      <c r="A631" t="s">
        <v>113</v>
      </c>
      <c r="B631" s="2">
        <v>46235</v>
      </c>
      <c r="C631" t="s">
        <v>896</v>
      </c>
      <c r="D631">
        <v>0</v>
      </c>
      <c r="E631" t="s">
        <v>33</v>
      </c>
      <c r="F631" t="s">
        <v>33</v>
      </c>
      <c r="G631" t="s">
        <v>338</v>
      </c>
      <c r="H631" t="s">
        <v>36</v>
      </c>
    </row>
    <row r="632" spans="1:8" hidden="1" x14ac:dyDescent="0.3">
      <c r="A632" t="s">
        <v>113</v>
      </c>
      <c r="B632" s="2">
        <v>46174</v>
      </c>
      <c r="C632" s="10"/>
    </row>
    <row r="633" spans="1:8" hidden="1" x14ac:dyDescent="0.3">
      <c r="A633" t="s">
        <v>113</v>
      </c>
      <c r="B633" s="2">
        <v>46204</v>
      </c>
      <c r="C633" s="10">
        <v>31</v>
      </c>
      <c r="D633">
        <v>0</v>
      </c>
      <c r="E633" t="s">
        <v>33</v>
      </c>
      <c r="F633" t="s">
        <v>33</v>
      </c>
      <c r="G633" s="10" t="s">
        <v>932</v>
      </c>
      <c r="H633" t="s">
        <v>36</v>
      </c>
    </row>
    <row r="634" spans="1:8" hidden="1" x14ac:dyDescent="0.3">
      <c r="A634" t="s">
        <v>114</v>
      </c>
      <c r="B634" s="2">
        <v>45536</v>
      </c>
      <c r="C634" s="10"/>
    </row>
    <row r="635" spans="1:8" hidden="1" x14ac:dyDescent="0.3">
      <c r="A635" t="s">
        <v>114</v>
      </c>
      <c r="B635" s="2">
        <v>45566</v>
      </c>
      <c r="C635" s="10"/>
    </row>
    <row r="636" spans="1:8" hidden="1" x14ac:dyDescent="0.3">
      <c r="A636" t="s">
        <v>114</v>
      </c>
      <c r="B636" s="2">
        <v>45597</v>
      </c>
      <c r="C636" s="10"/>
    </row>
    <row r="637" spans="1:8" hidden="1" x14ac:dyDescent="0.3">
      <c r="A637" t="s">
        <v>114</v>
      </c>
      <c r="B637" s="2">
        <v>45627</v>
      </c>
      <c r="C637" s="10"/>
    </row>
    <row r="638" spans="1:8" hidden="1" x14ac:dyDescent="0.3">
      <c r="A638" t="s">
        <v>114</v>
      </c>
      <c r="B638" s="2">
        <v>45658</v>
      </c>
      <c r="C638" s="10"/>
    </row>
    <row r="639" spans="1:8" ht="72" hidden="1" x14ac:dyDescent="0.3">
      <c r="A639" t="s">
        <v>114</v>
      </c>
      <c r="B639" s="2">
        <v>45689</v>
      </c>
      <c r="C639" s="10" t="s">
        <v>482</v>
      </c>
    </row>
    <row r="640" spans="1:8" ht="72" hidden="1" x14ac:dyDescent="0.3">
      <c r="A640" t="s">
        <v>114</v>
      </c>
      <c r="B640" s="2">
        <v>45717</v>
      </c>
      <c r="C640" s="10" t="s">
        <v>483</v>
      </c>
    </row>
    <row r="641" spans="1:8" ht="100.8" hidden="1" x14ac:dyDescent="0.3">
      <c r="A641" t="s">
        <v>114</v>
      </c>
      <c r="B641" s="2">
        <v>45748</v>
      </c>
      <c r="C641" s="10" t="s">
        <v>484</v>
      </c>
    </row>
    <row r="642" spans="1:8" ht="115.2" hidden="1" x14ac:dyDescent="0.3">
      <c r="A642" t="s">
        <v>114</v>
      </c>
      <c r="B642" s="2">
        <v>45778</v>
      </c>
      <c r="C642" s="10" t="s">
        <v>485</v>
      </c>
    </row>
    <row r="643" spans="1:8" ht="100.8" hidden="1" x14ac:dyDescent="0.3">
      <c r="A643" t="s">
        <v>114</v>
      </c>
      <c r="B643" s="2">
        <v>45809</v>
      </c>
      <c r="C643" s="10" t="s">
        <v>486</v>
      </c>
    </row>
    <row r="644" spans="1:8" hidden="1" x14ac:dyDescent="0.3">
      <c r="A644" t="s">
        <v>114</v>
      </c>
      <c r="B644" s="2">
        <v>45839</v>
      </c>
      <c r="C644" t="s">
        <v>911</v>
      </c>
      <c r="D644">
        <v>0</v>
      </c>
      <c r="E644" t="s">
        <v>33</v>
      </c>
      <c r="F644" t="s">
        <v>33</v>
      </c>
      <c r="G644" s="10" t="s">
        <v>959</v>
      </c>
      <c r="H644" t="s">
        <v>36</v>
      </c>
    </row>
    <row r="645" spans="1:8" hidden="1" x14ac:dyDescent="0.3">
      <c r="A645" t="s">
        <v>114</v>
      </c>
      <c r="B645" s="2">
        <v>45870</v>
      </c>
      <c r="C645" t="s">
        <v>911</v>
      </c>
      <c r="D645">
        <v>0</v>
      </c>
      <c r="E645" t="s">
        <v>33</v>
      </c>
      <c r="F645" t="s">
        <v>33</v>
      </c>
      <c r="G645" s="10" t="s">
        <v>959</v>
      </c>
      <c r="H645" t="s">
        <v>36</v>
      </c>
    </row>
    <row r="646" spans="1:8" hidden="1" x14ac:dyDescent="0.3">
      <c r="A646" t="s">
        <v>114</v>
      </c>
      <c r="B646" s="2">
        <v>45901</v>
      </c>
      <c r="C646" t="s">
        <v>919</v>
      </c>
      <c r="D646">
        <v>0</v>
      </c>
      <c r="E646" t="s">
        <v>33</v>
      </c>
      <c r="F646" t="s">
        <v>33</v>
      </c>
      <c r="G646" s="10" t="s">
        <v>959</v>
      </c>
      <c r="H646" t="s">
        <v>36</v>
      </c>
    </row>
    <row r="647" spans="1:8" hidden="1" x14ac:dyDescent="0.3">
      <c r="A647" t="s">
        <v>114</v>
      </c>
      <c r="B647" s="2">
        <v>45931</v>
      </c>
      <c r="C647" t="s">
        <v>911</v>
      </c>
      <c r="D647">
        <v>0</v>
      </c>
      <c r="E647" t="s">
        <v>33</v>
      </c>
      <c r="F647" t="s">
        <v>33</v>
      </c>
      <c r="G647" s="10" t="s">
        <v>959</v>
      </c>
      <c r="H647" t="s">
        <v>36</v>
      </c>
    </row>
    <row r="648" spans="1:8" hidden="1" x14ac:dyDescent="0.3">
      <c r="A648" t="s">
        <v>114</v>
      </c>
      <c r="B648" s="2">
        <v>45962</v>
      </c>
      <c r="C648" t="s">
        <v>919</v>
      </c>
      <c r="D648">
        <v>0</v>
      </c>
      <c r="E648" t="s">
        <v>33</v>
      </c>
      <c r="F648" t="s">
        <v>33</v>
      </c>
      <c r="G648" s="10" t="s">
        <v>959</v>
      </c>
      <c r="H648" t="s">
        <v>36</v>
      </c>
    </row>
    <row r="649" spans="1:8" hidden="1" x14ac:dyDescent="0.3">
      <c r="A649" t="s">
        <v>114</v>
      </c>
      <c r="B649" s="2">
        <v>45992</v>
      </c>
      <c r="C649" t="s">
        <v>965</v>
      </c>
      <c r="D649" t="s">
        <v>964</v>
      </c>
      <c r="E649" t="s">
        <v>976</v>
      </c>
      <c r="F649" t="s">
        <v>33</v>
      </c>
      <c r="G649" s="10" t="s">
        <v>977</v>
      </c>
      <c r="H649" t="s">
        <v>36</v>
      </c>
    </row>
    <row r="650" spans="1:8" hidden="1" x14ac:dyDescent="0.3">
      <c r="A650" t="s">
        <v>114</v>
      </c>
      <c r="B650" s="2">
        <v>46023</v>
      </c>
      <c r="C650" t="s">
        <v>902</v>
      </c>
      <c r="D650" t="s">
        <v>966</v>
      </c>
      <c r="E650" t="s">
        <v>976</v>
      </c>
      <c r="F650" t="s">
        <v>33</v>
      </c>
      <c r="G650" s="10" t="s">
        <v>487</v>
      </c>
      <c r="H650" t="s">
        <v>36</v>
      </c>
    </row>
    <row r="651" spans="1:8" hidden="1" x14ac:dyDescent="0.3">
      <c r="A651" t="s">
        <v>114</v>
      </c>
      <c r="B651" s="2">
        <v>46054</v>
      </c>
      <c r="C651" t="s">
        <v>895</v>
      </c>
      <c r="D651">
        <v>0</v>
      </c>
      <c r="E651" t="s">
        <v>33</v>
      </c>
      <c r="F651" t="s">
        <v>33</v>
      </c>
      <c r="G651" s="10" t="s">
        <v>959</v>
      </c>
      <c r="H651" t="s">
        <v>36</v>
      </c>
    </row>
    <row r="652" spans="1:8" hidden="1" x14ac:dyDescent="0.3">
      <c r="A652" t="s">
        <v>114</v>
      </c>
      <c r="B652" s="2">
        <v>46082</v>
      </c>
      <c r="C652" t="s">
        <v>911</v>
      </c>
      <c r="D652">
        <v>0</v>
      </c>
      <c r="E652" t="s">
        <v>33</v>
      </c>
      <c r="F652" t="s">
        <v>33</v>
      </c>
      <c r="G652" s="10" t="s">
        <v>959</v>
      </c>
      <c r="H652" t="s">
        <v>36</v>
      </c>
    </row>
    <row r="653" spans="1:8" hidden="1" x14ac:dyDescent="0.3">
      <c r="A653" t="s">
        <v>114</v>
      </c>
      <c r="B653" s="2">
        <v>46113</v>
      </c>
      <c r="C653" t="s">
        <v>919</v>
      </c>
      <c r="D653">
        <v>0</v>
      </c>
      <c r="E653" t="s">
        <v>33</v>
      </c>
      <c r="F653" t="s">
        <v>33</v>
      </c>
      <c r="G653" s="10" t="s">
        <v>487</v>
      </c>
      <c r="H653" t="s">
        <v>36</v>
      </c>
    </row>
    <row r="654" spans="1:8" hidden="1" x14ac:dyDescent="0.3">
      <c r="A654" t="s">
        <v>114</v>
      </c>
      <c r="B654" s="2">
        <v>46143</v>
      </c>
      <c r="C654" t="s">
        <v>911</v>
      </c>
      <c r="D654">
        <v>0</v>
      </c>
      <c r="E654" t="s">
        <v>33</v>
      </c>
      <c r="F654" t="s">
        <v>33</v>
      </c>
      <c r="G654" s="10" t="s">
        <v>959</v>
      </c>
      <c r="H654" t="s">
        <v>36</v>
      </c>
    </row>
    <row r="655" spans="1:8" x14ac:dyDescent="0.3">
      <c r="A655" t="s">
        <v>114</v>
      </c>
      <c r="B655" s="2">
        <v>46235</v>
      </c>
      <c r="C655" t="s">
        <v>896</v>
      </c>
      <c r="D655">
        <v>0</v>
      </c>
      <c r="E655" t="s">
        <v>33</v>
      </c>
      <c r="F655" t="s">
        <v>33</v>
      </c>
      <c r="G655" t="s">
        <v>338</v>
      </c>
      <c r="H655" t="s">
        <v>36</v>
      </c>
    </row>
    <row r="656" spans="1:8" hidden="1" x14ac:dyDescent="0.3">
      <c r="A656" t="s">
        <v>114</v>
      </c>
      <c r="B656" s="2">
        <v>46174</v>
      </c>
      <c r="C656" t="s">
        <v>919</v>
      </c>
      <c r="D656">
        <v>0</v>
      </c>
      <c r="E656" t="s">
        <v>33</v>
      </c>
      <c r="F656" t="s">
        <v>33</v>
      </c>
      <c r="G656" s="10" t="s">
        <v>996</v>
      </c>
      <c r="H656" t="s">
        <v>36</v>
      </c>
    </row>
    <row r="657" spans="1:8" hidden="1" x14ac:dyDescent="0.3">
      <c r="A657" t="s">
        <v>114</v>
      </c>
      <c r="B657" s="2">
        <v>46204</v>
      </c>
      <c r="C657" s="10">
        <v>31</v>
      </c>
      <c r="D657">
        <v>0</v>
      </c>
      <c r="E657" t="s">
        <v>33</v>
      </c>
      <c r="F657" t="s">
        <v>33</v>
      </c>
      <c r="G657" t="s">
        <v>1014</v>
      </c>
      <c r="H657" t="s">
        <v>36</v>
      </c>
    </row>
    <row r="658" spans="1:8" hidden="1" x14ac:dyDescent="0.3">
      <c r="A658" t="s">
        <v>117</v>
      </c>
      <c r="B658" s="2">
        <v>45536</v>
      </c>
      <c r="C658" s="10"/>
    </row>
    <row r="659" spans="1:8" hidden="1" x14ac:dyDescent="0.3">
      <c r="A659" t="s">
        <v>117</v>
      </c>
      <c r="B659" s="2">
        <v>45566</v>
      </c>
      <c r="C659" s="10"/>
    </row>
    <row r="660" spans="1:8" hidden="1" x14ac:dyDescent="0.3">
      <c r="A660" t="s">
        <v>117</v>
      </c>
      <c r="B660" s="2">
        <v>45597</v>
      </c>
      <c r="C660" s="10"/>
    </row>
    <row r="661" spans="1:8" hidden="1" x14ac:dyDescent="0.3">
      <c r="A661" t="s">
        <v>117</v>
      </c>
      <c r="B661" s="2">
        <v>45627</v>
      </c>
      <c r="C661" s="10"/>
    </row>
    <row r="662" spans="1:8" hidden="1" x14ac:dyDescent="0.3">
      <c r="A662" t="s">
        <v>117</v>
      </c>
      <c r="B662" s="2">
        <v>45658</v>
      </c>
      <c r="C662" s="10"/>
    </row>
    <row r="663" spans="1:8" ht="43.2" hidden="1" x14ac:dyDescent="0.3">
      <c r="A663" t="s">
        <v>117</v>
      </c>
      <c r="B663" s="2">
        <v>45689</v>
      </c>
      <c r="C663" s="10" t="s">
        <v>488</v>
      </c>
    </row>
    <row r="664" spans="1:8" ht="28.8" hidden="1" x14ac:dyDescent="0.3">
      <c r="A664" t="s">
        <v>117</v>
      </c>
      <c r="B664" s="2">
        <v>45717</v>
      </c>
      <c r="C664" s="10" t="s">
        <v>489</v>
      </c>
    </row>
    <row r="665" spans="1:8" hidden="1" x14ac:dyDescent="0.3">
      <c r="A665" t="s">
        <v>117</v>
      </c>
      <c r="B665" s="2">
        <v>45748</v>
      </c>
      <c r="C665" s="10" t="s">
        <v>490</v>
      </c>
    </row>
    <row r="666" spans="1:8" ht="86.4" hidden="1" x14ac:dyDescent="0.3">
      <c r="A666" t="s">
        <v>117</v>
      </c>
      <c r="B666" s="2">
        <v>45778</v>
      </c>
      <c r="C666" s="10" t="s">
        <v>491</v>
      </c>
    </row>
    <row r="667" spans="1:8" ht="86.4" hidden="1" x14ac:dyDescent="0.3">
      <c r="A667" t="s">
        <v>117</v>
      </c>
      <c r="B667" s="2">
        <v>45809</v>
      </c>
      <c r="C667" s="10" t="s">
        <v>492</v>
      </c>
    </row>
    <row r="668" spans="1:8" hidden="1" x14ac:dyDescent="0.3">
      <c r="A668" t="s">
        <v>117</v>
      </c>
      <c r="B668" s="2">
        <v>45839</v>
      </c>
      <c r="C668" s="10" t="s">
        <v>965</v>
      </c>
      <c r="D668">
        <v>15</v>
      </c>
      <c r="E668" t="s">
        <v>985</v>
      </c>
      <c r="F668" t="s">
        <v>986</v>
      </c>
      <c r="G668" s="32" t="s">
        <v>987</v>
      </c>
      <c r="H668" s="10" t="s">
        <v>36</v>
      </c>
    </row>
    <row r="669" spans="1:8" hidden="1" x14ac:dyDescent="0.3">
      <c r="A669" t="s">
        <v>117</v>
      </c>
      <c r="B669" s="2">
        <v>45901</v>
      </c>
      <c r="C669" s="10" t="s">
        <v>919</v>
      </c>
      <c r="D669">
        <v>0</v>
      </c>
      <c r="E669" t="s">
        <v>33</v>
      </c>
      <c r="F669" t="s">
        <v>33</v>
      </c>
      <c r="G669" t="s">
        <v>995</v>
      </c>
      <c r="H669" s="10" t="s">
        <v>36</v>
      </c>
    </row>
    <row r="670" spans="1:8" hidden="1" x14ac:dyDescent="0.3">
      <c r="A670" t="s">
        <v>117</v>
      </c>
      <c r="B670" s="2">
        <v>45931</v>
      </c>
      <c r="C670" s="10" t="s">
        <v>911</v>
      </c>
      <c r="D670">
        <v>0</v>
      </c>
      <c r="E670" t="s">
        <v>33</v>
      </c>
      <c r="F670" t="s">
        <v>33</v>
      </c>
      <c r="G670" t="s">
        <v>995</v>
      </c>
      <c r="H670" s="10" t="s">
        <v>36</v>
      </c>
    </row>
    <row r="671" spans="1:8" hidden="1" x14ac:dyDescent="0.3">
      <c r="A671" t="s">
        <v>117</v>
      </c>
      <c r="B671" s="2">
        <v>45962</v>
      </c>
      <c r="C671" s="10" t="s">
        <v>919</v>
      </c>
      <c r="D671">
        <v>0</v>
      </c>
      <c r="E671" t="s">
        <v>33</v>
      </c>
      <c r="F671" t="s">
        <v>33</v>
      </c>
      <c r="G671" s="10" t="s">
        <v>997</v>
      </c>
      <c r="H671" s="10" t="s">
        <v>36</v>
      </c>
    </row>
    <row r="672" spans="1:8" hidden="1" x14ac:dyDescent="0.3">
      <c r="A672" t="s">
        <v>117</v>
      </c>
      <c r="B672" s="2">
        <v>45992</v>
      </c>
      <c r="C672" s="10" t="s">
        <v>911</v>
      </c>
      <c r="D672">
        <v>0</v>
      </c>
      <c r="E672" t="s">
        <v>33</v>
      </c>
      <c r="F672" t="s">
        <v>33</v>
      </c>
      <c r="G672" t="s">
        <v>995</v>
      </c>
      <c r="H672" s="10" t="s">
        <v>36</v>
      </c>
    </row>
    <row r="673" spans="1:8" hidden="1" x14ac:dyDescent="0.3">
      <c r="A673" t="s">
        <v>117</v>
      </c>
      <c r="B673" s="2">
        <v>46023</v>
      </c>
      <c r="C673" s="10" t="s">
        <v>911</v>
      </c>
      <c r="D673">
        <v>0</v>
      </c>
      <c r="E673" t="s">
        <v>33</v>
      </c>
      <c r="F673" t="s">
        <v>33</v>
      </c>
      <c r="G673" s="10" t="s">
        <v>996</v>
      </c>
      <c r="H673" s="10" t="s">
        <v>36</v>
      </c>
    </row>
    <row r="674" spans="1:8" hidden="1" x14ac:dyDescent="0.3">
      <c r="A674" t="s">
        <v>117</v>
      </c>
      <c r="B674" s="2">
        <v>46054</v>
      </c>
      <c r="C674" s="10" t="s">
        <v>895</v>
      </c>
      <c r="D674">
        <v>0</v>
      </c>
      <c r="E674" t="s">
        <v>33</v>
      </c>
      <c r="F674" t="s">
        <v>33</v>
      </c>
      <c r="G674" t="s">
        <v>995</v>
      </c>
      <c r="H674" s="10" t="s">
        <v>36</v>
      </c>
    </row>
    <row r="675" spans="1:8" hidden="1" x14ac:dyDescent="0.3">
      <c r="A675" t="s">
        <v>117</v>
      </c>
      <c r="B675" s="2">
        <v>46082</v>
      </c>
      <c r="C675" s="10" t="s">
        <v>911</v>
      </c>
      <c r="D675">
        <v>0</v>
      </c>
      <c r="E675" t="s">
        <v>33</v>
      </c>
      <c r="F675" t="s">
        <v>33</v>
      </c>
      <c r="G675" s="10" t="s">
        <v>996</v>
      </c>
      <c r="H675" s="10" t="s">
        <v>36</v>
      </c>
    </row>
    <row r="676" spans="1:8" hidden="1" x14ac:dyDescent="0.3">
      <c r="A676" t="s">
        <v>117</v>
      </c>
      <c r="B676" s="2">
        <v>46113</v>
      </c>
      <c r="C676" s="10" t="s">
        <v>919</v>
      </c>
      <c r="D676">
        <v>0</v>
      </c>
      <c r="E676" t="s">
        <v>33</v>
      </c>
      <c r="F676" t="s">
        <v>33</v>
      </c>
      <c r="G676" s="10" t="s">
        <v>993</v>
      </c>
      <c r="H676" s="10" t="s">
        <v>36</v>
      </c>
    </row>
    <row r="677" spans="1:8" hidden="1" x14ac:dyDescent="0.3">
      <c r="A677" t="s">
        <v>117</v>
      </c>
      <c r="B677" s="2">
        <v>46143</v>
      </c>
      <c r="C677" s="10" t="s">
        <v>911</v>
      </c>
      <c r="D677">
        <v>0</v>
      </c>
      <c r="E677" t="s">
        <v>33</v>
      </c>
      <c r="F677" t="s">
        <v>33</v>
      </c>
      <c r="G677" t="s">
        <v>995</v>
      </c>
      <c r="H677" s="10" t="s">
        <v>36</v>
      </c>
    </row>
    <row r="678" spans="1:8" x14ac:dyDescent="0.3">
      <c r="A678" t="s">
        <v>117</v>
      </c>
      <c r="B678" s="2">
        <v>46235</v>
      </c>
      <c r="C678" s="10" t="s">
        <v>896</v>
      </c>
      <c r="D678">
        <v>0</v>
      </c>
      <c r="E678" t="s">
        <v>33</v>
      </c>
      <c r="F678" t="s">
        <v>33</v>
      </c>
      <c r="G678" s="10" t="s">
        <v>932</v>
      </c>
      <c r="H678" t="s">
        <v>36</v>
      </c>
    </row>
    <row r="679" spans="1:8" ht="28.95" hidden="1" customHeight="1" x14ac:dyDescent="0.3">
      <c r="A679" t="s">
        <v>117</v>
      </c>
      <c r="B679" s="2">
        <v>46174</v>
      </c>
      <c r="C679" s="10" t="s">
        <v>919</v>
      </c>
      <c r="D679">
        <v>0</v>
      </c>
      <c r="E679" t="s">
        <v>33</v>
      </c>
      <c r="F679" t="s">
        <v>33</v>
      </c>
      <c r="G679" s="10" t="s">
        <v>996</v>
      </c>
      <c r="H679" s="10" t="s">
        <v>36</v>
      </c>
    </row>
    <row r="680" spans="1:8" ht="72" hidden="1" customHeight="1" x14ac:dyDescent="0.3">
      <c r="A680" t="s">
        <v>117</v>
      </c>
      <c r="B680" s="2">
        <v>46204</v>
      </c>
      <c r="C680" s="10">
        <v>31</v>
      </c>
      <c r="D680">
        <v>0</v>
      </c>
      <c r="E680" t="s">
        <v>33</v>
      </c>
      <c r="F680" t="s">
        <v>33</v>
      </c>
      <c r="G680" t="s">
        <v>1014</v>
      </c>
      <c r="H680" t="s">
        <v>36</v>
      </c>
    </row>
    <row r="681" spans="1:8" ht="72" hidden="1" customHeight="1" x14ac:dyDescent="0.3">
      <c r="A681" t="s">
        <v>225</v>
      </c>
      <c r="B681" s="2">
        <v>45536</v>
      </c>
      <c r="C681" s="10"/>
    </row>
    <row r="682" spans="1:8" ht="57.6" hidden="1" customHeight="1" x14ac:dyDescent="0.3">
      <c r="A682" t="s">
        <v>225</v>
      </c>
      <c r="B682" s="2">
        <v>45566</v>
      </c>
      <c r="C682" s="10"/>
    </row>
    <row r="683" spans="1:8" ht="57.6" hidden="1" customHeight="1" x14ac:dyDescent="0.3">
      <c r="A683" t="s">
        <v>225</v>
      </c>
      <c r="B683" s="2">
        <v>45597</v>
      </c>
      <c r="C683" s="10"/>
    </row>
    <row r="684" spans="1:8" ht="57.6" hidden="1" customHeight="1" x14ac:dyDescent="0.3">
      <c r="A684" t="s">
        <v>225</v>
      </c>
      <c r="B684" s="2">
        <v>45627</v>
      </c>
      <c r="C684" s="10"/>
    </row>
    <row r="685" spans="1:8" ht="57.6" hidden="1" customHeight="1" x14ac:dyDescent="0.3">
      <c r="A685" t="s">
        <v>225</v>
      </c>
      <c r="B685" s="2">
        <v>45658</v>
      </c>
      <c r="C685" s="10"/>
    </row>
    <row r="686" spans="1:8" ht="57.6" hidden="1" customHeight="1" x14ac:dyDescent="0.3">
      <c r="A686" t="s">
        <v>225</v>
      </c>
      <c r="B686" s="2">
        <v>45689</v>
      </c>
      <c r="C686" s="10"/>
    </row>
    <row r="687" spans="1:8" ht="57.6" hidden="1" customHeight="1" x14ac:dyDescent="0.3">
      <c r="A687" t="s">
        <v>225</v>
      </c>
      <c r="B687" s="2">
        <v>45717</v>
      </c>
      <c r="C687" s="10"/>
    </row>
    <row r="688" spans="1:8" ht="57.6" hidden="1" customHeight="1" x14ac:dyDescent="0.3">
      <c r="A688" t="s">
        <v>225</v>
      </c>
      <c r="B688" s="2">
        <v>45748</v>
      </c>
      <c r="C688" s="10"/>
    </row>
    <row r="689" spans="1:8" hidden="1" x14ac:dyDescent="0.3">
      <c r="A689" t="s">
        <v>225</v>
      </c>
      <c r="B689" s="2">
        <v>45778</v>
      </c>
      <c r="C689" s="10"/>
    </row>
    <row r="690" spans="1:8" hidden="1" x14ac:dyDescent="0.3">
      <c r="A690" t="s">
        <v>225</v>
      </c>
      <c r="B690" s="2">
        <v>45809</v>
      </c>
      <c r="C690" s="10"/>
    </row>
    <row r="691" spans="1:8" hidden="1" x14ac:dyDescent="0.3">
      <c r="A691" t="s">
        <v>225</v>
      </c>
      <c r="B691" s="2">
        <v>45839</v>
      </c>
      <c r="C691" s="10" t="s">
        <v>36</v>
      </c>
      <c r="D691" s="10" t="s">
        <v>36</v>
      </c>
      <c r="E691" s="10" t="s">
        <v>36</v>
      </c>
      <c r="F691" s="10" t="s">
        <v>36</v>
      </c>
      <c r="G691" s="10" t="s">
        <v>36</v>
      </c>
      <c r="H691" s="10" t="s">
        <v>920</v>
      </c>
    </row>
    <row r="692" spans="1:8" hidden="1" x14ac:dyDescent="0.3">
      <c r="A692" t="s">
        <v>225</v>
      </c>
      <c r="B692" s="2">
        <v>45870</v>
      </c>
      <c r="C692" s="10" t="s">
        <v>36</v>
      </c>
      <c r="D692" s="10" t="s">
        <v>36</v>
      </c>
      <c r="E692" s="10" t="s">
        <v>36</v>
      </c>
      <c r="F692" s="10" t="s">
        <v>36</v>
      </c>
      <c r="G692" s="10" t="s">
        <v>36</v>
      </c>
      <c r="H692" s="10" t="s">
        <v>920</v>
      </c>
    </row>
    <row r="693" spans="1:8" hidden="1" x14ac:dyDescent="0.3">
      <c r="A693" t="s">
        <v>225</v>
      </c>
      <c r="B693" s="2">
        <v>45901</v>
      </c>
      <c r="C693" s="10" t="s">
        <v>36</v>
      </c>
      <c r="D693" s="10" t="s">
        <v>36</v>
      </c>
      <c r="E693" s="10" t="s">
        <v>36</v>
      </c>
      <c r="F693" s="10" t="s">
        <v>36</v>
      </c>
      <c r="G693" s="10" t="s">
        <v>36</v>
      </c>
      <c r="H693" s="10" t="s">
        <v>920</v>
      </c>
    </row>
    <row r="694" spans="1:8" hidden="1" x14ac:dyDescent="0.3">
      <c r="A694" t="s">
        <v>225</v>
      </c>
      <c r="B694" s="2">
        <v>45931</v>
      </c>
      <c r="C694" s="10" t="s">
        <v>895</v>
      </c>
      <c r="D694" s="10" t="s">
        <v>975</v>
      </c>
      <c r="E694" s="10" t="s">
        <v>920</v>
      </c>
      <c r="F694" s="10" t="s">
        <v>33</v>
      </c>
      <c r="G694" s="10" t="s">
        <v>33</v>
      </c>
      <c r="H694" s="10" t="s">
        <v>920</v>
      </c>
    </row>
    <row r="695" spans="1:8" hidden="1" x14ac:dyDescent="0.3">
      <c r="A695" t="s">
        <v>225</v>
      </c>
      <c r="B695" s="2">
        <v>45962</v>
      </c>
      <c r="C695" s="10" t="s">
        <v>919</v>
      </c>
      <c r="D695" s="10">
        <v>0</v>
      </c>
      <c r="E695" s="10" t="s">
        <v>33</v>
      </c>
      <c r="F695" s="10" t="s">
        <v>33</v>
      </c>
      <c r="G695" s="10" t="s">
        <v>33</v>
      </c>
      <c r="H695" s="10" t="s">
        <v>36</v>
      </c>
    </row>
    <row r="696" spans="1:8" hidden="1" x14ac:dyDescent="0.3">
      <c r="A696" t="s">
        <v>225</v>
      </c>
      <c r="B696" s="2">
        <v>45992</v>
      </c>
      <c r="C696" s="10" t="s">
        <v>911</v>
      </c>
      <c r="D696" s="10">
        <v>0</v>
      </c>
      <c r="E696" s="10" t="s">
        <v>33</v>
      </c>
      <c r="F696" s="10" t="s">
        <v>33</v>
      </c>
      <c r="G696" s="10" t="s">
        <v>460</v>
      </c>
      <c r="H696" s="10" t="s">
        <v>36</v>
      </c>
    </row>
    <row r="697" spans="1:8" hidden="1" x14ac:dyDescent="0.3">
      <c r="A697" t="s">
        <v>225</v>
      </c>
      <c r="B697" s="2">
        <v>46023</v>
      </c>
      <c r="C697" s="10" t="s">
        <v>892</v>
      </c>
      <c r="D697" s="10">
        <v>0</v>
      </c>
      <c r="E697" s="10" t="s">
        <v>33</v>
      </c>
      <c r="F697" s="10" t="s">
        <v>33</v>
      </c>
      <c r="G697" s="10" t="s">
        <v>460</v>
      </c>
      <c r="H697" s="10" t="s">
        <v>36</v>
      </c>
    </row>
    <row r="698" spans="1:8" hidden="1" x14ac:dyDescent="0.3">
      <c r="A698" t="s">
        <v>225</v>
      </c>
      <c r="B698" s="2">
        <v>46054</v>
      </c>
      <c r="C698" s="10" t="s">
        <v>895</v>
      </c>
      <c r="D698" s="10">
        <v>0</v>
      </c>
      <c r="E698" s="10" t="s">
        <v>33</v>
      </c>
      <c r="F698" s="10" t="s">
        <v>33</v>
      </c>
      <c r="G698" s="10" t="s">
        <v>460</v>
      </c>
      <c r="H698" s="10" t="s">
        <v>36</v>
      </c>
    </row>
    <row r="699" spans="1:8" hidden="1" x14ac:dyDescent="0.3">
      <c r="A699" t="s">
        <v>225</v>
      </c>
      <c r="B699" s="2">
        <v>46082</v>
      </c>
      <c r="C699" s="10" t="s">
        <v>892</v>
      </c>
      <c r="D699" s="10">
        <v>0</v>
      </c>
      <c r="E699" s="10" t="s">
        <v>33</v>
      </c>
      <c r="F699" s="10" t="s">
        <v>33</v>
      </c>
      <c r="G699" s="10" t="s">
        <v>460</v>
      </c>
      <c r="H699" s="10" t="s">
        <v>36</v>
      </c>
    </row>
    <row r="700" spans="1:8" hidden="1" x14ac:dyDescent="0.3">
      <c r="A700" t="s">
        <v>225</v>
      </c>
      <c r="B700" s="2">
        <v>46113</v>
      </c>
      <c r="C700" s="10" t="s">
        <v>896</v>
      </c>
      <c r="D700" s="10">
        <v>0</v>
      </c>
      <c r="E700" s="10" t="s">
        <v>33</v>
      </c>
      <c r="F700" s="10" t="s">
        <v>33</v>
      </c>
      <c r="G700" s="10" t="s">
        <v>460</v>
      </c>
      <c r="H700" s="10" t="s">
        <v>36</v>
      </c>
    </row>
    <row r="701" spans="1:8" hidden="1" x14ac:dyDescent="0.3">
      <c r="A701" t="s">
        <v>225</v>
      </c>
      <c r="B701" s="2">
        <v>46143</v>
      </c>
      <c r="C701" s="10" t="s">
        <v>892</v>
      </c>
      <c r="D701" s="10">
        <v>0</v>
      </c>
      <c r="E701" s="10" t="s">
        <v>33</v>
      </c>
      <c r="F701" s="10" t="s">
        <v>33</v>
      </c>
      <c r="G701" s="10" t="s">
        <v>460</v>
      </c>
      <c r="H701" s="10" t="s">
        <v>36</v>
      </c>
    </row>
    <row r="702" spans="1:8" x14ac:dyDescent="0.3">
      <c r="A702" t="s">
        <v>225</v>
      </c>
      <c r="B702" s="2">
        <v>46235</v>
      </c>
      <c r="C702" t="s">
        <v>896</v>
      </c>
      <c r="D702">
        <v>0</v>
      </c>
      <c r="E702" t="s">
        <v>33</v>
      </c>
      <c r="F702" t="s">
        <v>33</v>
      </c>
      <c r="G702" t="s">
        <v>338</v>
      </c>
      <c r="H702" t="s">
        <v>36</v>
      </c>
    </row>
    <row r="703" spans="1:8" ht="43.2" hidden="1" customHeight="1" x14ac:dyDescent="0.3">
      <c r="A703" t="s">
        <v>225</v>
      </c>
      <c r="B703" s="2">
        <v>46174</v>
      </c>
      <c r="C703" s="10" t="s">
        <v>896</v>
      </c>
      <c r="D703" s="10">
        <v>0</v>
      </c>
      <c r="E703" s="10" t="s">
        <v>33</v>
      </c>
      <c r="F703" s="10" t="s">
        <v>33</v>
      </c>
      <c r="G703" s="10" t="s">
        <v>338</v>
      </c>
      <c r="H703" s="10" t="s">
        <v>36</v>
      </c>
    </row>
    <row r="704" spans="1:8" ht="43.2" hidden="1" customHeight="1" x14ac:dyDescent="0.3">
      <c r="A704" t="s">
        <v>225</v>
      </c>
      <c r="B704" s="2">
        <v>46204</v>
      </c>
      <c r="C704" s="10">
        <v>31</v>
      </c>
      <c r="D704">
        <v>0</v>
      </c>
      <c r="E704" t="s">
        <v>33</v>
      </c>
      <c r="F704" t="s">
        <v>33</v>
      </c>
      <c r="G704" t="s">
        <v>1014</v>
      </c>
      <c r="H704" t="s">
        <v>36</v>
      </c>
    </row>
    <row r="705" spans="1:8" ht="57.6" hidden="1" customHeight="1" x14ac:dyDescent="0.3">
      <c r="A705" t="s">
        <v>223</v>
      </c>
      <c r="B705" s="2">
        <v>45536</v>
      </c>
      <c r="C705" s="10"/>
    </row>
    <row r="706" spans="1:8" ht="57.6" hidden="1" customHeight="1" x14ac:dyDescent="0.3">
      <c r="A706" t="s">
        <v>223</v>
      </c>
      <c r="B706" s="2">
        <v>45566</v>
      </c>
      <c r="C706" s="10"/>
    </row>
    <row r="707" spans="1:8" ht="57.6" hidden="1" customHeight="1" x14ac:dyDescent="0.3">
      <c r="A707" t="s">
        <v>223</v>
      </c>
      <c r="B707" s="2">
        <v>45597</v>
      </c>
      <c r="C707" s="10"/>
    </row>
    <row r="708" spans="1:8" ht="57.6" hidden="1" customHeight="1" x14ac:dyDescent="0.3">
      <c r="A708" t="s">
        <v>223</v>
      </c>
      <c r="B708" s="2">
        <v>45627</v>
      </c>
      <c r="C708" s="10"/>
    </row>
    <row r="709" spans="1:8" ht="57.6" hidden="1" customHeight="1" x14ac:dyDescent="0.3">
      <c r="A709" t="s">
        <v>223</v>
      </c>
      <c r="B709" s="2">
        <v>45658</v>
      </c>
      <c r="C709" s="10"/>
    </row>
    <row r="710" spans="1:8" ht="72" hidden="1" customHeight="1" x14ac:dyDescent="0.3">
      <c r="A710" t="s">
        <v>223</v>
      </c>
      <c r="B710" s="2">
        <v>45689</v>
      </c>
      <c r="C710" s="10"/>
    </row>
    <row r="711" spans="1:8" ht="57.6" hidden="1" customHeight="1" x14ac:dyDescent="0.3">
      <c r="A711" t="s">
        <v>223</v>
      </c>
      <c r="B711" s="2">
        <v>45717</v>
      </c>
      <c r="C711" s="10"/>
    </row>
    <row r="712" spans="1:8" ht="57.6" hidden="1" customHeight="1" x14ac:dyDescent="0.3">
      <c r="A712" t="s">
        <v>223</v>
      </c>
      <c r="B712" s="2">
        <v>45748</v>
      </c>
      <c r="C712" s="10"/>
    </row>
    <row r="713" spans="1:8" hidden="1" x14ac:dyDescent="0.3">
      <c r="A713" t="s">
        <v>223</v>
      </c>
      <c r="B713" s="2">
        <v>45778</v>
      </c>
      <c r="C713" s="10"/>
    </row>
    <row r="714" spans="1:8" hidden="1" x14ac:dyDescent="0.3">
      <c r="A714" t="s">
        <v>223</v>
      </c>
      <c r="B714" s="2">
        <v>45809</v>
      </c>
      <c r="C714" s="10"/>
    </row>
    <row r="715" spans="1:8" hidden="1" x14ac:dyDescent="0.3">
      <c r="A715" t="s">
        <v>223</v>
      </c>
      <c r="B715" s="2">
        <v>45839</v>
      </c>
      <c r="C715" s="10" t="s">
        <v>36</v>
      </c>
      <c r="D715" s="10" t="s">
        <v>36</v>
      </c>
      <c r="E715" s="10" t="s">
        <v>36</v>
      </c>
      <c r="F715" s="10" t="s">
        <v>36</v>
      </c>
      <c r="G715" s="10" t="s">
        <v>36</v>
      </c>
      <c r="H715" s="10" t="s">
        <v>920</v>
      </c>
    </row>
    <row r="716" spans="1:8" hidden="1" x14ac:dyDescent="0.3">
      <c r="A716" t="s">
        <v>223</v>
      </c>
      <c r="B716" s="2">
        <v>45870</v>
      </c>
      <c r="C716" s="10" t="s">
        <v>36</v>
      </c>
      <c r="D716" s="10" t="s">
        <v>36</v>
      </c>
      <c r="E716" s="10" t="s">
        <v>36</v>
      </c>
      <c r="F716" s="10" t="s">
        <v>36</v>
      </c>
      <c r="G716" s="10" t="s">
        <v>36</v>
      </c>
      <c r="H716" s="10" t="s">
        <v>920</v>
      </c>
    </row>
    <row r="717" spans="1:8" hidden="1" x14ac:dyDescent="0.3">
      <c r="A717" t="s">
        <v>223</v>
      </c>
      <c r="B717" s="2">
        <v>45901</v>
      </c>
      <c r="C717" s="10" t="s">
        <v>36</v>
      </c>
      <c r="D717" s="10" t="s">
        <v>36</v>
      </c>
      <c r="E717" s="10" t="s">
        <v>36</v>
      </c>
      <c r="F717" s="10" t="s">
        <v>36</v>
      </c>
      <c r="G717" s="10" t="s">
        <v>36</v>
      </c>
      <c r="H717" s="10" t="s">
        <v>920</v>
      </c>
    </row>
    <row r="718" spans="1:8" hidden="1" x14ac:dyDescent="0.3">
      <c r="A718" t="s">
        <v>223</v>
      </c>
      <c r="B718" s="2">
        <v>45931</v>
      </c>
      <c r="C718" s="10" t="s">
        <v>895</v>
      </c>
      <c r="D718" s="10" t="s">
        <v>942</v>
      </c>
      <c r="E718" s="10" t="s">
        <v>920</v>
      </c>
      <c r="F718" s="10" t="s">
        <v>33</v>
      </c>
      <c r="G718" s="10" t="s">
        <v>33</v>
      </c>
      <c r="H718" s="10" t="s">
        <v>920</v>
      </c>
    </row>
    <row r="719" spans="1:8" hidden="1" x14ac:dyDescent="0.3">
      <c r="A719" t="s">
        <v>223</v>
      </c>
      <c r="B719" s="2">
        <v>45962</v>
      </c>
      <c r="C719" s="10" t="s">
        <v>919</v>
      </c>
      <c r="D719" s="10">
        <v>0</v>
      </c>
      <c r="E719" s="10" t="s">
        <v>33</v>
      </c>
      <c r="F719" s="10" t="s">
        <v>33</v>
      </c>
      <c r="H719" s="10" t="s">
        <v>36</v>
      </c>
    </row>
    <row r="720" spans="1:8" hidden="1" x14ac:dyDescent="0.3">
      <c r="A720" t="s">
        <v>223</v>
      </c>
      <c r="B720" s="2">
        <v>45992</v>
      </c>
      <c r="C720" s="10" t="s">
        <v>911</v>
      </c>
      <c r="D720" s="10">
        <v>0</v>
      </c>
      <c r="E720" s="10" t="s">
        <v>33</v>
      </c>
      <c r="F720" s="10" t="s">
        <v>33</v>
      </c>
      <c r="G720" s="10" t="s">
        <v>493</v>
      </c>
      <c r="H720" s="10" t="s">
        <v>36</v>
      </c>
    </row>
    <row r="721" spans="1:8" hidden="1" x14ac:dyDescent="0.3">
      <c r="A721" t="s">
        <v>223</v>
      </c>
      <c r="B721" s="2">
        <v>46023</v>
      </c>
      <c r="C721" s="10" t="s">
        <v>892</v>
      </c>
      <c r="D721" s="10">
        <v>0</v>
      </c>
      <c r="E721" s="10" t="s">
        <v>33</v>
      </c>
      <c r="F721" s="10" t="s">
        <v>33</v>
      </c>
      <c r="G721" s="10" t="s">
        <v>932</v>
      </c>
      <c r="H721" s="10" t="s">
        <v>36</v>
      </c>
    </row>
    <row r="722" spans="1:8" hidden="1" x14ac:dyDescent="0.3">
      <c r="A722" t="s">
        <v>223</v>
      </c>
      <c r="B722" s="2">
        <v>46054</v>
      </c>
      <c r="C722" s="10" t="s">
        <v>895</v>
      </c>
      <c r="D722" s="10">
        <v>0</v>
      </c>
      <c r="E722" s="10" t="s">
        <v>33</v>
      </c>
      <c r="F722" s="10" t="s">
        <v>33</v>
      </c>
      <c r="G722" s="10" t="s">
        <v>932</v>
      </c>
      <c r="H722" s="10" t="s">
        <v>36</v>
      </c>
    </row>
    <row r="723" spans="1:8" hidden="1" x14ac:dyDescent="0.3">
      <c r="A723" t="s">
        <v>223</v>
      </c>
      <c r="B723" s="2">
        <v>46082</v>
      </c>
      <c r="C723" s="10" t="s">
        <v>892</v>
      </c>
      <c r="D723" s="10">
        <v>0</v>
      </c>
      <c r="E723" s="10" t="s">
        <v>33</v>
      </c>
      <c r="F723" s="10" t="s">
        <v>33</v>
      </c>
      <c r="G723" s="10" t="s">
        <v>932</v>
      </c>
      <c r="H723" s="10" t="s">
        <v>36</v>
      </c>
    </row>
    <row r="724" spans="1:8" hidden="1" x14ac:dyDescent="0.3">
      <c r="A724" t="s">
        <v>223</v>
      </c>
      <c r="B724" s="2">
        <v>46113</v>
      </c>
      <c r="C724" s="10" t="s">
        <v>896</v>
      </c>
      <c r="D724" s="10">
        <v>0</v>
      </c>
      <c r="E724" s="10" t="s">
        <v>33</v>
      </c>
      <c r="F724" s="10" t="s">
        <v>33</v>
      </c>
      <c r="G724" s="10" t="s">
        <v>932</v>
      </c>
      <c r="H724" s="10" t="s">
        <v>36</v>
      </c>
    </row>
    <row r="725" spans="1:8" hidden="1" x14ac:dyDescent="0.3">
      <c r="A725" t="s">
        <v>223</v>
      </c>
      <c r="B725" s="2">
        <v>46143</v>
      </c>
      <c r="C725" s="10" t="s">
        <v>892</v>
      </c>
      <c r="D725" s="10">
        <v>0</v>
      </c>
      <c r="E725" s="10" t="s">
        <v>33</v>
      </c>
      <c r="F725" s="10" t="s">
        <v>33</v>
      </c>
      <c r="G725" s="10" t="s">
        <v>932</v>
      </c>
      <c r="H725" s="10" t="s">
        <v>36</v>
      </c>
    </row>
    <row r="726" spans="1:8" x14ac:dyDescent="0.3">
      <c r="A726" t="s">
        <v>223</v>
      </c>
      <c r="B726" s="2">
        <v>46235</v>
      </c>
      <c r="C726" s="10" t="s">
        <v>896</v>
      </c>
      <c r="D726">
        <v>0</v>
      </c>
      <c r="E726" t="s">
        <v>33</v>
      </c>
      <c r="F726" t="s">
        <v>33</v>
      </c>
      <c r="G726" s="10" t="s">
        <v>932</v>
      </c>
      <c r="H726" t="s">
        <v>36</v>
      </c>
    </row>
    <row r="727" spans="1:8" ht="43.2" hidden="1" customHeight="1" x14ac:dyDescent="0.3">
      <c r="A727" t="s">
        <v>223</v>
      </c>
      <c r="B727" s="2">
        <v>46204</v>
      </c>
      <c r="C727" s="10">
        <v>31</v>
      </c>
      <c r="D727">
        <v>0</v>
      </c>
      <c r="E727" t="s">
        <v>33</v>
      </c>
      <c r="F727" t="s">
        <v>33</v>
      </c>
      <c r="G727" s="10" t="s">
        <v>932</v>
      </c>
      <c r="H727" t="s">
        <v>36</v>
      </c>
    </row>
    <row r="728" spans="1:8" ht="57.6" hidden="1" customHeight="1" x14ac:dyDescent="0.3">
      <c r="A728" t="s">
        <v>223</v>
      </c>
      <c r="B728" s="2">
        <v>46174</v>
      </c>
      <c r="C728" s="10" t="s">
        <v>896</v>
      </c>
      <c r="D728" s="10">
        <v>0</v>
      </c>
      <c r="E728" s="10" t="s">
        <v>33</v>
      </c>
      <c r="F728" s="10" t="s">
        <v>33</v>
      </c>
      <c r="G728" s="10" t="s">
        <v>996</v>
      </c>
      <c r="H728" s="10" t="s">
        <v>36</v>
      </c>
    </row>
    <row r="729" spans="1:8" ht="57.6" hidden="1" customHeight="1" x14ac:dyDescent="0.3">
      <c r="A729" t="s">
        <v>120</v>
      </c>
      <c r="B729" s="2">
        <v>45536</v>
      </c>
      <c r="C729" s="10"/>
    </row>
    <row r="730" spans="1:8" ht="57.6" hidden="1" customHeight="1" x14ac:dyDescent="0.3">
      <c r="A730" t="s">
        <v>120</v>
      </c>
      <c r="B730" s="2">
        <v>45566</v>
      </c>
      <c r="C730" s="10"/>
    </row>
    <row r="731" spans="1:8" ht="57.6" hidden="1" customHeight="1" x14ac:dyDescent="0.3">
      <c r="A731" t="s">
        <v>120</v>
      </c>
      <c r="B731" s="2">
        <v>45597</v>
      </c>
      <c r="C731" s="10"/>
    </row>
    <row r="732" spans="1:8" ht="57.6" hidden="1" customHeight="1" x14ac:dyDescent="0.3">
      <c r="A732" t="s">
        <v>120</v>
      </c>
      <c r="B732" s="2">
        <v>45627</v>
      </c>
      <c r="C732" s="10"/>
    </row>
    <row r="733" spans="1:8" ht="57.6" hidden="1" customHeight="1" x14ac:dyDescent="0.3">
      <c r="A733" t="s">
        <v>120</v>
      </c>
      <c r="B733" s="2">
        <v>45658</v>
      </c>
      <c r="C733" s="10"/>
    </row>
    <row r="734" spans="1:8" ht="57.6" hidden="1" customHeight="1" x14ac:dyDescent="0.3">
      <c r="A734" t="s">
        <v>120</v>
      </c>
      <c r="B734" s="2">
        <v>45689</v>
      </c>
      <c r="C734" s="10" t="s">
        <v>495</v>
      </c>
    </row>
    <row r="735" spans="1:8" ht="57.6" hidden="1" customHeight="1" x14ac:dyDescent="0.3">
      <c r="A735" t="s">
        <v>120</v>
      </c>
      <c r="B735" s="2">
        <v>45717</v>
      </c>
      <c r="C735" s="10" t="s">
        <v>496</v>
      </c>
    </row>
    <row r="736" spans="1:8" ht="57.6" hidden="1" customHeight="1" x14ac:dyDescent="0.3">
      <c r="A736" t="s">
        <v>120</v>
      </c>
      <c r="B736" s="2">
        <v>45748</v>
      </c>
      <c r="C736" s="10" t="s">
        <v>497</v>
      </c>
    </row>
    <row r="737" spans="1:8" ht="115.2" hidden="1" x14ac:dyDescent="0.3">
      <c r="A737" t="s">
        <v>120</v>
      </c>
      <c r="B737" s="2">
        <v>45778</v>
      </c>
      <c r="C737" s="10" t="s">
        <v>498</v>
      </c>
    </row>
    <row r="738" spans="1:8" ht="115.2" hidden="1" x14ac:dyDescent="0.3">
      <c r="A738" t="s">
        <v>120</v>
      </c>
      <c r="B738" s="2">
        <v>45809</v>
      </c>
      <c r="C738" s="10" t="s">
        <v>499</v>
      </c>
    </row>
    <row r="739" spans="1:8" ht="115.2" hidden="1" x14ac:dyDescent="0.3">
      <c r="A739" t="s">
        <v>120</v>
      </c>
      <c r="B739" s="2">
        <v>45839</v>
      </c>
      <c r="C739" s="10" t="s">
        <v>500</v>
      </c>
    </row>
    <row r="740" spans="1:8" ht="115.2" hidden="1" x14ac:dyDescent="0.3">
      <c r="A740" t="s">
        <v>120</v>
      </c>
      <c r="B740" s="2">
        <v>45870</v>
      </c>
      <c r="C740" s="10" t="s">
        <v>501</v>
      </c>
    </row>
    <row r="741" spans="1:8" ht="115.2" hidden="1" x14ac:dyDescent="0.3">
      <c r="A741" t="s">
        <v>120</v>
      </c>
      <c r="B741" s="2">
        <v>45901</v>
      </c>
      <c r="C741" s="10" t="s">
        <v>502</v>
      </c>
    </row>
    <row r="742" spans="1:8" ht="100.8" hidden="1" x14ac:dyDescent="0.3">
      <c r="A742" t="s">
        <v>120</v>
      </c>
      <c r="B742" s="2">
        <v>45931</v>
      </c>
      <c r="C742" s="10" t="s">
        <v>503</v>
      </c>
    </row>
    <row r="743" spans="1:8" ht="100.8" hidden="1" x14ac:dyDescent="0.3">
      <c r="A743" t="s">
        <v>120</v>
      </c>
      <c r="B743" s="2">
        <v>45962</v>
      </c>
      <c r="C743" s="10" t="s">
        <v>504</v>
      </c>
    </row>
    <row r="744" spans="1:8" ht="40.799999999999997" hidden="1" customHeight="1" x14ac:dyDescent="0.3">
      <c r="A744" t="s">
        <v>120</v>
      </c>
      <c r="B744" s="2">
        <v>45992</v>
      </c>
      <c r="C744" s="10" t="s">
        <v>455</v>
      </c>
    </row>
    <row r="745" spans="1:8" hidden="1" x14ac:dyDescent="0.3">
      <c r="A745" t="s">
        <v>120</v>
      </c>
      <c r="B745" s="2">
        <v>46023</v>
      </c>
      <c r="C745" s="10" t="s">
        <v>338</v>
      </c>
    </row>
    <row r="746" spans="1:8" ht="43.2" hidden="1" x14ac:dyDescent="0.3">
      <c r="A746" t="s">
        <v>120</v>
      </c>
      <c r="B746" s="2">
        <v>46054</v>
      </c>
      <c r="C746" s="10" t="s">
        <v>314</v>
      </c>
    </row>
    <row r="747" spans="1:8" ht="43.2" hidden="1" x14ac:dyDescent="0.3">
      <c r="A747" t="s">
        <v>120</v>
      </c>
      <c r="B747" s="2">
        <v>46082</v>
      </c>
      <c r="C747" s="10" t="s">
        <v>314</v>
      </c>
    </row>
    <row r="748" spans="1:8" ht="28.8" hidden="1" x14ac:dyDescent="0.3">
      <c r="A748" t="s">
        <v>120</v>
      </c>
      <c r="B748" s="2">
        <v>46113</v>
      </c>
      <c r="C748" s="10" t="s">
        <v>494</v>
      </c>
    </row>
    <row r="749" spans="1:8" hidden="1" x14ac:dyDescent="0.3">
      <c r="A749" t="s">
        <v>120</v>
      </c>
      <c r="B749" s="2">
        <v>46143</v>
      </c>
      <c r="C749" s="10" t="s">
        <v>852</v>
      </c>
    </row>
    <row r="750" spans="1:8" x14ac:dyDescent="0.3">
      <c r="A750" t="s">
        <v>120</v>
      </c>
      <c r="B750" s="2">
        <v>46235</v>
      </c>
      <c r="C750" s="10" t="s">
        <v>896</v>
      </c>
      <c r="D750">
        <v>0</v>
      </c>
      <c r="E750" t="s">
        <v>33</v>
      </c>
      <c r="F750" t="s">
        <v>33</v>
      </c>
      <c r="G750" t="s">
        <v>36</v>
      </c>
      <c r="H750" t="s">
        <v>36</v>
      </c>
    </row>
    <row r="751" spans="1:8" ht="57.6" hidden="1" customHeight="1" x14ac:dyDescent="0.3">
      <c r="A751" t="s">
        <v>120</v>
      </c>
      <c r="B751" s="2">
        <v>46174</v>
      </c>
      <c r="C751" s="10"/>
    </row>
    <row r="752" spans="1:8" ht="43.2" hidden="1" x14ac:dyDescent="0.3">
      <c r="A752" t="s">
        <v>120</v>
      </c>
      <c r="B752" s="2">
        <v>46204</v>
      </c>
      <c r="C752" s="10">
        <v>31</v>
      </c>
      <c r="D752">
        <v>0</v>
      </c>
      <c r="E752" t="s">
        <v>33</v>
      </c>
      <c r="F752" s="32" t="s">
        <v>1033</v>
      </c>
      <c r="G752" s="32" t="s">
        <v>1032</v>
      </c>
      <c r="H752" t="s">
        <v>1034</v>
      </c>
    </row>
    <row r="753" spans="1:7" hidden="1" x14ac:dyDescent="0.3">
      <c r="A753" t="s">
        <v>122</v>
      </c>
      <c r="B753" s="2">
        <v>45536</v>
      </c>
      <c r="C753" s="10"/>
    </row>
    <row r="754" spans="1:7" hidden="1" x14ac:dyDescent="0.3">
      <c r="A754" t="s">
        <v>122</v>
      </c>
      <c r="B754" s="2">
        <v>45566</v>
      </c>
      <c r="C754" s="10"/>
    </row>
    <row r="755" spans="1:7" hidden="1" x14ac:dyDescent="0.3">
      <c r="A755" t="s">
        <v>122</v>
      </c>
      <c r="B755" s="2">
        <v>45597</v>
      </c>
      <c r="C755" s="10"/>
    </row>
    <row r="756" spans="1:7" hidden="1" x14ac:dyDescent="0.3">
      <c r="A756" t="s">
        <v>122</v>
      </c>
      <c r="B756" s="2">
        <v>45627</v>
      </c>
      <c r="C756" s="10"/>
    </row>
    <row r="757" spans="1:7" hidden="1" x14ac:dyDescent="0.3">
      <c r="A757" t="s">
        <v>122</v>
      </c>
      <c r="B757" s="2">
        <v>45658</v>
      </c>
      <c r="C757" s="10"/>
    </row>
    <row r="758" spans="1:7" ht="57.6" hidden="1" x14ac:dyDescent="0.3">
      <c r="A758" t="s">
        <v>122</v>
      </c>
      <c r="B758" s="2">
        <v>45689</v>
      </c>
      <c r="C758" s="10" t="s">
        <v>505</v>
      </c>
    </row>
    <row r="759" spans="1:7" ht="86.4" hidden="1" x14ac:dyDescent="0.3">
      <c r="A759" t="s">
        <v>122</v>
      </c>
      <c r="B759" s="2">
        <v>45717</v>
      </c>
      <c r="C759" s="10" t="s">
        <v>506</v>
      </c>
    </row>
    <row r="760" spans="1:7" ht="86.4" hidden="1" x14ac:dyDescent="0.3">
      <c r="A760" t="s">
        <v>122</v>
      </c>
      <c r="B760" s="2">
        <v>45748</v>
      </c>
      <c r="C760" s="10" t="s">
        <v>507</v>
      </c>
    </row>
    <row r="761" spans="1:7" ht="115.2" hidden="1" x14ac:dyDescent="0.3">
      <c r="A761" t="s">
        <v>122</v>
      </c>
      <c r="B761" s="2">
        <v>45778</v>
      </c>
      <c r="C761" s="10" t="s">
        <v>508</v>
      </c>
    </row>
    <row r="762" spans="1:7" ht="115.2" hidden="1" x14ac:dyDescent="0.3">
      <c r="A762" t="s">
        <v>122</v>
      </c>
      <c r="B762" s="2">
        <v>45809</v>
      </c>
      <c r="C762" s="10" t="s">
        <v>508</v>
      </c>
    </row>
    <row r="763" spans="1:7" ht="115.2" hidden="1" x14ac:dyDescent="0.3">
      <c r="A763" t="s">
        <v>122</v>
      </c>
      <c r="B763" s="2">
        <v>45839</v>
      </c>
      <c r="C763" s="10" t="s">
        <v>509</v>
      </c>
    </row>
    <row r="764" spans="1:7" ht="115.2" hidden="1" x14ac:dyDescent="0.3">
      <c r="A764" t="s">
        <v>122</v>
      </c>
      <c r="B764" s="2">
        <v>45870</v>
      </c>
      <c r="C764" s="10" t="s">
        <v>510</v>
      </c>
      <c r="G764" s="45"/>
    </row>
    <row r="765" spans="1:7" ht="129.6" hidden="1" x14ac:dyDescent="0.3">
      <c r="A765" t="s">
        <v>122</v>
      </c>
      <c r="B765" s="2">
        <v>45901</v>
      </c>
      <c r="C765" s="10" t="s">
        <v>511</v>
      </c>
    </row>
    <row r="766" spans="1:7" ht="100.8" hidden="1" x14ac:dyDescent="0.3">
      <c r="A766" t="s">
        <v>122</v>
      </c>
      <c r="B766" s="2">
        <v>45931</v>
      </c>
      <c r="C766" s="10" t="s">
        <v>512</v>
      </c>
    </row>
    <row r="767" spans="1:7" ht="100.8" hidden="1" x14ac:dyDescent="0.3">
      <c r="A767" t="s">
        <v>122</v>
      </c>
      <c r="B767" s="2">
        <v>45962</v>
      </c>
      <c r="C767" s="10" t="s">
        <v>513</v>
      </c>
    </row>
    <row r="768" spans="1:7" hidden="1" x14ac:dyDescent="0.3">
      <c r="A768" t="s">
        <v>122</v>
      </c>
      <c r="B768" s="2">
        <v>45992</v>
      </c>
      <c r="C768" s="10" t="s">
        <v>326</v>
      </c>
    </row>
    <row r="769" spans="1:8" hidden="1" x14ac:dyDescent="0.3">
      <c r="A769" t="s">
        <v>122</v>
      </c>
      <c r="B769" s="2">
        <v>46023</v>
      </c>
      <c r="C769" s="10" t="s">
        <v>338</v>
      </c>
    </row>
    <row r="770" spans="1:8" hidden="1" x14ac:dyDescent="0.3">
      <c r="A770" t="s">
        <v>122</v>
      </c>
      <c r="B770" s="2">
        <v>46054</v>
      </c>
      <c r="C770" s="10" t="s">
        <v>326</v>
      </c>
    </row>
    <row r="771" spans="1:8" hidden="1" x14ac:dyDescent="0.3">
      <c r="A771" t="s">
        <v>122</v>
      </c>
      <c r="B771" s="2">
        <v>46082</v>
      </c>
      <c r="C771" s="10" t="s">
        <v>338</v>
      </c>
    </row>
    <row r="772" spans="1:8" hidden="1" x14ac:dyDescent="0.3">
      <c r="A772" t="s">
        <v>122</v>
      </c>
      <c r="B772" s="2">
        <v>46113</v>
      </c>
      <c r="C772" s="10" t="s">
        <v>302</v>
      </c>
    </row>
    <row r="773" spans="1:8" hidden="1" x14ac:dyDescent="0.3">
      <c r="A773" t="s">
        <v>122</v>
      </c>
      <c r="B773" s="2">
        <v>46143</v>
      </c>
      <c r="C773" s="10" t="s">
        <v>302</v>
      </c>
    </row>
    <row r="774" spans="1:8" x14ac:dyDescent="0.3">
      <c r="A774" t="s">
        <v>122</v>
      </c>
      <c r="B774" s="2">
        <v>46235</v>
      </c>
      <c r="C774" t="s">
        <v>896</v>
      </c>
      <c r="D774">
        <v>0</v>
      </c>
      <c r="E774" t="s">
        <v>33</v>
      </c>
      <c r="F774" t="s">
        <v>33</v>
      </c>
      <c r="G774" t="s">
        <v>338</v>
      </c>
      <c r="H774" t="s">
        <v>36</v>
      </c>
    </row>
    <row r="775" spans="1:8" hidden="1" x14ac:dyDescent="0.3">
      <c r="A775" t="s">
        <v>122</v>
      </c>
      <c r="B775" s="2">
        <v>46174</v>
      </c>
      <c r="C775" s="10"/>
    </row>
    <row r="776" spans="1:8" hidden="1" x14ac:dyDescent="0.3">
      <c r="A776" t="s">
        <v>122</v>
      </c>
      <c r="B776" s="2">
        <v>46204</v>
      </c>
      <c r="C776" s="10">
        <v>31</v>
      </c>
      <c r="D776">
        <v>0</v>
      </c>
      <c r="E776" t="s">
        <v>33</v>
      </c>
      <c r="F776" t="s">
        <v>33</v>
      </c>
      <c r="G776" t="s">
        <v>1014</v>
      </c>
      <c r="H776" t="s">
        <v>36</v>
      </c>
    </row>
    <row r="777" spans="1:8" ht="28.8" hidden="1" x14ac:dyDescent="0.3">
      <c r="A777" t="s">
        <v>124</v>
      </c>
      <c r="B777" s="2">
        <v>45536</v>
      </c>
      <c r="C777" s="10" t="s">
        <v>514</v>
      </c>
    </row>
    <row r="778" spans="1:8" hidden="1" x14ac:dyDescent="0.3">
      <c r="A778" t="s">
        <v>124</v>
      </c>
      <c r="B778" s="2">
        <v>45566</v>
      </c>
      <c r="C778" s="10"/>
    </row>
    <row r="779" spans="1:8" hidden="1" x14ac:dyDescent="0.3">
      <c r="A779" t="s">
        <v>124</v>
      </c>
      <c r="B779" s="2">
        <v>45597</v>
      </c>
      <c r="C779" s="10"/>
    </row>
    <row r="780" spans="1:8" hidden="1" x14ac:dyDescent="0.3">
      <c r="A780" t="s">
        <v>124</v>
      </c>
      <c r="B780" s="2">
        <v>45627</v>
      </c>
      <c r="C780" s="10"/>
    </row>
    <row r="781" spans="1:8" hidden="1" x14ac:dyDescent="0.3">
      <c r="A781" t="s">
        <v>124</v>
      </c>
      <c r="B781" s="2">
        <v>45658</v>
      </c>
      <c r="C781" s="10"/>
    </row>
    <row r="782" spans="1:8" ht="43.2" hidden="1" x14ac:dyDescent="0.3">
      <c r="A782" t="s">
        <v>124</v>
      </c>
      <c r="B782" s="2">
        <v>45689</v>
      </c>
      <c r="C782" s="10" t="s">
        <v>515</v>
      </c>
    </row>
    <row r="783" spans="1:8" ht="100.8" hidden="1" x14ac:dyDescent="0.3">
      <c r="A783" t="s">
        <v>124</v>
      </c>
      <c r="B783" s="2">
        <v>45717</v>
      </c>
      <c r="C783" s="10" t="s">
        <v>516</v>
      </c>
    </row>
    <row r="784" spans="1:8" ht="100.8" hidden="1" x14ac:dyDescent="0.3">
      <c r="A784" t="s">
        <v>124</v>
      </c>
      <c r="B784" s="2">
        <v>45748</v>
      </c>
      <c r="C784" s="10" t="s">
        <v>517</v>
      </c>
    </row>
    <row r="785" spans="1:8" ht="115.2" hidden="1" x14ac:dyDescent="0.3">
      <c r="A785" t="s">
        <v>124</v>
      </c>
      <c r="B785" s="2">
        <v>45778</v>
      </c>
      <c r="C785" s="10" t="s">
        <v>518</v>
      </c>
    </row>
    <row r="786" spans="1:8" ht="115.2" hidden="1" x14ac:dyDescent="0.3">
      <c r="A786" t="s">
        <v>124</v>
      </c>
      <c r="B786" s="2">
        <v>45809</v>
      </c>
      <c r="C786" s="10" t="s">
        <v>519</v>
      </c>
    </row>
    <row r="787" spans="1:8" ht="100.8" hidden="1" x14ac:dyDescent="0.3">
      <c r="A787" t="s">
        <v>124</v>
      </c>
      <c r="B787" s="2">
        <v>45839</v>
      </c>
      <c r="C787" s="10" t="s">
        <v>520</v>
      </c>
    </row>
    <row r="788" spans="1:8" ht="100.8" hidden="1" x14ac:dyDescent="0.3">
      <c r="A788" t="s">
        <v>124</v>
      </c>
      <c r="B788" s="2">
        <v>45870</v>
      </c>
      <c r="C788" s="10" t="s">
        <v>521</v>
      </c>
    </row>
    <row r="789" spans="1:8" ht="100.8" hidden="1" x14ac:dyDescent="0.3">
      <c r="A789" t="s">
        <v>124</v>
      </c>
      <c r="B789" s="2">
        <v>45901</v>
      </c>
      <c r="C789" s="10" t="s">
        <v>522</v>
      </c>
    </row>
    <row r="790" spans="1:8" ht="100.8" hidden="1" x14ac:dyDescent="0.3">
      <c r="A790" t="s">
        <v>124</v>
      </c>
      <c r="B790" s="2">
        <v>45931</v>
      </c>
      <c r="C790" s="10" t="s">
        <v>523</v>
      </c>
    </row>
    <row r="791" spans="1:8" ht="100.8" hidden="1" x14ac:dyDescent="0.3">
      <c r="A791" t="s">
        <v>124</v>
      </c>
      <c r="B791" s="2">
        <v>45962</v>
      </c>
      <c r="C791" s="10" t="s">
        <v>524</v>
      </c>
    </row>
    <row r="792" spans="1:8" ht="28.8" hidden="1" x14ac:dyDescent="0.3">
      <c r="A792" t="s">
        <v>124</v>
      </c>
      <c r="B792" s="2">
        <v>45992</v>
      </c>
      <c r="C792" s="10" t="s">
        <v>525</v>
      </c>
    </row>
    <row r="793" spans="1:8" ht="28.8" hidden="1" x14ac:dyDescent="0.3">
      <c r="A793" t="s">
        <v>124</v>
      </c>
      <c r="B793" s="2">
        <v>46023</v>
      </c>
      <c r="C793" s="10" t="s">
        <v>526</v>
      </c>
    </row>
    <row r="794" spans="1:8" hidden="1" x14ac:dyDescent="0.3">
      <c r="A794" t="s">
        <v>124</v>
      </c>
      <c r="B794" s="2">
        <v>46054</v>
      </c>
      <c r="C794" s="10" t="s">
        <v>326</v>
      </c>
    </row>
    <row r="795" spans="1:8" hidden="1" x14ac:dyDescent="0.3">
      <c r="A795" t="s">
        <v>124</v>
      </c>
      <c r="B795" s="2">
        <v>46082</v>
      </c>
      <c r="C795" s="10" t="s">
        <v>326</v>
      </c>
    </row>
    <row r="796" spans="1:8" ht="28.8" hidden="1" x14ac:dyDescent="0.3">
      <c r="A796" t="s">
        <v>124</v>
      </c>
      <c r="B796" s="2">
        <v>46113</v>
      </c>
      <c r="C796" s="10" t="s">
        <v>527</v>
      </c>
    </row>
    <row r="797" spans="1:8" hidden="1" x14ac:dyDescent="0.3">
      <c r="A797" t="s">
        <v>124</v>
      </c>
      <c r="B797" s="2">
        <v>46143</v>
      </c>
      <c r="C797" s="10" t="s">
        <v>302</v>
      </c>
    </row>
    <row r="798" spans="1:8" x14ac:dyDescent="0.3">
      <c r="A798" t="s">
        <v>124</v>
      </c>
      <c r="B798" s="2">
        <v>46235</v>
      </c>
      <c r="C798" t="s">
        <v>896</v>
      </c>
      <c r="D798">
        <v>0</v>
      </c>
      <c r="E798" t="s">
        <v>33</v>
      </c>
      <c r="F798" t="s">
        <v>33</v>
      </c>
      <c r="G798" t="s">
        <v>338</v>
      </c>
      <c r="H798" t="s">
        <v>36</v>
      </c>
    </row>
    <row r="799" spans="1:8" ht="57.6" hidden="1" customHeight="1" x14ac:dyDescent="0.3">
      <c r="A799" t="s">
        <v>124</v>
      </c>
      <c r="B799" s="2">
        <v>46174</v>
      </c>
      <c r="C799" s="10"/>
    </row>
    <row r="800" spans="1:8" ht="100.95" hidden="1" customHeight="1" x14ac:dyDescent="0.3">
      <c r="A800" t="s">
        <v>124</v>
      </c>
      <c r="B800" s="2">
        <v>46204</v>
      </c>
      <c r="C800" s="10">
        <v>31</v>
      </c>
      <c r="D800">
        <v>0</v>
      </c>
      <c r="E800" t="s">
        <v>33</v>
      </c>
      <c r="F800" t="s">
        <v>33</v>
      </c>
      <c r="G800" t="s">
        <v>1014</v>
      </c>
      <c r="H800" t="s">
        <v>36</v>
      </c>
    </row>
    <row r="801" spans="1:8" ht="72" hidden="1" customHeight="1" x14ac:dyDescent="0.3">
      <c r="A801" t="s">
        <v>127</v>
      </c>
      <c r="B801" s="2">
        <v>45536</v>
      </c>
      <c r="C801" s="10"/>
    </row>
    <row r="802" spans="1:8" ht="72" hidden="1" customHeight="1" x14ac:dyDescent="0.3">
      <c r="A802" t="s">
        <v>127</v>
      </c>
      <c r="B802" s="2">
        <v>45566</v>
      </c>
      <c r="C802" s="10"/>
    </row>
    <row r="803" spans="1:8" ht="57.6" hidden="1" customHeight="1" x14ac:dyDescent="0.3">
      <c r="A803" t="s">
        <v>127</v>
      </c>
      <c r="B803" s="2">
        <v>45597</v>
      </c>
      <c r="C803" s="10"/>
    </row>
    <row r="804" spans="1:8" hidden="1" x14ac:dyDescent="0.3">
      <c r="A804" t="s">
        <v>127</v>
      </c>
      <c r="B804" s="2">
        <v>45627</v>
      </c>
      <c r="C804" s="10"/>
    </row>
    <row r="805" spans="1:8" hidden="1" x14ac:dyDescent="0.3">
      <c r="A805" t="s">
        <v>127</v>
      </c>
      <c r="B805" s="2">
        <v>45658</v>
      </c>
      <c r="C805" s="10"/>
    </row>
    <row r="806" spans="1:8" ht="72" hidden="1" x14ac:dyDescent="0.3">
      <c r="A806" t="s">
        <v>127</v>
      </c>
      <c r="B806" s="2">
        <v>45689</v>
      </c>
      <c r="C806" s="10" t="s">
        <v>528</v>
      </c>
    </row>
    <row r="807" spans="1:8" hidden="1" x14ac:dyDescent="0.3">
      <c r="A807" t="s">
        <v>127</v>
      </c>
      <c r="B807" s="2">
        <v>45717</v>
      </c>
      <c r="C807" s="10" t="s">
        <v>529</v>
      </c>
    </row>
    <row r="808" spans="1:8" ht="28.8" hidden="1" x14ac:dyDescent="0.3">
      <c r="A808" t="s">
        <v>127</v>
      </c>
      <c r="B808" s="2">
        <v>45748</v>
      </c>
      <c r="C808" s="10" t="s">
        <v>530</v>
      </c>
    </row>
    <row r="809" spans="1:8" hidden="1" x14ac:dyDescent="0.3">
      <c r="A809" t="s">
        <v>127</v>
      </c>
      <c r="B809" s="2">
        <v>45778</v>
      </c>
      <c r="C809" s="10" t="s">
        <v>531</v>
      </c>
    </row>
    <row r="810" spans="1:8" hidden="1" x14ac:dyDescent="0.3">
      <c r="A810" t="s">
        <v>127</v>
      </c>
      <c r="B810" s="2">
        <v>45809</v>
      </c>
      <c r="C810" s="10" t="s">
        <v>531</v>
      </c>
    </row>
    <row r="811" spans="1:8" ht="28.8" hidden="1" x14ac:dyDescent="0.3">
      <c r="A811" t="s">
        <v>127</v>
      </c>
      <c r="B811" s="2">
        <v>45839</v>
      </c>
      <c r="C811" t="s">
        <v>911</v>
      </c>
      <c r="D811">
        <v>0</v>
      </c>
      <c r="E811" t="s">
        <v>33</v>
      </c>
      <c r="F811" t="s">
        <v>974</v>
      </c>
      <c r="G811" s="10" t="s">
        <v>932</v>
      </c>
      <c r="H811" s="10" t="s">
        <v>531</v>
      </c>
    </row>
    <row r="812" spans="1:8" ht="28.8" hidden="1" x14ac:dyDescent="0.3">
      <c r="A812" t="s">
        <v>127</v>
      </c>
      <c r="B812" s="2">
        <v>45870</v>
      </c>
      <c r="C812" t="s">
        <v>911</v>
      </c>
      <c r="D812">
        <v>0</v>
      </c>
      <c r="E812" t="s">
        <v>33</v>
      </c>
      <c r="F812" t="s">
        <v>974</v>
      </c>
      <c r="G812" s="10" t="s">
        <v>973</v>
      </c>
      <c r="H812" s="10" t="s">
        <v>531</v>
      </c>
    </row>
    <row r="813" spans="1:8" ht="28.8" hidden="1" x14ac:dyDescent="0.3">
      <c r="A813" t="s">
        <v>127</v>
      </c>
      <c r="B813" s="2">
        <v>45901</v>
      </c>
      <c r="C813" t="s">
        <v>919</v>
      </c>
      <c r="D813">
        <v>0</v>
      </c>
      <c r="E813" t="s">
        <v>33</v>
      </c>
      <c r="F813" t="s">
        <v>974</v>
      </c>
      <c r="G813" s="10" t="s">
        <v>932</v>
      </c>
      <c r="H813" s="10" t="s">
        <v>531</v>
      </c>
    </row>
    <row r="814" spans="1:8" hidden="1" x14ac:dyDescent="0.3">
      <c r="A814" t="s">
        <v>127</v>
      </c>
      <c r="B814" s="2">
        <v>45931</v>
      </c>
      <c r="C814" t="s">
        <v>911</v>
      </c>
      <c r="D814">
        <v>0</v>
      </c>
      <c r="E814" t="s">
        <v>33</v>
      </c>
      <c r="F814" t="s">
        <v>33</v>
      </c>
      <c r="G814" s="10" t="s">
        <v>973</v>
      </c>
      <c r="H814" t="s">
        <v>36</v>
      </c>
    </row>
    <row r="815" spans="1:8" hidden="1" x14ac:dyDescent="0.3">
      <c r="A815" t="s">
        <v>127</v>
      </c>
      <c r="B815" s="2">
        <v>45962</v>
      </c>
      <c r="C815" t="s">
        <v>919</v>
      </c>
      <c r="D815">
        <v>0</v>
      </c>
      <c r="E815" t="s">
        <v>33</v>
      </c>
      <c r="F815" t="s">
        <v>33</v>
      </c>
      <c r="G815" s="10" t="s">
        <v>973</v>
      </c>
      <c r="H815" t="s">
        <v>36</v>
      </c>
    </row>
    <row r="816" spans="1:8" hidden="1" x14ac:dyDescent="0.3">
      <c r="A816" t="s">
        <v>127</v>
      </c>
      <c r="B816" s="2">
        <v>45992</v>
      </c>
      <c r="C816" t="s">
        <v>911</v>
      </c>
      <c r="D816">
        <v>0</v>
      </c>
      <c r="E816" t="s">
        <v>33</v>
      </c>
      <c r="F816" t="s">
        <v>33</v>
      </c>
      <c r="G816" s="10" t="s">
        <v>973</v>
      </c>
      <c r="H816" t="s">
        <v>36</v>
      </c>
    </row>
    <row r="817" spans="1:8" hidden="1" x14ac:dyDescent="0.3">
      <c r="A817" t="s">
        <v>127</v>
      </c>
      <c r="B817" s="2">
        <v>46023</v>
      </c>
      <c r="C817" t="s">
        <v>911</v>
      </c>
      <c r="D817">
        <v>0</v>
      </c>
      <c r="E817" t="s">
        <v>33</v>
      </c>
      <c r="F817" t="s">
        <v>33</v>
      </c>
      <c r="G817" s="10" t="s">
        <v>932</v>
      </c>
      <c r="H817" t="s">
        <v>36</v>
      </c>
    </row>
    <row r="818" spans="1:8" hidden="1" x14ac:dyDescent="0.3">
      <c r="A818" t="s">
        <v>127</v>
      </c>
      <c r="B818" s="2">
        <v>46054</v>
      </c>
      <c r="C818" t="s">
        <v>895</v>
      </c>
      <c r="D818">
        <v>0</v>
      </c>
      <c r="E818" t="s">
        <v>33</v>
      </c>
      <c r="F818" t="s">
        <v>33</v>
      </c>
      <c r="G818" s="10" t="s">
        <v>326</v>
      </c>
      <c r="H818" t="s">
        <v>36</v>
      </c>
    </row>
    <row r="819" spans="1:8" hidden="1" x14ac:dyDescent="0.3">
      <c r="A819" t="s">
        <v>127</v>
      </c>
      <c r="B819" s="2">
        <v>46082</v>
      </c>
      <c r="C819" t="s">
        <v>911</v>
      </c>
      <c r="D819">
        <v>0</v>
      </c>
      <c r="E819" t="s">
        <v>33</v>
      </c>
      <c r="F819" t="s">
        <v>33</v>
      </c>
      <c r="G819" s="44" t="s">
        <v>932</v>
      </c>
      <c r="H819" t="s">
        <v>36</v>
      </c>
    </row>
    <row r="820" spans="1:8" hidden="1" x14ac:dyDescent="0.3">
      <c r="A820" t="s">
        <v>127</v>
      </c>
      <c r="B820" s="2">
        <v>46113</v>
      </c>
      <c r="C820" t="s">
        <v>919</v>
      </c>
      <c r="D820">
        <v>0</v>
      </c>
      <c r="E820" t="s">
        <v>33</v>
      </c>
      <c r="F820" t="s">
        <v>33</v>
      </c>
      <c r="G820" s="10" t="s">
        <v>932</v>
      </c>
      <c r="H820" t="s">
        <v>36</v>
      </c>
    </row>
    <row r="821" spans="1:8" hidden="1" x14ac:dyDescent="0.3">
      <c r="A821" t="s">
        <v>127</v>
      </c>
      <c r="B821" s="2">
        <v>46143</v>
      </c>
      <c r="C821" t="s">
        <v>911</v>
      </c>
      <c r="D821">
        <v>0</v>
      </c>
      <c r="E821" t="s">
        <v>33</v>
      </c>
      <c r="F821" t="s">
        <v>33</v>
      </c>
      <c r="G821" s="10" t="s">
        <v>973</v>
      </c>
      <c r="H821" t="s">
        <v>36</v>
      </c>
    </row>
    <row r="822" spans="1:8" x14ac:dyDescent="0.3">
      <c r="A822" t="s">
        <v>127</v>
      </c>
      <c r="B822" s="2">
        <v>46235</v>
      </c>
      <c r="C822" t="s">
        <v>896</v>
      </c>
      <c r="D822">
        <v>0</v>
      </c>
      <c r="E822" t="s">
        <v>33</v>
      </c>
      <c r="F822" t="s">
        <v>33</v>
      </c>
      <c r="G822" t="s">
        <v>338</v>
      </c>
      <c r="H822" t="s">
        <v>36</v>
      </c>
    </row>
    <row r="823" spans="1:8" ht="28.95" hidden="1" customHeight="1" x14ac:dyDescent="0.3">
      <c r="A823" t="s">
        <v>127</v>
      </c>
      <c r="B823" s="2">
        <v>46174</v>
      </c>
      <c r="C823" t="s">
        <v>919</v>
      </c>
      <c r="D823">
        <v>0</v>
      </c>
      <c r="E823" t="s">
        <v>33</v>
      </c>
      <c r="F823" t="s">
        <v>33</v>
      </c>
      <c r="G823" s="10" t="s">
        <v>996</v>
      </c>
      <c r="H823" t="s">
        <v>36</v>
      </c>
    </row>
    <row r="824" spans="1:8" ht="57.6" hidden="1" customHeight="1" x14ac:dyDescent="0.3">
      <c r="A824" t="s">
        <v>127</v>
      </c>
      <c r="B824" s="2">
        <v>46204</v>
      </c>
      <c r="C824" s="10">
        <v>31</v>
      </c>
      <c r="D824">
        <v>0</v>
      </c>
      <c r="E824" t="s">
        <v>33</v>
      </c>
      <c r="F824" t="s">
        <v>1036</v>
      </c>
      <c r="G824" t="s">
        <v>1035</v>
      </c>
      <c r="H824" t="s">
        <v>36</v>
      </c>
    </row>
    <row r="825" spans="1:8" ht="57.6" hidden="1" customHeight="1" x14ac:dyDescent="0.3">
      <c r="A825" t="s">
        <v>234</v>
      </c>
      <c r="B825" s="2">
        <v>45536</v>
      </c>
      <c r="C825" s="10"/>
    </row>
    <row r="826" spans="1:8" ht="57.6" hidden="1" customHeight="1" x14ac:dyDescent="0.3">
      <c r="A826" t="s">
        <v>234</v>
      </c>
      <c r="B826" s="2">
        <v>45566</v>
      </c>
      <c r="C826" s="10"/>
    </row>
    <row r="827" spans="1:8" ht="57.6" hidden="1" customHeight="1" x14ac:dyDescent="0.3">
      <c r="A827" t="s">
        <v>234</v>
      </c>
      <c r="B827" s="2">
        <v>45597</v>
      </c>
      <c r="C827" s="10"/>
    </row>
    <row r="828" spans="1:8" ht="57.6" hidden="1" customHeight="1" x14ac:dyDescent="0.3">
      <c r="A828" t="s">
        <v>234</v>
      </c>
      <c r="B828" s="2">
        <v>45627</v>
      </c>
      <c r="C828" s="10"/>
    </row>
    <row r="829" spans="1:8" ht="57.6" hidden="1" customHeight="1" x14ac:dyDescent="0.3">
      <c r="A829" t="s">
        <v>234</v>
      </c>
      <c r="B829" s="2">
        <v>45658</v>
      </c>
      <c r="C829" s="10"/>
    </row>
    <row r="830" spans="1:8" ht="57.6" hidden="1" customHeight="1" x14ac:dyDescent="0.3">
      <c r="A830" t="s">
        <v>234</v>
      </c>
      <c r="B830" s="2">
        <v>45689</v>
      </c>
      <c r="C830" s="10"/>
    </row>
    <row r="831" spans="1:8" ht="57.6" hidden="1" customHeight="1" x14ac:dyDescent="0.3">
      <c r="A831" t="s">
        <v>234</v>
      </c>
      <c r="B831" s="2">
        <v>45717</v>
      </c>
      <c r="C831" s="10"/>
    </row>
    <row r="832" spans="1:8" ht="57.6" hidden="1" customHeight="1" x14ac:dyDescent="0.3">
      <c r="A832" t="s">
        <v>234</v>
      </c>
      <c r="B832" s="2">
        <v>45748</v>
      </c>
      <c r="C832" s="10"/>
    </row>
    <row r="833" spans="1:8" hidden="1" x14ac:dyDescent="0.3">
      <c r="A833" t="s">
        <v>234</v>
      </c>
      <c r="B833" s="2">
        <v>45778</v>
      </c>
      <c r="C833" s="10"/>
    </row>
    <row r="834" spans="1:8" hidden="1" x14ac:dyDescent="0.3">
      <c r="A834" t="s">
        <v>234</v>
      </c>
      <c r="B834" s="2">
        <v>45809</v>
      </c>
      <c r="C834" s="10"/>
    </row>
    <row r="835" spans="1:8" hidden="1" x14ac:dyDescent="0.3">
      <c r="A835" t="s">
        <v>234</v>
      </c>
      <c r="B835" s="2">
        <v>45839</v>
      </c>
      <c r="C835" s="10"/>
    </row>
    <row r="836" spans="1:8" hidden="1" x14ac:dyDescent="0.3">
      <c r="A836" t="s">
        <v>234</v>
      </c>
      <c r="B836" s="2">
        <v>45870</v>
      </c>
      <c r="C836" s="10"/>
    </row>
    <row r="837" spans="1:8" hidden="1" x14ac:dyDescent="0.3">
      <c r="A837" t="s">
        <v>234</v>
      </c>
      <c r="B837" s="2">
        <v>45901</v>
      </c>
      <c r="C837" s="10"/>
    </row>
    <row r="838" spans="1:8" hidden="1" x14ac:dyDescent="0.3">
      <c r="A838" t="s">
        <v>234</v>
      </c>
      <c r="B838" s="2">
        <v>45931</v>
      </c>
      <c r="C838" s="10"/>
    </row>
    <row r="839" spans="1:8" hidden="1" x14ac:dyDescent="0.3">
      <c r="A839" t="s">
        <v>234</v>
      </c>
      <c r="B839" s="2">
        <v>45962</v>
      </c>
      <c r="C839" s="10"/>
    </row>
    <row r="840" spans="1:8" hidden="1" x14ac:dyDescent="0.3">
      <c r="A840" t="s">
        <v>234</v>
      </c>
      <c r="B840" s="2">
        <v>45992</v>
      </c>
      <c r="C840" s="10" t="s">
        <v>533</v>
      </c>
    </row>
    <row r="841" spans="1:8" hidden="1" x14ac:dyDescent="0.3">
      <c r="A841" t="s">
        <v>234</v>
      </c>
      <c r="B841" s="2">
        <v>46023</v>
      </c>
      <c r="C841" s="10" t="s">
        <v>533</v>
      </c>
    </row>
    <row r="842" spans="1:8" hidden="1" x14ac:dyDescent="0.3">
      <c r="A842" t="s">
        <v>234</v>
      </c>
      <c r="B842" s="2">
        <v>46054</v>
      </c>
      <c r="C842" s="10" t="s">
        <v>326</v>
      </c>
    </row>
    <row r="843" spans="1:8" hidden="1" x14ac:dyDescent="0.3">
      <c r="A843" t="s">
        <v>234</v>
      </c>
      <c r="B843" s="2">
        <v>46082</v>
      </c>
      <c r="C843" s="10" t="s">
        <v>326</v>
      </c>
    </row>
    <row r="844" spans="1:8" hidden="1" x14ac:dyDescent="0.3">
      <c r="A844" t="s">
        <v>234</v>
      </c>
      <c r="B844" s="2">
        <v>46113</v>
      </c>
      <c r="C844" s="10" t="s">
        <v>302</v>
      </c>
    </row>
    <row r="845" spans="1:8" hidden="1" x14ac:dyDescent="0.3">
      <c r="A845" t="s">
        <v>234</v>
      </c>
      <c r="B845" s="2">
        <v>46143</v>
      </c>
      <c r="C845" s="10" t="s">
        <v>302</v>
      </c>
    </row>
    <row r="846" spans="1:8" x14ac:dyDescent="0.3">
      <c r="A846" t="s">
        <v>234</v>
      </c>
      <c r="B846" s="2">
        <v>46235</v>
      </c>
      <c r="C846" t="s">
        <v>896</v>
      </c>
      <c r="D846">
        <v>0</v>
      </c>
      <c r="E846" t="s">
        <v>33</v>
      </c>
      <c r="F846" t="s">
        <v>33</v>
      </c>
      <c r="G846" t="s">
        <v>338</v>
      </c>
      <c r="H846" t="s">
        <v>36</v>
      </c>
    </row>
    <row r="847" spans="1:8" ht="43.2" hidden="1" customHeight="1" x14ac:dyDescent="0.3">
      <c r="A847" t="s">
        <v>234</v>
      </c>
      <c r="B847" s="2">
        <v>46174</v>
      </c>
      <c r="C847" s="10">
        <v>31</v>
      </c>
      <c r="D847">
        <v>0</v>
      </c>
      <c r="E847" t="s">
        <v>33</v>
      </c>
      <c r="F847" t="s">
        <v>33</v>
      </c>
      <c r="G847" t="s">
        <v>1014</v>
      </c>
      <c r="H847" t="s">
        <v>36</v>
      </c>
    </row>
    <row r="848" spans="1:8" hidden="1" x14ac:dyDescent="0.3">
      <c r="A848" t="s">
        <v>234</v>
      </c>
      <c r="B848" s="2">
        <v>46204</v>
      </c>
      <c r="C848" s="10">
        <v>31</v>
      </c>
      <c r="D848">
        <v>0</v>
      </c>
      <c r="E848" t="s">
        <v>33</v>
      </c>
      <c r="F848" t="s">
        <v>33</v>
      </c>
      <c r="G848" t="s">
        <v>1014</v>
      </c>
      <c r="H848" t="s">
        <v>36</v>
      </c>
    </row>
    <row r="849" spans="1:8" hidden="1" x14ac:dyDescent="0.3">
      <c r="A849" t="s">
        <v>131</v>
      </c>
      <c r="B849" s="2">
        <v>45536</v>
      </c>
      <c r="C849" s="10"/>
    </row>
    <row r="850" spans="1:8" hidden="1" x14ac:dyDescent="0.3">
      <c r="A850" t="s">
        <v>131</v>
      </c>
      <c r="B850" s="2">
        <v>45566</v>
      </c>
      <c r="C850" s="10"/>
    </row>
    <row r="851" spans="1:8" hidden="1" x14ac:dyDescent="0.3">
      <c r="A851" t="s">
        <v>131</v>
      </c>
      <c r="B851" s="2">
        <v>45597</v>
      </c>
      <c r="C851" s="10"/>
    </row>
    <row r="852" spans="1:8" hidden="1" x14ac:dyDescent="0.3">
      <c r="A852" t="s">
        <v>131</v>
      </c>
      <c r="B852" s="2">
        <v>45627</v>
      </c>
      <c r="C852" s="10"/>
    </row>
    <row r="853" spans="1:8" hidden="1" x14ac:dyDescent="0.3">
      <c r="A853" t="s">
        <v>131</v>
      </c>
      <c r="B853" s="2">
        <v>45658</v>
      </c>
      <c r="C853" s="10"/>
    </row>
    <row r="854" spans="1:8" ht="100.8" hidden="1" x14ac:dyDescent="0.3">
      <c r="A854" t="s">
        <v>131</v>
      </c>
      <c r="B854" s="2">
        <v>45689</v>
      </c>
      <c r="C854" s="10" t="s">
        <v>534</v>
      </c>
    </row>
    <row r="855" spans="1:8" ht="187.2" hidden="1" x14ac:dyDescent="0.3">
      <c r="A855" t="s">
        <v>131</v>
      </c>
      <c r="B855" s="2">
        <v>45717</v>
      </c>
      <c r="C855" s="10" t="s">
        <v>535</v>
      </c>
    </row>
    <row r="856" spans="1:8" ht="115.2" hidden="1" x14ac:dyDescent="0.3">
      <c r="A856" t="s">
        <v>131</v>
      </c>
      <c r="B856" s="2">
        <v>45748</v>
      </c>
      <c r="C856" s="10" t="s">
        <v>536</v>
      </c>
    </row>
    <row r="857" spans="1:8" ht="129.6" hidden="1" x14ac:dyDescent="0.3">
      <c r="A857" t="s">
        <v>131</v>
      </c>
      <c r="B857" s="2">
        <v>45778</v>
      </c>
      <c r="C857" s="10" t="s">
        <v>537</v>
      </c>
    </row>
    <row r="858" spans="1:8" ht="100.8" hidden="1" x14ac:dyDescent="0.3">
      <c r="A858" t="s">
        <v>131</v>
      </c>
      <c r="B858" s="2">
        <v>45809</v>
      </c>
      <c r="C858" s="10" t="s">
        <v>538</v>
      </c>
    </row>
    <row r="859" spans="1:8" hidden="1" x14ac:dyDescent="0.3">
      <c r="A859" t="s">
        <v>131</v>
      </c>
      <c r="B859" s="2">
        <v>45839</v>
      </c>
      <c r="C859" t="s">
        <v>911</v>
      </c>
      <c r="D859">
        <v>0</v>
      </c>
      <c r="E859" t="s">
        <v>33</v>
      </c>
      <c r="F859" t="s">
        <v>33</v>
      </c>
      <c r="G859" s="10" t="s">
        <v>338</v>
      </c>
      <c r="H859" t="s">
        <v>36</v>
      </c>
    </row>
    <row r="860" spans="1:8" hidden="1" x14ac:dyDescent="0.3">
      <c r="A860" t="s">
        <v>131</v>
      </c>
      <c r="B860" s="2">
        <v>45870</v>
      </c>
      <c r="C860" t="s">
        <v>911</v>
      </c>
      <c r="D860">
        <v>0</v>
      </c>
      <c r="E860" t="s">
        <v>33</v>
      </c>
      <c r="F860" t="s">
        <v>33</v>
      </c>
      <c r="G860" s="10" t="s">
        <v>338</v>
      </c>
      <c r="H860" t="s">
        <v>36</v>
      </c>
    </row>
    <row r="861" spans="1:8" hidden="1" x14ac:dyDescent="0.3">
      <c r="A861" t="s">
        <v>131</v>
      </c>
      <c r="B861" s="2">
        <v>45901</v>
      </c>
      <c r="C861" t="s">
        <v>919</v>
      </c>
      <c r="D861">
        <v>0</v>
      </c>
      <c r="E861" t="s">
        <v>33</v>
      </c>
      <c r="F861" t="s">
        <v>33</v>
      </c>
      <c r="G861" s="10" t="s">
        <v>338</v>
      </c>
      <c r="H861" t="s">
        <v>36</v>
      </c>
    </row>
    <row r="862" spans="1:8" hidden="1" x14ac:dyDescent="0.3">
      <c r="A862" t="s">
        <v>131</v>
      </c>
      <c r="B862" s="2">
        <v>45931</v>
      </c>
      <c r="C862" t="s">
        <v>911</v>
      </c>
      <c r="D862">
        <v>0</v>
      </c>
      <c r="E862" t="s">
        <v>33</v>
      </c>
      <c r="F862" t="s">
        <v>33</v>
      </c>
      <c r="G862" s="10" t="s">
        <v>338</v>
      </c>
      <c r="H862" t="s">
        <v>36</v>
      </c>
    </row>
    <row r="863" spans="1:8" hidden="1" x14ac:dyDescent="0.3">
      <c r="A863" t="s">
        <v>131</v>
      </c>
      <c r="B863" s="2">
        <v>45962</v>
      </c>
      <c r="C863" t="s">
        <v>919</v>
      </c>
      <c r="D863">
        <v>0</v>
      </c>
      <c r="E863" t="s">
        <v>33</v>
      </c>
      <c r="F863" t="s">
        <v>33</v>
      </c>
      <c r="G863" s="10" t="s">
        <v>338</v>
      </c>
      <c r="H863" t="s">
        <v>36</v>
      </c>
    </row>
    <row r="864" spans="1:8" hidden="1" x14ac:dyDescent="0.3">
      <c r="A864" t="s">
        <v>131</v>
      </c>
      <c r="B864" s="2">
        <v>45992</v>
      </c>
      <c r="C864" t="s">
        <v>911</v>
      </c>
      <c r="D864">
        <v>0</v>
      </c>
      <c r="E864" t="s">
        <v>33</v>
      </c>
      <c r="F864" t="s">
        <v>33</v>
      </c>
      <c r="G864" s="10" t="s">
        <v>338</v>
      </c>
      <c r="H864" t="s">
        <v>36</v>
      </c>
    </row>
    <row r="865" spans="1:8" hidden="1" x14ac:dyDescent="0.3">
      <c r="A865" t="s">
        <v>131</v>
      </c>
      <c r="B865" s="2">
        <v>46023</v>
      </c>
      <c r="C865" t="s">
        <v>911</v>
      </c>
      <c r="D865">
        <v>0</v>
      </c>
      <c r="E865" t="s">
        <v>33</v>
      </c>
      <c r="F865" t="s">
        <v>33</v>
      </c>
      <c r="G865" s="10" t="s">
        <v>338</v>
      </c>
      <c r="H865" t="s">
        <v>36</v>
      </c>
    </row>
    <row r="866" spans="1:8" hidden="1" x14ac:dyDescent="0.3">
      <c r="A866" t="s">
        <v>131</v>
      </c>
      <c r="B866" s="2">
        <v>46054</v>
      </c>
      <c r="C866" t="s">
        <v>895</v>
      </c>
      <c r="D866">
        <v>0</v>
      </c>
      <c r="E866" t="s">
        <v>33</v>
      </c>
      <c r="F866" t="s">
        <v>33</v>
      </c>
      <c r="G866" s="10" t="s">
        <v>338</v>
      </c>
      <c r="H866" t="s">
        <v>36</v>
      </c>
    </row>
    <row r="867" spans="1:8" hidden="1" x14ac:dyDescent="0.3">
      <c r="A867" t="s">
        <v>131</v>
      </c>
      <c r="B867" s="2">
        <v>46082</v>
      </c>
      <c r="C867" t="s">
        <v>911</v>
      </c>
      <c r="D867">
        <v>0</v>
      </c>
      <c r="E867" t="s">
        <v>33</v>
      </c>
      <c r="F867" t="s">
        <v>33</v>
      </c>
      <c r="G867" s="10" t="s">
        <v>338</v>
      </c>
      <c r="H867" t="s">
        <v>36</v>
      </c>
    </row>
    <row r="868" spans="1:8" hidden="1" x14ac:dyDescent="0.3">
      <c r="A868" t="s">
        <v>131</v>
      </c>
      <c r="B868" s="2">
        <v>46113</v>
      </c>
      <c r="C868" t="s">
        <v>919</v>
      </c>
      <c r="D868">
        <v>0</v>
      </c>
      <c r="E868" t="s">
        <v>33</v>
      </c>
      <c r="F868" t="s">
        <v>33</v>
      </c>
      <c r="G868" s="10" t="s">
        <v>338</v>
      </c>
      <c r="H868" t="s">
        <v>36</v>
      </c>
    </row>
    <row r="869" spans="1:8" hidden="1" x14ac:dyDescent="0.3">
      <c r="A869" t="s">
        <v>131</v>
      </c>
      <c r="B869" s="2">
        <v>46143</v>
      </c>
      <c r="C869" t="s">
        <v>911</v>
      </c>
      <c r="D869">
        <v>0</v>
      </c>
      <c r="E869" t="s">
        <v>33</v>
      </c>
      <c r="F869" t="s">
        <v>33</v>
      </c>
      <c r="G869" s="10" t="s">
        <v>338</v>
      </c>
      <c r="H869" t="s">
        <v>36</v>
      </c>
    </row>
    <row r="870" spans="1:8" x14ac:dyDescent="0.3">
      <c r="A870" t="s">
        <v>131</v>
      </c>
      <c r="B870" s="2">
        <v>46235</v>
      </c>
      <c r="C870" t="s">
        <v>896</v>
      </c>
      <c r="D870">
        <v>0</v>
      </c>
      <c r="E870" t="s">
        <v>33</v>
      </c>
      <c r="F870" t="s">
        <v>33</v>
      </c>
      <c r="G870" t="s">
        <v>338</v>
      </c>
      <c r="H870" t="s">
        <v>36</v>
      </c>
    </row>
    <row r="871" spans="1:8" hidden="1" x14ac:dyDescent="0.3">
      <c r="A871" t="s">
        <v>131</v>
      </c>
      <c r="B871" s="2">
        <v>46174</v>
      </c>
      <c r="C871" t="s">
        <v>919</v>
      </c>
      <c r="D871">
        <v>0</v>
      </c>
      <c r="E871" t="s">
        <v>33</v>
      </c>
      <c r="F871" t="s">
        <v>33</v>
      </c>
      <c r="G871" s="10" t="s">
        <v>338</v>
      </c>
      <c r="H871" t="s">
        <v>36</v>
      </c>
    </row>
    <row r="872" spans="1:8" hidden="1" x14ac:dyDescent="0.3">
      <c r="A872" t="s">
        <v>131</v>
      </c>
      <c r="B872" s="2">
        <v>46204</v>
      </c>
      <c r="C872" s="10">
        <v>31</v>
      </c>
      <c r="D872">
        <v>0</v>
      </c>
      <c r="E872" t="s">
        <v>33</v>
      </c>
      <c r="F872" t="s">
        <v>33</v>
      </c>
      <c r="G872" t="s">
        <v>1014</v>
      </c>
      <c r="H872" t="s">
        <v>36</v>
      </c>
    </row>
    <row r="873" spans="1:8" hidden="1" x14ac:dyDescent="0.3">
      <c r="A873" t="s">
        <v>134</v>
      </c>
      <c r="B873" s="2">
        <v>45536</v>
      </c>
      <c r="C873" s="10"/>
    </row>
    <row r="874" spans="1:8" hidden="1" x14ac:dyDescent="0.3">
      <c r="A874" t="s">
        <v>134</v>
      </c>
      <c r="B874" s="2">
        <v>45566</v>
      </c>
      <c r="C874" s="10"/>
    </row>
    <row r="875" spans="1:8" hidden="1" x14ac:dyDescent="0.3">
      <c r="A875" t="s">
        <v>134</v>
      </c>
      <c r="B875" s="2">
        <v>45597</v>
      </c>
      <c r="C875" s="10"/>
    </row>
    <row r="876" spans="1:8" hidden="1" x14ac:dyDescent="0.3">
      <c r="A876" t="s">
        <v>134</v>
      </c>
      <c r="B876" s="2">
        <v>45627</v>
      </c>
      <c r="C876" s="10"/>
    </row>
    <row r="877" spans="1:8" hidden="1" x14ac:dyDescent="0.3">
      <c r="A877" t="s">
        <v>134</v>
      </c>
      <c r="B877" s="2">
        <v>45658</v>
      </c>
      <c r="C877" s="10"/>
    </row>
    <row r="878" spans="1:8" ht="43.2" hidden="1" x14ac:dyDescent="0.3">
      <c r="A878" t="s">
        <v>134</v>
      </c>
      <c r="B878" s="2">
        <v>45689</v>
      </c>
      <c r="C878" s="10" t="s">
        <v>539</v>
      </c>
    </row>
    <row r="879" spans="1:8" ht="28.95" hidden="1" customHeight="1" x14ac:dyDescent="0.3">
      <c r="A879" t="s">
        <v>134</v>
      </c>
      <c r="B879" s="2">
        <v>45717</v>
      </c>
      <c r="C879" s="10" t="s">
        <v>540</v>
      </c>
    </row>
    <row r="880" spans="1:8" ht="43.2" hidden="1" customHeight="1" x14ac:dyDescent="0.3">
      <c r="A880" t="s">
        <v>134</v>
      </c>
      <c r="B880" s="2">
        <v>45748</v>
      </c>
      <c r="C880" s="10" t="s">
        <v>541</v>
      </c>
    </row>
    <row r="881" spans="1:8" ht="115.2" hidden="1" x14ac:dyDescent="0.3">
      <c r="A881" t="s">
        <v>134</v>
      </c>
      <c r="B881" s="2">
        <v>45778</v>
      </c>
      <c r="C881" s="10" t="s">
        <v>542</v>
      </c>
    </row>
    <row r="882" spans="1:8" ht="115.2" hidden="1" x14ac:dyDescent="0.3">
      <c r="A882" t="s">
        <v>134</v>
      </c>
      <c r="B882" s="2">
        <v>45809</v>
      </c>
      <c r="C882" s="10" t="s">
        <v>543</v>
      </c>
    </row>
    <row r="883" spans="1:8" ht="129.6" hidden="1" x14ac:dyDescent="0.3">
      <c r="A883" t="s">
        <v>134</v>
      </c>
      <c r="B883" s="2">
        <v>45839</v>
      </c>
      <c r="C883" s="10" t="s">
        <v>544</v>
      </c>
    </row>
    <row r="884" spans="1:8" ht="115.2" hidden="1" x14ac:dyDescent="0.3">
      <c r="A884" t="s">
        <v>134</v>
      </c>
      <c r="B884" s="2">
        <v>45870</v>
      </c>
      <c r="C884" s="10" t="s">
        <v>545</v>
      </c>
    </row>
    <row r="885" spans="1:8" ht="100.8" hidden="1" x14ac:dyDescent="0.3">
      <c r="A885" t="s">
        <v>134</v>
      </c>
      <c r="B885" s="2">
        <v>45901</v>
      </c>
      <c r="C885" s="10" t="s">
        <v>546</v>
      </c>
    </row>
    <row r="886" spans="1:8" ht="100.8" hidden="1" x14ac:dyDescent="0.3">
      <c r="A886" t="s">
        <v>134</v>
      </c>
      <c r="B886" s="2">
        <v>45931</v>
      </c>
      <c r="C886" s="10" t="s">
        <v>547</v>
      </c>
    </row>
    <row r="887" spans="1:8" ht="100.8" hidden="1" x14ac:dyDescent="0.3">
      <c r="A887" t="s">
        <v>134</v>
      </c>
      <c r="B887" s="2">
        <v>45962</v>
      </c>
      <c r="C887" s="10" t="s">
        <v>548</v>
      </c>
    </row>
    <row r="888" spans="1:8" hidden="1" x14ac:dyDescent="0.3">
      <c r="A888" t="s">
        <v>134</v>
      </c>
      <c r="B888" s="2">
        <v>45992</v>
      </c>
      <c r="C888" s="10" t="s">
        <v>455</v>
      </c>
    </row>
    <row r="889" spans="1:8" hidden="1" x14ac:dyDescent="0.3">
      <c r="A889" t="s">
        <v>134</v>
      </c>
      <c r="B889" s="2">
        <v>46023</v>
      </c>
      <c r="C889" s="10" t="s">
        <v>338</v>
      </c>
    </row>
    <row r="890" spans="1:8" hidden="1" x14ac:dyDescent="0.3">
      <c r="A890" t="s">
        <v>134</v>
      </c>
      <c r="B890" s="2">
        <v>46054</v>
      </c>
      <c r="C890" s="10" t="s">
        <v>326</v>
      </c>
    </row>
    <row r="891" spans="1:8" hidden="1" x14ac:dyDescent="0.3">
      <c r="A891" t="s">
        <v>134</v>
      </c>
      <c r="B891" s="2">
        <v>46082</v>
      </c>
      <c r="C891" s="10" t="s">
        <v>326</v>
      </c>
    </row>
    <row r="892" spans="1:8" hidden="1" x14ac:dyDescent="0.3">
      <c r="A892" t="s">
        <v>134</v>
      </c>
      <c r="B892" s="2">
        <v>46113</v>
      </c>
      <c r="C892" s="10" t="s">
        <v>532</v>
      </c>
    </row>
    <row r="893" spans="1:8" hidden="1" x14ac:dyDescent="0.3">
      <c r="A893" t="s">
        <v>134</v>
      </c>
      <c r="B893" s="2">
        <v>46143</v>
      </c>
      <c r="C893" s="10" t="s">
        <v>302</v>
      </c>
    </row>
    <row r="894" spans="1:8" x14ac:dyDescent="0.3">
      <c r="A894" t="s">
        <v>134</v>
      </c>
      <c r="B894" s="2">
        <v>46235</v>
      </c>
      <c r="C894" t="s">
        <v>896</v>
      </c>
      <c r="D894">
        <v>0</v>
      </c>
      <c r="E894" t="s">
        <v>33</v>
      </c>
      <c r="F894" t="s">
        <v>33</v>
      </c>
      <c r="G894" t="s">
        <v>338</v>
      </c>
      <c r="H894" t="s">
        <v>36</v>
      </c>
    </row>
    <row r="895" spans="1:8" hidden="1" x14ac:dyDescent="0.3">
      <c r="A895" t="s">
        <v>134</v>
      </c>
      <c r="B895" s="2">
        <v>46174</v>
      </c>
      <c r="C895" s="10"/>
    </row>
    <row r="896" spans="1:8" hidden="1" x14ac:dyDescent="0.3">
      <c r="A896" t="s">
        <v>134</v>
      </c>
      <c r="B896" s="2">
        <v>46204</v>
      </c>
      <c r="C896" s="10">
        <v>31</v>
      </c>
      <c r="D896">
        <v>0</v>
      </c>
      <c r="E896" t="s">
        <v>33</v>
      </c>
      <c r="F896" t="s">
        <v>33</v>
      </c>
      <c r="G896" t="s">
        <v>1014</v>
      </c>
      <c r="H896" t="s">
        <v>36</v>
      </c>
    </row>
    <row r="897" spans="1:8" hidden="1" x14ac:dyDescent="0.3">
      <c r="A897" t="s">
        <v>994</v>
      </c>
      <c r="B897" s="2">
        <v>45870</v>
      </c>
      <c r="C897" s="10" t="s">
        <v>911</v>
      </c>
      <c r="D897">
        <v>0</v>
      </c>
      <c r="E897" t="s">
        <v>33</v>
      </c>
      <c r="F897" t="s">
        <v>33</v>
      </c>
      <c r="G897" t="s">
        <v>995</v>
      </c>
      <c r="H897" s="10" t="s">
        <v>36</v>
      </c>
    </row>
    <row r="898" spans="1:8" hidden="1" x14ac:dyDescent="0.3">
      <c r="A898" t="s">
        <v>138</v>
      </c>
      <c r="B898" s="2">
        <v>45536</v>
      </c>
      <c r="C898" s="10"/>
    </row>
    <row r="899" spans="1:8" hidden="1" x14ac:dyDescent="0.3">
      <c r="A899" t="s">
        <v>138</v>
      </c>
      <c r="B899" s="2">
        <v>45566</v>
      </c>
      <c r="C899" s="10"/>
    </row>
    <row r="900" spans="1:8" hidden="1" x14ac:dyDescent="0.3">
      <c r="A900" t="s">
        <v>138</v>
      </c>
      <c r="B900" s="2">
        <v>45597</v>
      </c>
      <c r="C900" s="10"/>
    </row>
    <row r="901" spans="1:8" hidden="1" x14ac:dyDescent="0.3">
      <c r="A901" t="s">
        <v>138</v>
      </c>
      <c r="B901" s="2">
        <v>45627</v>
      </c>
      <c r="C901" s="10"/>
    </row>
    <row r="902" spans="1:8" hidden="1" x14ac:dyDescent="0.3">
      <c r="A902" t="s">
        <v>138</v>
      </c>
      <c r="B902" s="2">
        <v>45658</v>
      </c>
      <c r="C902" s="10"/>
    </row>
    <row r="903" spans="1:8" ht="86.4" hidden="1" x14ac:dyDescent="0.3">
      <c r="A903" t="s">
        <v>138</v>
      </c>
      <c r="B903" s="2">
        <v>45689</v>
      </c>
      <c r="C903" s="10" t="s">
        <v>549</v>
      </c>
    </row>
    <row r="904" spans="1:8" hidden="1" x14ac:dyDescent="0.3">
      <c r="A904" t="s">
        <v>138</v>
      </c>
      <c r="B904" s="2">
        <v>45717</v>
      </c>
      <c r="C904" s="10"/>
    </row>
    <row r="905" spans="1:8" hidden="1" x14ac:dyDescent="0.3">
      <c r="A905" t="s">
        <v>138</v>
      </c>
      <c r="B905" s="2">
        <v>45748</v>
      </c>
      <c r="C905" s="10"/>
    </row>
    <row r="906" spans="1:8" hidden="1" x14ac:dyDescent="0.3">
      <c r="A906" t="s">
        <v>138</v>
      </c>
      <c r="B906" s="2">
        <v>45778</v>
      </c>
      <c r="C906" s="10" t="s">
        <v>550</v>
      </c>
    </row>
    <row r="907" spans="1:8" hidden="1" x14ac:dyDescent="0.3">
      <c r="A907" t="s">
        <v>138</v>
      </c>
      <c r="B907" s="2">
        <v>45809</v>
      </c>
      <c r="C907" s="10" t="s">
        <v>550</v>
      </c>
    </row>
    <row r="908" spans="1:8" hidden="1" x14ac:dyDescent="0.3">
      <c r="A908" t="s">
        <v>138</v>
      </c>
      <c r="B908" s="2">
        <v>45839</v>
      </c>
      <c r="C908" s="10" t="s">
        <v>550</v>
      </c>
    </row>
    <row r="909" spans="1:8" hidden="1" x14ac:dyDescent="0.3">
      <c r="A909" t="s">
        <v>138</v>
      </c>
      <c r="B909" s="2">
        <v>45870</v>
      </c>
      <c r="C909" s="10" t="s">
        <v>550</v>
      </c>
    </row>
    <row r="910" spans="1:8" hidden="1" x14ac:dyDescent="0.3">
      <c r="A910" t="s">
        <v>138</v>
      </c>
      <c r="B910" s="2">
        <v>45901</v>
      </c>
      <c r="C910" s="10" t="s">
        <v>550</v>
      </c>
    </row>
    <row r="911" spans="1:8" hidden="1" x14ac:dyDescent="0.3">
      <c r="A911" t="s">
        <v>138</v>
      </c>
      <c r="B911" s="2">
        <v>45931</v>
      </c>
      <c r="C911" s="10" t="s">
        <v>550</v>
      </c>
    </row>
    <row r="912" spans="1:8" hidden="1" x14ac:dyDescent="0.3">
      <c r="A912" t="s">
        <v>138</v>
      </c>
      <c r="B912" s="2">
        <v>45962</v>
      </c>
      <c r="C912" s="10" t="s">
        <v>550</v>
      </c>
    </row>
    <row r="913" spans="1:8" hidden="1" x14ac:dyDescent="0.3">
      <c r="A913" t="s">
        <v>138</v>
      </c>
      <c r="B913" s="2">
        <v>45992</v>
      </c>
      <c r="C913" s="10" t="s">
        <v>550</v>
      </c>
    </row>
    <row r="914" spans="1:8" hidden="1" x14ac:dyDescent="0.3">
      <c r="A914" t="s">
        <v>138</v>
      </c>
      <c r="B914" s="2">
        <v>46023</v>
      </c>
      <c r="C914" s="10" t="s">
        <v>550</v>
      </c>
    </row>
    <row r="915" spans="1:8" hidden="1" x14ac:dyDescent="0.3">
      <c r="A915" t="s">
        <v>138</v>
      </c>
      <c r="B915" s="2">
        <v>46054</v>
      </c>
      <c r="C915" s="10" t="s">
        <v>326</v>
      </c>
    </row>
    <row r="916" spans="1:8" ht="28.8" hidden="1" x14ac:dyDescent="0.3">
      <c r="A916" t="s">
        <v>138</v>
      </c>
      <c r="B916" s="2">
        <v>46082</v>
      </c>
      <c r="C916" s="10" t="s">
        <v>551</v>
      </c>
    </row>
    <row r="917" spans="1:8" hidden="1" x14ac:dyDescent="0.3">
      <c r="A917" t="s">
        <v>138</v>
      </c>
      <c r="B917" s="2">
        <v>46113</v>
      </c>
      <c r="C917" s="10" t="s">
        <v>552</v>
      </c>
    </row>
    <row r="918" spans="1:8" hidden="1" x14ac:dyDescent="0.3">
      <c r="A918" t="s">
        <v>138</v>
      </c>
      <c r="B918" s="2">
        <v>46143</v>
      </c>
      <c r="C918" s="10" t="s">
        <v>858</v>
      </c>
    </row>
    <row r="919" spans="1:8" x14ac:dyDescent="0.3">
      <c r="A919" t="s">
        <v>138</v>
      </c>
      <c r="B919" s="2">
        <v>46235</v>
      </c>
      <c r="C919" s="10"/>
    </row>
    <row r="920" spans="1:8" ht="28.95" hidden="1" customHeight="1" x14ac:dyDescent="0.3">
      <c r="A920" t="s">
        <v>138</v>
      </c>
      <c r="B920" s="2">
        <v>46174</v>
      </c>
      <c r="C920" s="10"/>
    </row>
    <row r="921" spans="1:8" ht="57.6" hidden="1" customHeight="1" x14ac:dyDescent="0.3">
      <c r="A921" t="s">
        <v>138</v>
      </c>
      <c r="B921" s="2">
        <v>46204</v>
      </c>
      <c r="C921" s="10">
        <v>31</v>
      </c>
      <c r="D921">
        <v>0</v>
      </c>
      <c r="E921" t="s">
        <v>33</v>
      </c>
      <c r="F921" t="s">
        <v>1036</v>
      </c>
      <c r="G921" t="s">
        <v>1035</v>
      </c>
      <c r="H921" t="s">
        <v>36</v>
      </c>
    </row>
    <row r="922" spans="1:8" ht="57.6" hidden="1" customHeight="1" x14ac:dyDescent="0.3">
      <c r="A922" t="s">
        <v>220</v>
      </c>
      <c r="B922" s="2">
        <v>45536</v>
      </c>
      <c r="C922" s="10"/>
    </row>
    <row r="923" spans="1:8" ht="57.6" hidden="1" customHeight="1" x14ac:dyDescent="0.3">
      <c r="A923" t="s">
        <v>220</v>
      </c>
      <c r="B923" s="2">
        <v>45566</v>
      </c>
      <c r="C923" s="10"/>
    </row>
    <row r="924" spans="1:8" hidden="1" x14ac:dyDescent="0.3">
      <c r="A924" t="s">
        <v>220</v>
      </c>
      <c r="B924" s="2">
        <v>45597</v>
      </c>
      <c r="C924" s="10"/>
    </row>
    <row r="925" spans="1:8" ht="57.6" hidden="1" customHeight="1" x14ac:dyDescent="0.3">
      <c r="A925" t="s">
        <v>220</v>
      </c>
      <c r="B925" s="2">
        <v>45627</v>
      </c>
      <c r="C925" s="10"/>
    </row>
    <row r="926" spans="1:8" ht="57.6" hidden="1" customHeight="1" x14ac:dyDescent="0.3">
      <c r="A926" t="s">
        <v>220</v>
      </c>
      <c r="B926" s="2">
        <v>45658</v>
      </c>
      <c r="C926" s="10"/>
    </row>
    <row r="927" spans="1:8" ht="57.6" hidden="1" customHeight="1" x14ac:dyDescent="0.3">
      <c r="A927" t="s">
        <v>220</v>
      </c>
      <c r="B927" s="2">
        <v>45689</v>
      </c>
      <c r="C927" s="10"/>
    </row>
    <row r="928" spans="1:8" ht="57.6" hidden="1" customHeight="1" x14ac:dyDescent="0.3">
      <c r="A928" t="s">
        <v>220</v>
      </c>
      <c r="B928" s="2">
        <v>45717</v>
      </c>
      <c r="C928" s="10"/>
      <c r="G928" s="45"/>
    </row>
    <row r="929" spans="1:8" hidden="1" x14ac:dyDescent="0.3">
      <c r="A929" t="s">
        <v>220</v>
      </c>
      <c r="B929" s="2">
        <v>45748</v>
      </c>
      <c r="C929" s="10"/>
      <c r="G929" s="45"/>
    </row>
    <row r="930" spans="1:8" hidden="1" x14ac:dyDescent="0.3">
      <c r="A930" t="s">
        <v>220</v>
      </c>
      <c r="B930" s="2">
        <v>45778</v>
      </c>
      <c r="C930" s="10"/>
    </row>
    <row r="931" spans="1:8" hidden="1" x14ac:dyDescent="0.3">
      <c r="A931" t="s">
        <v>220</v>
      </c>
      <c r="B931" s="2">
        <v>45809</v>
      </c>
      <c r="C931" s="10"/>
    </row>
    <row r="932" spans="1:8" hidden="1" x14ac:dyDescent="0.3">
      <c r="A932" t="s">
        <v>220</v>
      </c>
      <c r="B932" s="2">
        <v>45839</v>
      </c>
      <c r="C932" s="10" t="s">
        <v>36</v>
      </c>
      <c r="D932" t="s">
        <v>36</v>
      </c>
      <c r="E932" t="s">
        <v>36</v>
      </c>
      <c r="F932" t="s">
        <v>36</v>
      </c>
      <c r="G932" t="s">
        <v>36</v>
      </c>
      <c r="H932" t="s">
        <v>920</v>
      </c>
    </row>
    <row r="933" spans="1:8" hidden="1" x14ac:dyDescent="0.3">
      <c r="A933" t="s">
        <v>220</v>
      </c>
      <c r="B933" s="2">
        <v>45870</v>
      </c>
      <c r="C933" s="10" t="s">
        <v>36</v>
      </c>
      <c r="D933" t="s">
        <v>36</v>
      </c>
      <c r="E933" t="s">
        <v>36</v>
      </c>
      <c r="F933" t="s">
        <v>36</v>
      </c>
      <c r="G933" t="s">
        <v>36</v>
      </c>
      <c r="H933" t="s">
        <v>920</v>
      </c>
    </row>
    <row r="934" spans="1:8" hidden="1" x14ac:dyDescent="0.3">
      <c r="A934" t="s">
        <v>220</v>
      </c>
      <c r="B934" s="2">
        <v>45901</v>
      </c>
      <c r="C934" s="10" t="s">
        <v>921</v>
      </c>
      <c r="D934" t="s">
        <v>922</v>
      </c>
      <c r="E934" t="s">
        <v>923</v>
      </c>
      <c r="F934" t="s">
        <v>33</v>
      </c>
      <c r="G934" t="s">
        <v>912</v>
      </c>
      <c r="H934" t="s">
        <v>36</v>
      </c>
    </row>
    <row r="935" spans="1:8" hidden="1" x14ac:dyDescent="0.3">
      <c r="A935" t="s">
        <v>220</v>
      </c>
      <c r="B935" s="2">
        <v>45931</v>
      </c>
      <c r="C935" s="10" t="s">
        <v>911</v>
      </c>
      <c r="D935">
        <v>0</v>
      </c>
      <c r="E935" t="s">
        <v>33</v>
      </c>
      <c r="F935" t="s">
        <v>33</v>
      </c>
      <c r="G935" t="s">
        <v>33</v>
      </c>
      <c r="H935" t="s">
        <v>36</v>
      </c>
    </row>
    <row r="936" spans="1:8" hidden="1" x14ac:dyDescent="0.3">
      <c r="A936" t="s">
        <v>220</v>
      </c>
      <c r="B936" s="2">
        <v>45962</v>
      </c>
      <c r="C936" s="10" t="s">
        <v>896</v>
      </c>
      <c r="D936">
        <v>0</v>
      </c>
      <c r="E936" t="s">
        <v>33</v>
      </c>
      <c r="F936" t="s">
        <v>33</v>
      </c>
      <c r="G936" t="s">
        <v>33</v>
      </c>
      <c r="H936" t="s">
        <v>36</v>
      </c>
    </row>
    <row r="937" spans="1:8" hidden="1" x14ac:dyDescent="0.3">
      <c r="A937" t="s">
        <v>220</v>
      </c>
      <c r="B937" s="2">
        <v>45992</v>
      </c>
      <c r="C937" s="10" t="s">
        <v>925</v>
      </c>
      <c r="D937" t="s">
        <v>924</v>
      </c>
      <c r="E937" t="s">
        <v>927</v>
      </c>
      <c r="F937" t="s">
        <v>33</v>
      </c>
      <c r="G937" t="s">
        <v>926</v>
      </c>
      <c r="H937" t="s">
        <v>36</v>
      </c>
    </row>
    <row r="938" spans="1:8" hidden="1" x14ac:dyDescent="0.3">
      <c r="A938" t="s">
        <v>220</v>
      </c>
      <c r="B938" s="2">
        <v>46023</v>
      </c>
      <c r="C938" t="s">
        <v>892</v>
      </c>
      <c r="D938">
        <v>0</v>
      </c>
      <c r="E938" t="s">
        <v>33</v>
      </c>
      <c r="F938" t="s">
        <v>912</v>
      </c>
      <c r="G938" s="10" t="s">
        <v>338</v>
      </c>
      <c r="H938" t="s">
        <v>36</v>
      </c>
    </row>
    <row r="939" spans="1:8" hidden="1" x14ac:dyDescent="0.3">
      <c r="A939" t="s">
        <v>220</v>
      </c>
      <c r="B939" s="2">
        <v>46054</v>
      </c>
      <c r="C939" s="10" t="s">
        <v>903</v>
      </c>
      <c r="D939">
        <v>0</v>
      </c>
      <c r="E939" t="s">
        <v>33</v>
      </c>
      <c r="F939" t="s">
        <v>912</v>
      </c>
      <c r="G939" s="10" t="s">
        <v>314</v>
      </c>
      <c r="H939" t="s">
        <v>36</v>
      </c>
    </row>
    <row r="940" spans="1:8" hidden="1" x14ac:dyDescent="0.3">
      <c r="A940" t="s">
        <v>220</v>
      </c>
      <c r="B940" s="2">
        <v>46082</v>
      </c>
      <c r="C940" s="10" t="s">
        <v>892</v>
      </c>
      <c r="D940">
        <v>0</v>
      </c>
      <c r="E940" t="s">
        <v>33</v>
      </c>
      <c r="F940" t="s">
        <v>912</v>
      </c>
      <c r="G940" s="10" t="s">
        <v>314</v>
      </c>
      <c r="H940" t="s">
        <v>36</v>
      </c>
    </row>
    <row r="941" spans="1:8" hidden="1" x14ac:dyDescent="0.3">
      <c r="A941" t="s">
        <v>220</v>
      </c>
      <c r="B941" s="2">
        <v>46113</v>
      </c>
      <c r="C941" s="10" t="s">
        <v>896</v>
      </c>
      <c r="D941">
        <v>0</v>
      </c>
      <c r="E941" t="s">
        <v>33</v>
      </c>
      <c r="F941" t="s">
        <v>912</v>
      </c>
      <c r="G941" s="10" t="s">
        <v>314</v>
      </c>
      <c r="H941" t="s">
        <v>36</v>
      </c>
    </row>
    <row r="942" spans="1:8" hidden="1" x14ac:dyDescent="0.3">
      <c r="A942" t="s">
        <v>220</v>
      </c>
      <c r="B942" s="2">
        <v>46143</v>
      </c>
      <c r="C942" s="10" t="s">
        <v>911</v>
      </c>
      <c r="D942">
        <v>0</v>
      </c>
      <c r="E942" t="s">
        <v>33</v>
      </c>
      <c r="F942" t="s">
        <v>912</v>
      </c>
      <c r="G942" s="10" t="s">
        <v>302</v>
      </c>
      <c r="H942" t="s">
        <v>36</v>
      </c>
    </row>
    <row r="943" spans="1:8" ht="28.95" customHeight="1" x14ac:dyDescent="0.3">
      <c r="A943" t="s">
        <v>220</v>
      </c>
      <c r="B943" s="2">
        <v>46235</v>
      </c>
      <c r="C943" t="s">
        <v>896</v>
      </c>
      <c r="D943">
        <v>0</v>
      </c>
      <c r="E943" t="s">
        <v>33</v>
      </c>
      <c r="F943" t="s">
        <v>33</v>
      </c>
      <c r="G943" t="s">
        <v>338</v>
      </c>
      <c r="H943" t="s">
        <v>36</v>
      </c>
    </row>
    <row r="944" spans="1:8" hidden="1" x14ac:dyDescent="0.3">
      <c r="A944" t="s">
        <v>220</v>
      </c>
      <c r="B944" s="2">
        <v>46174</v>
      </c>
      <c r="C944" s="10" t="s">
        <v>896</v>
      </c>
      <c r="D944">
        <v>0</v>
      </c>
      <c r="E944" t="s">
        <v>33</v>
      </c>
      <c r="F944" t="s">
        <v>912</v>
      </c>
      <c r="G944" s="10" t="s">
        <v>996</v>
      </c>
      <c r="H944" t="s">
        <v>36</v>
      </c>
    </row>
    <row r="945" spans="1:8" hidden="1" x14ac:dyDescent="0.3">
      <c r="A945" t="s">
        <v>220</v>
      </c>
      <c r="B945" s="2">
        <v>46204</v>
      </c>
      <c r="C945" s="10">
        <v>31</v>
      </c>
      <c r="D945">
        <v>0</v>
      </c>
      <c r="E945" t="s">
        <v>33</v>
      </c>
      <c r="F945" t="s">
        <v>1061</v>
      </c>
      <c r="G945" t="s">
        <v>1063</v>
      </c>
      <c r="H945" t="s">
        <v>1062</v>
      </c>
    </row>
    <row r="946" spans="1:8" ht="72" hidden="1" customHeight="1" x14ac:dyDescent="0.3">
      <c r="A946" t="s">
        <v>222</v>
      </c>
      <c r="B946" s="2">
        <v>45536</v>
      </c>
      <c r="C946" s="10"/>
    </row>
    <row r="947" spans="1:8" ht="57.6" hidden="1" customHeight="1" x14ac:dyDescent="0.3">
      <c r="A947" t="s">
        <v>222</v>
      </c>
      <c r="B947" s="2">
        <v>45566</v>
      </c>
      <c r="C947" s="10"/>
    </row>
    <row r="948" spans="1:8" ht="57.6" hidden="1" customHeight="1" x14ac:dyDescent="0.3">
      <c r="A948" t="s">
        <v>222</v>
      </c>
      <c r="B948" s="2">
        <v>45597</v>
      </c>
      <c r="C948" s="10"/>
    </row>
    <row r="949" spans="1:8" ht="72" hidden="1" customHeight="1" x14ac:dyDescent="0.3">
      <c r="A949" t="s">
        <v>222</v>
      </c>
      <c r="B949" s="2">
        <v>45627</v>
      </c>
      <c r="C949" s="10"/>
    </row>
    <row r="950" spans="1:8" ht="57.6" hidden="1" customHeight="1" x14ac:dyDescent="0.3">
      <c r="A950" t="s">
        <v>222</v>
      </c>
      <c r="B950" s="2">
        <v>45658</v>
      </c>
      <c r="C950" s="10"/>
    </row>
    <row r="951" spans="1:8" ht="57.6" hidden="1" customHeight="1" x14ac:dyDescent="0.3">
      <c r="A951" t="s">
        <v>222</v>
      </c>
      <c r="B951" s="2">
        <v>45689</v>
      </c>
      <c r="C951" s="10"/>
    </row>
    <row r="952" spans="1:8" ht="57.6" hidden="1" customHeight="1" x14ac:dyDescent="0.3">
      <c r="A952" t="s">
        <v>222</v>
      </c>
      <c r="B952" s="2">
        <v>45717</v>
      </c>
      <c r="C952" s="10"/>
    </row>
    <row r="953" spans="1:8" hidden="1" x14ac:dyDescent="0.3">
      <c r="A953" t="s">
        <v>222</v>
      </c>
      <c r="B953" s="2">
        <v>45748</v>
      </c>
      <c r="C953" s="10"/>
    </row>
    <row r="954" spans="1:8" hidden="1" x14ac:dyDescent="0.3">
      <c r="A954" t="s">
        <v>222</v>
      </c>
      <c r="B954" s="2">
        <v>45778</v>
      </c>
      <c r="C954" s="10"/>
    </row>
    <row r="955" spans="1:8" hidden="1" x14ac:dyDescent="0.3">
      <c r="A955" t="s">
        <v>222</v>
      </c>
      <c r="B955" s="2">
        <v>45809</v>
      </c>
      <c r="C955" s="10"/>
    </row>
    <row r="956" spans="1:8" hidden="1" x14ac:dyDescent="0.3">
      <c r="A956" t="s">
        <v>222</v>
      </c>
      <c r="B956" s="2">
        <v>45839</v>
      </c>
      <c r="C956" s="10" t="s">
        <v>36</v>
      </c>
      <c r="D956" t="s">
        <v>36</v>
      </c>
      <c r="E956" t="s">
        <v>36</v>
      </c>
      <c r="F956" t="s">
        <v>36</v>
      </c>
      <c r="H956" t="s">
        <v>920</v>
      </c>
    </row>
    <row r="957" spans="1:8" hidden="1" x14ac:dyDescent="0.3">
      <c r="A957" t="s">
        <v>222</v>
      </c>
      <c r="B957" s="2">
        <v>45870</v>
      </c>
      <c r="C957" s="10" t="s">
        <v>36</v>
      </c>
      <c r="D957" t="s">
        <v>36</v>
      </c>
      <c r="E957" t="s">
        <v>36</v>
      </c>
      <c r="F957" t="s">
        <v>36</v>
      </c>
      <c r="H957" t="s">
        <v>920</v>
      </c>
    </row>
    <row r="958" spans="1:8" hidden="1" x14ac:dyDescent="0.3">
      <c r="A958" t="s">
        <v>222</v>
      </c>
      <c r="B958" s="2">
        <v>45901</v>
      </c>
      <c r="C958" s="10" t="s">
        <v>921</v>
      </c>
      <c r="D958" t="s">
        <v>922</v>
      </c>
      <c r="E958" t="s">
        <v>923</v>
      </c>
      <c r="F958" t="s">
        <v>33</v>
      </c>
      <c r="H958" t="s">
        <v>36</v>
      </c>
    </row>
    <row r="959" spans="1:8" hidden="1" x14ac:dyDescent="0.3">
      <c r="A959" t="s">
        <v>222</v>
      </c>
      <c r="B959" s="2">
        <v>45931</v>
      </c>
      <c r="C959" s="10" t="s">
        <v>911</v>
      </c>
      <c r="D959">
        <v>0</v>
      </c>
      <c r="E959" t="s">
        <v>33</v>
      </c>
      <c r="F959" t="s">
        <v>33</v>
      </c>
      <c r="G959" s="10" t="s">
        <v>928</v>
      </c>
      <c r="H959" t="s">
        <v>36</v>
      </c>
    </row>
    <row r="960" spans="1:8" hidden="1" x14ac:dyDescent="0.3">
      <c r="A960" t="s">
        <v>222</v>
      </c>
      <c r="B960" s="2">
        <v>45962</v>
      </c>
      <c r="C960" s="10" t="s">
        <v>896</v>
      </c>
      <c r="D960">
        <v>0</v>
      </c>
      <c r="E960" t="s">
        <v>33</v>
      </c>
      <c r="F960" t="s">
        <v>33</v>
      </c>
      <c r="G960" s="10" t="s">
        <v>928</v>
      </c>
      <c r="H960" t="s">
        <v>36</v>
      </c>
    </row>
    <row r="961" spans="1:8" hidden="1" x14ac:dyDescent="0.3">
      <c r="A961" t="s">
        <v>222</v>
      </c>
      <c r="B961" s="2">
        <v>45992</v>
      </c>
      <c r="C961" s="10" t="s">
        <v>925</v>
      </c>
      <c r="D961" t="s">
        <v>924</v>
      </c>
      <c r="E961" t="s">
        <v>927</v>
      </c>
      <c r="F961" t="s">
        <v>33</v>
      </c>
      <c r="G961" s="10" t="s">
        <v>926</v>
      </c>
      <c r="H961" t="s">
        <v>36</v>
      </c>
    </row>
    <row r="962" spans="1:8" hidden="1" x14ac:dyDescent="0.3">
      <c r="A962" t="s">
        <v>222</v>
      </c>
      <c r="B962" s="2">
        <v>46023</v>
      </c>
      <c r="C962" t="s">
        <v>892</v>
      </c>
      <c r="D962">
        <v>0</v>
      </c>
      <c r="E962" t="s">
        <v>33</v>
      </c>
      <c r="F962" t="s">
        <v>912</v>
      </c>
      <c r="G962" s="10" t="s">
        <v>338</v>
      </c>
      <c r="H962" t="s">
        <v>36</v>
      </c>
    </row>
    <row r="963" spans="1:8" hidden="1" x14ac:dyDescent="0.3">
      <c r="A963" t="s">
        <v>222</v>
      </c>
      <c r="B963" s="2">
        <v>46054</v>
      </c>
      <c r="C963" s="10" t="s">
        <v>903</v>
      </c>
      <c r="D963">
        <v>0</v>
      </c>
      <c r="E963" t="s">
        <v>33</v>
      </c>
      <c r="F963" t="s">
        <v>912</v>
      </c>
      <c r="G963" s="10" t="s">
        <v>314</v>
      </c>
      <c r="H963" t="s">
        <v>36</v>
      </c>
    </row>
    <row r="964" spans="1:8" hidden="1" x14ac:dyDescent="0.3">
      <c r="A964" t="s">
        <v>222</v>
      </c>
      <c r="B964" s="2">
        <v>46082</v>
      </c>
      <c r="C964" s="10" t="s">
        <v>892</v>
      </c>
      <c r="D964">
        <v>0</v>
      </c>
      <c r="E964" t="s">
        <v>33</v>
      </c>
      <c r="F964" t="s">
        <v>912</v>
      </c>
      <c r="G964" s="10" t="s">
        <v>929</v>
      </c>
      <c r="H964" t="s">
        <v>36</v>
      </c>
    </row>
    <row r="965" spans="1:8" hidden="1" x14ac:dyDescent="0.3">
      <c r="A965" t="s">
        <v>222</v>
      </c>
      <c r="B965" s="2">
        <v>46113</v>
      </c>
      <c r="C965" s="10" t="s">
        <v>896</v>
      </c>
      <c r="D965">
        <v>0</v>
      </c>
      <c r="E965" t="s">
        <v>33</v>
      </c>
      <c r="F965" t="s">
        <v>912</v>
      </c>
      <c r="G965" s="10" t="s">
        <v>314</v>
      </c>
      <c r="H965" t="s">
        <v>36</v>
      </c>
    </row>
    <row r="966" spans="1:8" hidden="1" x14ac:dyDescent="0.3">
      <c r="A966" t="s">
        <v>222</v>
      </c>
      <c r="B966" s="2">
        <v>46143</v>
      </c>
      <c r="C966" s="10" t="s">
        <v>911</v>
      </c>
      <c r="D966">
        <v>0</v>
      </c>
      <c r="E966" t="s">
        <v>33</v>
      </c>
      <c r="F966" t="s">
        <v>912</v>
      </c>
      <c r="G966" s="10" t="s">
        <v>302</v>
      </c>
      <c r="H966" t="s">
        <v>36</v>
      </c>
    </row>
    <row r="967" spans="1:8" ht="28.95" customHeight="1" x14ac:dyDescent="0.3">
      <c r="A967" t="s">
        <v>222</v>
      </c>
      <c r="B967" s="2">
        <v>46235</v>
      </c>
      <c r="C967" t="s">
        <v>896</v>
      </c>
      <c r="D967">
        <v>0</v>
      </c>
      <c r="E967" t="s">
        <v>33</v>
      </c>
      <c r="F967" t="s">
        <v>33</v>
      </c>
      <c r="G967" t="s">
        <v>338</v>
      </c>
      <c r="H967" t="s">
        <v>36</v>
      </c>
    </row>
    <row r="968" spans="1:8" ht="28.95" hidden="1" customHeight="1" x14ac:dyDescent="0.3">
      <c r="A968" t="s">
        <v>222</v>
      </c>
      <c r="B968" s="2">
        <v>46174</v>
      </c>
      <c r="C968" s="10" t="s">
        <v>896</v>
      </c>
      <c r="D968">
        <v>0</v>
      </c>
      <c r="E968" t="s">
        <v>33</v>
      </c>
      <c r="F968" t="s">
        <v>912</v>
      </c>
      <c r="G968" s="10" t="s">
        <v>996</v>
      </c>
      <c r="H968" t="s">
        <v>36</v>
      </c>
    </row>
    <row r="969" spans="1:8" ht="28.95" hidden="1" customHeight="1" x14ac:dyDescent="0.3">
      <c r="A969" t="s">
        <v>222</v>
      </c>
      <c r="B969" s="2">
        <v>46204</v>
      </c>
      <c r="C969" s="10">
        <v>31</v>
      </c>
      <c r="D969">
        <v>0</v>
      </c>
      <c r="E969" t="s">
        <v>33</v>
      </c>
      <c r="F969" t="s">
        <v>1061</v>
      </c>
      <c r="G969" t="s">
        <v>1063</v>
      </c>
      <c r="H969" t="s">
        <v>36</v>
      </c>
    </row>
    <row r="970" spans="1:8" ht="72" hidden="1" customHeight="1" x14ac:dyDescent="0.3">
      <c r="A970" t="s">
        <v>142</v>
      </c>
      <c r="B970" s="2">
        <v>45536</v>
      </c>
      <c r="C970" s="10"/>
    </row>
    <row r="971" spans="1:8" ht="72" hidden="1" customHeight="1" x14ac:dyDescent="0.3">
      <c r="A971" t="s">
        <v>142</v>
      </c>
      <c r="B971" s="2">
        <v>45566</v>
      </c>
      <c r="C971" s="10"/>
    </row>
    <row r="972" spans="1:8" ht="72" hidden="1" customHeight="1" x14ac:dyDescent="0.3">
      <c r="A972" t="s">
        <v>142</v>
      </c>
      <c r="B972" s="2">
        <v>45597</v>
      </c>
      <c r="C972" s="10"/>
    </row>
    <row r="973" spans="1:8" ht="72" hidden="1" customHeight="1" x14ac:dyDescent="0.3">
      <c r="A973" t="s">
        <v>142</v>
      </c>
      <c r="B973" s="2">
        <v>45627</v>
      </c>
      <c r="C973" s="10"/>
    </row>
    <row r="974" spans="1:8" ht="57.6" hidden="1" customHeight="1" x14ac:dyDescent="0.3">
      <c r="A974" t="s">
        <v>142</v>
      </c>
      <c r="B974" s="2">
        <v>45658</v>
      </c>
      <c r="C974" s="10"/>
    </row>
    <row r="975" spans="1:8" ht="72" hidden="1" customHeight="1" x14ac:dyDescent="0.3">
      <c r="A975" t="s">
        <v>142</v>
      </c>
      <c r="B975" s="2">
        <v>45689</v>
      </c>
      <c r="C975" s="10" t="s">
        <v>553</v>
      </c>
    </row>
    <row r="976" spans="1:8" ht="72" hidden="1" customHeight="1" x14ac:dyDescent="0.3">
      <c r="A976" t="s">
        <v>142</v>
      </c>
      <c r="B976" s="2">
        <v>45717</v>
      </c>
      <c r="C976" s="10" t="s">
        <v>554</v>
      </c>
    </row>
    <row r="977" spans="1:8" ht="86.4" hidden="1" x14ac:dyDescent="0.3">
      <c r="A977" t="s">
        <v>142</v>
      </c>
      <c r="B977" s="2">
        <v>45748</v>
      </c>
      <c r="C977" s="10" t="s">
        <v>555</v>
      </c>
    </row>
    <row r="978" spans="1:8" ht="100.8" hidden="1" x14ac:dyDescent="0.3">
      <c r="A978" t="s">
        <v>142</v>
      </c>
      <c r="B978" s="2">
        <v>45778</v>
      </c>
      <c r="C978" s="10" t="s">
        <v>556</v>
      </c>
    </row>
    <row r="979" spans="1:8" ht="28.95" hidden="1" customHeight="1" x14ac:dyDescent="0.3">
      <c r="A979" t="s">
        <v>142</v>
      </c>
      <c r="B979" s="2">
        <v>45809</v>
      </c>
      <c r="C979" s="10" t="s">
        <v>557</v>
      </c>
    </row>
    <row r="980" spans="1:8" hidden="1" x14ac:dyDescent="0.3">
      <c r="A980" t="s">
        <v>142</v>
      </c>
      <c r="B980" s="2">
        <v>45839</v>
      </c>
      <c r="C980" t="s">
        <v>911</v>
      </c>
      <c r="D980">
        <v>0</v>
      </c>
      <c r="E980" t="s">
        <v>33</v>
      </c>
      <c r="F980" t="s">
        <v>33</v>
      </c>
      <c r="G980" s="10" t="s">
        <v>338</v>
      </c>
      <c r="H980" t="s">
        <v>36</v>
      </c>
    </row>
    <row r="981" spans="1:8" hidden="1" x14ac:dyDescent="0.3">
      <c r="A981" t="s">
        <v>142</v>
      </c>
      <c r="B981" s="2">
        <v>45870</v>
      </c>
      <c r="C981" t="s">
        <v>911</v>
      </c>
      <c r="D981">
        <v>0</v>
      </c>
      <c r="E981" t="s">
        <v>33</v>
      </c>
      <c r="F981" t="s">
        <v>33</v>
      </c>
      <c r="G981" s="10" t="s">
        <v>338</v>
      </c>
      <c r="H981" t="s">
        <v>36</v>
      </c>
    </row>
    <row r="982" spans="1:8" hidden="1" x14ac:dyDescent="0.3">
      <c r="A982" t="s">
        <v>142</v>
      </c>
      <c r="B982" s="2">
        <v>45901</v>
      </c>
      <c r="C982" t="s">
        <v>919</v>
      </c>
      <c r="D982">
        <v>0</v>
      </c>
      <c r="E982" t="s">
        <v>33</v>
      </c>
      <c r="F982" t="s">
        <v>33</v>
      </c>
      <c r="G982" s="10" t="s">
        <v>338</v>
      </c>
      <c r="H982" t="s">
        <v>36</v>
      </c>
    </row>
    <row r="983" spans="1:8" hidden="1" x14ac:dyDescent="0.3">
      <c r="A983" t="s">
        <v>142</v>
      </c>
      <c r="B983" s="2">
        <v>45931</v>
      </c>
      <c r="C983" t="s">
        <v>911</v>
      </c>
      <c r="D983">
        <v>0</v>
      </c>
      <c r="E983" t="s">
        <v>33</v>
      </c>
      <c r="F983" t="s">
        <v>33</v>
      </c>
      <c r="G983" s="10" t="s">
        <v>338</v>
      </c>
      <c r="H983" t="s">
        <v>36</v>
      </c>
    </row>
    <row r="984" spans="1:8" hidden="1" x14ac:dyDescent="0.3">
      <c r="A984" t="s">
        <v>142</v>
      </c>
      <c r="B984" s="2">
        <v>45962</v>
      </c>
      <c r="C984" t="s">
        <v>919</v>
      </c>
      <c r="D984">
        <v>0</v>
      </c>
      <c r="E984" t="s">
        <v>33</v>
      </c>
      <c r="F984" t="s">
        <v>33</v>
      </c>
      <c r="G984" s="44" t="s">
        <v>932</v>
      </c>
      <c r="H984" t="s">
        <v>36</v>
      </c>
    </row>
    <row r="985" spans="1:8" hidden="1" x14ac:dyDescent="0.3">
      <c r="A985" t="s">
        <v>142</v>
      </c>
      <c r="B985" s="2">
        <v>45992</v>
      </c>
      <c r="C985" t="s">
        <v>911</v>
      </c>
      <c r="D985">
        <v>0</v>
      </c>
      <c r="E985" t="s">
        <v>33</v>
      </c>
      <c r="F985" t="s">
        <v>33</v>
      </c>
      <c r="G985" s="44" t="s">
        <v>932</v>
      </c>
      <c r="H985" t="s">
        <v>36</v>
      </c>
    </row>
    <row r="986" spans="1:8" hidden="1" x14ac:dyDescent="0.3">
      <c r="A986" t="s">
        <v>142</v>
      </c>
      <c r="B986" s="2">
        <v>46023</v>
      </c>
      <c r="C986" t="s">
        <v>911</v>
      </c>
      <c r="D986">
        <v>0</v>
      </c>
      <c r="E986" t="s">
        <v>33</v>
      </c>
      <c r="F986" t="s">
        <v>33</v>
      </c>
      <c r="G986" s="10" t="s">
        <v>558</v>
      </c>
      <c r="H986" t="s">
        <v>36</v>
      </c>
    </row>
    <row r="987" spans="1:8" hidden="1" x14ac:dyDescent="0.3">
      <c r="A987" t="s">
        <v>142</v>
      </c>
      <c r="B987" s="2">
        <v>46054</v>
      </c>
      <c r="C987" t="s">
        <v>895</v>
      </c>
      <c r="D987">
        <v>0</v>
      </c>
      <c r="E987" t="s">
        <v>33</v>
      </c>
      <c r="F987" t="s">
        <v>33</v>
      </c>
      <c r="G987" s="10" t="s">
        <v>338</v>
      </c>
      <c r="H987" t="s">
        <v>36</v>
      </c>
    </row>
    <row r="988" spans="1:8" hidden="1" x14ac:dyDescent="0.3">
      <c r="A988" t="s">
        <v>142</v>
      </c>
      <c r="B988" s="2">
        <v>46082</v>
      </c>
      <c r="C988" t="s">
        <v>911</v>
      </c>
      <c r="D988">
        <v>0</v>
      </c>
      <c r="E988" t="s">
        <v>33</v>
      </c>
      <c r="F988" t="s">
        <v>33</v>
      </c>
      <c r="G988" s="10" t="s">
        <v>338</v>
      </c>
      <c r="H988" t="s">
        <v>36</v>
      </c>
    </row>
    <row r="989" spans="1:8" hidden="1" x14ac:dyDescent="0.3">
      <c r="A989" t="s">
        <v>142</v>
      </c>
      <c r="B989" s="2">
        <v>46113</v>
      </c>
      <c r="C989" t="s">
        <v>919</v>
      </c>
      <c r="D989">
        <v>0</v>
      </c>
      <c r="E989" t="s">
        <v>33</v>
      </c>
      <c r="F989" t="s">
        <v>33</v>
      </c>
      <c r="G989" s="10" t="s">
        <v>338</v>
      </c>
      <c r="H989" t="s">
        <v>36</v>
      </c>
    </row>
    <row r="990" spans="1:8" hidden="1" x14ac:dyDescent="0.3">
      <c r="A990" t="s">
        <v>142</v>
      </c>
      <c r="B990" s="2">
        <v>46143</v>
      </c>
      <c r="C990" t="s">
        <v>911</v>
      </c>
      <c r="D990">
        <v>0</v>
      </c>
      <c r="E990" t="s">
        <v>33</v>
      </c>
      <c r="F990" t="s">
        <v>33</v>
      </c>
      <c r="G990" s="10" t="s">
        <v>338</v>
      </c>
      <c r="H990" t="s">
        <v>36</v>
      </c>
    </row>
    <row r="991" spans="1:8" ht="43.2" customHeight="1" x14ac:dyDescent="0.3">
      <c r="A991" t="s">
        <v>142</v>
      </c>
      <c r="B991" s="2">
        <v>46235</v>
      </c>
      <c r="C991" t="s">
        <v>896</v>
      </c>
      <c r="D991">
        <v>0</v>
      </c>
      <c r="E991" t="s">
        <v>33</v>
      </c>
      <c r="F991" t="s">
        <v>33</v>
      </c>
      <c r="G991" t="s">
        <v>338</v>
      </c>
      <c r="H991" t="s">
        <v>36</v>
      </c>
    </row>
    <row r="992" spans="1:8" ht="72" hidden="1" customHeight="1" x14ac:dyDescent="0.3">
      <c r="A992" t="s">
        <v>142</v>
      </c>
      <c r="B992" s="2">
        <v>46174</v>
      </c>
      <c r="C992" t="s">
        <v>919</v>
      </c>
      <c r="D992">
        <v>0</v>
      </c>
      <c r="E992" t="s">
        <v>33</v>
      </c>
      <c r="F992" t="s">
        <v>33</v>
      </c>
      <c r="G992" s="10" t="s">
        <v>996</v>
      </c>
      <c r="H992" t="s">
        <v>36</v>
      </c>
    </row>
    <row r="993" spans="1:8" ht="43.2" hidden="1" customHeight="1" x14ac:dyDescent="0.3">
      <c r="A993" t="s">
        <v>142</v>
      </c>
      <c r="B993" s="2">
        <v>46204</v>
      </c>
      <c r="C993" s="10">
        <v>31</v>
      </c>
      <c r="D993">
        <v>0</v>
      </c>
      <c r="E993" t="s">
        <v>33</v>
      </c>
      <c r="F993" t="s">
        <v>33</v>
      </c>
      <c r="G993" t="s">
        <v>1014</v>
      </c>
      <c r="H993" t="s">
        <v>36</v>
      </c>
    </row>
    <row r="994" spans="1:8" ht="57.6" hidden="1" customHeight="1" x14ac:dyDescent="0.3">
      <c r="A994" t="s">
        <v>145</v>
      </c>
      <c r="B994" s="2">
        <v>45536</v>
      </c>
      <c r="C994" s="10"/>
    </row>
    <row r="995" spans="1:8" ht="57.6" hidden="1" customHeight="1" x14ac:dyDescent="0.3">
      <c r="A995" t="s">
        <v>145</v>
      </c>
      <c r="B995" s="2">
        <v>45566</v>
      </c>
      <c r="C995" s="10"/>
    </row>
    <row r="996" spans="1:8" hidden="1" x14ac:dyDescent="0.3">
      <c r="A996" t="s">
        <v>145</v>
      </c>
      <c r="B996" s="2">
        <v>45597</v>
      </c>
      <c r="C996" s="10"/>
      <c r="G996" s="45"/>
    </row>
    <row r="997" spans="1:8" hidden="1" x14ac:dyDescent="0.3">
      <c r="A997" t="s">
        <v>145</v>
      </c>
      <c r="B997" s="2">
        <v>45627</v>
      </c>
      <c r="C997" s="10"/>
      <c r="G997" s="45"/>
    </row>
    <row r="998" spans="1:8" hidden="1" x14ac:dyDescent="0.3">
      <c r="A998" t="s">
        <v>145</v>
      </c>
      <c r="B998" s="2">
        <v>45658</v>
      </c>
      <c r="C998" s="10"/>
      <c r="G998" s="45"/>
    </row>
    <row r="999" spans="1:8" ht="43.2" hidden="1" x14ac:dyDescent="0.3">
      <c r="A999" t="s">
        <v>145</v>
      </c>
      <c r="B999" s="2">
        <v>45689</v>
      </c>
      <c r="C999" s="10" t="s">
        <v>559</v>
      </c>
      <c r="G999" s="45"/>
    </row>
    <row r="1000" spans="1:8" ht="57.6" hidden="1" customHeight="1" x14ac:dyDescent="0.3">
      <c r="A1000" t="s">
        <v>145</v>
      </c>
      <c r="B1000" s="2">
        <v>45717</v>
      </c>
      <c r="C1000" s="10" t="s">
        <v>455</v>
      </c>
      <c r="G1000" s="45"/>
    </row>
    <row r="1001" spans="1:8" ht="28.8" hidden="1" x14ac:dyDescent="0.3">
      <c r="A1001" t="s">
        <v>145</v>
      </c>
      <c r="B1001" s="2">
        <v>45748</v>
      </c>
      <c r="C1001" s="10" t="s">
        <v>560</v>
      </c>
    </row>
    <row r="1002" spans="1:8" ht="129.6" hidden="1" x14ac:dyDescent="0.3">
      <c r="A1002" t="s">
        <v>145</v>
      </c>
      <c r="B1002" s="2">
        <v>45778</v>
      </c>
      <c r="C1002" s="10" t="s">
        <v>561</v>
      </c>
    </row>
    <row r="1003" spans="1:8" ht="129.6" hidden="1" x14ac:dyDescent="0.3">
      <c r="A1003" t="s">
        <v>145</v>
      </c>
      <c r="B1003" s="2">
        <v>45809</v>
      </c>
      <c r="C1003" s="10" t="s">
        <v>562</v>
      </c>
    </row>
    <row r="1004" spans="1:8" ht="100.8" hidden="1" x14ac:dyDescent="0.3">
      <c r="A1004" t="s">
        <v>145</v>
      </c>
      <c r="B1004" s="2">
        <v>45839</v>
      </c>
      <c r="C1004" s="10" t="s">
        <v>563</v>
      </c>
    </row>
    <row r="1005" spans="1:8" ht="144" hidden="1" x14ac:dyDescent="0.3">
      <c r="A1005" t="s">
        <v>145</v>
      </c>
      <c r="B1005" s="2">
        <v>45870</v>
      </c>
      <c r="C1005" s="10" t="s">
        <v>564</v>
      </c>
      <c r="G1005" s="45"/>
    </row>
    <row r="1006" spans="1:8" ht="115.2" hidden="1" x14ac:dyDescent="0.3">
      <c r="A1006" t="s">
        <v>145</v>
      </c>
      <c r="B1006" s="2">
        <v>45901</v>
      </c>
      <c r="C1006" s="10" t="s">
        <v>565</v>
      </c>
      <c r="G1006" s="45"/>
    </row>
    <row r="1007" spans="1:8" ht="100.8" hidden="1" x14ac:dyDescent="0.3">
      <c r="A1007" t="s">
        <v>145</v>
      </c>
      <c r="B1007" s="2">
        <v>45931</v>
      </c>
      <c r="C1007" s="10" t="s">
        <v>566</v>
      </c>
    </row>
    <row r="1008" spans="1:8" ht="100.8" hidden="1" x14ac:dyDescent="0.3">
      <c r="A1008" t="s">
        <v>145</v>
      </c>
      <c r="B1008" s="2">
        <v>45962</v>
      </c>
      <c r="C1008" s="10" t="s">
        <v>567</v>
      </c>
    </row>
    <row r="1009" spans="1:8" ht="28.8" hidden="1" x14ac:dyDescent="0.3">
      <c r="A1009" t="s">
        <v>145</v>
      </c>
      <c r="B1009" s="2">
        <v>45992</v>
      </c>
      <c r="C1009" s="10" t="s">
        <v>568</v>
      </c>
    </row>
    <row r="1010" spans="1:8" hidden="1" x14ac:dyDescent="0.3">
      <c r="A1010" t="s">
        <v>145</v>
      </c>
      <c r="B1010" s="2">
        <v>46023</v>
      </c>
      <c r="C1010" s="10" t="s">
        <v>338</v>
      </c>
    </row>
    <row r="1011" spans="1:8" hidden="1" x14ac:dyDescent="0.3">
      <c r="A1011" t="s">
        <v>145</v>
      </c>
      <c r="B1011" s="2">
        <v>46054</v>
      </c>
      <c r="C1011" s="10" t="s">
        <v>326</v>
      </c>
    </row>
    <row r="1012" spans="1:8" hidden="1" x14ac:dyDescent="0.3">
      <c r="A1012" t="s">
        <v>145</v>
      </c>
      <c r="B1012" s="2">
        <v>46082</v>
      </c>
      <c r="C1012" s="10" t="s">
        <v>326</v>
      </c>
    </row>
    <row r="1013" spans="1:8" ht="28.8" hidden="1" x14ac:dyDescent="0.3">
      <c r="A1013" t="s">
        <v>145</v>
      </c>
      <c r="B1013" s="2">
        <v>46113</v>
      </c>
      <c r="C1013" s="10" t="s">
        <v>569</v>
      </c>
    </row>
    <row r="1014" spans="1:8" ht="28.8" hidden="1" x14ac:dyDescent="0.3">
      <c r="A1014" t="s">
        <v>145</v>
      </c>
      <c r="B1014" s="2">
        <v>46143</v>
      </c>
      <c r="C1014" s="10" t="s">
        <v>867</v>
      </c>
    </row>
    <row r="1015" spans="1:8" x14ac:dyDescent="0.3">
      <c r="A1015" t="s">
        <v>145</v>
      </c>
      <c r="B1015" s="2">
        <v>46235</v>
      </c>
      <c r="C1015" s="10" t="s">
        <v>896</v>
      </c>
      <c r="D1015">
        <v>0</v>
      </c>
      <c r="E1015" t="s">
        <v>33</v>
      </c>
      <c r="F1015" t="s">
        <v>33</v>
      </c>
      <c r="G1015" s="10" t="s">
        <v>932</v>
      </c>
      <c r="H1015" t="s">
        <v>36</v>
      </c>
    </row>
    <row r="1016" spans="1:8" hidden="1" x14ac:dyDescent="0.3">
      <c r="A1016" t="s">
        <v>145</v>
      </c>
      <c r="B1016" s="2">
        <v>46174</v>
      </c>
      <c r="C1016" s="10"/>
    </row>
    <row r="1017" spans="1:8" hidden="1" x14ac:dyDescent="0.3">
      <c r="A1017" t="s">
        <v>145</v>
      </c>
      <c r="B1017" s="2">
        <v>46204</v>
      </c>
      <c r="C1017" s="10">
        <v>31</v>
      </c>
      <c r="E1017" t="s">
        <v>33</v>
      </c>
      <c r="F1017" t="s">
        <v>33</v>
      </c>
      <c r="G1017" t="s">
        <v>1037</v>
      </c>
      <c r="H1017" t="s">
        <v>1038</v>
      </c>
    </row>
    <row r="1018" spans="1:8" ht="57.6" hidden="1" customHeight="1" x14ac:dyDescent="0.3">
      <c r="A1018" t="s">
        <v>149</v>
      </c>
      <c r="B1018" s="2">
        <v>45536</v>
      </c>
      <c r="C1018" s="10"/>
    </row>
    <row r="1019" spans="1:8" ht="57.6" hidden="1" customHeight="1" x14ac:dyDescent="0.3">
      <c r="A1019" t="s">
        <v>149</v>
      </c>
      <c r="B1019" s="2">
        <v>45566</v>
      </c>
      <c r="C1019" s="10"/>
    </row>
    <row r="1020" spans="1:8" hidden="1" x14ac:dyDescent="0.3">
      <c r="A1020" t="s">
        <v>149</v>
      </c>
      <c r="B1020" s="2">
        <v>45597</v>
      </c>
      <c r="C1020" s="10"/>
    </row>
    <row r="1021" spans="1:8" ht="57.6" hidden="1" customHeight="1" x14ac:dyDescent="0.3">
      <c r="A1021" t="s">
        <v>149</v>
      </c>
      <c r="B1021" s="2">
        <v>45627</v>
      </c>
      <c r="C1021" s="10"/>
    </row>
    <row r="1022" spans="1:8" ht="57.6" hidden="1" customHeight="1" x14ac:dyDescent="0.3">
      <c r="A1022" t="s">
        <v>149</v>
      </c>
      <c r="B1022" s="2">
        <v>45658</v>
      </c>
      <c r="C1022" s="10"/>
    </row>
    <row r="1023" spans="1:8" ht="57.6" hidden="1" customHeight="1" x14ac:dyDescent="0.3">
      <c r="A1023" t="s">
        <v>149</v>
      </c>
      <c r="B1023" s="2">
        <v>45689</v>
      </c>
      <c r="C1023" s="10" t="s">
        <v>582</v>
      </c>
    </row>
    <row r="1024" spans="1:8" ht="57.6" hidden="1" customHeight="1" x14ac:dyDescent="0.3">
      <c r="A1024" t="s">
        <v>149</v>
      </c>
      <c r="B1024" s="2">
        <v>45717</v>
      </c>
      <c r="C1024" s="10" t="s">
        <v>583</v>
      </c>
    </row>
    <row r="1025" spans="1:8" ht="57.6" hidden="1" x14ac:dyDescent="0.3">
      <c r="A1025" t="s">
        <v>149</v>
      </c>
      <c r="B1025" s="2">
        <v>45748</v>
      </c>
      <c r="C1025" s="10" t="s">
        <v>584</v>
      </c>
    </row>
    <row r="1026" spans="1:8" ht="100.8" hidden="1" x14ac:dyDescent="0.3">
      <c r="A1026" t="s">
        <v>149</v>
      </c>
      <c r="B1026" s="2">
        <v>45778</v>
      </c>
      <c r="C1026" s="10" t="s">
        <v>585</v>
      </c>
    </row>
    <row r="1027" spans="1:8" ht="100.8" hidden="1" x14ac:dyDescent="0.3">
      <c r="A1027" t="s">
        <v>149</v>
      </c>
      <c r="B1027" s="2">
        <v>45809</v>
      </c>
      <c r="C1027" s="10" t="s">
        <v>586</v>
      </c>
    </row>
    <row r="1028" spans="1:8" hidden="1" x14ac:dyDescent="0.3">
      <c r="A1028" t="s">
        <v>149</v>
      </c>
      <c r="B1028" s="2">
        <v>45839</v>
      </c>
      <c r="C1028" t="s">
        <v>911</v>
      </c>
      <c r="D1028">
        <v>0</v>
      </c>
      <c r="E1028" t="s">
        <v>33</v>
      </c>
      <c r="F1028" t="s">
        <v>33</v>
      </c>
      <c r="G1028" s="44" t="s">
        <v>932</v>
      </c>
      <c r="H1028" t="s">
        <v>36</v>
      </c>
    </row>
    <row r="1029" spans="1:8" hidden="1" x14ac:dyDescent="0.3">
      <c r="A1029" t="s">
        <v>149</v>
      </c>
      <c r="B1029" s="2">
        <v>45870</v>
      </c>
      <c r="C1029" t="s">
        <v>911</v>
      </c>
      <c r="D1029">
        <v>0</v>
      </c>
      <c r="E1029" t="s">
        <v>33</v>
      </c>
      <c r="F1029" t="s">
        <v>33</v>
      </c>
      <c r="G1029" s="44" t="s">
        <v>932</v>
      </c>
      <c r="H1029" t="s">
        <v>36</v>
      </c>
    </row>
    <row r="1030" spans="1:8" hidden="1" x14ac:dyDescent="0.3">
      <c r="A1030" t="s">
        <v>149</v>
      </c>
      <c r="B1030" s="2">
        <v>45901</v>
      </c>
      <c r="C1030" t="s">
        <v>919</v>
      </c>
      <c r="D1030">
        <v>0</v>
      </c>
      <c r="E1030" t="s">
        <v>33</v>
      </c>
      <c r="F1030" t="s">
        <v>33</v>
      </c>
      <c r="G1030" s="44" t="s">
        <v>932</v>
      </c>
      <c r="H1030" t="s">
        <v>36</v>
      </c>
    </row>
    <row r="1031" spans="1:8" hidden="1" x14ac:dyDescent="0.3">
      <c r="A1031" t="s">
        <v>149</v>
      </c>
      <c r="B1031" s="2">
        <v>45931</v>
      </c>
      <c r="C1031" t="s">
        <v>911</v>
      </c>
      <c r="D1031">
        <v>0</v>
      </c>
      <c r="E1031" t="s">
        <v>33</v>
      </c>
      <c r="F1031" t="s">
        <v>33</v>
      </c>
      <c r="G1031" s="44" t="s">
        <v>932</v>
      </c>
      <c r="H1031" t="s">
        <v>36</v>
      </c>
    </row>
    <row r="1032" spans="1:8" hidden="1" x14ac:dyDescent="0.3">
      <c r="A1032" t="s">
        <v>149</v>
      </c>
      <c r="B1032" s="2">
        <v>45962</v>
      </c>
      <c r="C1032" t="s">
        <v>919</v>
      </c>
      <c r="D1032">
        <v>0</v>
      </c>
      <c r="E1032" t="s">
        <v>33</v>
      </c>
      <c r="F1032" t="s">
        <v>33</v>
      </c>
      <c r="G1032" s="44" t="s">
        <v>932</v>
      </c>
      <c r="H1032" t="s">
        <v>36</v>
      </c>
    </row>
    <row r="1033" spans="1:8" hidden="1" x14ac:dyDescent="0.3">
      <c r="A1033" t="s">
        <v>149</v>
      </c>
      <c r="B1033" s="2">
        <v>45992</v>
      </c>
      <c r="C1033" t="s">
        <v>911</v>
      </c>
      <c r="D1033">
        <v>0</v>
      </c>
      <c r="E1033" t="s">
        <v>33</v>
      </c>
      <c r="F1033" t="s">
        <v>33</v>
      </c>
      <c r="G1033" s="10" t="s">
        <v>972</v>
      </c>
      <c r="H1033" t="s">
        <v>36</v>
      </c>
    </row>
    <row r="1034" spans="1:8" hidden="1" x14ac:dyDescent="0.3">
      <c r="A1034" t="s">
        <v>149</v>
      </c>
      <c r="B1034" s="2">
        <v>46023</v>
      </c>
      <c r="C1034" t="s">
        <v>911</v>
      </c>
      <c r="D1034">
        <v>0</v>
      </c>
      <c r="E1034" t="s">
        <v>33</v>
      </c>
      <c r="F1034" t="s">
        <v>33</v>
      </c>
      <c r="G1034" s="10" t="s">
        <v>972</v>
      </c>
      <c r="H1034" t="s">
        <v>36</v>
      </c>
    </row>
    <row r="1035" spans="1:8" hidden="1" x14ac:dyDescent="0.3">
      <c r="A1035" t="s">
        <v>149</v>
      </c>
      <c r="B1035" s="2">
        <v>46054</v>
      </c>
      <c r="C1035" t="s">
        <v>895</v>
      </c>
      <c r="D1035">
        <v>0</v>
      </c>
      <c r="E1035" t="s">
        <v>33</v>
      </c>
      <c r="F1035" t="s">
        <v>33</v>
      </c>
      <c r="G1035" s="10" t="s">
        <v>326</v>
      </c>
      <c r="H1035" t="s">
        <v>36</v>
      </c>
    </row>
    <row r="1036" spans="1:8" hidden="1" x14ac:dyDescent="0.3">
      <c r="A1036" t="s">
        <v>149</v>
      </c>
      <c r="B1036" s="2">
        <v>46082</v>
      </c>
      <c r="C1036" t="s">
        <v>911</v>
      </c>
      <c r="D1036">
        <v>0</v>
      </c>
      <c r="E1036" t="s">
        <v>33</v>
      </c>
      <c r="F1036" t="s">
        <v>33</v>
      </c>
      <c r="G1036" s="10" t="s">
        <v>326</v>
      </c>
      <c r="H1036" t="s">
        <v>36</v>
      </c>
    </row>
    <row r="1037" spans="1:8" hidden="1" x14ac:dyDescent="0.3">
      <c r="A1037" t="s">
        <v>149</v>
      </c>
      <c r="B1037" s="2">
        <v>46113</v>
      </c>
      <c r="C1037" t="s">
        <v>919</v>
      </c>
      <c r="D1037">
        <v>0</v>
      </c>
      <c r="E1037" t="s">
        <v>33</v>
      </c>
      <c r="F1037" t="s">
        <v>33</v>
      </c>
      <c r="G1037" s="44" t="s">
        <v>932</v>
      </c>
      <c r="H1037" t="s">
        <v>36</v>
      </c>
    </row>
    <row r="1038" spans="1:8" hidden="1" x14ac:dyDescent="0.3">
      <c r="A1038" t="s">
        <v>149</v>
      </c>
      <c r="B1038" s="2">
        <v>46143</v>
      </c>
      <c r="C1038" t="s">
        <v>911</v>
      </c>
      <c r="D1038">
        <v>0</v>
      </c>
      <c r="E1038" t="s">
        <v>33</v>
      </c>
      <c r="F1038" t="s">
        <v>33</v>
      </c>
      <c r="G1038" s="44" t="s">
        <v>932</v>
      </c>
      <c r="H1038" t="s">
        <v>36</v>
      </c>
    </row>
    <row r="1039" spans="1:8" x14ac:dyDescent="0.3">
      <c r="A1039" t="s">
        <v>149</v>
      </c>
      <c r="B1039" s="2">
        <v>46235</v>
      </c>
      <c r="C1039" s="10" t="s">
        <v>896</v>
      </c>
      <c r="D1039">
        <v>0</v>
      </c>
      <c r="E1039" t="s">
        <v>33</v>
      </c>
      <c r="F1039" t="s">
        <v>33</v>
      </c>
      <c r="G1039" s="10" t="s">
        <v>932</v>
      </c>
      <c r="H1039" t="s">
        <v>36</v>
      </c>
    </row>
    <row r="1040" spans="1:8" hidden="1" x14ac:dyDescent="0.3">
      <c r="A1040" t="s">
        <v>149</v>
      </c>
      <c r="B1040" s="2">
        <v>46204</v>
      </c>
      <c r="C1040" s="10">
        <v>31</v>
      </c>
      <c r="D1040">
        <v>0</v>
      </c>
      <c r="E1040" t="s">
        <v>33</v>
      </c>
      <c r="F1040" t="s">
        <v>33</v>
      </c>
      <c r="G1040" t="s">
        <v>1014</v>
      </c>
      <c r="H1040" t="s">
        <v>36</v>
      </c>
    </row>
    <row r="1041" spans="1:8" hidden="1" x14ac:dyDescent="0.3">
      <c r="A1041" t="s">
        <v>149</v>
      </c>
      <c r="B1041" s="2">
        <v>46174</v>
      </c>
      <c r="C1041" t="s">
        <v>919</v>
      </c>
      <c r="D1041">
        <v>0</v>
      </c>
      <c r="E1041" t="s">
        <v>33</v>
      </c>
      <c r="F1041" t="s">
        <v>33</v>
      </c>
      <c r="G1041" s="10" t="s">
        <v>338</v>
      </c>
      <c r="H1041" t="s">
        <v>36</v>
      </c>
    </row>
    <row r="1042" spans="1:8" hidden="1" x14ac:dyDescent="0.3">
      <c r="A1042" t="s">
        <v>152</v>
      </c>
      <c r="B1042" s="2">
        <v>45536</v>
      </c>
      <c r="C1042" s="10"/>
    </row>
    <row r="1043" spans="1:8" hidden="1" x14ac:dyDescent="0.3">
      <c r="A1043" t="s">
        <v>152</v>
      </c>
      <c r="B1043" s="2">
        <v>45566</v>
      </c>
      <c r="C1043" s="10"/>
    </row>
    <row r="1044" spans="1:8" hidden="1" x14ac:dyDescent="0.3">
      <c r="A1044" t="s">
        <v>152</v>
      </c>
      <c r="B1044" s="2">
        <v>45597</v>
      </c>
      <c r="C1044" s="10"/>
    </row>
    <row r="1045" spans="1:8" hidden="1" x14ac:dyDescent="0.3">
      <c r="A1045" t="s">
        <v>152</v>
      </c>
      <c r="B1045" s="2">
        <v>45627</v>
      </c>
      <c r="C1045" s="10"/>
    </row>
    <row r="1046" spans="1:8" hidden="1" x14ac:dyDescent="0.3">
      <c r="A1046" t="s">
        <v>152</v>
      </c>
      <c r="B1046" s="2">
        <v>45658</v>
      </c>
      <c r="C1046" s="10"/>
    </row>
    <row r="1047" spans="1:8" ht="57.6" hidden="1" customHeight="1" x14ac:dyDescent="0.3">
      <c r="A1047" t="s">
        <v>152</v>
      </c>
      <c r="B1047" s="2">
        <v>45689</v>
      </c>
      <c r="C1047" s="10" t="s">
        <v>570</v>
      </c>
    </row>
    <row r="1048" spans="1:8" ht="57.6" hidden="1" customHeight="1" x14ac:dyDescent="0.3">
      <c r="A1048" t="s">
        <v>152</v>
      </c>
      <c r="B1048" s="2">
        <v>45717</v>
      </c>
      <c r="C1048" s="10" t="s">
        <v>554</v>
      </c>
    </row>
    <row r="1049" spans="1:8" ht="28.8" hidden="1" x14ac:dyDescent="0.3">
      <c r="A1049" t="s">
        <v>152</v>
      </c>
      <c r="B1049" s="2">
        <v>45748</v>
      </c>
      <c r="C1049" s="10" t="s">
        <v>554</v>
      </c>
    </row>
    <row r="1050" spans="1:8" ht="129.6" hidden="1" x14ac:dyDescent="0.3">
      <c r="A1050" t="s">
        <v>152</v>
      </c>
      <c r="B1050" s="2">
        <v>45778</v>
      </c>
      <c r="C1050" s="10" t="s">
        <v>571</v>
      </c>
    </row>
    <row r="1051" spans="1:8" ht="129.6" hidden="1" x14ac:dyDescent="0.3">
      <c r="A1051" t="s">
        <v>152</v>
      </c>
      <c r="B1051" s="2">
        <v>45809</v>
      </c>
      <c r="C1051" s="10" t="s">
        <v>572</v>
      </c>
    </row>
    <row r="1052" spans="1:8" ht="129.6" hidden="1" x14ac:dyDescent="0.3">
      <c r="A1052" t="s">
        <v>152</v>
      </c>
      <c r="B1052" s="2">
        <v>45839</v>
      </c>
      <c r="C1052" s="10" t="s">
        <v>573</v>
      </c>
    </row>
    <row r="1053" spans="1:8" ht="129.6" hidden="1" x14ac:dyDescent="0.3">
      <c r="A1053" t="s">
        <v>152</v>
      </c>
      <c r="B1053" s="2">
        <v>45870</v>
      </c>
      <c r="C1053" s="10" t="s">
        <v>574</v>
      </c>
    </row>
    <row r="1054" spans="1:8" ht="100.8" hidden="1" x14ac:dyDescent="0.3">
      <c r="A1054" t="s">
        <v>152</v>
      </c>
      <c r="B1054" s="2">
        <v>45901</v>
      </c>
      <c r="C1054" s="10" t="s">
        <v>575</v>
      </c>
    </row>
    <row r="1055" spans="1:8" ht="158.4" hidden="1" x14ac:dyDescent="0.3">
      <c r="A1055" t="s">
        <v>152</v>
      </c>
      <c r="B1055" s="2">
        <v>45931</v>
      </c>
      <c r="C1055" s="10" t="s">
        <v>576</v>
      </c>
    </row>
    <row r="1056" spans="1:8" ht="158.4" hidden="1" x14ac:dyDescent="0.3">
      <c r="A1056" t="s">
        <v>152</v>
      </c>
      <c r="B1056" s="2">
        <v>45962</v>
      </c>
      <c r="C1056" s="10" t="s">
        <v>577</v>
      </c>
    </row>
    <row r="1057" spans="1:8" ht="28.8" hidden="1" x14ac:dyDescent="0.3">
      <c r="A1057" t="s">
        <v>152</v>
      </c>
      <c r="B1057" s="2">
        <v>45992</v>
      </c>
      <c r="C1057" s="10" t="s">
        <v>578</v>
      </c>
    </row>
    <row r="1058" spans="1:8" ht="28.8" hidden="1" x14ac:dyDescent="0.3">
      <c r="A1058" t="s">
        <v>152</v>
      </c>
      <c r="B1058" s="2">
        <v>46023</v>
      </c>
      <c r="C1058" s="10" t="s">
        <v>579</v>
      </c>
    </row>
    <row r="1059" spans="1:8" ht="43.2" hidden="1" x14ac:dyDescent="0.3">
      <c r="A1059" t="s">
        <v>152</v>
      </c>
      <c r="B1059" s="2">
        <v>46054</v>
      </c>
      <c r="C1059" s="10" t="s">
        <v>580</v>
      </c>
    </row>
    <row r="1060" spans="1:8" ht="28.8" hidden="1" x14ac:dyDescent="0.3">
      <c r="A1060" t="s">
        <v>152</v>
      </c>
      <c r="B1060" s="2">
        <v>46082</v>
      </c>
      <c r="C1060" s="10" t="s">
        <v>581</v>
      </c>
    </row>
    <row r="1061" spans="1:8" ht="28.8" hidden="1" x14ac:dyDescent="0.3">
      <c r="A1061" t="s">
        <v>152</v>
      </c>
      <c r="B1061" s="2">
        <v>46113</v>
      </c>
      <c r="C1061" s="10" t="s">
        <v>581</v>
      </c>
    </row>
    <row r="1062" spans="1:8" ht="28.8" hidden="1" x14ac:dyDescent="0.3">
      <c r="A1062" t="s">
        <v>152</v>
      </c>
      <c r="B1062" s="2">
        <v>46143</v>
      </c>
      <c r="C1062" s="10" t="s">
        <v>865</v>
      </c>
    </row>
    <row r="1063" spans="1:8" ht="28.8" x14ac:dyDescent="0.3">
      <c r="A1063" t="s">
        <v>152</v>
      </c>
      <c r="B1063" s="2">
        <v>46235</v>
      </c>
      <c r="C1063" s="10" t="s">
        <v>895</v>
      </c>
      <c r="D1063" t="s">
        <v>1081</v>
      </c>
      <c r="E1063" t="s">
        <v>33</v>
      </c>
      <c r="F1063" t="s">
        <v>33</v>
      </c>
      <c r="G1063" s="10" t="s">
        <v>1082</v>
      </c>
      <c r="H1063" t="s">
        <v>36</v>
      </c>
    </row>
    <row r="1064" spans="1:8" ht="43.2" hidden="1" customHeight="1" x14ac:dyDescent="0.3">
      <c r="A1064" t="s">
        <v>152</v>
      </c>
      <c r="B1064" s="2">
        <v>46174</v>
      </c>
      <c r="C1064" s="10"/>
    </row>
    <row r="1065" spans="1:8" ht="57.6" hidden="1" customHeight="1" x14ac:dyDescent="0.3">
      <c r="A1065" t="s">
        <v>152</v>
      </c>
      <c r="B1065" s="2">
        <v>46204</v>
      </c>
      <c r="C1065" s="10">
        <v>31</v>
      </c>
      <c r="D1065">
        <v>0</v>
      </c>
      <c r="E1065" t="s">
        <v>33</v>
      </c>
      <c r="F1065" t="s">
        <v>33</v>
      </c>
      <c r="G1065" t="s">
        <v>1039</v>
      </c>
      <c r="H1065" t="s">
        <v>36</v>
      </c>
    </row>
    <row r="1066" spans="1:8" ht="57.6" hidden="1" customHeight="1" x14ac:dyDescent="0.3">
      <c r="A1066" t="s">
        <v>155</v>
      </c>
      <c r="B1066" s="2">
        <v>45536</v>
      </c>
      <c r="C1066" s="10"/>
    </row>
    <row r="1067" spans="1:8" ht="57.6" hidden="1" customHeight="1" x14ac:dyDescent="0.3">
      <c r="A1067" t="s">
        <v>155</v>
      </c>
      <c r="B1067" s="2">
        <v>45566</v>
      </c>
      <c r="C1067" s="10"/>
    </row>
    <row r="1068" spans="1:8" hidden="1" x14ac:dyDescent="0.3">
      <c r="A1068" t="s">
        <v>155</v>
      </c>
      <c r="B1068" s="2">
        <v>45597</v>
      </c>
      <c r="C1068" s="10"/>
    </row>
    <row r="1069" spans="1:8" hidden="1" x14ac:dyDescent="0.3">
      <c r="A1069" t="s">
        <v>155</v>
      </c>
      <c r="B1069" s="2">
        <v>45627</v>
      </c>
      <c r="C1069" s="10"/>
    </row>
    <row r="1070" spans="1:8" hidden="1" x14ac:dyDescent="0.3">
      <c r="A1070" t="s">
        <v>155</v>
      </c>
      <c r="B1070" s="2">
        <v>45658</v>
      </c>
      <c r="C1070" s="10"/>
    </row>
    <row r="1071" spans="1:8" hidden="1" x14ac:dyDescent="0.3">
      <c r="A1071" t="s">
        <v>155</v>
      </c>
      <c r="B1071" s="2">
        <v>45689</v>
      </c>
      <c r="C1071" s="10" t="s">
        <v>587</v>
      </c>
    </row>
    <row r="1072" spans="1:8" hidden="1" x14ac:dyDescent="0.3">
      <c r="A1072" t="s">
        <v>155</v>
      </c>
      <c r="B1072" s="2">
        <v>45717</v>
      </c>
      <c r="C1072" s="10" t="s">
        <v>588</v>
      </c>
      <c r="G1072" s="45"/>
    </row>
    <row r="1073" spans="1:8" hidden="1" x14ac:dyDescent="0.3">
      <c r="A1073" t="s">
        <v>155</v>
      </c>
      <c r="B1073" s="2">
        <v>45748</v>
      </c>
      <c r="C1073" s="10" t="s">
        <v>588</v>
      </c>
      <c r="G1073" s="45"/>
    </row>
    <row r="1074" spans="1:8" ht="129.6" hidden="1" x14ac:dyDescent="0.3">
      <c r="A1074" t="s">
        <v>155</v>
      </c>
      <c r="B1074" s="2">
        <v>45778</v>
      </c>
      <c r="C1074" s="10" t="s">
        <v>589</v>
      </c>
      <c r="G1074" s="45"/>
    </row>
    <row r="1075" spans="1:8" ht="129.6" hidden="1" x14ac:dyDescent="0.3">
      <c r="A1075" t="s">
        <v>155</v>
      </c>
      <c r="B1075" s="2">
        <v>45809</v>
      </c>
      <c r="C1075" s="10" t="s">
        <v>590</v>
      </c>
    </row>
    <row r="1076" spans="1:8" hidden="1" x14ac:dyDescent="0.3">
      <c r="A1076" t="s">
        <v>155</v>
      </c>
      <c r="B1076" s="2">
        <v>45839</v>
      </c>
      <c r="C1076" s="10"/>
    </row>
    <row r="1077" spans="1:8" ht="129.6" hidden="1" x14ac:dyDescent="0.3">
      <c r="A1077" t="s">
        <v>155</v>
      </c>
      <c r="B1077" s="2">
        <v>45870</v>
      </c>
      <c r="C1077" s="10" t="s">
        <v>591</v>
      </c>
    </row>
    <row r="1078" spans="1:8" ht="129.6" hidden="1" x14ac:dyDescent="0.3">
      <c r="A1078" t="s">
        <v>155</v>
      </c>
      <c r="B1078" s="2">
        <v>45901</v>
      </c>
      <c r="C1078" s="10" t="s">
        <v>592</v>
      </c>
    </row>
    <row r="1079" spans="1:8" ht="100.8" hidden="1" x14ac:dyDescent="0.3">
      <c r="A1079" t="s">
        <v>155</v>
      </c>
      <c r="B1079" s="2">
        <v>45931</v>
      </c>
      <c r="C1079" s="10" t="s">
        <v>593</v>
      </c>
    </row>
    <row r="1080" spans="1:8" ht="100.8" hidden="1" x14ac:dyDescent="0.3">
      <c r="A1080" t="s">
        <v>155</v>
      </c>
      <c r="B1080" s="2">
        <v>45962</v>
      </c>
      <c r="C1080" s="10" t="s">
        <v>594</v>
      </c>
    </row>
    <row r="1081" spans="1:8" hidden="1" x14ac:dyDescent="0.3">
      <c r="A1081" t="s">
        <v>155</v>
      </c>
      <c r="B1081" s="2">
        <v>45992</v>
      </c>
      <c r="C1081" s="10" t="s">
        <v>326</v>
      </c>
    </row>
    <row r="1082" spans="1:8" hidden="1" x14ac:dyDescent="0.3">
      <c r="A1082" t="s">
        <v>155</v>
      </c>
      <c r="B1082" s="2">
        <v>46023</v>
      </c>
      <c r="C1082" s="10" t="s">
        <v>338</v>
      </c>
    </row>
    <row r="1083" spans="1:8" hidden="1" x14ac:dyDescent="0.3">
      <c r="A1083" t="s">
        <v>155</v>
      </c>
      <c r="B1083" s="2">
        <v>46054</v>
      </c>
      <c r="C1083" s="10" t="s">
        <v>326</v>
      </c>
    </row>
    <row r="1084" spans="1:8" ht="28.8" hidden="1" x14ac:dyDescent="0.3">
      <c r="A1084" t="s">
        <v>155</v>
      </c>
      <c r="B1084" s="2">
        <v>46082</v>
      </c>
      <c r="C1084" s="10" t="s">
        <v>595</v>
      </c>
    </row>
    <row r="1085" spans="1:8" ht="28.8" hidden="1" x14ac:dyDescent="0.3">
      <c r="A1085" t="s">
        <v>155</v>
      </c>
      <c r="B1085" s="2">
        <v>46113</v>
      </c>
      <c r="C1085" s="10" t="s">
        <v>596</v>
      </c>
    </row>
    <row r="1086" spans="1:8" ht="28.8" hidden="1" x14ac:dyDescent="0.3">
      <c r="A1086" t="s">
        <v>155</v>
      </c>
      <c r="B1086" s="2">
        <v>46143</v>
      </c>
      <c r="C1086" s="10" t="s">
        <v>864</v>
      </c>
    </row>
    <row r="1087" spans="1:8" x14ac:dyDescent="0.3">
      <c r="A1087" t="s">
        <v>155</v>
      </c>
      <c r="B1087" s="2">
        <v>46235</v>
      </c>
      <c r="C1087" s="10" t="s">
        <v>36</v>
      </c>
      <c r="D1087" s="10" t="s">
        <v>36</v>
      </c>
      <c r="E1087" s="10" t="s">
        <v>36</v>
      </c>
      <c r="F1087" s="10" t="s">
        <v>36</v>
      </c>
      <c r="G1087" s="10" t="s">
        <v>36</v>
      </c>
      <c r="H1087" t="s">
        <v>1083</v>
      </c>
    </row>
    <row r="1088" spans="1:8" hidden="1" x14ac:dyDescent="0.3">
      <c r="A1088" t="s">
        <v>155</v>
      </c>
      <c r="B1088" s="2">
        <v>46174</v>
      </c>
      <c r="C1088" s="10"/>
    </row>
    <row r="1089" spans="1:8" hidden="1" x14ac:dyDescent="0.3">
      <c r="A1089" t="s">
        <v>155</v>
      </c>
      <c r="B1089" s="2">
        <v>46204</v>
      </c>
      <c r="C1089" s="10" t="s">
        <v>36</v>
      </c>
      <c r="D1089" t="s">
        <v>36</v>
      </c>
      <c r="E1089" t="s">
        <v>1041</v>
      </c>
      <c r="F1089" t="s">
        <v>36</v>
      </c>
      <c r="G1089" t="s">
        <v>36</v>
      </c>
      <c r="H1089" t="s">
        <v>36</v>
      </c>
    </row>
    <row r="1090" spans="1:8" hidden="1" x14ac:dyDescent="0.3">
      <c r="A1090" t="s">
        <v>157</v>
      </c>
      <c r="B1090" s="2">
        <v>45536</v>
      </c>
      <c r="C1090" s="10"/>
    </row>
    <row r="1091" spans="1:8" hidden="1" x14ac:dyDescent="0.3">
      <c r="A1091" t="s">
        <v>157</v>
      </c>
      <c r="B1091" s="2">
        <v>45566</v>
      </c>
      <c r="C1091" s="10"/>
    </row>
    <row r="1092" spans="1:8" hidden="1" x14ac:dyDescent="0.3">
      <c r="A1092" t="s">
        <v>157</v>
      </c>
      <c r="B1092" s="2">
        <v>45597</v>
      </c>
      <c r="C1092" s="10"/>
    </row>
    <row r="1093" spans="1:8" hidden="1" x14ac:dyDescent="0.3">
      <c r="A1093" t="s">
        <v>157</v>
      </c>
      <c r="B1093" s="2">
        <v>45627</v>
      </c>
      <c r="C1093" s="10"/>
    </row>
    <row r="1094" spans="1:8" hidden="1" x14ac:dyDescent="0.3">
      <c r="A1094" t="s">
        <v>157</v>
      </c>
      <c r="B1094" s="2">
        <v>45658</v>
      </c>
      <c r="C1094" s="10"/>
    </row>
    <row r="1095" spans="1:8" hidden="1" x14ac:dyDescent="0.3">
      <c r="A1095" t="s">
        <v>157</v>
      </c>
      <c r="B1095" s="2">
        <v>45689</v>
      </c>
      <c r="C1095" s="10"/>
    </row>
    <row r="1096" spans="1:8" hidden="1" x14ac:dyDescent="0.3">
      <c r="A1096" t="s">
        <v>157</v>
      </c>
      <c r="B1096" s="2">
        <v>45717</v>
      </c>
      <c r="C1096" s="10"/>
    </row>
    <row r="1097" spans="1:8" hidden="1" x14ac:dyDescent="0.3">
      <c r="A1097" t="s">
        <v>157</v>
      </c>
      <c r="B1097" s="2">
        <v>45748</v>
      </c>
      <c r="C1097" s="10"/>
    </row>
    <row r="1098" spans="1:8" hidden="1" x14ac:dyDescent="0.3">
      <c r="A1098" t="s">
        <v>157</v>
      </c>
      <c r="B1098" s="2">
        <v>45778</v>
      </c>
      <c r="C1098" s="10"/>
    </row>
    <row r="1099" spans="1:8" hidden="1" x14ac:dyDescent="0.3">
      <c r="A1099" t="s">
        <v>157</v>
      </c>
      <c r="B1099" s="2">
        <v>45809</v>
      </c>
      <c r="C1099" s="10"/>
    </row>
    <row r="1100" spans="1:8" hidden="1" x14ac:dyDescent="0.3">
      <c r="A1100" t="s">
        <v>157</v>
      </c>
      <c r="B1100" s="2">
        <v>45839</v>
      </c>
      <c r="C1100" s="10"/>
    </row>
    <row r="1101" spans="1:8" hidden="1" x14ac:dyDescent="0.3">
      <c r="A1101" t="s">
        <v>157</v>
      </c>
      <c r="B1101" s="2">
        <v>45870</v>
      </c>
      <c r="C1101" s="10"/>
    </row>
    <row r="1102" spans="1:8" hidden="1" x14ac:dyDescent="0.3">
      <c r="A1102" t="s">
        <v>157</v>
      </c>
      <c r="B1102" s="2">
        <v>45901</v>
      </c>
      <c r="C1102" s="10"/>
    </row>
    <row r="1103" spans="1:8" ht="100.8" hidden="1" x14ac:dyDescent="0.3">
      <c r="A1103" t="s">
        <v>157</v>
      </c>
      <c r="B1103" s="2">
        <v>45931</v>
      </c>
      <c r="C1103" s="10" t="s">
        <v>597</v>
      </c>
    </row>
    <row r="1104" spans="1:8" ht="100.8" hidden="1" x14ac:dyDescent="0.3">
      <c r="A1104" t="s">
        <v>157</v>
      </c>
      <c r="B1104" s="2">
        <v>45962</v>
      </c>
      <c r="C1104" s="10" t="s">
        <v>597</v>
      </c>
    </row>
    <row r="1105" spans="1:8" hidden="1" x14ac:dyDescent="0.3">
      <c r="A1105" t="s">
        <v>157</v>
      </c>
      <c r="B1105" s="2">
        <v>45992</v>
      </c>
      <c r="C1105" s="10" t="s">
        <v>598</v>
      </c>
    </row>
    <row r="1106" spans="1:8" hidden="1" x14ac:dyDescent="0.3">
      <c r="A1106" t="s">
        <v>157</v>
      </c>
      <c r="B1106" s="2">
        <v>46023</v>
      </c>
      <c r="C1106" s="10" t="s">
        <v>338</v>
      </c>
    </row>
    <row r="1107" spans="1:8" hidden="1" x14ac:dyDescent="0.3">
      <c r="A1107" t="s">
        <v>157</v>
      </c>
      <c r="B1107" s="2">
        <v>46054</v>
      </c>
      <c r="C1107" s="10" t="s">
        <v>326</v>
      </c>
    </row>
    <row r="1108" spans="1:8" hidden="1" x14ac:dyDescent="0.3">
      <c r="A1108" t="s">
        <v>157</v>
      </c>
      <c r="B1108" s="2">
        <v>46082</v>
      </c>
      <c r="C1108" s="10" t="s">
        <v>326</v>
      </c>
    </row>
    <row r="1109" spans="1:8" ht="28.8" hidden="1" x14ac:dyDescent="0.3">
      <c r="A1109" t="s">
        <v>157</v>
      </c>
      <c r="B1109" s="2">
        <v>46113</v>
      </c>
      <c r="C1109" s="10" t="s">
        <v>595</v>
      </c>
    </row>
    <row r="1110" spans="1:8" ht="28.8" hidden="1" x14ac:dyDescent="0.3">
      <c r="A1110" t="s">
        <v>157</v>
      </c>
      <c r="B1110" s="2">
        <v>46143</v>
      </c>
      <c r="C1110" s="10" t="s">
        <v>867</v>
      </c>
    </row>
    <row r="1111" spans="1:8" x14ac:dyDescent="0.3">
      <c r="A1111" t="s">
        <v>157</v>
      </c>
      <c r="B1111" s="2">
        <v>46235</v>
      </c>
      <c r="C1111" s="10" t="s">
        <v>896</v>
      </c>
      <c r="D1111">
        <v>0</v>
      </c>
      <c r="E1111" t="s">
        <v>33</v>
      </c>
      <c r="F1111" t="s">
        <v>33</v>
      </c>
      <c r="G1111" t="s">
        <v>932</v>
      </c>
      <c r="H1111" t="s">
        <v>36</v>
      </c>
    </row>
    <row r="1112" spans="1:8" hidden="1" x14ac:dyDescent="0.3">
      <c r="A1112" t="s">
        <v>157</v>
      </c>
      <c r="B1112" s="2">
        <v>46174</v>
      </c>
      <c r="C1112" s="10"/>
    </row>
    <row r="1113" spans="1:8" hidden="1" x14ac:dyDescent="0.3">
      <c r="A1113" t="s">
        <v>157</v>
      </c>
      <c r="B1113" s="2">
        <v>46204</v>
      </c>
      <c r="C1113" s="10">
        <v>31</v>
      </c>
      <c r="D1113">
        <v>0</v>
      </c>
      <c r="E1113" t="s">
        <v>33</v>
      </c>
      <c r="F1113" t="s">
        <v>33</v>
      </c>
      <c r="G1113" t="s">
        <v>932</v>
      </c>
      <c r="H1113" t="s">
        <v>36</v>
      </c>
    </row>
    <row r="1114" spans="1:8" hidden="1" x14ac:dyDescent="0.3">
      <c r="A1114" t="s">
        <v>160</v>
      </c>
      <c r="B1114" s="2">
        <v>45536</v>
      </c>
      <c r="C1114" s="10"/>
    </row>
    <row r="1115" spans="1:8" ht="28.8" hidden="1" x14ac:dyDescent="0.3">
      <c r="A1115" t="s">
        <v>160</v>
      </c>
      <c r="B1115" s="2">
        <v>45566</v>
      </c>
      <c r="C1115" s="10" t="s">
        <v>599</v>
      </c>
    </row>
    <row r="1116" spans="1:8" hidden="1" x14ac:dyDescent="0.3">
      <c r="A1116" t="s">
        <v>160</v>
      </c>
      <c r="B1116" s="2">
        <v>45597</v>
      </c>
      <c r="C1116" s="10"/>
    </row>
    <row r="1117" spans="1:8" hidden="1" x14ac:dyDescent="0.3">
      <c r="A1117" t="s">
        <v>160</v>
      </c>
      <c r="B1117" s="2">
        <v>45627</v>
      </c>
      <c r="C1117" s="10"/>
    </row>
    <row r="1118" spans="1:8" hidden="1" x14ac:dyDescent="0.3">
      <c r="A1118" t="s">
        <v>160</v>
      </c>
      <c r="B1118" s="2">
        <v>45658</v>
      </c>
      <c r="C1118" s="10"/>
    </row>
    <row r="1119" spans="1:8" ht="28.8" hidden="1" x14ac:dyDescent="0.3">
      <c r="A1119" t="s">
        <v>160</v>
      </c>
      <c r="B1119" s="2">
        <v>45689</v>
      </c>
      <c r="C1119" s="10" t="s">
        <v>600</v>
      </c>
    </row>
    <row r="1120" spans="1:8" ht="43.2" hidden="1" customHeight="1" x14ac:dyDescent="0.3">
      <c r="A1120" t="s">
        <v>160</v>
      </c>
      <c r="B1120" s="2">
        <v>45717</v>
      </c>
      <c r="C1120" s="10" t="s">
        <v>601</v>
      </c>
    </row>
    <row r="1121" spans="1:8" ht="86.4" hidden="1" x14ac:dyDescent="0.3">
      <c r="A1121" t="s">
        <v>160</v>
      </c>
      <c r="B1121" s="2">
        <v>45748</v>
      </c>
      <c r="C1121" s="10" t="s">
        <v>602</v>
      </c>
    </row>
    <row r="1122" spans="1:8" ht="100.8" hidden="1" x14ac:dyDescent="0.3">
      <c r="A1122" t="s">
        <v>160</v>
      </c>
      <c r="B1122" s="2">
        <v>45778</v>
      </c>
      <c r="C1122" s="10" t="s">
        <v>603</v>
      </c>
    </row>
    <row r="1123" spans="1:8" ht="100.8" hidden="1" x14ac:dyDescent="0.3">
      <c r="A1123" t="s">
        <v>160</v>
      </c>
      <c r="B1123" s="2">
        <v>45809</v>
      </c>
      <c r="C1123" s="10" t="s">
        <v>604</v>
      </c>
    </row>
    <row r="1124" spans="1:8" hidden="1" x14ac:dyDescent="0.3">
      <c r="A1124" t="s">
        <v>160</v>
      </c>
      <c r="B1124" s="2">
        <v>45839</v>
      </c>
      <c r="C1124" t="s">
        <v>911</v>
      </c>
      <c r="D1124">
        <v>0</v>
      </c>
      <c r="E1124" t="s">
        <v>33</v>
      </c>
      <c r="F1124" t="s">
        <v>33</v>
      </c>
      <c r="G1124" s="10" t="s">
        <v>338</v>
      </c>
      <c r="H1124" t="s">
        <v>36</v>
      </c>
    </row>
    <row r="1125" spans="1:8" hidden="1" x14ac:dyDescent="0.3">
      <c r="A1125" t="s">
        <v>160</v>
      </c>
      <c r="B1125" s="2">
        <v>45870</v>
      </c>
      <c r="C1125" t="s">
        <v>911</v>
      </c>
      <c r="D1125">
        <v>0</v>
      </c>
      <c r="E1125" t="s">
        <v>33</v>
      </c>
      <c r="F1125" t="s">
        <v>33</v>
      </c>
      <c r="G1125" s="10" t="s">
        <v>338</v>
      </c>
      <c r="H1125" t="s">
        <v>36</v>
      </c>
    </row>
    <row r="1126" spans="1:8" hidden="1" x14ac:dyDescent="0.3">
      <c r="A1126" t="s">
        <v>160</v>
      </c>
      <c r="B1126" s="2">
        <v>45901</v>
      </c>
      <c r="C1126" t="s">
        <v>919</v>
      </c>
      <c r="D1126">
        <v>0</v>
      </c>
      <c r="E1126" t="s">
        <v>33</v>
      </c>
      <c r="F1126" t="s">
        <v>33</v>
      </c>
      <c r="G1126" s="10" t="s">
        <v>338</v>
      </c>
      <c r="H1126" t="s">
        <v>36</v>
      </c>
    </row>
    <row r="1127" spans="1:8" hidden="1" x14ac:dyDescent="0.3">
      <c r="A1127" t="s">
        <v>160</v>
      </c>
      <c r="B1127" s="2">
        <v>45931</v>
      </c>
      <c r="C1127" t="s">
        <v>911</v>
      </c>
      <c r="D1127">
        <v>0</v>
      </c>
      <c r="E1127" t="s">
        <v>33</v>
      </c>
      <c r="F1127" t="s">
        <v>33</v>
      </c>
      <c r="G1127" s="10" t="s">
        <v>338</v>
      </c>
      <c r="H1127" t="s">
        <v>36</v>
      </c>
    </row>
    <row r="1128" spans="1:8" hidden="1" x14ac:dyDescent="0.3">
      <c r="A1128" t="s">
        <v>160</v>
      </c>
      <c r="B1128" s="2">
        <v>45962</v>
      </c>
      <c r="C1128" t="s">
        <v>919</v>
      </c>
      <c r="D1128">
        <v>0</v>
      </c>
      <c r="E1128" t="s">
        <v>33</v>
      </c>
      <c r="F1128" t="s">
        <v>33</v>
      </c>
      <c r="G1128" s="44" t="s">
        <v>932</v>
      </c>
      <c r="H1128" t="s">
        <v>36</v>
      </c>
    </row>
    <row r="1129" spans="1:8" hidden="1" x14ac:dyDescent="0.3">
      <c r="A1129" t="s">
        <v>160</v>
      </c>
      <c r="B1129" s="2">
        <v>45992</v>
      </c>
      <c r="C1129" t="s">
        <v>911</v>
      </c>
      <c r="D1129">
        <v>0</v>
      </c>
      <c r="E1129" t="s">
        <v>33</v>
      </c>
      <c r="F1129" t="s">
        <v>33</v>
      </c>
      <c r="G1129" s="44" t="s">
        <v>932</v>
      </c>
      <c r="H1129" t="s">
        <v>36</v>
      </c>
    </row>
    <row r="1130" spans="1:8" hidden="1" x14ac:dyDescent="0.3">
      <c r="A1130" t="s">
        <v>160</v>
      </c>
      <c r="B1130" s="2">
        <v>46023</v>
      </c>
      <c r="C1130" t="s">
        <v>911</v>
      </c>
      <c r="D1130">
        <v>0</v>
      </c>
      <c r="E1130" t="s">
        <v>33</v>
      </c>
      <c r="F1130" t="s">
        <v>33</v>
      </c>
      <c r="G1130" s="44" t="s">
        <v>932</v>
      </c>
      <c r="H1130" t="s">
        <v>36</v>
      </c>
    </row>
    <row r="1131" spans="1:8" hidden="1" x14ac:dyDescent="0.3">
      <c r="A1131" t="s">
        <v>160</v>
      </c>
      <c r="B1131" s="2">
        <v>46054</v>
      </c>
      <c r="C1131" t="s">
        <v>895</v>
      </c>
      <c r="D1131">
        <v>0</v>
      </c>
      <c r="E1131" t="s">
        <v>33</v>
      </c>
      <c r="F1131" t="s">
        <v>33</v>
      </c>
      <c r="G1131" s="10" t="s">
        <v>338</v>
      </c>
      <c r="H1131" t="s">
        <v>36</v>
      </c>
    </row>
    <row r="1132" spans="1:8" hidden="1" x14ac:dyDescent="0.3">
      <c r="A1132" t="s">
        <v>160</v>
      </c>
      <c r="B1132" s="2">
        <v>46082</v>
      </c>
      <c r="C1132" t="s">
        <v>911</v>
      </c>
      <c r="D1132">
        <v>0</v>
      </c>
      <c r="E1132" t="s">
        <v>33</v>
      </c>
      <c r="F1132" t="s">
        <v>33</v>
      </c>
      <c r="G1132" s="10" t="s">
        <v>338</v>
      </c>
      <c r="H1132" t="s">
        <v>36</v>
      </c>
    </row>
    <row r="1133" spans="1:8" hidden="1" x14ac:dyDescent="0.3">
      <c r="A1133" t="s">
        <v>160</v>
      </c>
      <c r="B1133" s="2">
        <v>46113</v>
      </c>
      <c r="C1133" t="s">
        <v>919</v>
      </c>
      <c r="D1133">
        <v>0</v>
      </c>
      <c r="E1133" t="s">
        <v>33</v>
      </c>
      <c r="F1133" t="s">
        <v>33</v>
      </c>
      <c r="G1133" s="10" t="s">
        <v>338</v>
      </c>
      <c r="H1133" t="s">
        <v>36</v>
      </c>
    </row>
    <row r="1134" spans="1:8" hidden="1" x14ac:dyDescent="0.3">
      <c r="A1134" t="s">
        <v>160</v>
      </c>
      <c r="B1134" s="2">
        <v>46143</v>
      </c>
      <c r="C1134" t="s">
        <v>911</v>
      </c>
      <c r="D1134">
        <v>0</v>
      </c>
      <c r="E1134" t="s">
        <v>33</v>
      </c>
      <c r="F1134" t="s">
        <v>33</v>
      </c>
      <c r="G1134" s="10" t="s">
        <v>338</v>
      </c>
      <c r="H1134" t="s">
        <v>36</v>
      </c>
    </row>
    <row r="1135" spans="1:8" x14ac:dyDescent="0.3">
      <c r="A1135" t="s">
        <v>160</v>
      </c>
      <c r="B1135" s="2">
        <v>46235</v>
      </c>
      <c r="C1135" t="s">
        <v>896</v>
      </c>
      <c r="D1135">
        <v>0</v>
      </c>
      <c r="E1135" t="s">
        <v>33</v>
      </c>
      <c r="F1135" t="s">
        <v>33</v>
      </c>
      <c r="G1135" t="s">
        <v>338</v>
      </c>
      <c r="H1135" t="s">
        <v>36</v>
      </c>
    </row>
    <row r="1136" spans="1:8" hidden="1" x14ac:dyDescent="0.3">
      <c r="A1136" t="s">
        <v>160</v>
      </c>
      <c r="B1136" s="2">
        <v>46174</v>
      </c>
      <c r="C1136" t="s">
        <v>919</v>
      </c>
      <c r="D1136">
        <v>0</v>
      </c>
      <c r="E1136" t="s">
        <v>33</v>
      </c>
      <c r="F1136" t="s">
        <v>33</v>
      </c>
      <c r="G1136" s="10" t="s">
        <v>338</v>
      </c>
      <c r="H1136" t="s">
        <v>36</v>
      </c>
    </row>
    <row r="1137" spans="1:8" hidden="1" x14ac:dyDescent="0.3">
      <c r="A1137" t="s">
        <v>160</v>
      </c>
      <c r="B1137" s="2">
        <v>46204</v>
      </c>
      <c r="C1137" s="10">
        <v>31</v>
      </c>
      <c r="D1137">
        <v>0</v>
      </c>
      <c r="E1137" t="s">
        <v>33</v>
      </c>
      <c r="F1137" t="s">
        <v>33</v>
      </c>
      <c r="G1137" t="s">
        <v>1014</v>
      </c>
      <c r="H1137" t="s">
        <v>36</v>
      </c>
    </row>
    <row r="1138" spans="1:8" hidden="1" x14ac:dyDescent="0.3">
      <c r="A1138" t="s">
        <v>244</v>
      </c>
      <c r="B1138" s="2">
        <v>45536</v>
      </c>
      <c r="C1138" s="10"/>
    </row>
    <row r="1139" spans="1:8" hidden="1" x14ac:dyDescent="0.3">
      <c r="A1139" t="s">
        <v>244</v>
      </c>
      <c r="B1139" s="2">
        <v>45566</v>
      </c>
      <c r="C1139" s="10"/>
    </row>
    <row r="1140" spans="1:8" hidden="1" x14ac:dyDescent="0.3">
      <c r="A1140" t="s">
        <v>244</v>
      </c>
      <c r="B1140" s="2">
        <v>45597</v>
      </c>
      <c r="C1140" s="10"/>
    </row>
    <row r="1141" spans="1:8" hidden="1" x14ac:dyDescent="0.3">
      <c r="A1141" t="s">
        <v>244</v>
      </c>
      <c r="B1141" s="2">
        <v>45627</v>
      </c>
      <c r="C1141" s="10"/>
    </row>
    <row r="1142" spans="1:8" ht="43.2" hidden="1" customHeight="1" x14ac:dyDescent="0.3">
      <c r="A1142" t="s">
        <v>244</v>
      </c>
      <c r="B1142" s="2">
        <v>45658</v>
      </c>
      <c r="C1142" s="10"/>
    </row>
    <row r="1143" spans="1:8" ht="43.2" hidden="1" customHeight="1" x14ac:dyDescent="0.3">
      <c r="A1143" t="s">
        <v>244</v>
      </c>
      <c r="B1143" s="2">
        <v>45689</v>
      </c>
      <c r="C1143" s="10"/>
    </row>
    <row r="1144" spans="1:8" ht="43.2" hidden="1" customHeight="1" x14ac:dyDescent="0.3">
      <c r="A1144" t="s">
        <v>244</v>
      </c>
      <c r="B1144" s="2">
        <v>45717</v>
      </c>
      <c r="C1144" s="10"/>
    </row>
    <row r="1145" spans="1:8" hidden="1" x14ac:dyDescent="0.3">
      <c r="A1145" t="s">
        <v>244</v>
      </c>
      <c r="B1145" s="2">
        <v>45748</v>
      </c>
      <c r="C1145" s="10"/>
    </row>
    <row r="1146" spans="1:8" hidden="1" x14ac:dyDescent="0.3">
      <c r="A1146" t="s">
        <v>244</v>
      </c>
      <c r="B1146" s="2">
        <v>45778</v>
      </c>
      <c r="C1146" s="10"/>
    </row>
    <row r="1147" spans="1:8" hidden="1" x14ac:dyDescent="0.3">
      <c r="A1147" t="s">
        <v>244</v>
      </c>
      <c r="B1147" s="2">
        <v>45809</v>
      </c>
      <c r="C1147" s="10"/>
    </row>
    <row r="1148" spans="1:8" hidden="1" x14ac:dyDescent="0.3">
      <c r="A1148" t="s">
        <v>244</v>
      </c>
      <c r="B1148" s="2">
        <v>45839</v>
      </c>
      <c r="C1148" s="10"/>
    </row>
    <row r="1149" spans="1:8" hidden="1" x14ac:dyDescent="0.3">
      <c r="A1149" t="s">
        <v>244</v>
      </c>
      <c r="B1149" s="2">
        <v>45870</v>
      </c>
      <c r="C1149" s="10"/>
    </row>
    <row r="1150" spans="1:8" hidden="1" x14ac:dyDescent="0.3">
      <c r="A1150" t="s">
        <v>244</v>
      </c>
      <c r="B1150" s="2">
        <v>45901</v>
      </c>
      <c r="C1150" s="10"/>
    </row>
    <row r="1151" spans="1:8" hidden="1" x14ac:dyDescent="0.3">
      <c r="A1151" t="s">
        <v>244</v>
      </c>
      <c r="B1151" s="2">
        <v>45931</v>
      </c>
      <c r="C1151" s="10"/>
    </row>
    <row r="1152" spans="1:8" hidden="1" x14ac:dyDescent="0.3">
      <c r="A1152" t="s">
        <v>244</v>
      </c>
      <c r="B1152" s="2">
        <v>45962</v>
      </c>
      <c r="C1152" s="10"/>
    </row>
    <row r="1153" spans="1:8" hidden="1" x14ac:dyDescent="0.3">
      <c r="A1153" t="s">
        <v>244</v>
      </c>
      <c r="B1153" s="2">
        <v>45992</v>
      </c>
      <c r="C1153" s="10"/>
    </row>
    <row r="1154" spans="1:8" hidden="1" x14ac:dyDescent="0.3">
      <c r="A1154" t="s">
        <v>244</v>
      </c>
      <c r="B1154" s="2">
        <v>46023</v>
      </c>
      <c r="C1154" s="10"/>
    </row>
    <row r="1155" spans="1:8" hidden="1" x14ac:dyDescent="0.3">
      <c r="A1155" t="s">
        <v>244</v>
      </c>
      <c r="B1155" s="2">
        <v>46054</v>
      </c>
      <c r="C1155" s="10"/>
    </row>
    <row r="1156" spans="1:8" hidden="1" x14ac:dyDescent="0.3">
      <c r="A1156" t="s">
        <v>244</v>
      </c>
      <c r="B1156" s="2">
        <v>46082</v>
      </c>
      <c r="C1156" s="10"/>
    </row>
    <row r="1157" spans="1:8" hidden="1" x14ac:dyDescent="0.3">
      <c r="A1157" t="s">
        <v>244</v>
      </c>
      <c r="B1157" s="2">
        <v>46113</v>
      </c>
      <c r="C1157" s="10" t="s">
        <v>605</v>
      </c>
    </row>
    <row r="1158" spans="1:8" hidden="1" x14ac:dyDescent="0.3">
      <c r="A1158" t="s">
        <v>244</v>
      </c>
      <c r="B1158" s="2">
        <v>46143</v>
      </c>
      <c r="C1158" s="10" t="s">
        <v>852</v>
      </c>
    </row>
    <row r="1159" spans="1:8" x14ac:dyDescent="0.3">
      <c r="A1159" t="s">
        <v>244</v>
      </c>
      <c r="B1159" s="2">
        <v>46235</v>
      </c>
      <c r="C1159" s="10" t="s">
        <v>896</v>
      </c>
      <c r="D1159">
        <v>0</v>
      </c>
      <c r="E1159" t="s">
        <v>33</v>
      </c>
      <c r="F1159" t="s">
        <v>33</v>
      </c>
      <c r="G1159" t="s">
        <v>932</v>
      </c>
      <c r="H1159" t="s">
        <v>36</v>
      </c>
    </row>
    <row r="1160" spans="1:8" hidden="1" x14ac:dyDescent="0.3">
      <c r="A1160" t="s">
        <v>244</v>
      </c>
      <c r="B1160" s="2">
        <v>46174</v>
      </c>
      <c r="C1160" s="10"/>
    </row>
    <row r="1161" spans="1:8" hidden="1" x14ac:dyDescent="0.3">
      <c r="A1161" t="s">
        <v>244</v>
      </c>
      <c r="B1161" s="2">
        <v>46204</v>
      </c>
      <c r="C1161" s="10">
        <v>31</v>
      </c>
      <c r="D1161">
        <v>0</v>
      </c>
      <c r="E1161" t="s">
        <v>33</v>
      </c>
      <c r="F1161" t="s">
        <v>33</v>
      </c>
      <c r="G1161" t="s">
        <v>932</v>
      </c>
      <c r="H1161" t="s">
        <v>36</v>
      </c>
    </row>
    <row r="1162" spans="1:8" hidden="1" x14ac:dyDescent="0.3">
      <c r="A1162" t="s">
        <v>163</v>
      </c>
      <c r="B1162" s="2">
        <v>45536</v>
      </c>
      <c r="C1162" s="10"/>
    </row>
    <row r="1163" spans="1:8" hidden="1" x14ac:dyDescent="0.3">
      <c r="A1163" t="s">
        <v>163</v>
      </c>
      <c r="B1163" s="2">
        <v>45566</v>
      </c>
      <c r="C1163" s="10"/>
    </row>
    <row r="1164" spans="1:8" hidden="1" x14ac:dyDescent="0.3">
      <c r="A1164" t="s">
        <v>163</v>
      </c>
      <c r="B1164" s="2">
        <v>45597</v>
      </c>
      <c r="C1164" s="10"/>
    </row>
    <row r="1165" spans="1:8" hidden="1" x14ac:dyDescent="0.3">
      <c r="A1165" t="s">
        <v>163</v>
      </c>
      <c r="B1165" s="2">
        <v>45627</v>
      </c>
      <c r="C1165" s="10"/>
    </row>
    <row r="1166" spans="1:8" ht="43.2" hidden="1" customHeight="1" x14ac:dyDescent="0.3">
      <c r="A1166" t="s">
        <v>163</v>
      </c>
      <c r="B1166" s="2">
        <v>45658</v>
      </c>
      <c r="C1166" s="10"/>
    </row>
    <row r="1167" spans="1:8" ht="43.2" hidden="1" customHeight="1" x14ac:dyDescent="0.3">
      <c r="A1167" t="s">
        <v>163</v>
      </c>
      <c r="B1167" s="2">
        <v>45689</v>
      </c>
      <c r="C1167" s="10" t="s">
        <v>610</v>
      </c>
    </row>
    <row r="1168" spans="1:8" ht="43.2" hidden="1" customHeight="1" x14ac:dyDescent="0.3">
      <c r="A1168" t="s">
        <v>163</v>
      </c>
      <c r="B1168" s="2">
        <v>45717</v>
      </c>
      <c r="C1168" s="10" t="s">
        <v>611</v>
      </c>
    </row>
    <row r="1169" spans="1:8" ht="57.6" hidden="1" x14ac:dyDescent="0.3">
      <c r="A1169" t="s">
        <v>163</v>
      </c>
      <c r="B1169" s="2">
        <v>45748</v>
      </c>
      <c r="C1169" s="10" t="s">
        <v>612</v>
      </c>
    </row>
    <row r="1170" spans="1:8" ht="129.6" hidden="1" x14ac:dyDescent="0.3">
      <c r="A1170" t="s">
        <v>163</v>
      </c>
      <c r="B1170" s="2">
        <v>45778</v>
      </c>
      <c r="C1170" s="10" t="s">
        <v>613</v>
      </c>
    </row>
    <row r="1171" spans="1:8" ht="129.6" hidden="1" x14ac:dyDescent="0.3">
      <c r="A1171" t="s">
        <v>163</v>
      </c>
      <c r="B1171" s="2">
        <v>45809</v>
      </c>
      <c r="C1171" s="10" t="s">
        <v>614</v>
      </c>
    </row>
    <row r="1172" spans="1:8" ht="129.6" hidden="1" x14ac:dyDescent="0.3">
      <c r="A1172" t="s">
        <v>163</v>
      </c>
      <c r="B1172" s="2">
        <v>45839</v>
      </c>
      <c r="C1172" s="10" t="s">
        <v>615</v>
      </c>
    </row>
    <row r="1173" spans="1:8" ht="129.6" hidden="1" x14ac:dyDescent="0.3">
      <c r="A1173" t="s">
        <v>163</v>
      </c>
      <c r="B1173" s="2">
        <v>45870</v>
      </c>
      <c r="C1173" s="10" t="s">
        <v>616</v>
      </c>
    </row>
    <row r="1174" spans="1:8" ht="129.6" hidden="1" x14ac:dyDescent="0.3">
      <c r="A1174" t="s">
        <v>163</v>
      </c>
      <c r="B1174" s="2">
        <v>45901</v>
      </c>
      <c r="C1174" s="10" t="s">
        <v>617</v>
      </c>
    </row>
    <row r="1175" spans="1:8" ht="100.8" hidden="1" x14ac:dyDescent="0.3">
      <c r="A1175" t="s">
        <v>163</v>
      </c>
      <c r="B1175" s="2">
        <v>45931</v>
      </c>
      <c r="C1175" s="10" t="s">
        <v>618</v>
      </c>
    </row>
    <row r="1176" spans="1:8" hidden="1" x14ac:dyDescent="0.3">
      <c r="A1176" t="s">
        <v>163</v>
      </c>
      <c r="B1176" s="2">
        <v>45962</v>
      </c>
      <c r="C1176" s="10" t="s">
        <v>619</v>
      </c>
    </row>
    <row r="1177" spans="1:8" hidden="1" x14ac:dyDescent="0.3">
      <c r="A1177" t="s">
        <v>163</v>
      </c>
      <c r="B1177" s="2">
        <v>45992</v>
      </c>
      <c r="C1177" s="10" t="s">
        <v>619</v>
      </c>
    </row>
    <row r="1178" spans="1:8" hidden="1" x14ac:dyDescent="0.3">
      <c r="A1178" t="s">
        <v>163</v>
      </c>
      <c r="B1178" s="2">
        <v>46023</v>
      </c>
      <c r="C1178" s="10" t="s">
        <v>619</v>
      </c>
    </row>
    <row r="1179" spans="1:8" hidden="1" x14ac:dyDescent="0.3">
      <c r="A1179" t="s">
        <v>163</v>
      </c>
      <c r="B1179" s="2">
        <v>46054</v>
      </c>
      <c r="C1179" s="10" t="s">
        <v>619</v>
      </c>
    </row>
    <row r="1180" spans="1:8" hidden="1" x14ac:dyDescent="0.3">
      <c r="A1180" t="s">
        <v>163</v>
      </c>
      <c r="B1180" s="2">
        <v>46082</v>
      </c>
      <c r="C1180" s="10" t="s">
        <v>619</v>
      </c>
    </row>
    <row r="1181" spans="1:8" hidden="1" x14ac:dyDescent="0.3">
      <c r="A1181" t="s">
        <v>163</v>
      </c>
      <c r="B1181" s="2">
        <v>46113</v>
      </c>
      <c r="C1181" s="10" t="s">
        <v>619</v>
      </c>
    </row>
    <row r="1182" spans="1:8" hidden="1" x14ac:dyDescent="0.3">
      <c r="A1182" t="s">
        <v>163</v>
      </c>
      <c r="B1182" s="2">
        <v>46143</v>
      </c>
      <c r="C1182" s="10" t="s">
        <v>859</v>
      </c>
    </row>
    <row r="1183" spans="1:8" hidden="1" x14ac:dyDescent="0.3">
      <c r="A1183" t="s">
        <v>163</v>
      </c>
      <c r="B1183" s="2">
        <v>46174</v>
      </c>
      <c r="C1183" s="10"/>
    </row>
    <row r="1184" spans="1:8" ht="28.95" hidden="1" customHeight="1" x14ac:dyDescent="0.3">
      <c r="A1184" t="s">
        <v>163</v>
      </c>
      <c r="B1184" s="2">
        <v>46204</v>
      </c>
      <c r="C1184" s="10" t="s">
        <v>36</v>
      </c>
      <c r="D1184" t="s">
        <v>36</v>
      </c>
      <c r="E1184" t="s">
        <v>1040</v>
      </c>
      <c r="F1184" t="s">
        <v>36</v>
      </c>
      <c r="G1184" t="s">
        <v>36</v>
      </c>
      <c r="H1184" t="s">
        <v>36</v>
      </c>
    </row>
    <row r="1185" spans="1:8" ht="28.95" customHeight="1" x14ac:dyDescent="0.3">
      <c r="A1185" t="s">
        <v>163</v>
      </c>
      <c r="B1185" s="2">
        <v>46235</v>
      </c>
      <c r="C1185" s="10" t="s">
        <v>36</v>
      </c>
      <c r="D1185" s="10" t="s">
        <v>36</v>
      </c>
      <c r="E1185" s="10" t="s">
        <v>36</v>
      </c>
      <c r="F1185" s="10" t="s">
        <v>36</v>
      </c>
      <c r="G1185" s="10" t="s">
        <v>36</v>
      </c>
      <c r="H1185" t="s">
        <v>1083</v>
      </c>
    </row>
    <row r="1186" spans="1:8" ht="72" hidden="1" customHeight="1" x14ac:dyDescent="0.3">
      <c r="A1186" t="s">
        <v>166</v>
      </c>
      <c r="B1186" s="2">
        <v>45536</v>
      </c>
      <c r="C1186" s="10" t="s">
        <v>620</v>
      </c>
    </row>
    <row r="1187" spans="1:8" ht="72" hidden="1" customHeight="1" x14ac:dyDescent="0.3">
      <c r="A1187" t="s">
        <v>166</v>
      </c>
      <c r="B1187" s="2">
        <v>45566</v>
      </c>
      <c r="C1187" s="10"/>
    </row>
    <row r="1188" spans="1:8" ht="72" hidden="1" customHeight="1" x14ac:dyDescent="0.3">
      <c r="A1188" t="s">
        <v>166</v>
      </c>
      <c r="B1188" s="2">
        <v>45597</v>
      </c>
      <c r="C1188" s="10"/>
    </row>
    <row r="1189" spans="1:8" ht="72" hidden="1" customHeight="1" x14ac:dyDescent="0.3">
      <c r="A1189" t="s">
        <v>166</v>
      </c>
      <c r="B1189" s="2">
        <v>45627</v>
      </c>
      <c r="C1189" s="10"/>
    </row>
    <row r="1190" spans="1:8" ht="72" hidden="1" customHeight="1" x14ac:dyDescent="0.3">
      <c r="A1190" t="s">
        <v>166</v>
      </c>
      <c r="B1190" s="2">
        <v>45658</v>
      </c>
      <c r="C1190" s="10"/>
    </row>
    <row r="1191" spans="1:8" ht="57.6" hidden="1" customHeight="1" x14ac:dyDescent="0.3">
      <c r="A1191" t="s">
        <v>166</v>
      </c>
      <c r="B1191" s="2">
        <v>45689</v>
      </c>
      <c r="C1191" s="10" t="s">
        <v>621</v>
      </c>
    </row>
    <row r="1192" spans="1:8" ht="43.2" hidden="1" x14ac:dyDescent="0.3">
      <c r="A1192" t="s">
        <v>166</v>
      </c>
      <c r="B1192" s="2">
        <v>45717</v>
      </c>
      <c r="C1192" s="10" t="s">
        <v>622</v>
      </c>
    </row>
    <row r="1193" spans="1:8" ht="115.2" hidden="1" x14ac:dyDescent="0.3">
      <c r="A1193" t="s">
        <v>166</v>
      </c>
      <c r="B1193" s="2">
        <v>45748</v>
      </c>
      <c r="C1193" s="10" t="s">
        <v>623</v>
      </c>
    </row>
    <row r="1194" spans="1:8" ht="144" hidden="1" x14ac:dyDescent="0.3">
      <c r="A1194" t="s">
        <v>166</v>
      </c>
      <c r="B1194" s="2">
        <v>45778</v>
      </c>
      <c r="C1194" s="10" t="s">
        <v>624</v>
      </c>
    </row>
    <row r="1195" spans="1:8" ht="144" hidden="1" x14ac:dyDescent="0.3">
      <c r="A1195" t="s">
        <v>166</v>
      </c>
      <c r="B1195" s="2">
        <v>45809</v>
      </c>
      <c r="C1195" s="10" t="s">
        <v>625</v>
      </c>
    </row>
    <row r="1196" spans="1:8" ht="144" hidden="1" x14ac:dyDescent="0.3">
      <c r="A1196" t="s">
        <v>166</v>
      </c>
      <c r="B1196" s="2">
        <v>45839</v>
      </c>
      <c r="C1196" s="10" t="s">
        <v>626</v>
      </c>
    </row>
    <row r="1197" spans="1:8" ht="115.2" hidden="1" x14ac:dyDescent="0.3">
      <c r="A1197" t="s">
        <v>166</v>
      </c>
      <c r="B1197" s="2">
        <v>45870</v>
      </c>
      <c r="C1197" s="10" t="s">
        <v>627</v>
      </c>
    </row>
    <row r="1198" spans="1:8" ht="115.2" hidden="1" x14ac:dyDescent="0.3">
      <c r="A1198" t="s">
        <v>166</v>
      </c>
      <c r="B1198" s="2">
        <v>45901</v>
      </c>
      <c r="C1198" s="10" t="s">
        <v>628</v>
      </c>
    </row>
    <row r="1199" spans="1:8" ht="115.2" hidden="1" x14ac:dyDescent="0.3">
      <c r="A1199" t="s">
        <v>166</v>
      </c>
      <c r="B1199" s="2">
        <v>45931</v>
      </c>
      <c r="C1199" s="10" t="s">
        <v>629</v>
      </c>
    </row>
    <row r="1200" spans="1:8" ht="115.2" hidden="1" x14ac:dyDescent="0.3">
      <c r="A1200" t="s">
        <v>166</v>
      </c>
      <c r="B1200" s="2">
        <v>45962</v>
      </c>
      <c r="C1200" s="10" t="s">
        <v>630</v>
      </c>
    </row>
    <row r="1201" spans="1:8" ht="28.8" hidden="1" x14ac:dyDescent="0.3">
      <c r="A1201" t="s">
        <v>166</v>
      </c>
      <c r="B1201" s="2">
        <v>45992</v>
      </c>
      <c r="C1201" s="10" t="s">
        <v>631</v>
      </c>
    </row>
    <row r="1202" spans="1:8" hidden="1" x14ac:dyDescent="0.3">
      <c r="A1202" t="s">
        <v>166</v>
      </c>
      <c r="B1202" s="2">
        <v>46023</v>
      </c>
      <c r="C1202" s="10" t="s">
        <v>632</v>
      </c>
    </row>
    <row r="1203" spans="1:8" ht="43.2" hidden="1" x14ac:dyDescent="0.3">
      <c r="A1203" t="s">
        <v>166</v>
      </c>
      <c r="B1203" s="2">
        <v>46054</v>
      </c>
      <c r="C1203" s="10" t="s">
        <v>314</v>
      </c>
    </row>
    <row r="1204" spans="1:8" hidden="1" x14ac:dyDescent="0.3">
      <c r="A1204" t="s">
        <v>166</v>
      </c>
      <c r="B1204" s="2">
        <v>46082</v>
      </c>
      <c r="C1204" s="10" t="s">
        <v>632</v>
      </c>
    </row>
    <row r="1205" spans="1:8" hidden="1" x14ac:dyDescent="0.3">
      <c r="A1205" t="s">
        <v>166</v>
      </c>
      <c r="B1205" s="2">
        <v>46113</v>
      </c>
      <c r="C1205" s="10" t="s">
        <v>632</v>
      </c>
    </row>
    <row r="1206" spans="1:8" hidden="1" x14ac:dyDescent="0.3">
      <c r="A1206" t="s">
        <v>166</v>
      </c>
      <c r="B1206" s="2">
        <v>46143</v>
      </c>
      <c r="C1206" s="10" t="s">
        <v>852</v>
      </c>
    </row>
    <row r="1207" spans="1:8" hidden="1" x14ac:dyDescent="0.3">
      <c r="A1207" t="s">
        <v>166</v>
      </c>
      <c r="B1207" s="2">
        <v>46174</v>
      </c>
      <c r="C1207" s="10"/>
    </row>
    <row r="1208" spans="1:8" ht="28.95" hidden="1" customHeight="1" x14ac:dyDescent="0.3">
      <c r="A1208" t="s">
        <v>166</v>
      </c>
      <c r="B1208" s="2">
        <v>46204</v>
      </c>
      <c r="C1208" s="10">
        <v>31</v>
      </c>
      <c r="D1208">
        <v>0</v>
      </c>
      <c r="E1208" t="s">
        <v>33</v>
      </c>
      <c r="F1208" t="s">
        <v>1042</v>
      </c>
      <c r="G1208" t="s">
        <v>932</v>
      </c>
      <c r="H1208" t="s">
        <v>36</v>
      </c>
    </row>
    <row r="1209" spans="1:8" x14ac:dyDescent="0.3">
      <c r="A1209" t="s">
        <v>166</v>
      </c>
      <c r="B1209" s="2">
        <v>46235</v>
      </c>
      <c r="C1209" s="10" t="s">
        <v>896</v>
      </c>
      <c r="D1209">
        <v>0</v>
      </c>
      <c r="E1209" t="s">
        <v>33</v>
      </c>
      <c r="F1209" t="s">
        <v>33</v>
      </c>
      <c r="G1209" s="10" t="s">
        <v>932</v>
      </c>
      <c r="H1209" t="s">
        <v>36</v>
      </c>
    </row>
    <row r="1210" spans="1:8" ht="72" hidden="1" customHeight="1" x14ac:dyDescent="0.3">
      <c r="A1210" t="s">
        <v>169</v>
      </c>
      <c r="B1210" s="2">
        <v>45536</v>
      </c>
      <c r="C1210" s="10" t="s">
        <v>633</v>
      </c>
    </row>
    <row r="1211" spans="1:8" ht="72" hidden="1" customHeight="1" x14ac:dyDescent="0.3">
      <c r="A1211" t="s">
        <v>169</v>
      </c>
      <c r="B1211" s="2">
        <v>45566</v>
      </c>
      <c r="C1211" s="10"/>
    </row>
    <row r="1212" spans="1:8" ht="72" hidden="1" customHeight="1" x14ac:dyDescent="0.3">
      <c r="A1212" t="s">
        <v>169</v>
      </c>
      <c r="B1212" s="2">
        <v>45597</v>
      </c>
      <c r="C1212" s="10"/>
    </row>
    <row r="1213" spans="1:8" ht="57.6" hidden="1" customHeight="1" x14ac:dyDescent="0.3">
      <c r="A1213" t="s">
        <v>169</v>
      </c>
      <c r="B1213" s="2">
        <v>45627</v>
      </c>
      <c r="C1213" s="10"/>
    </row>
    <row r="1214" spans="1:8" ht="57.6" hidden="1" customHeight="1" x14ac:dyDescent="0.3">
      <c r="A1214" t="s">
        <v>169</v>
      </c>
      <c r="B1214" s="2">
        <v>45658</v>
      </c>
      <c r="C1214" s="10"/>
    </row>
    <row r="1215" spans="1:8" ht="57.6" hidden="1" customHeight="1" x14ac:dyDescent="0.3">
      <c r="A1215" t="s">
        <v>169</v>
      </c>
      <c r="B1215" s="2">
        <v>45689</v>
      </c>
      <c r="C1215" s="10" t="s">
        <v>634</v>
      </c>
    </row>
    <row r="1216" spans="1:8" ht="57.6" hidden="1" customHeight="1" x14ac:dyDescent="0.3">
      <c r="A1216" t="s">
        <v>169</v>
      </c>
      <c r="B1216" s="2">
        <v>45717</v>
      </c>
      <c r="C1216" s="10" t="s">
        <v>634</v>
      </c>
    </row>
    <row r="1217" spans="1:8" hidden="1" x14ac:dyDescent="0.3">
      <c r="A1217" t="s">
        <v>169</v>
      </c>
      <c r="B1217" s="2">
        <v>45748</v>
      </c>
      <c r="C1217" s="10" t="s">
        <v>634</v>
      </c>
    </row>
    <row r="1218" spans="1:8" ht="115.2" hidden="1" x14ac:dyDescent="0.3">
      <c r="A1218" t="s">
        <v>169</v>
      </c>
      <c r="B1218" s="2">
        <v>45778</v>
      </c>
      <c r="C1218" s="10" t="s">
        <v>635</v>
      </c>
    </row>
    <row r="1219" spans="1:8" ht="115.2" hidden="1" x14ac:dyDescent="0.3">
      <c r="A1219" t="s">
        <v>169</v>
      </c>
      <c r="B1219" s="2">
        <v>45809</v>
      </c>
      <c r="C1219" s="10" t="s">
        <v>636</v>
      </c>
    </row>
    <row r="1220" spans="1:8" ht="115.2" hidden="1" x14ac:dyDescent="0.3">
      <c r="A1220" t="s">
        <v>169</v>
      </c>
      <c r="B1220" s="2">
        <v>45839</v>
      </c>
      <c r="C1220" s="10" t="s">
        <v>637</v>
      </c>
    </row>
    <row r="1221" spans="1:8" ht="115.2" hidden="1" x14ac:dyDescent="0.3">
      <c r="A1221" t="s">
        <v>169</v>
      </c>
      <c r="B1221" s="2">
        <v>45870</v>
      </c>
      <c r="C1221" s="10" t="s">
        <v>638</v>
      </c>
    </row>
    <row r="1222" spans="1:8" ht="115.2" hidden="1" x14ac:dyDescent="0.3">
      <c r="A1222" t="s">
        <v>169</v>
      </c>
      <c r="B1222" s="2">
        <v>45901</v>
      </c>
      <c r="C1222" s="10" t="s">
        <v>639</v>
      </c>
    </row>
    <row r="1223" spans="1:8" ht="115.2" hidden="1" x14ac:dyDescent="0.3">
      <c r="A1223" t="s">
        <v>169</v>
      </c>
      <c r="B1223" s="2">
        <v>45931</v>
      </c>
      <c r="C1223" s="10" t="s">
        <v>640</v>
      </c>
    </row>
    <row r="1224" spans="1:8" ht="115.2" hidden="1" x14ac:dyDescent="0.3">
      <c r="A1224" t="s">
        <v>169</v>
      </c>
      <c r="B1224" s="2">
        <v>45962</v>
      </c>
      <c r="C1224" s="10" t="s">
        <v>641</v>
      </c>
    </row>
    <row r="1225" spans="1:8" ht="28.8" hidden="1" x14ac:dyDescent="0.3">
      <c r="A1225" t="s">
        <v>169</v>
      </c>
      <c r="B1225" s="2">
        <v>45992</v>
      </c>
      <c r="C1225" s="10" t="s">
        <v>642</v>
      </c>
    </row>
    <row r="1226" spans="1:8" ht="28.8" hidden="1" x14ac:dyDescent="0.3">
      <c r="A1226" t="s">
        <v>169</v>
      </c>
      <c r="B1226" s="2">
        <v>46023</v>
      </c>
      <c r="C1226" s="10" t="s">
        <v>642</v>
      </c>
    </row>
    <row r="1227" spans="1:8" ht="28.8" hidden="1" x14ac:dyDescent="0.3">
      <c r="A1227" t="s">
        <v>169</v>
      </c>
      <c r="B1227" s="2">
        <v>46054</v>
      </c>
      <c r="C1227" s="10" t="s">
        <v>642</v>
      </c>
    </row>
    <row r="1228" spans="1:8" hidden="1" x14ac:dyDescent="0.3">
      <c r="A1228" t="s">
        <v>169</v>
      </c>
      <c r="B1228" s="2">
        <v>46082</v>
      </c>
      <c r="C1228" s="10" t="s">
        <v>632</v>
      </c>
    </row>
    <row r="1229" spans="1:8" hidden="1" x14ac:dyDescent="0.3">
      <c r="A1229" t="s">
        <v>169</v>
      </c>
      <c r="B1229" s="2">
        <v>46113</v>
      </c>
      <c r="C1229" s="10" t="s">
        <v>632</v>
      </c>
    </row>
    <row r="1230" spans="1:8" hidden="1" x14ac:dyDescent="0.3">
      <c r="A1230" t="s">
        <v>169</v>
      </c>
      <c r="B1230" s="2">
        <v>46143</v>
      </c>
      <c r="C1230" s="10" t="s">
        <v>852</v>
      </c>
    </row>
    <row r="1231" spans="1:8" hidden="1" x14ac:dyDescent="0.3">
      <c r="A1231" t="s">
        <v>169</v>
      </c>
      <c r="B1231" s="2">
        <v>46174</v>
      </c>
      <c r="C1231" s="10"/>
    </row>
    <row r="1232" spans="1:8" hidden="1" x14ac:dyDescent="0.3">
      <c r="A1232" t="s">
        <v>169</v>
      </c>
      <c r="B1232" s="2">
        <v>46204</v>
      </c>
      <c r="C1232" s="10">
        <v>31</v>
      </c>
      <c r="D1232">
        <v>0</v>
      </c>
      <c r="E1232" t="s">
        <v>33</v>
      </c>
      <c r="F1232" t="s">
        <v>1042</v>
      </c>
      <c r="G1232" t="s">
        <v>932</v>
      </c>
      <c r="H1232" t="s">
        <v>36</v>
      </c>
    </row>
    <row r="1233" spans="1:8" x14ac:dyDescent="0.3">
      <c r="A1233" t="s">
        <v>169</v>
      </c>
      <c r="B1233" s="2">
        <v>46235</v>
      </c>
      <c r="C1233" s="10" t="s">
        <v>896</v>
      </c>
      <c r="D1233">
        <v>0</v>
      </c>
      <c r="E1233" t="s">
        <v>33</v>
      </c>
      <c r="F1233" t="s">
        <v>33</v>
      </c>
      <c r="G1233" s="10" t="s">
        <v>932</v>
      </c>
      <c r="H1233" t="s">
        <v>36</v>
      </c>
    </row>
    <row r="1234" spans="1:8" ht="57.6" hidden="1" customHeight="1" x14ac:dyDescent="0.3">
      <c r="A1234" t="s">
        <v>171</v>
      </c>
      <c r="B1234" s="2">
        <v>45536</v>
      </c>
      <c r="C1234" s="10"/>
    </row>
    <row r="1235" spans="1:8" ht="57.6" hidden="1" customHeight="1" x14ac:dyDescent="0.3">
      <c r="A1235" t="s">
        <v>171</v>
      </c>
      <c r="B1235" s="2">
        <v>45566</v>
      </c>
      <c r="C1235" s="10" t="s">
        <v>643</v>
      </c>
    </row>
    <row r="1236" spans="1:8" ht="57.6" hidden="1" customHeight="1" x14ac:dyDescent="0.3">
      <c r="A1236" t="s">
        <v>171</v>
      </c>
      <c r="B1236" s="2">
        <v>45597</v>
      </c>
      <c r="C1236" s="10"/>
    </row>
    <row r="1237" spans="1:8" ht="57.6" hidden="1" customHeight="1" x14ac:dyDescent="0.3">
      <c r="A1237" t="s">
        <v>171</v>
      </c>
      <c r="B1237" s="2">
        <v>45627</v>
      </c>
      <c r="C1237" s="10"/>
    </row>
    <row r="1238" spans="1:8" ht="57.6" hidden="1" customHeight="1" x14ac:dyDescent="0.3">
      <c r="A1238" t="s">
        <v>171</v>
      </c>
      <c r="B1238" s="2">
        <v>45658</v>
      </c>
      <c r="C1238" s="10"/>
    </row>
    <row r="1239" spans="1:8" ht="57.6" hidden="1" customHeight="1" x14ac:dyDescent="0.3">
      <c r="A1239" t="s">
        <v>171</v>
      </c>
      <c r="B1239" s="2">
        <v>45689</v>
      </c>
      <c r="C1239" s="10" t="s">
        <v>644</v>
      </c>
    </row>
    <row r="1240" spans="1:8" ht="57.6" hidden="1" customHeight="1" x14ac:dyDescent="0.3">
      <c r="A1240" t="s">
        <v>171</v>
      </c>
      <c r="B1240" s="2">
        <v>45717</v>
      </c>
      <c r="C1240" s="10" t="s">
        <v>644</v>
      </c>
    </row>
    <row r="1241" spans="1:8" ht="86.4" hidden="1" x14ac:dyDescent="0.3">
      <c r="A1241" t="s">
        <v>171</v>
      </c>
      <c r="B1241" s="2">
        <v>45748</v>
      </c>
      <c r="C1241" s="10" t="s">
        <v>645</v>
      </c>
    </row>
    <row r="1242" spans="1:8" ht="115.2" hidden="1" x14ac:dyDescent="0.3">
      <c r="A1242" t="s">
        <v>171</v>
      </c>
      <c r="B1242" s="2">
        <v>45778</v>
      </c>
      <c r="C1242" s="10" t="s">
        <v>646</v>
      </c>
    </row>
    <row r="1243" spans="1:8" ht="115.2" hidden="1" x14ac:dyDescent="0.3">
      <c r="A1243" t="s">
        <v>171</v>
      </c>
      <c r="B1243" s="2">
        <v>45809</v>
      </c>
      <c r="C1243" s="10" t="s">
        <v>647</v>
      </c>
    </row>
    <row r="1244" spans="1:8" ht="115.2" hidden="1" x14ac:dyDescent="0.3">
      <c r="A1244" t="s">
        <v>171</v>
      </c>
      <c r="B1244" s="2">
        <v>45839</v>
      </c>
      <c r="C1244" s="10" t="s">
        <v>648</v>
      </c>
    </row>
    <row r="1245" spans="1:8" ht="129.6" hidden="1" x14ac:dyDescent="0.3">
      <c r="A1245" t="s">
        <v>171</v>
      </c>
      <c r="B1245" s="2">
        <v>45870</v>
      </c>
      <c r="C1245" s="10" t="s">
        <v>649</v>
      </c>
    </row>
    <row r="1246" spans="1:8" ht="100.8" hidden="1" x14ac:dyDescent="0.3">
      <c r="A1246" t="s">
        <v>171</v>
      </c>
      <c r="B1246" s="2">
        <v>45901</v>
      </c>
      <c r="C1246" s="10" t="s">
        <v>650</v>
      </c>
    </row>
    <row r="1247" spans="1:8" ht="100.8" hidden="1" x14ac:dyDescent="0.3">
      <c r="A1247" t="s">
        <v>171</v>
      </c>
      <c r="B1247" s="2">
        <v>45931</v>
      </c>
      <c r="C1247" s="10" t="s">
        <v>651</v>
      </c>
    </row>
    <row r="1248" spans="1:8" ht="100.8" hidden="1" x14ac:dyDescent="0.3">
      <c r="A1248" t="s">
        <v>171</v>
      </c>
      <c r="B1248" s="2">
        <v>45962</v>
      </c>
      <c r="C1248" s="10" t="s">
        <v>652</v>
      </c>
    </row>
    <row r="1249" spans="1:8" hidden="1" x14ac:dyDescent="0.3">
      <c r="A1249" t="s">
        <v>171</v>
      </c>
      <c r="B1249" s="2">
        <v>45992</v>
      </c>
      <c r="C1249" s="10" t="s">
        <v>598</v>
      </c>
    </row>
    <row r="1250" spans="1:8" hidden="1" x14ac:dyDescent="0.3">
      <c r="A1250" t="s">
        <v>171</v>
      </c>
      <c r="B1250" s="2">
        <v>46023</v>
      </c>
      <c r="C1250" s="10" t="s">
        <v>338</v>
      </c>
    </row>
    <row r="1251" spans="1:8" hidden="1" x14ac:dyDescent="0.3">
      <c r="A1251" t="s">
        <v>171</v>
      </c>
      <c r="B1251" s="2">
        <v>46054</v>
      </c>
      <c r="C1251" s="10" t="s">
        <v>326</v>
      </c>
    </row>
    <row r="1252" spans="1:8" hidden="1" x14ac:dyDescent="0.3">
      <c r="A1252" t="s">
        <v>171</v>
      </c>
      <c r="B1252" s="2">
        <v>46082</v>
      </c>
      <c r="C1252" s="10" t="s">
        <v>326</v>
      </c>
    </row>
    <row r="1253" spans="1:8" hidden="1" x14ac:dyDescent="0.3">
      <c r="A1253" t="s">
        <v>171</v>
      </c>
      <c r="B1253" s="2">
        <v>46113</v>
      </c>
      <c r="C1253" s="10" t="s">
        <v>302</v>
      </c>
    </row>
    <row r="1254" spans="1:8" hidden="1" x14ac:dyDescent="0.3">
      <c r="A1254" t="s">
        <v>171</v>
      </c>
      <c r="B1254" s="2">
        <v>46143</v>
      </c>
      <c r="C1254" s="10" t="s">
        <v>302</v>
      </c>
    </row>
    <row r="1255" spans="1:8" hidden="1" x14ac:dyDescent="0.3">
      <c r="A1255" t="s">
        <v>171</v>
      </c>
      <c r="B1255" s="2">
        <v>46174</v>
      </c>
      <c r="C1255" s="10"/>
    </row>
    <row r="1256" spans="1:8" hidden="1" x14ac:dyDescent="0.3">
      <c r="A1256" t="s">
        <v>171</v>
      </c>
      <c r="B1256" s="2">
        <v>46204</v>
      </c>
      <c r="C1256" s="10">
        <v>31</v>
      </c>
      <c r="D1256">
        <v>0</v>
      </c>
      <c r="E1256" t="s">
        <v>33</v>
      </c>
      <c r="F1256" t="s">
        <v>33</v>
      </c>
      <c r="G1256" t="s">
        <v>1014</v>
      </c>
      <c r="H1256" t="s">
        <v>36</v>
      </c>
    </row>
    <row r="1257" spans="1:8" x14ac:dyDescent="0.3">
      <c r="A1257" t="s">
        <v>171</v>
      </c>
      <c r="B1257" s="2">
        <v>46235</v>
      </c>
      <c r="C1257" t="s">
        <v>896</v>
      </c>
      <c r="D1257">
        <v>0</v>
      </c>
      <c r="E1257" t="s">
        <v>33</v>
      </c>
      <c r="F1257" t="s">
        <v>33</v>
      </c>
      <c r="G1257" t="s">
        <v>338</v>
      </c>
      <c r="H1257" t="s">
        <v>36</v>
      </c>
    </row>
    <row r="1258" spans="1:8" ht="57.6" hidden="1" customHeight="1" x14ac:dyDescent="0.3">
      <c r="A1258" t="s">
        <v>172</v>
      </c>
      <c r="B1258" s="2">
        <v>45536</v>
      </c>
      <c r="C1258" s="10"/>
    </row>
    <row r="1259" spans="1:8" ht="57.6" hidden="1" customHeight="1" x14ac:dyDescent="0.3">
      <c r="A1259" t="s">
        <v>172</v>
      </c>
      <c r="B1259" s="2">
        <v>45566</v>
      </c>
      <c r="C1259" s="10"/>
    </row>
    <row r="1260" spans="1:8" ht="57.6" hidden="1" customHeight="1" x14ac:dyDescent="0.3">
      <c r="A1260" t="s">
        <v>172</v>
      </c>
      <c r="B1260" s="2">
        <v>45597</v>
      </c>
      <c r="C1260" s="10"/>
    </row>
    <row r="1261" spans="1:8" ht="57.6" hidden="1" customHeight="1" x14ac:dyDescent="0.3">
      <c r="A1261" t="s">
        <v>172</v>
      </c>
      <c r="B1261" s="2">
        <v>45627</v>
      </c>
      <c r="C1261" s="10"/>
    </row>
    <row r="1262" spans="1:8" ht="57.6" hidden="1" customHeight="1" x14ac:dyDescent="0.3">
      <c r="A1262" t="s">
        <v>172</v>
      </c>
      <c r="B1262" s="2">
        <v>45658</v>
      </c>
      <c r="C1262" s="10"/>
    </row>
    <row r="1263" spans="1:8" ht="57.6" hidden="1" customHeight="1" x14ac:dyDescent="0.3">
      <c r="A1263" t="s">
        <v>172</v>
      </c>
      <c r="B1263" s="2">
        <v>45689</v>
      </c>
      <c r="C1263" s="10" t="s">
        <v>653</v>
      </c>
    </row>
    <row r="1264" spans="1:8" ht="57.6" hidden="1" customHeight="1" x14ac:dyDescent="0.3">
      <c r="A1264" t="s">
        <v>172</v>
      </c>
      <c r="B1264" s="2">
        <v>45717</v>
      </c>
      <c r="C1264" s="10" t="s">
        <v>654</v>
      </c>
    </row>
    <row r="1265" spans="1:8" ht="28.8" hidden="1" x14ac:dyDescent="0.3">
      <c r="A1265" t="s">
        <v>172</v>
      </c>
      <c r="B1265" s="2">
        <v>45748</v>
      </c>
      <c r="C1265" s="10" t="s">
        <v>654</v>
      </c>
    </row>
    <row r="1266" spans="1:8" ht="129.6" hidden="1" x14ac:dyDescent="0.3">
      <c r="A1266" t="s">
        <v>172</v>
      </c>
      <c r="B1266" s="2">
        <v>45778</v>
      </c>
      <c r="C1266" s="10" t="s">
        <v>655</v>
      </c>
    </row>
    <row r="1267" spans="1:8" ht="129.6" hidden="1" x14ac:dyDescent="0.3">
      <c r="A1267" t="s">
        <v>172</v>
      </c>
      <c r="B1267" s="2">
        <v>45809</v>
      </c>
      <c r="C1267" s="10" t="s">
        <v>656</v>
      </c>
    </row>
    <row r="1268" spans="1:8" ht="129.6" hidden="1" x14ac:dyDescent="0.3">
      <c r="A1268" t="s">
        <v>172</v>
      </c>
      <c r="B1268" s="2">
        <v>45839</v>
      </c>
      <c r="C1268" s="10" t="s">
        <v>657</v>
      </c>
    </row>
    <row r="1269" spans="1:8" ht="100.8" hidden="1" x14ac:dyDescent="0.3">
      <c r="A1269" t="s">
        <v>172</v>
      </c>
      <c r="B1269" s="2">
        <v>45870</v>
      </c>
      <c r="C1269" s="10" t="s">
        <v>658</v>
      </c>
    </row>
    <row r="1270" spans="1:8" ht="100.8" hidden="1" x14ac:dyDescent="0.3">
      <c r="A1270" t="s">
        <v>172</v>
      </c>
      <c r="B1270" s="2">
        <v>45901</v>
      </c>
      <c r="C1270" s="10" t="s">
        <v>659</v>
      </c>
    </row>
    <row r="1271" spans="1:8" ht="100.8" hidden="1" x14ac:dyDescent="0.3">
      <c r="A1271" t="s">
        <v>172</v>
      </c>
      <c r="B1271" s="2">
        <v>45931</v>
      </c>
      <c r="C1271" s="10" t="s">
        <v>660</v>
      </c>
    </row>
    <row r="1272" spans="1:8" ht="100.8" hidden="1" x14ac:dyDescent="0.3">
      <c r="A1272" t="s">
        <v>172</v>
      </c>
      <c r="B1272" s="2">
        <v>45962</v>
      </c>
      <c r="C1272" s="10" t="s">
        <v>661</v>
      </c>
    </row>
    <row r="1273" spans="1:8" hidden="1" x14ac:dyDescent="0.3">
      <c r="A1273" t="s">
        <v>172</v>
      </c>
      <c r="B1273" s="2">
        <v>45992</v>
      </c>
      <c r="C1273" s="10" t="s">
        <v>598</v>
      </c>
    </row>
    <row r="1274" spans="1:8" ht="28.8" hidden="1" x14ac:dyDescent="0.3">
      <c r="A1274" t="s">
        <v>172</v>
      </c>
      <c r="B1274" s="2">
        <v>46023</v>
      </c>
      <c r="C1274" s="10" t="s">
        <v>662</v>
      </c>
    </row>
    <row r="1275" spans="1:8" ht="28.8" hidden="1" x14ac:dyDescent="0.3">
      <c r="A1275" t="s">
        <v>172</v>
      </c>
      <c r="B1275" s="2">
        <v>46054</v>
      </c>
      <c r="C1275" s="10" t="s">
        <v>662</v>
      </c>
    </row>
    <row r="1276" spans="1:8" ht="43.2" hidden="1" x14ac:dyDescent="0.3">
      <c r="A1276" t="s">
        <v>172</v>
      </c>
      <c r="B1276" s="2">
        <v>46082</v>
      </c>
      <c r="C1276" s="10" t="s">
        <v>663</v>
      </c>
    </row>
    <row r="1277" spans="1:8" ht="28.8" hidden="1" x14ac:dyDescent="0.3">
      <c r="A1277" t="s">
        <v>172</v>
      </c>
      <c r="B1277" s="2">
        <v>46113</v>
      </c>
      <c r="C1277" s="10" t="s">
        <v>664</v>
      </c>
    </row>
    <row r="1278" spans="1:8" ht="28.8" hidden="1" x14ac:dyDescent="0.3">
      <c r="A1278" t="s">
        <v>172</v>
      </c>
      <c r="B1278" s="2">
        <v>46143</v>
      </c>
      <c r="C1278" s="10" t="s">
        <v>867</v>
      </c>
    </row>
    <row r="1279" spans="1:8" hidden="1" x14ac:dyDescent="0.3">
      <c r="A1279" t="s">
        <v>172</v>
      </c>
      <c r="B1279" s="2">
        <v>46174</v>
      </c>
      <c r="C1279" s="10"/>
    </row>
    <row r="1280" spans="1:8" ht="28.95" hidden="1" customHeight="1" x14ac:dyDescent="0.3">
      <c r="A1280" t="s">
        <v>172</v>
      </c>
      <c r="B1280" s="2">
        <v>46204</v>
      </c>
      <c r="C1280" s="10">
        <v>31</v>
      </c>
      <c r="D1280">
        <v>0</v>
      </c>
      <c r="E1280" t="s">
        <v>33</v>
      </c>
      <c r="F1280" t="s">
        <v>1042</v>
      </c>
      <c r="G1280" t="s">
        <v>932</v>
      </c>
      <c r="H1280" t="s">
        <v>36</v>
      </c>
    </row>
    <row r="1281" spans="1:8" x14ac:dyDescent="0.3">
      <c r="A1281" t="s">
        <v>172</v>
      </c>
      <c r="B1281" s="2">
        <v>46235</v>
      </c>
      <c r="C1281" t="s">
        <v>896</v>
      </c>
      <c r="D1281">
        <v>0</v>
      </c>
      <c r="E1281" t="s">
        <v>33</v>
      </c>
      <c r="F1281" t="s">
        <v>33</v>
      </c>
      <c r="G1281" t="s">
        <v>338</v>
      </c>
      <c r="H1281" t="s">
        <v>36</v>
      </c>
    </row>
    <row r="1282" spans="1:8" ht="57.6" hidden="1" customHeight="1" x14ac:dyDescent="0.3">
      <c r="A1282" t="s">
        <v>265</v>
      </c>
      <c r="B1282" s="2">
        <v>46204</v>
      </c>
      <c r="C1282" s="10">
        <v>0</v>
      </c>
      <c r="D1282">
        <v>31</v>
      </c>
      <c r="E1282" t="s">
        <v>1043</v>
      </c>
      <c r="F1282" t="s">
        <v>33</v>
      </c>
      <c r="G1282" t="s">
        <v>1044</v>
      </c>
      <c r="H1282" t="s">
        <v>1045</v>
      </c>
    </row>
    <row r="1283" spans="1:8" ht="57.6" hidden="1" customHeight="1" x14ac:dyDescent="0.3">
      <c r="A1283" t="s">
        <v>265</v>
      </c>
      <c r="B1283" s="2">
        <v>46174</v>
      </c>
      <c r="C1283" s="10"/>
    </row>
    <row r="1284" spans="1:8" ht="57.6" hidden="1" customHeight="1" x14ac:dyDescent="0.3">
      <c r="A1284" t="s">
        <v>265</v>
      </c>
      <c r="B1284" s="2">
        <v>45536</v>
      </c>
      <c r="C1284" s="10"/>
    </row>
    <row r="1285" spans="1:8" ht="57.6" hidden="1" customHeight="1" x14ac:dyDescent="0.3">
      <c r="A1285" t="s">
        <v>265</v>
      </c>
      <c r="B1285" s="2">
        <v>45566</v>
      </c>
      <c r="C1285" s="10" t="s">
        <v>675</v>
      </c>
    </row>
    <row r="1286" spans="1:8" ht="57.6" hidden="1" customHeight="1" x14ac:dyDescent="0.3">
      <c r="A1286" t="s">
        <v>265</v>
      </c>
      <c r="B1286" s="2">
        <v>45597</v>
      </c>
      <c r="C1286" s="10"/>
    </row>
    <row r="1287" spans="1:8" ht="57.6" hidden="1" customHeight="1" x14ac:dyDescent="0.3">
      <c r="A1287" t="s">
        <v>265</v>
      </c>
      <c r="B1287" s="2">
        <v>45627</v>
      </c>
      <c r="C1287" s="10"/>
    </row>
    <row r="1288" spans="1:8" ht="57.6" hidden="1" customHeight="1" x14ac:dyDescent="0.3">
      <c r="A1288" t="s">
        <v>265</v>
      </c>
      <c r="B1288" s="2">
        <v>45658</v>
      </c>
      <c r="C1288" s="10"/>
    </row>
    <row r="1289" spans="1:8" hidden="1" x14ac:dyDescent="0.3">
      <c r="A1289" t="s">
        <v>265</v>
      </c>
      <c r="B1289" s="2">
        <v>45689</v>
      </c>
      <c r="C1289" s="10" t="s">
        <v>676</v>
      </c>
    </row>
    <row r="1290" spans="1:8" ht="43.2" hidden="1" x14ac:dyDescent="0.3">
      <c r="A1290" t="s">
        <v>265</v>
      </c>
      <c r="B1290" s="2">
        <v>45717</v>
      </c>
      <c r="C1290" s="10" t="s">
        <v>677</v>
      </c>
    </row>
    <row r="1291" spans="1:8" ht="43.2" hidden="1" x14ac:dyDescent="0.3">
      <c r="A1291" t="s">
        <v>265</v>
      </c>
      <c r="B1291" s="2">
        <v>45748</v>
      </c>
      <c r="C1291" s="10" t="s">
        <v>677</v>
      </c>
    </row>
    <row r="1292" spans="1:8" ht="144" hidden="1" x14ac:dyDescent="0.3">
      <c r="A1292" t="s">
        <v>265</v>
      </c>
      <c r="B1292" s="2">
        <v>45778</v>
      </c>
      <c r="C1292" s="10" t="s">
        <v>678</v>
      </c>
    </row>
    <row r="1293" spans="1:8" ht="115.2" hidden="1" x14ac:dyDescent="0.3">
      <c r="A1293" t="s">
        <v>265</v>
      </c>
      <c r="B1293" s="2">
        <v>45809</v>
      </c>
      <c r="C1293" s="10" t="s">
        <v>679</v>
      </c>
    </row>
    <row r="1294" spans="1:8" ht="115.2" hidden="1" x14ac:dyDescent="0.3">
      <c r="A1294" t="s">
        <v>265</v>
      </c>
      <c r="B1294" s="2">
        <v>45839</v>
      </c>
      <c r="C1294" s="10" t="s">
        <v>680</v>
      </c>
    </row>
    <row r="1295" spans="1:8" ht="115.2" hidden="1" x14ac:dyDescent="0.3">
      <c r="A1295" t="s">
        <v>265</v>
      </c>
      <c r="B1295" s="2">
        <v>45870</v>
      </c>
      <c r="C1295" s="10" t="s">
        <v>681</v>
      </c>
    </row>
    <row r="1296" spans="1:8" ht="115.2" hidden="1" x14ac:dyDescent="0.3">
      <c r="A1296" t="s">
        <v>265</v>
      </c>
      <c r="B1296" s="2">
        <v>45901</v>
      </c>
      <c r="C1296" s="10" t="s">
        <v>682</v>
      </c>
    </row>
    <row r="1297" spans="1:8" ht="115.2" hidden="1" x14ac:dyDescent="0.3">
      <c r="A1297" t="s">
        <v>265</v>
      </c>
      <c r="B1297" s="2">
        <v>45931</v>
      </c>
      <c r="C1297" s="10" t="s">
        <v>683</v>
      </c>
    </row>
    <row r="1298" spans="1:8" ht="115.2" hidden="1" x14ac:dyDescent="0.3">
      <c r="A1298" t="s">
        <v>265</v>
      </c>
      <c r="B1298" s="2">
        <v>45962</v>
      </c>
      <c r="C1298" s="10" t="s">
        <v>684</v>
      </c>
    </row>
    <row r="1299" spans="1:8" ht="28.8" hidden="1" x14ac:dyDescent="0.3">
      <c r="A1299" t="s">
        <v>265</v>
      </c>
      <c r="B1299" s="2">
        <v>45992</v>
      </c>
      <c r="C1299" s="10" t="s">
        <v>685</v>
      </c>
    </row>
    <row r="1300" spans="1:8" ht="28.8" hidden="1" x14ac:dyDescent="0.3">
      <c r="A1300" t="s">
        <v>265</v>
      </c>
      <c r="B1300" s="2">
        <v>46023</v>
      </c>
      <c r="C1300" s="10" t="s">
        <v>686</v>
      </c>
    </row>
    <row r="1301" spans="1:8" ht="28.8" hidden="1" x14ac:dyDescent="0.3">
      <c r="A1301" t="s">
        <v>265</v>
      </c>
      <c r="B1301" s="2">
        <v>46054</v>
      </c>
      <c r="C1301" s="10" t="s">
        <v>686</v>
      </c>
    </row>
    <row r="1302" spans="1:8" ht="28.8" hidden="1" x14ac:dyDescent="0.3">
      <c r="A1302" t="s">
        <v>265</v>
      </c>
      <c r="B1302" s="2">
        <v>46082</v>
      </c>
      <c r="C1302" s="10" t="s">
        <v>687</v>
      </c>
    </row>
    <row r="1303" spans="1:8" ht="28.8" hidden="1" x14ac:dyDescent="0.3">
      <c r="A1303" t="s">
        <v>265</v>
      </c>
      <c r="B1303" s="2">
        <v>46113</v>
      </c>
      <c r="C1303" s="10" t="s">
        <v>687</v>
      </c>
    </row>
    <row r="1304" spans="1:8" ht="28.8" hidden="1" x14ac:dyDescent="0.3">
      <c r="A1304" t="s">
        <v>265</v>
      </c>
      <c r="B1304" s="2">
        <v>46143</v>
      </c>
      <c r="C1304" s="10" t="s">
        <v>860</v>
      </c>
    </row>
    <row r="1305" spans="1:8" x14ac:dyDescent="0.3">
      <c r="A1305" t="s">
        <v>265</v>
      </c>
      <c r="B1305" s="2">
        <v>46235</v>
      </c>
      <c r="C1305" s="10" t="s">
        <v>36</v>
      </c>
      <c r="D1305" s="10" t="s">
        <v>36</v>
      </c>
      <c r="E1305" s="10" t="s">
        <v>36</v>
      </c>
      <c r="F1305" s="10" t="s">
        <v>36</v>
      </c>
      <c r="G1305" s="10" t="s">
        <v>36</v>
      </c>
      <c r="H1305" t="s">
        <v>1090</v>
      </c>
    </row>
    <row r="1306" spans="1:8" ht="57.6" hidden="1" customHeight="1" x14ac:dyDescent="0.3">
      <c r="A1306" t="s">
        <v>177</v>
      </c>
      <c r="B1306" s="2">
        <v>45536</v>
      </c>
      <c r="C1306" s="10"/>
    </row>
    <row r="1307" spans="1:8" ht="57.6" hidden="1" customHeight="1" x14ac:dyDescent="0.3">
      <c r="A1307" t="s">
        <v>177</v>
      </c>
      <c r="B1307" s="2">
        <v>45566</v>
      </c>
      <c r="C1307" s="10"/>
    </row>
    <row r="1308" spans="1:8" ht="57.6" hidden="1" customHeight="1" x14ac:dyDescent="0.3">
      <c r="A1308" t="s">
        <v>177</v>
      </c>
      <c r="B1308" s="2">
        <v>45597</v>
      </c>
      <c r="C1308" s="10"/>
    </row>
    <row r="1309" spans="1:8" ht="57.6" hidden="1" customHeight="1" x14ac:dyDescent="0.3">
      <c r="A1309" t="s">
        <v>177</v>
      </c>
      <c r="B1309" s="2">
        <v>45627</v>
      </c>
      <c r="C1309" s="10"/>
    </row>
    <row r="1310" spans="1:8" ht="57.6" hidden="1" customHeight="1" x14ac:dyDescent="0.3">
      <c r="A1310" t="s">
        <v>177</v>
      </c>
      <c r="B1310" s="2">
        <v>45658</v>
      </c>
      <c r="C1310" s="10"/>
    </row>
    <row r="1311" spans="1:8" ht="57.6" hidden="1" customHeight="1" x14ac:dyDescent="0.3">
      <c r="A1311" t="s">
        <v>177</v>
      </c>
      <c r="B1311" s="2">
        <v>45689</v>
      </c>
      <c r="C1311" s="10" t="s">
        <v>665</v>
      </c>
    </row>
    <row r="1312" spans="1:8" ht="57.6" hidden="1" customHeight="1" x14ac:dyDescent="0.3">
      <c r="A1312" t="s">
        <v>177</v>
      </c>
      <c r="B1312" s="2">
        <v>45717</v>
      </c>
      <c r="C1312" s="10" t="s">
        <v>665</v>
      </c>
    </row>
    <row r="1313" spans="1:8" hidden="1" x14ac:dyDescent="0.3">
      <c r="A1313" t="s">
        <v>177</v>
      </c>
      <c r="B1313" s="2">
        <v>45748</v>
      </c>
      <c r="C1313" s="10" t="s">
        <v>665</v>
      </c>
    </row>
    <row r="1314" spans="1:8" ht="115.2" hidden="1" x14ac:dyDescent="0.3">
      <c r="A1314" t="s">
        <v>177</v>
      </c>
      <c r="B1314" s="2">
        <v>45778</v>
      </c>
      <c r="C1314" s="10" t="s">
        <v>666</v>
      </c>
    </row>
    <row r="1315" spans="1:8" ht="100.8" hidden="1" x14ac:dyDescent="0.3">
      <c r="A1315" t="s">
        <v>177</v>
      </c>
      <c r="B1315" s="2">
        <v>45809</v>
      </c>
      <c r="C1315" s="10" t="s">
        <v>667</v>
      </c>
    </row>
    <row r="1316" spans="1:8" ht="100.8" hidden="1" x14ac:dyDescent="0.3">
      <c r="A1316" t="s">
        <v>177</v>
      </c>
      <c r="B1316" s="2">
        <v>45839</v>
      </c>
      <c r="C1316" s="10" t="s">
        <v>668</v>
      </c>
    </row>
    <row r="1317" spans="1:8" ht="100.8" hidden="1" x14ac:dyDescent="0.3">
      <c r="A1317" t="s">
        <v>177</v>
      </c>
      <c r="B1317" s="2">
        <v>45870</v>
      </c>
      <c r="C1317" s="10" t="s">
        <v>669</v>
      </c>
    </row>
    <row r="1318" spans="1:8" ht="100.8" hidden="1" x14ac:dyDescent="0.3">
      <c r="A1318" t="s">
        <v>177</v>
      </c>
      <c r="B1318" s="2">
        <v>45901</v>
      </c>
      <c r="C1318" s="10" t="s">
        <v>670</v>
      </c>
    </row>
    <row r="1319" spans="1:8" ht="115.2" hidden="1" x14ac:dyDescent="0.3">
      <c r="A1319" t="s">
        <v>177</v>
      </c>
      <c r="B1319" s="2">
        <v>45931</v>
      </c>
      <c r="C1319" s="10" t="s">
        <v>671</v>
      </c>
    </row>
    <row r="1320" spans="1:8" ht="100.8" hidden="1" x14ac:dyDescent="0.3">
      <c r="A1320" t="s">
        <v>177</v>
      </c>
      <c r="B1320" s="2">
        <v>45962</v>
      </c>
      <c r="C1320" s="10" t="s">
        <v>672</v>
      </c>
    </row>
    <row r="1321" spans="1:8" ht="28.8" hidden="1" x14ac:dyDescent="0.3">
      <c r="A1321" t="s">
        <v>177</v>
      </c>
      <c r="B1321" s="2">
        <v>45992</v>
      </c>
      <c r="C1321" s="10" t="s">
        <v>673</v>
      </c>
    </row>
    <row r="1322" spans="1:8" hidden="1" x14ac:dyDescent="0.3">
      <c r="A1322" t="s">
        <v>177</v>
      </c>
      <c r="B1322" s="2">
        <v>46023</v>
      </c>
      <c r="C1322" s="10" t="s">
        <v>674</v>
      </c>
    </row>
    <row r="1323" spans="1:8" hidden="1" x14ac:dyDescent="0.3">
      <c r="A1323" t="s">
        <v>177</v>
      </c>
      <c r="B1323" s="2">
        <v>46054</v>
      </c>
      <c r="C1323" s="10" t="s">
        <v>326</v>
      </c>
    </row>
    <row r="1324" spans="1:8" hidden="1" x14ac:dyDescent="0.3">
      <c r="A1324" t="s">
        <v>177</v>
      </c>
      <c r="B1324" s="2">
        <v>46082</v>
      </c>
      <c r="C1324" s="10" t="s">
        <v>326</v>
      </c>
    </row>
    <row r="1325" spans="1:8" hidden="1" x14ac:dyDescent="0.3">
      <c r="A1325" t="s">
        <v>177</v>
      </c>
      <c r="B1325" s="2">
        <v>46113</v>
      </c>
      <c r="C1325" s="10" t="s">
        <v>302</v>
      </c>
    </row>
    <row r="1326" spans="1:8" hidden="1" x14ac:dyDescent="0.3">
      <c r="A1326" t="s">
        <v>177</v>
      </c>
      <c r="B1326" s="2">
        <v>46143</v>
      </c>
      <c r="C1326" s="10" t="s">
        <v>302</v>
      </c>
    </row>
    <row r="1327" spans="1:8" x14ac:dyDescent="0.3">
      <c r="A1327" t="s">
        <v>177</v>
      </c>
      <c r="B1327" s="2">
        <v>46235</v>
      </c>
      <c r="C1327" t="s">
        <v>896</v>
      </c>
      <c r="D1327">
        <v>0</v>
      </c>
      <c r="E1327" t="s">
        <v>33</v>
      </c>
      <c r="F1327" t="s">
        <v>33</v>
      </c>
      <c r="G1327" t="s">
        <v>338</v>
      </c>
      <c r="H1327" t="s">
        <v>36</v>
      </c>
    </row>
    <row r="1328" spans="1:8" ht="28.95" hidden="1" customHeight="1" x14ac:dyDescent="0.3">
      <c r="A1328" t="s">
        <v>177</v>
      </c>
      <c r="B1328" s="2">
        <v>46174</v>
      </c>
      <c r="C1328" s="10"/>
    </row>
    <row r="1329" spans="1:8" ht="28.95" hidden="1" customHeight="1" x14ac:dyDescent="0.3">
      <c r="A1329" t="s">
        <v>177</v>
      </c>
      <c r="B1329" s="2">
        <v>46204</v>
      </c>
      <c r="C1329" s="10">
        <v>31</v>
      </c>
      <c r="D1329">
        <v>0</v>
      </c>
      <c r="E1329" t="s">
        <v>33</v>
      </c>
      <c r="F1329" t="s">
        <v>33</v>
      </c>
      <c r="G1329" t="s">
        <v>932</v>
      </c>
      <c r="H1329" t="s">
        <v>36</v>
      </c>
    </row>
    <row r="1330" spans="1:8" ht="72" hidden="1" customHeight="1" x14ac:dyDescent="0.3">
      <c r="A1330" t="s">
        <v>180</v>
      </c>
      <c r="B1330" s="2">
        <v>45536</v>
      </c>
      <c r="C1330" s="10"/>
    </row>
    <row r="1331" spans="1:8" ht="57.6" hidden="1" customHeight="1" x14ac:dyDescent="0.3">
      <c r="A1331" t="s">
        <v>180</v>
      </c>
      <c r="B1331" s="2">
        <v>45566</v>
      </c>
      <c r="C1331" s="10"/>
    </row>
    <row r="1332" spans="1:8" ht="57.6" hidden="1" customHeight="1" x14ac:dyDescent="0.3">
      <c r="A1332" t="s">
        <v>180</v>
      </c>
      <c r="B1332" s="2">
        <v>45597</v>
      </c>
      <c r="C1332" s="10"/>
    </row>
    <row r="1333" spans="1:8" ht="57.6" hidden="1" customHeight="1" x14ac:dyDescent="0.3">
      <c r="A1333" t="s">
        <v>180</v>
      </c>
      <c r="B1333" s="2">
        <v>45627</v>
      </c>
      <c r="C1333" s="10"/>
    </row>
    <row r="1334" spans="1:8" ht="57.6" hidden="1" customHeight="1" x14ac:dyDescent="0.3">
      <c r="A1334" t="s">
        <v>180</v>
      </c>
      <c r="B1334" s="2">
        <v>45658</v>
      </c>
      <c r="C1334" s="10"/>
    </row>
    <row r="1335" spans="1:8" ht="57.6" hidden="1" customHeight="1" x14ac:dyDescent="0.3">
      <c r="A1335" t="s">
        <v>180</v>
      </c>
      <c r="B1335" s="2">
        <v>45689</v>
      </c>
      <c r="C1335" s="10" t="s">
        <v>688</v>
      </c>
    </row>
    <row r="1336" spans="1:8" ht="57.6" hidden="1" customHeight="1" x14ac:dyDescent="0.3">
      <c r="A1336" t="s">
        <v>180</v>
      </c>
      <c r="B1336" s="2">
        <v>45717</v>
      </c>
      <c r="C1336" s="10" t="s">
        <v>689</v>
      </c>
    </row>
    <row r="1337" spans="1:8" ht="28.8" hidden="1" x14ac:dyDescent="0.3">
      <c r="A1337" t="s">
        <v>180</v>
      </c>
      <c r="B1337" s="2">
        <v>45748</v>
      </c>
      <c r="C1337" s="10" t="s">
        <v>689</v>
      </c>
    </row>
    <row r="1338" spans="1:8" ht="115.2" hidden="1" x14ac:dyDescent="0.3">
      <c r="A1338" t="s">
        <v>180</v>
      </c>
      <c r="B1338" s="2">
        <v>45778</v>
      </c>
      <c r="C1338" s="10" t="s">
        <v>690</v>
      </c>
    </row>
    <row r="1339" spans="1:8" ht="86.4" hidden="1" x14ac:dyDescent="0.3">
      <c r="A1339" t="s">
        <v>180</v>
      </c>
      <c r="B1339" s="2">
        <v>45809</v>
      </c>
      <c r="C1339" s="10" t="s">
        <v>691</v>
      </c>
    </row>
    <row r="1340" spans="1:8" ht="129.6" hidden="1" x14ac:dyDescent="0.3">
      <c r="A1340" t="s">
        <v>180</v>
      </c>
      <c r="B1340" s="2">
        <v>45839</v>
      </c>
      <c r="C1340" s="10" t="s">
        <v>692</v>
      </c>
    </row>
    <row r="1341" spans="1:8" ht="100.8" hidden="1" x14ac:dyDescent="0.3">
      <c r="A1341" t="s">
        <v>180</v>
      </c>
      <c r="B1341" s="2">
        <v>45870</v>
      </c>
      <c r="C1341" s="10" t="s">
        <v>693</v>
      </c>
    </row>
    <row r="1342" spans="1:8" ht="72" hidden="1" x14ac:dyDescent="0.3">
      <c r="A1342" t="s">
        <v>180</v>
      </c>
      <c r="B1342" s="2">
        <v>45901</v>
      </c>
      <c r="C1342" s="10" t="s">
        <v>694</v>
      </c>
    </row>
    <row r="1343" spans="1:8" ht="72" hidden="1" x14ac:dyDescent="0.3">
      <c r="A1343" t="s">
        <v>180</v>
      </c>
      <c r="B1343" s="2">
        <v>45931</v>
      </c>
      <c r="C1343" s="10" t="s">
        <v>695</v>
      </c>
    </row>
    <row r="1344" spans="1:8" ht="72" hidden="1" x14ac:dyDescent="0.3">
      <c r="A1344" t="s">
        <v>180</v>
      </c>
      <c r="B1344" s="2">
        <v>45962</v>
      </c>
      <c r="C1344" s="10" t="s">
        <v>696</v>
      </c>
    </row>
    <row r="1345" spans="1:8" hidden="1" x14ac:dyDescent="0.3">
      <c r="A1345" t="s">
        <v>180</v>
      </c>
      <c r="B1345" s="2">
        <v>45992</v>
      </c>
      <c r="C1345" s="10" t="s">
        <v>598</v>
      </c>
    </row>
    <row r="1346" spans="1:8" hidden="1" x14ac:dyDescent="0.3">
      <c r="A1346" t="s">
        <v>180</v>
      </c>
      <c r="B1346" s="2">
        <v>46023</v>
      </c>
      <c r="C1346" s="10" t="s">
        <v>338</v>
      </c>
    </row>
    <row r="1347" spans="1:8" hidden="1" x14ac:dyDescent="0.3">
      <c r="A1347" t="s">
        <v>180</v>
      </c>
      <c r="B1347" s="2">
        <v>46054</v>
      </c>
      <c r="C1347" s="10" t="s">
        <v>326</v>
      </c>
    </row>
    <row r="1348" spans="1:8" hidden="1" x14ac:dyDescent="0.3">
      <c r="A1348" t="s">
        <v>180</v>
      </c>
      <c r="B1348" s="2">
        <v>46082</v>
      </c>
      <c r="C1348" s="10" t="s">
        <v>326</v>
      </c>
    </row>
    <row r="1349" spans="1:8" hidden="1" x14ac:dyDescent="0.3">
      <c r="A1349" t="s">
        <v>180</v>
      </c>
      <c r="B1349" s="2">
        <v>46113</v>
      </c>
      <c r="C1349" s="10" t="s">
        <v>326</v>
      </c>
    </row>
    <row r="1350" spans="1:8" hidden="1" x14ac:dyDescent="0.3">
      <c r="A1350" t="s">
        <v>180</v>
      </c>
      <c r="B1350" s="2">
        <v>46143</v>
      </c>
      <c r="C1350" s="10" t="s">
        <v>302</v>
      </c>
    </row>
    <row r="1351" spans="1:8" hidden="1" x14ac:dyDescent="0.3">
      <c r="A1351" t="s">
        <v>180</v>
      </c>
      <c r="B1351" s="2">
        <v>46174</v>
      </c>
      <c r="C1351" s="10"/>
    </row>
    <row r="1352" spans="1:8" hidden="1" x14ac:dyDescent="0.3">
      <c r="A1352" t="s">
        <v>180</v>
      </c>
      <c r="B1352" s="2">
        <v>46204</v>
      </c>
      <c r="C1352" s="10">
        <v>31</v>
      </c>
      <c r="D1352">
        <v>0</v>
      </c>
      <c r="E1352" t="s">
        <v>33</v>
      </c>
      <c r="F1352" t="s">
        <v>33</v>
      </c>
      <c r="G1352" t="s">
        <v>1014</v>
      </c>
      <c r="H1352" t="s">
        <v>36</v>
      </c>
    </row>
    <row r="1353" spans="1:8" x14ac:dyDescent="0.3">
      <c r="A1353" t="s">
        <v>180</v>
      </c>
      <c r="B1353" s="2">
        <v>46235</v>
      </c>
      <c r="C1353" s="10" t="s">
        <v>896</v>
      </c>
      <c r="D1353">
        <v>0</v>
      </c>
      <c r="E1353" t="s">
        <v>33</v>
      </c>
      <c r="F1353" t="s">
        <v>33</v>
      </c>
      <c r="G1353" s="10" t="s">
        <v>932</v>
      </c>
      <c r="H1353" t="s">
        <v>36</v>
      </c>
    </row>
    <row r="1354" spans="1:8" ht="57.6" hidden="1" customHeight="1" x14ac:dyDescent="0.3">
      <c r="A1354" t="s">
        <v>241</v>
      </c>
      <c r="B1354" s="2">
        <v>45536</v>
      </c>
      <c r="C1354" s="10"/>
    </row>
    <row r="1355" spans="1:8" ht="43.2" hidden="1" customHeight="1" x14ac:dyDescent="0.3">
      <c r="A1355" t="s">
        <v>241</v>
      </c>
      <c r="B1355" s="2">
        <v>45566</v>
      </c>
      <c r="C1355" s="10"/>
    </row>
    <row r="1356" spans="1:8" ht="57.6" hidden="1" customHeight="1" x14ac:dyDescent="0.3">
      <c r="A1356" t="s">
        <v>241</v>
      </c>
      <c r="B1356" s="2">
        <v>45597</v>
      </c>
      <c r="C1356" s="10"/>
    </row>
    <row r="1357" spans="1:8" ht="43.2" hidden="1" customHeight="1" x14ac:dyDescent="0.3">
      <c r="A1357" t="s">
        <v>241</v>
      </c>
      <c r="B1357" s="2">
        <v>45627</v>
      </c>
      <c r="C1357" s="10"/>
    </row>
    <row r="1358" spans="1:8" ht="43.2" hidden="1" customHeight="1" x14ac:dyDescent="0.3">
      <c r="A1358" t="s">
        <v>241</v>
      </c>
      <c r="B1358" s="2">
        <v>45658</v>
      </c>
      <c r="C1358" s="10"/>
    </row>
    <row r="1359" spans="1:8" ht="43.2" hidden="1" customHeight="1" x14ac:dyDescent="0.3">
      <c r="A1359" t="s">
        <v>241</v>
      </c>
      <c r="B1359" s="2">
        <v>45689</v>
      </c>
      <c r="C1359" s="10"/>
    </row>
    <row r="1360" spans="1:8" ht="43.2" hidden="1" customHeight="1" x14ac:dyDescent="0.3">
      <c r="A1360" t="s">
        <v>241</v>
      </c>
      <c r="B1360" s="2">
        <v>45717</v>
      </c>
      <c r="C1360" s="10"/>
    </row>
    <row r="1361" spans="1:8" hidden="1" x14ac:dyDescent="0.3">
      <c r="A1361" t="s">
        <v>241</v>
      </c>
      <c r="B1361" s="2">
        <v>45748</v>
      </c>
      <c r="C1361" s="10"/>
    </row>
    <row r="1362" spans="1:8" hidden="1" x14ac:dyDescent="0.3">
      <c r="A1362" t="s">
        <v>241</v>
      </c>
      <c r="B1362" s="2">
        <v>45778</v>
      </c>
      <c r="C1362" s="10"/>
    </row>
    <row r="1363" spans="1:8" hidden="1" x14ac:dyDescent="0.3">
      <c r="A1363" t="s">
        <v>241</v>
      </c>
      <c r="B1363" s="2">
        <v>45809</v>
      </c>
      <c r="C1363" s="10"/>
    </row>
    <row r="1364" spans="1:8" hidden="1" x14ac:dyDescent="0.3">
      <c r="A1364" t="s">
        <v>241</v>
      </c>
      <c r="B1364" s="2">
        <v>45839</v>
      </c>
      <c r="C1364" s="10"/>
    </row>
    <row r="1365" spans="1:8" hidden="1" x14ac:dyDescent="0.3">
      <c r="A1365" t="s">
        <v>241</v>
      </c>
      <c r="B1365" s="2">
        <v>45870</v>
      </c>
      <c r="C1365" s="10"/>
    </row>
    <row r="1366" spans="1:8" hidden="1" x14ac:dyDescent="0.3">
      <c r="A1366" t="s">
        <v>241</v>
      </c>
      <c r="B1366" s="2">
        <v>45901</v>
      </c>
      <c r="C1366" s="10"/>
    </row>
    <row r="1367" spans="1:8" hidden="1" x14ac:dyDescent="0.3">
      <c r="A1367" t="s">
        <v>241</v>
      </c>
      <c r="B1367" s="2">
        <v>45931</v>
      </c>
      <c r="C1367" s="10"/>
    </row>
    <row r="1368" spans="1:8" hidden="1" x14ac:dyDescent="0.3">
      <c r="A1368" t="s">
        <v>241</v>
      </c>
      <c r="B1368" s="2">
        <v>45962</v>
      </c>
      <c r="C1368" s="10"/>
    </row>
    <row r="1369" spans="1:8" hidden="1" x14ac:dyDescent="0.3">
      <c r="A1369" t="s">
        <v>241</v>
      </c>
      <c r="B1369" s="2">
        <v>45992</v>
      </c>
      <c r="C1369" s="10"/>
    </row>
    <row r="1370" spans="1:8" hidden="1" x14ac:dyDescent="0.3">
      <c r="A1370" t="s">
        <v>241</v>
      </c>
      <c r="B1370" s="2">
        <v>46023</v>
      </c>
      <c r="C1370" s="10"/>
    </row>
    <row r="1371" spans="1:8" hidden="1" x14ac:dyDescent="0.3">
      <c r="A1371" t="s">
        <v>241</v>
      </c>
      <c r="B1371" s="2">
        <v>46054</v>
      </c>
      <c r="C1371" s="10"/>
    </row>
    <row r="1372" spans="1:8" hidden="1" x14ac:dyDescent="0.3">
      <c r="A1372" t="s">
        <v>241</v>
      </c>
      <c r="B1372" s="2">
        <v>46082</v>
      </c>
      <c r="C1372" s="10"/>
    </row>
    <row r="1373" spans="1:8" hidden="1" x14ac:dyDescent="0.3">
      <c r="A1373" t="s">
        <v>241</v>
      </c>
      <c r="B1373" s="2">
        <v>46113</v>
      </c>
      <c r="C1373" s="10" t="s">
        <v>459</v>
      </c>
    </row>
    <row r="1374" spans="1:8" ht="28.8" hidden="1" x14ac:dyDescent="0.3">
      <c r="A1374" t="s">
        <v>241</v>
      </c>
      <c r="B1374" s="2">
        <v>46143</v>
      </c>
      <c r="C1374" s="10" t="s">
        <v>866</v>
      </c>
    </row>
    <row r="1375" spans="1:8" hidden="1" x14ac:dyDescent="0.3">
      <c r="A1375" t="s">
        <v>241</v>
      </c>
      <c r="B1375" s="2">
        <v>46174</v>
      </c>
      <c r="C1375" s="10"/>
    </row>
    <row r="1376" spans="1:8" hidden="1" x14ac:dyDescent="0.3">
      <c r="A1376" t="s">
        <v>241</v>
      </c>
      <c r="B1376" s="2">
        <v>46204</v>
      </c>
      <c r="C1376" s="10">
        <v>31</v>
      </c>
      <c r="D1376">
        <v>0</v>
      </c>
      <c r="E1376" t="s">
        <v>33</v>
      </c>
      <c r="F1376" t="s">
        <v>33</v>
      </c>
      <c r="G1376" t="s">
        <v>1046</v>
      </c>
      <c r="H1376" t="s">
        <v>36</v>
      </c>
    </row>
    <row r="1377" spans="1:3" x14ac:dyDescent="0.3">
      <c r="A1377" t="s">
        <v>241</v>
      </c>
      <c r="B1377" s="2">
        <v>46235</v>
      </c>
      <c r="C1377" s="10"/>
    </row>
    <row r="1378" spans="1:3" hidden="1" x14ac:dyDescent="0.3">
      <c r="A1378" t="s">
        <v>182</v>
      </c>
      <c r="B1378" s="2">
        <v>45536</v>
      </c>
      <c r="C1378" s="10"/>
    </row>
    <row r="1379" spans="1:3" hidden="1" x14ac:dyDescent="0.3">
      <c r="A1379" t="s">
        <v>182</v>
      </c>
      <c r="B1379" s="2">
        <v>45566</v>
      </c>
      <c r="C1379" s="10"/>
    </row>
    <row r="1380" spans="1:3" hidden="1" x14ac:dyDescent="0.3">
      <c r="A1380" t="s">
        <v>182</v>
      </c>
      <c r="B1380" s="2">
        <v>45597</v>
      </c>
      <c r="C1380" s="10"/>
    </row>
    <row r="1381" spans="1:3" hidden="1" x14ac:dyDescent="0.3">
      <c r="A1381" t="s">
        <v>182</v>
      </c>
      <c r="B1381" s="2">
        <v>45627</v>
      </c>
      <c r="C1381" s="10"/>
    </row>
    <row r="1382" spans="1:3" hidden="1" x14ac:dyDescent="0.3">
      <c r="A1382" t="s">
        <v>182</v>
      </c>
      <c r="B1382" s="2">
        <v>45658</v>
      </c>
      <c r="C1382" s="10"/>
    </row>
    <row r="1383" spans="1:3" hidden="1" x14ac:dyDescent="0.3">
      <c r="A1383" t="s">
        <v>182</v>
      </c>
      <c r="B1383" s="2">
        <v>45689</v>
      </c>
      <c r="C1383" s="10"/>
    </row>
    <row r="1384" spans="1:3" hidden="1" x14ac:dyDescent="0.3">
      <c r="A1384" t="s">
        <v>182</v>
      </c>
      <c r="B1384" s="2">
        <v>45717</v>
      </c>
      <c r="C1384" s="10"/>
    </row>
    <row r="1385" spans="1:3" hidden="1" x14ac:dyDescent="0.3">
      <c r="A1385" t="s">
        <v>182</v>
      </c>
      <c r="B1385" s="2">
        <v>45748</v>
      </c>
      <c r="C1385" s="10"/>
    </row>
    <row r="1386" spans="1:3" hidden="1" x14ac:dyDescent="0.3">
      <c r="A1386" t="s">
        <v>182</v>
      </c>
      <c r="B1386" s="2">
        <v>45778</v>
      </c>
      <c r="C1386" s="10"/>
    </row>
    <row r="1387" spans="1:3" hidden="1" x14ac:dyDescent="0.3">
      <c r="A1387" t="s">
        <v>182</v>
      </c>
      <c r="B1387" s="2">
        <v>45809</v>
      </c>
      <c r="C1387" s="10"/>
    </row>
    <row r="1388" spans="1:3" ht="72" hidden="1" x14ac:dyDescent="0.3">
      <c r="A1388" t="s">
        <v>182</v>
      </c>
      <c r="B1388" s="2">
        <v>45839</v>
      </c>
      <c r="C1388" s="10" t="s">
        <v>697</v>
      </c>
    </row>
    <row r="1389" spans="1:3" ht="86.4" hidden="1" x14ac:dyDescent="0.3">
      <c r="A1389" t="s">
        <v>182</v>
      </c>
      <c r="B1389" s="2">
        <v>45870</v>
      </c>
      <c r="C1389" s="10" t="s">
        <v>698</v>
      </c>
    </row>
    <row r="1390" spans="1:3" ht="72" hidden="1" x14ac:dyDescent="0.3">
      <c r="A1390" t="s">
        <v>182</v>
      </c>
      <c r="B1390" s="2">
        <v>45901</v>
      </c>
      <c r="C1390" s="10" t="s">
        <v>699</v>
      </c>
    </row>
    <row r="1391" spans="1:3" ht="57.6" hidden="1" x14ac:dyDescent="0.3">
      <c r="A1391" t="s">
        <v>182</v>
      </c>
      <c r="B1391" s="2">
        <v>45931</v>
      </c>
      <c r="C1391" s="10" t="s">
        <v>700</v>
      </c>
    </row>
    <row r="1392" spans="1:3" ht="115.2" hidden="1" x14ac:dyDescent="0.3">
      <c r="A1392" t="s">
        <v>182</v>
      </c>
      <c r="B1392" s="2">
        <v>45962</v>
      </c>
      <c r="C1392" s="10" t="s">
        <v>701</v>
      </c>
    </row>
    <row r="1393" spans="1:8" hidden="1" x14ac:dyDescent="0.3">
      <c r="A1393" t="s">
        <v>182</v>
      </c>
      <c r="B1393" s="2">
        <v>45992</v>
      </c>
      <c r="C1393" s="10" t="s">
        <v>702</v>
      </c>
    </row>
    <row r="1394" spans="1:8" hidden="1" x14ac:dyDescent="0.3">
      <c r="A1394" t="s">
        <v>182</v>
      </c>
      <c r="B1394" s="2">
        <v>46023</v>
      </c>
      <c r="C1394" s="10" t="s">
        <v>338</v>
      </c>
    </row>
    <row r="1395" spans="1:8" ht="43.2" hidden="1" x14ac:dyDescent="0.3">
      <c r="A1395" t="s">
        <v>182</v>
      </c>
      <c r="B1395" s="2">
        <v>46054</v>
      </c>
      <c r="C1395" s="10" t="s">
        <v>314</v>
      </c>
    </row>
    <row r="1396" spans="1:8" ht="28.8" hidden="1" x14ac:dyDescent="0.3">
      <c r="A1396" t="s">
        <v>182</v>
      </c>
      <c r="B1396" s="2">
        <v>46082</v>
      </c>
      <c r="C1396" s="10" t="s">
        <v>703</v>
      </c>
    </row>
    <row r="1397" spans="1:8" ht="28.8" hidden="1" x14ac:dyDescent="0.3">
      <c r="A1397" t="s">
        <v>182</v>
      </c>
      <c r="B1397" s="2">
        <v>46113</v>
      </c>
      <c r="C1397" s="10" t="s">
        <v>703</v>
      </c>
    </row>
    <row r="1398" spans="1:8" ht="28.8" hidden="1" x14ac:dyDescent="0.3">
      <c r="A1398" t="s">
        <v>182</v>
      </c>
      <c r="B1398" s="2">
        <v>46143</v>
      </c>
      <c r="C1398" s="10" t="s">
        <v>861</v>
      </c>
    </row>
    <row r="1399" spans="1:8" hidden="1" x14ac:dyDescent="0.3">
      <c r="A1399" t="s">
        <v>182</v>
      </c>
      <c r="B1399" s="2">
        <v>46174</v>
      </c>
      <c r="C1399" s="10"/>
    </row>
    <row r="1400" spans="1:8" hidden="1" x14ac:dyDescent="0.3">
      <c r="A1400" t="s">
        <v>182</v>
      </c>
      <c r="B1400" s="2">
        <v>46204</v>
      </c>
      <c r="C1400" s="10">
        <v>31</v>
      </c>
      <c r="D1400">
        <v>0</v>
      </c>
      <c r="E1400" t="s">
        <v>33</v>
      </c>
      <c r="F1400" t="s">
        <v>33</v>
      </c>
      <c r="G1400" t="s">
        <v>1048</v>
      </c>
      <c r="H1400" t="s">
        <v>36</v>
      </c>
    </row>
    <row r="1401" spans="1:8" x14ac:dyDescent="0.3">
      <c r="A1401" t="s">
        <v>182</v>
      </c>
      <c r="B1401" s="2">
        <v>46235</v>
      </c>
      <c r="C1401" s="10" t="s">
        <v>896</v>
      </c>
      <c r="D1401">
        <v>0</v>
      </c>
      <c r="E1401" t="s">
        <v>33</v>
      </c>
      <c r="F1401" t="s">
        <v>33</v>
      </c>
      <c r="G1401" t="s">
        <v>1048</v>
      </c>
      <c r="H1401" t="s">
        <v>36</v>
      </c>
    </row>
    <row r="1402" spans="1:8" hidden="1" x14ac:dyDescent="0.3">
      <c r="A1402" t="s">
        <v>184</v>
      </c>
      <c r="B1402" s="2">
        <v>45536</v>
      </c>
      <c r="C1402" s="10"/>
    </row>
    <row r="1403" spans="1:8" ht="57.6" hidden="1" x14ac:dyDescent="0.3">
      <c r="A1403" t="s">
        <v>184</v>
      </c>
      <c r="B1403" s="2">
        <v>45566</v>
      </c>
      <c r="C1403" s="10" t="s">
        <v>704</v>
      </c>
    </row>
    <row r="1404" spans="1:8" ht="43.2" hidden="1" customHeight="1" x14ac:dyDescent="0.3">
      <c r="A1404" t="s">
        <v>184</v>
      </c>
      <c r="B1404" s="2">
        <v>45597</v>
      </c>
      <c r="C1404" s="10"/>
    </row>
    <row r="1405" spans="1:8" ht="57.6" hidden="1" customHeight="1" x14ac:dyDescent="0.3">
      <c r="A1405" t="s">
        <v>184</v>
      </c>
      <c r="B1405" s="2">
        <v>45627</v>
      </c>
      <c r="C1405" s="10"/>
    </row>
    <row r="1406" spans="1:8" ht="43.2" hidden="1" customHeight="1" x14ac:dyDescent="0.3">
      <c r="A1406" t="s">
        <v>184</v>
      </c>
      <c r="B1406" s="2">
        <v>45658</v>
      </c>
      <c r="C1406" s="10"/>
    </row>
    <row r="1407" spans="1:8" ht="43.2" hidden="1" customHeight="1" x14ac:dyDescent="0.3">
      <c r="A1407" t="s">
        <v>184</v>
      </c>
      <c r="B1407" s="2">
        <v>45689</v>
      </c>
      <c r="C1407" s="10" t="s">
        <v>705</v>
      </c>
    </row>
    <row r="1408" spans="1:8" ht="57.6" hidden="1" customHeight="1" x14ac:dyDescent="0.3">
      <c r="A1408" t="s">
        <v>184</v>
      </c>
      <c r="B1408" s="2">
        <v>45717</v>
      </c>
      <c r="C1408" s="10" t="s">
        <v>706</v>
      </c>
    </row>
    <row r="1409" spans="1:8" hidden="1" x14ac:dyDescent="0.3">
      <c r="A1409" t="s">
        <v>184</v>
      </c>
      <c r="B1409" s="2">
        <v>45748</v>
      </c>
      <c r="C1409" s="10" t="s">
        <v>707</v>
      </c>
    </row>
    <row r="1410" spans="1:8" ht="100.8" hidden="1" x14ac:dyDescent="0.3">
      <c r="A1410" t="s">
        <v>184</v>
      </c>
      <c r="B1410" s="2">
        <v>45778</v>
      </c>
      <c r="C1410" s="10" t="s">
        <v>708</v>
      </c>
    </row>
    <row r="1411" spans="1:8" ht="100.8" hidden="1" x14ac:dyDescent="0.3">
      <c r="A1411" t="s">
        <v>184</v>
      </c>
      <c r="B1411" s="2">
        <v>45809</v>
      </c>
      <c r="C1411" s="10" t="s">
        <v>709</v>
      </c>
    </row>
    <row r="1412" spans="1:8" ht="100.8" hidden="1" x14ac:dyDescent="0.3">
      <c r="A1412" t="s">
        <v>184</v>
      </c>
      <c r="B1412" s="2">
        <v>45839</v>
      </c>
      <c r="C1412" s="10" t="s">
        <v>710</v>
      </c>
    </row>
    <row r="1413" spans="1:8" ht="72" hidden="1" x14ac:dyDescent="0.3">
      <c r="A1413" t="s">
        <v>184</v>
      </c>
      <c r="B1413" s="2">
        <v>45870</v>
      </c>
      <c r="C1413" s="10" t="s">
        <v>711</v>
      </c>
    </row>
    <row r="1414" spans="1:8" ht="86.4" hidden="1" x14ac:dyDescent="0.3">
      <c r="A1414" t="s">
        <v>184</v>
      </c>
      <c r="B1414" s="2">
        <v>45901</v>
      </c>
      <c r="C1414" s="10" t="s">
        <v>712</v>
      </c>
    </row>
    <row r="1415" spans="1:8" ht="100.8" hidden="1" x14ac:dyDescent="0.3">
      <c r="A1415" t="s">
        <v>184</v>
      </c>
      <c r="B1415" s="2">
        <v>45931</v>
      </c>
      <c r="C1415" s="10" t="s">
        <v>713</v>
      </c>
    </row>
    <row r="1416" spans="1:8" ht="129.6" hidden="1" x14ac:dyDescent="0.3">
      <c r="A1416" t="s">
        <v>184</v>
      </c>
      <c r="B1416" s="2">
        <v>45962</v>
      </c>
      <c r="C1416" s="10" t="s">
        <v>714</v>
      </c>
    </row>
    <row r="1417" spans="1:8" ht="43.2" hidden="1" x14ac:dyDescent="0.3">
      <c r="A1417" t="s">
        <v>184</v>
      </c>
      <c r="B1417" s="2">
        <v>45992</v>
      </c>
      <c r="C1417" s="10" t="s">
        <v>314</v>
      </c>
    </row>
    <row r="1418" spans="1:8" hidden="1" x14ac:dyDescent="0.3">
      <c r="A1418" t="s">
        <v>184</v>
      </c>
      <c r="B1418" s="2">
        <v>46023</v>
      </c>
      <c r="C1418" s="10" t="s">
        <v>338</v>
      </c>
    </row>
    <row r="1419" spans="1:8" ht="28.95" hidden="1" customHeight="1" x14ac:dyDescent="0.3">
      <c r="A1419" t="s">
        <v>184</v>
      </c>
      <c r="B1419" s="2">
        <v>46054</v>
      </c>
      <c r="C1419" s="10" t="s">
        <v>715</v>
      </c>
    </row>
    <row r="1420" spans="1:8" ht="28.8" hidden="1" x14ac:dyDescent="0.3">
      <c r="A1420" t="s">
        <v>184</v>
      </c>
      <c r="B1420" s="2">
        <v>46082</v>
      </c>
      <c r="C1420" s="10" t="s">
        <v>716</v>
      </c>
    </row>
    <row r="1421" spans="1:8" hidden="1" x14ac:dyDescent="0.3">
      <c r="A1421" t="s">
        <v>184</v>
      </c>
      <c r="B1421" s="2">
        <v>46113</v>
      </c>
      <c r="C1421" s="10" t="s">
        <v>717</v>
      </c>
    </row>
    <row r="1422" spans="1:8" ht="28.8" hidden="1" x14ac:dyDescent="0.3">
      <c r="A1422" t="s">
        <v>184</v>
      </c>
      <c r="B1422" s="2">
        <v>46143</v>
      </c>
      <c r="C1422" s="10" t="s">
        <v>867</v>
      </c>
    </row>
    <row r="1423" spans="1:8" hidden="1" x14ac:dyDescent="0.3">
      <c r="A1423" t="s">
        <v>184</v>
      </c>
      <c r="B1423" s="2">
        <v>46174</v>
      </c>
      <c r="C1423" s="10"/>
    </row>
    <row r="1424" spans="1:8" hidden="1" x14ac:dyDescent="0.3">
      <c r="A1424" t="s">
        <v>184</v>
      </c>
      <c r="B1424" s="2">
        <v>46204</v>
      </c>
      <c r="C1424" s="10">
        <v>31</v>
      </c>
      <c r="D1424">
        <v>0</v>
      </c>
      <c r="E1424" t="s">
        <v>33</v>
      </c>
      <c r="F1424" t="s">
        <v>33</v>
      </c>
      <c r="G1424" t="s">
        <v>1047</v>
      </c>
      <c r="H1424" t="s">
        <v>36</v>
      </c>
    </row>
    <row r="1425" spans="1:8" x14ac:dyDescent="0.3">
      <c r="A1425" t="s">
        <v>184</v>
      </c>
      <c r="B1425" s="2">
        <v>46235</v>
      </c>
      <c r="C1425" s="10" t="s">
        <v>896</v>
      </c>
      <c r="D1425">
        <v>0</v>
      </c>
      <c r="E1425" t="s">
        <v>33</v>
      </c>
      <c r="F1425" t="s">
        <v>33</v>
      </c>
      <c r="G1425" s="10" t="s">
        <v>932</v>
      </c>
      <c r="H1425" t="s">
        <v>36</v>
      </c>
    </row>
    <row r="1426" spans="1:8" ht="43.2" hidden="1" customHeight="1" x14ac:dyDescent="0.3">
      <c r="A1426" t="s">
        <v>186</v>
      </c>
      <c r="B1426" s="2">
        <v>45536</v>
      </c>
      <c r="C1426" s="10"/>
    </row>
    <row r="1427" spans="1:8" ht="43.2" hidden="1" customHeight="1" x14ac:dyDescent="0.3">
      <c r="A1427" t="s">
        <v>186</v>
      </c>
      <c r="B1427" s="2">
        <v>45566</v>
      </c>
      <c r="C1427" s="10" t="s">
        <v>718</v>
      </c>
    </row>
    <row r="1428" spans="1:8" ht="57.6" hidden="1" customHeight="1" x14ac:dyDescent="0.3">
      <c r="A1428" t="s">
        <v>186</v>
      </c>
      <c r="B1428" s="2">
        <v>45597</v>
      </c>
      <c r="C1428" s="10"/>
    </row>
    <row r="1429" spans="1:8" ht="43.2" hidden="1" customHeight="1" x14ac:dyDescent="0.3">
      <c r="A1429" t="s">
        <v>186</v>
      </c>
      <c r="B1429" s="2">
        <v>45627</v>
      </c>
      <c r="C1429" s="10"/>
    </row>
    <row r="1430" spans="1:8" ht="43.2" hidden="1" customHeight="1" x14ac:dyDescent="0.3">
      <c r="A1430" t="s">
        <v>186</v>
      </c>
      <c r="B1430" s="2">
        <v>45658</v>
      </c>
      <c r="C1430" s="10"/>
    </row>
    <row r="1431" spans="1:8" ht="57.6" hidden="1" customHeight="1" x14ac:dyDescent="0.3">
      <c r="A1431" t="s">
        <v>186</v>
      </c>
      <c r="B1431" s="2">
        <v>45689</v>
      </c>
      <c r="C1431" s="10" t="s">
        <v>587</v>
      </c>
    </row>
    <row r="1432" spans="1:8" ht="57.6" hidden="1" customHeight="1" x14ac:dyDescent="0.3">
      <c r="A1432" t="s">
        <v>186</v>
      </c>
      <c r="B1432" s="2">
        <v>45717</v>
      </c>
      <c r="C1432" s="10" t="s">
        <v>706</v>
      </c>
    </row>
    <row r="1433" spans="1:8" hidden="1" x14ac:dyDescent="0.3">
      <c r="A1433" t="s">
        <v>186</v>
      </c>
      <c r="B1433" s="2">
        <v>45748</v>
      </c>
      <c r="C1433" s="10"/>
    </row>
    <row r="1434" spans="1:8" ht="86.4" hidden="1" x14ac:dyDescent="0.3">
      <c r="A1434" t="s">
        <v>186</v>
      </c>
      <c r="B1434" s="2">
        <v>45778</v>
      </c>
      <c r="C1434" s="10" t="s">
        <v>719</v>
      </c>
    </row>
    <row r="1435" spans="1:8" ht="72" hidden="1" x14ac:dyDescent="0.3">
      <c r="A1435" t="s">
        <v>186</v>
      </c>
      <c r="B1435" s="2">
        <v>45809</v>
      </c>
      <c r="C1435" s="10" t="s">
        <v>720</v>
      </c>
    </row>
    <row r="1436" spans="1:8" ht="72" hidden="1" x14ac:dyDescent="0.3">
      <c r="A1436" t="s">
        <v>186</v>
      </c>
      <c r="B1436" s="2">
        <v>45839</v>
      </c>
      <c r="C1436" s="10" t="s">
        <v>721</v>
      </c>
    </row>
    <row r="1437" spans="1:8" ht="72" hidden="1" x14ac:dyDescent="0.3">
      <c r="A1437" t="s">
        <v>186</v>
      </c>
      <c r="B1437" s="2">
        <v>45870</v>
      </c>
      <c r="C1437" s="10" t="s">
        <v>722</v>
      </c>
    </row>
    <row r="1438" spans="1:8" ht="100.8" hidden="1" x14ac:dyDescent="0.3">
      <c r="A1438" t="s">
        <v>186</v>
      </c>
      <c r="B1438" s="2">
        <v>45901</v>
      </c>
      <c r="C1438" s="10" t="s">
        <v>723</v>
      </c>
    </row>
    <row r="1439" spans="1:8" ht="115.2" hidden="1" x14ac:dyDescent="0.3">
      <c r="A1439" t="s">
        <v>186</v>
      </c>
      <c r="B1439" s="2">
        <v>45931</v>
      </c>
      <c r="C1439" s="10" t="s">
        <v>724</v>
      </c>
    </row>
    <row r="1440" spans="1:8" ht="129.6" hidden="1" x14ac:dyDescent="0.3">
      <c r="A1440" t="s">
        <v>186</v>
      </c>
      <c r="B1440" s="2">
        <v>45962</v>
      </c>
      <c r="C1440" s="10" t="s">
        <v>725</v>
      </c>
    </row>
    <row r="1441" spans="1:8" ht="43.2" hidden="1" x14ac:dyDescent="0.3">
      <c r="A1441" t="s">
        <v>186</v>
      </c>
      <c r="B1441" s="2">
        <v>45992</v>
      </c>
      <c r="C1441" s="10" t="s">
        <v>314</v>
      </c>
    </row>
    <row r="1442" spans="1:8" ht="43.2" hidden="1" x14ac:dyDescent="0.3">
      <c r="A1442" t="s">
        <v>186</v>
      </c>
      <c r="B1442" s="2">
        <v>46023</v>
      </c>
      <c r="C1442" s="10" t="s">
        <v>314</v>
      </c>
    </row>
    <row r="1443" spans="1:8" ht="43.2" hidden="1" x14ac:dyDescent="0.3">
      <c r="A1443" t="s">
        <v>186</v>
      </c>
      <c r="B1443" s="2">
        <v>46054</v>
      </c>
      <c r="C1443" s="10" t="s">
        <v>314</v>
      </c>
    </row>
    <row r="1444" spans="1:8" ht="43.2" hidden="1" x14ac:dyDescent="0.3">
      <c r="A1444" t="s">
        <v>186</v>
      </c>
      <c r="B1444" s="2">
        <v>46082</v>
      </c>
      <c r="C1444" s="10" t="s">
        <v>314</v>
      </c>
    </row>
    <row r="1445" spans="1:8" ht="43.2" hidden="1" x14ac:dyDescent="0.3">
      <c r="A1445" t="s">
        <v>186</v>
      </c>
      <c r="B1445" s="2">
        <v>46113</v>
      </c>
      <c r="C1445" s="10" t="s">
        <v>314</v>
      </c>
    </row>
    <row r="1446" spans="1:8" ht="28.8" hidden="1" x14ac:dyDescent="0.3">
      <c r="A1446" t="s">
        <v>186</v>
      </c>
      <c r="B1446" s="2">
        <v>46143</v>
      </c>
      <c r="C1446" s="10" t="s">
        <v>867</v>
      </c>
    </row>
    <row r="1447" spans="1:8" hidden="1" x14ac:dyDescent="0.3">
      <c r="A1447" t="s">
        <v>186</v>
      </c>
      <c r="B1447" s="2">
        <v>46174</v>
      </c>
      <c r="C1447" s="10"/>
    </row>
    <row r="1448" spans="1:8" hidden="1" x14ac:dyDescent="0.3">
      <c r="A1448" t="s">
        <v>186</v>
      </c>
      <c r="B1448" s="2">
        <v>46204</v>
      </c>
      <c r="C1448" s="10">
        <v>31</v>
      </c>
      <c r="D1448">
        <v>0</v>
      </c>
      <c r="E1448" t="s">
        <v>33</v>
      </c>
      <c r="F1448" t="s">
        <v>33</v>
      </c>
      <c r="G1448" t="s">
        <v>1047</v>
      </c>
      <c r="H1448" t="s">
        <v>36</v>
      </c>
    </row>
    <row r="1449" spans="1:8" x14ac:dyDescent="0.3">
      <c r="A1449" t="s">
        <v>186</v>
      </c>
      <c r="B1449" s="2">
        <v>46235</v>
      </c>
      <c r="C1449" s="10" t="s">
        <v>896</v>
      </c>
      <c r="D1449">
        <v>0</v>
      </c>
      <c r="E1449" t="s">
        <v>33</v>
      </c>
      <c r="F1449" t="s">
        <v>33</v>
      </c>
      <c r="G1449" s="10" t="s">
        <v>932</v>
      </c>
      <c r="H1449" t="s">
        <v>36</v>
      </c>
    </row>
    <row r="1450" spans="1:8" ht="43.2" hidden="1" customHeight="1" x14ac:dyDescent="0.3">
      <c r="A1450" t="s">
        <v>188</v>
      </c>
      <c r="B1450" s="2">
        <v>45536</v>
      </c>
      <c r="C1450" s="10"/>
    </row>
    <row r="1451" spans="1:8" ht="43.2" hidden="1" customHeight="1" x14ac:dyDescent="0.3">
      <c r="A1451" t="s">
        <v>188</v>
      </c>
      <c r="B1451" s="2">
        <v>45566</v>
      </c>
      <c r="C1451" s="10" t="s">
        <v>726</v>
      </c>
    </row>
    <row r="1452" spans="1:8" ht="43.2" hidden="1" customHeight="1" x14ac:dyDescent="0.3">
      <c r="A1452" t="s">
        <v>188</v>
      </c>
      <c r="B1452" s="2">
        <v>45597</v>
      </c>
      <c r="C1452" s="10"/>
    </row>
    <row r="1453" spans="1:8" ht="43.2" hidden="1" customHeight="1" x14ac:dyDescent="0.3">
      <c r="A1453" t="s">
        <v>188</v>
      </c>
      <c r="B1453" s="2">
        <v>45627</v>
      </c>
      <c r="C1453" s="10"/>
    </row>
    <row r="1454" spans="1:8" ht="57.6" hidden="1" customHeight="1" x14ac:dyDescent="0.3">
      <c r="A1454" t="s">
        <v>188</v>
      </c>
      <c r="B1454" s="2">
        <v>45658</v>
      </c>
      <c r="C1454" s="10"/>
    </row>
    <row r="1455" spans="1:8" ht="57.6" hidden="1" customHeight="1" x14ac:dyDescent="0.3">
      <c r="A1455" t="s">
        <v>188</v>
      </c>
      <c r="B1455" s="2">
        <v>45689</v>
      </c>
      <c r="C1455" s="10" t="s">
        <v>726</v>
      </c>
    </row>
    <row r="1456" spans="1:8" ht="57.6" hidden="1" customHeight="1" x14ac:dyDescent="0.3">
      <c r="A1456" t="s">
        <v>188</v>
      </c>
      <c r="B1456" s="2">
        <v>45717</v>
      </c>
      <c r="C1456" s="10" t="s">
        <v>727</v>
      </c>
    </row>
    <row r="1457" spans="1:8" ht="28.8" hidden="1" x14ac:dyDescent="0.3">
      <c r="A1457" t="s">
        <v>188</v>
      </c>
      <c r="B1457" s="2">
        <v>45748</v>
      </c>
      <c r="C1457" s="10" t="s">
        <v>727</v>
      </c>
    </row>
    <row r="1458" spans="1:8" ht="100.8" hidden="1" x14ac:dyDescent="0.3">
      <c r="A1458" t="s">
        <v>188</v>
      </c>
      <c r="B1458" s="2">
        <v>45778</v>
      </c>
      <c r="C1458" s="10" t="s">
        <v>728</v>
      </c>
    </row>
    <row r="1459" spans="1:8" ht="100.8" hidden="1" x14ac:dyDescent="0.3">
      <c r="A1459" t="s">
        <v>188</v>
      </c>
      <c r="B1459" s="2">
        <v>45809</v>
      </c>
      <c r="C1459" s="10" t="s">
        <v>729</v>
      </c>
    </row>
    <row r="1460" spans="1:8" ht="86.4" hidden="1" x14ac:dyDescent="0.3">
      <c r="A1460" t="s">
        <v>188</v>
      </c>
      <c r="B1460" s="2">
        <v>45839</v>
      </c>
      <c r="C1460" s="10" t="s">
        <v>730</v>
      </c>
    </row>
    <row r="1461" spans="1:8" ht="72" hidden="1" x14ac:dyDescent="0.3">
      <c r="A1461" t="s">
        <v>188</v>
      </c>
      <c r="B1461" s="2">
        <v>45870</v>
      </c>
      <c r="C1461" s="10" t="s">
        <v>731</v>
      </c>
    </row>
    <row r="1462" spans="1:8" ht="100.8" hidden="1" x14ac:dyDescent="0.3">
      <c r="A1462" t="s">
        <v>188</v>
      </c>
      <c r="B1462" s="2">
        <v>45901</v>
      </c>
      <c r="C1462" s="10" t="s">
        <v>732</v>
      </c>
    </row>
    <row r="1463" spans="1:8" ht="115.2" hidden="1" x14ac:dyDescent="0.3">
      <c r="A1463" t="s">
        <v>188</v>
      </c>
      <c r="B1463" s="2">
        <v>45931</v>
      </c>
      <c r="C1463" s="10" t="s">
        <v>733</v>
      </c>
    </row>
    <row r="1464" spans="1:8" ht="100.8" hidden="1" x14ac:dyDescent="0.3">
      <c r="A1464" t="s">
        <v>188</v>
      </c>
      <c r="B1464" s="2">
        <v>45962</v>
      </c>
      <c r="C1464" s="10" t="s">
        <v>734</v>
      </c>
    </row>
    <row r="1465" spans="1:8" hidden="1" x14ac:dyDescent="0.3">
      <c r="A1465" t="s">
        <v>188</v>
      </c>
      <c r="B1465" s="2">
        <v>45992</v>
      </c>
      <c r="C1465" s="10" t="s">
        <v>598</v>
      </c>
    </row>
    <row r="1466" spans="1:8" hidden="1" x14ac:dyDescent="0.3">
      <c r="A1466" t="s">
        <v>188</v>
      </c>
      <c r="B1466" s="2">
        <v>46023</v>
      </c>
      <c r="C1466" s="10" t="s">
        <v>338</v>
      </c>
    </row>
    <row r="1467" spans="1:8" hidden="1" x14ac:dyDescent="0.3">
      <c r="A1467" t="s">
        <v>188</v>
      </c>
      <c r="B1467" s="2">
        <v>46054</v>
      </c>
      <c r="C1467" s="10" t="s">
        <v>326</v>
      </c>
    </row>
    <row r="1468" spans="1:8" hidden="1" x14ac:dyDescent="0.3">
      <c r="A1468" t="s">
        <v>188</v>
      </c>
      <c r="B1468" s="2">
        <v>46082</v>
      </c>
      <c r="C1468" s="10" t="s">
        <v>326</v>
      </c>
    </row>
    <row r="1469" spans="1:8" hidden="1" x14ac:dyDescent="0.3">
      <c r="A1469" t="s">
        <v>188</v>
      </c>
      <c r="B1469" s="2">
        <v>46113</v>
      </c>
      <c r="C1469" s="10" t="s">
        <v>302</v>
      </c>
    </row>
    <row r="1470" spans="1:8" hidden="1" x14ac:dyDescent="0.3">
      <c r="A1470" t="s">
        <v>188</v>
      </c>
      <c r="B1470" s="2">
        <v>46143</v>
      </c>
      <c r="C1470" s="10" t="s">
        <v>302</v>
      </c>
    </row>
    <row r="1471" spans="1:8" hidden="1" x14ac:dyDescent="0.3">
      <c r="A1471" t="s">
        <v>188</v>
      </c>
      <c r="B1471" s="2">
        <v>46174</v>
      </c>
      <c r="C1471" s="10"/>
    </row>
    <row r="1472" spans="1:8" hidden="1" x14ac:dyDescent="0.3">
      <c r="A1472" t="s">
        <v>188</v>
      </c>
      <c r="B1472" s="2">
        <v>46204</v>
      </c>
      <c r="C1472" s="10">
        <v>31</v>
      </c>
      <c r="D1472">
        <v>0</v>
      </c>
      <c r="E1472" t="s">
        <v>33</v>
      </c>
      <c r="F1472" t="s">
        <v>1049</v>
      </c>
      <c r="G1472" t="s">
        <v>1050</v>
      </c>
      <c r="H1472" t="s">
        <v>36</v>
      </c>
    </row>
    <row r="1473" spans="1:8" x14ac:dyDescent="0.3">
      <c r="A1473" t="s">
        <v>188</v>
      </c>
      <c r="B1473" s="2">
        <v>46235</v>
      </c>
      <c r="C1473" t="s">
        <v>896</v>
      </c>
      <c r="D1473">
        <v>0</v>
      </c>
      <c r="E1473" t="s">
        <v>33</v>
      </c>
      <c r="F1473" t="s">
        <v>33</v>
      </c>
      <c r="G1473" t="s">
        <v>338</v>
      </c>
      <c r="H1473" t="s">
        <v>36</v>
      </c>
    </row>
    <row r="1474" spans="1:8" ht="57.6" hidden="1" customHeight="1" x14ac:dyDescent="0.3">
      <c r="A1474" t="s">
        <v>226</v>
      </c>
      <c r="B1474" s="2">
        <v>45536</v>
      </c>
      <c r="C1474" s="10"/>
    </row>
    <row r="1475" spans="1:8" ht="57.6" hidden="1" customHeight="1" x14ac:dyDescent="0.3">
      <c r="A1475" t="s">
        <v>226</v>
      </c>
      <c r="B1475" s="2">
        <v>45566</v>
      </c>
      <c r="C1475" s="10"/>
    </row>
    <row r="1476" spans="1:8" ht="43.2" hidden="1" customHeight="1" x14ac:dyDescent="0.3">
      <c r="A1476" t="s">
        <v>226</v>
      </c>
      <c r="B1476" s="2">
        <v>45597</v>
      </c>
      <c r="C1476" s="10"/>
    </row>
    <row r="1477" spans="1:8" ht="43.2" hidden="1" customHeight="1" x14ac:dyDescent="0.3">
      <c r="A1477" t="s">
        <v>226</v>
      </c>
      <c r="B1477" s="2">
        <v>45627</v>
      </c>
      <c r="C1477" s="10"/>
    </row>
    <row r="1478" spans="1:8" ht="57.6" hidden="1" customHeight="1" x14ac:dyDescent="0.3">
      <c r="A1478" t="s">
        <v>226</v>
      </c>
      <c r="B1478" s="2">
        <v>45658</v>
      </c>
      <c r="C1478" s="10"/>
    </row>
    <row r="1479" spans="1:8" ht="57.6" hidden="1" customHeight="1" x14ac:dyDescent="0.3">
      <c r="A1479" t="s">
        <v>226</v>
      </c>
      <c r="B1479" s="2">
        <v>45689</v>
      </c>
      <c r="C1479" s="10"/>
    </row>
    <row r="1480" spans="1:8" ht="57.6" hidden="1" customHeight="1" x14ac:dyDescent="0.3">
      <c r="A1480" t="s">
        <v>226</v>
      </c>
      <c r="B1480" s="2">
        <v>45717</v>
      </c>
      <c r="C1480" s="10"/>
    </row>
    <row r="1481" spans="1:8" hidden="1" x14ac:dyDescent="0.3">
      <c r="A1481" t="s">
        <v>226</v>
      </c>
      <c r="B1481" s="2">
        <v>45748</v>
      </c>
      <c r="C1481" s="10"/>
    </row>
    <row r="1482" spans="1:8" hidden="1" x14ac:dyDescent="0.3">
      <c r="A1482" t="s">
        <v>226</v>
      </c>
      <c r="B1482" s="2">
        <v>45778</v>
      </c>
      <c r="C1482" s="10"/>
    </row>
    <row r="1483" spans="1:8" hidden="1" x14ac:dyDescent="0.3">
      <c r="A1483" t="s">
        <v>226</v>
      </c>
      <c r="B1483" s="2">
        <v>45809</v>
      </c>
      <c r="C1483" s="10"/>
    </row>
    <row r="1484" spans="1:8" hidden="1" x14ac:dyDescent="0.3">
      <c r="A1484" t="s">
        <v>226</v>
      </c>
      <c r="B1484" s="2">
        <v>45839</v>
      </c>
      <c r="C1484" s="10"/>
    </row>
    <row r="1485" spans="1:8" hidden="1" x14ac:dyDescent="0.3">
      <c r="A1485" t="s">
        <v>226</v>
      </c>
      <c r="B1485" s="2">
        <v>45870</v>
      </c>
      <c r="C1485" s="10"/>
    </row>
    <row r="1486" spans="1:8" hidden="1" x14ac:dyDescent="0.3">
      <c r="A1486" t="s">
        <v>226</v>
      </c>
      <c r="B1486" s="2">
        <v>45901</v>
      </c>
      <c r="C1486" s="10"/>
    </row>
    <row r="1487" spans="1:8" hidden="1" x14ac:dyDescent="0.3">
      <c r="A1487" t="s">
        <v>226</v>
      </c>
      <c r="B1487" s="2">
        <v>45931</v>
      </c>
      <c r="C1487" s="10"/>
    </row>
    <row r="1488" spans="1:8" hidden="1" x14ac:dyDescent="0.3">
      <c r="A1488" t="s">
        <v>226</v>
      </c>
      <c r="B1488" s="2">
        <v>45962</v>
      </c>
      <c r="C1488" s="10"/>
    </row>
    <row r="1489" spans="1:8" hidden="1" x14ac:dyDescent="0.3">
      <c r="A1489" t="s">
        <v>226</v>
      </c>
      <c r="B1489" s="2">
        <v>45992</v>
      </c>
      <c r="C1489" s="10" t="s">
        <v>493</v>
      </c>
    </row>
    <row r="1490" spans="1:8" hidden="1" x14ac:dyDescent="0.3">
      <c r="A1490" t="s">
        <v>226</v>
      </c>
      <c r="B1490" s="2">
        <v>46023</v>
      </c>
      <c r="C1490" s="10" t="s">
        <v>338</v>
      </c>
    </row>
    <row r="1491" spans="1:8" hidden="1" x14ac:dyDescent="0.3">
      <c r="A1491" t="s">
        <v>226</v>
      </c>
      <c r="B1491" s="2">
        <v>46054</v>
      </c>
      <c r="C1491" s="10" t="s">
        <v>326</v>
      </c>
    </row>
    <row r="1492" spans="1:8" hidden="1" x14ac:dyDescent="0.3">
      <c r="A1492" t="s">
        <v>226</v>
      </c>
      <c r="B1492" s="2">
        <v>46082</v>
      </c>
      <c r="C1492" s="10" t="s">
        <v>326</v>
      </c>
    </row>
    <row r="1493" spans="1:8" hidden="1" x14ac:dyDescent="0.3">
      <c r="A1493" t="s">
        <v>226</v>
      </c>
      <c r="B1493" s="2">
        <v>46113</v>
      </c>
      <c r="C1493" s="10" t="s">
        <v>302</v>
      </c>
    </row>
    <row r="1494" spans="1:8" hidden="1" x14ac:dyDescent="0.3">
      <c r="A1494" t="s">
        <v>226</v>
      </c>
      <c r="B1494" s="2">
        <v>46143</v>
      </c>
      <c r="C1494" s="10" t="s">
        <v>302</v>
      </c>
    </row>
    <row r="1495" spans="1:8" hidden="1" x14ac:dyDescent="0.3">
      <c r="A1495" t="s">
        <v>226</v>
      </c>
      <c r="B1495" s="2">
        <v>46174</v>
      </c>
      <c r="C1495" s="10"/>
    </row>
    <row r="1496" spans="1:8" hidden="1" x14ac:dyDescent="0.3">
      <c r="A1496" t="s">
        <v>226</v>
      </c>
      <c r="B1496" s="2">
        <v>46204</v>
      </c>
      <c r="C1496" s="10">
        <v>31</v>
      </c>
      <c r="D1496">
        <v>0</v>
      </c>
      <c r="E1496" t="s">
        <v>33</v>
      </c>
      <c r="F1496" t="s">
        <v>33</v>
      </c>
      <c r="G1496" t="s">
        <v>1014</v>
      </c>
      <c r="H1496" t="s">
        <v>36</v>
      </c>
    </row>
    <row r="1497" spans="1:8" x14ac:dyDescent="0.3">
      <c r="A1497" t="s">
        <v>226</v>
      </c>
      <c r="B1497" s="2">
        <v>46235</v>
      </c>
      <c r="C1497" t="s">
        <v>896</v>
      </c>
      <c r="D1497">
        <v>0</v>
      </c>
      <c r="E1497" t="s">
        <v>33</v>
      </c>
      <c r="F1497" t="s">
        <v>33</v>
      </c>
      <c r="G1497" t="s">
        <v>338</v>
      </c>
      <c r="H1497" t="s">
        <v>36</v>
      </c>
    </row>
    <row r="1498" spans="1:8" hidden="1" x14ac:dyDescent="0.3">
      <c r="A1498" t="s">
        <v>208</v>
      </c>
      <c r="B1498" s="2">
        <v>45536</v>
      </c>
      <c r="C1498" s="10"/>
    </row>
    <row r="1499" spans="1:8" hidden="1" x14ac:dyDescent="0.3">
      <c r="A1499" t="s">
        <v>208</v>
      </c>
      <c r="B1499" s="2">
        <v>45566</v>
      </c>
      <c r="C1499" s="10"/>
    </row>
    <row r="1500" spans="1:8" hidden="1" x14ac:dyDescent="0.3">
      <c r="A1500" t="s">
        <v>208</v>
      </c>
      <c r="B1500" s="2">
        <v>45597</v>
      </c>
      <c r="C1500" s="10"/>
    </row>
    <row r="1501" spans="1:8" hidden="1" x14ac:dyDescent="0.3">
      <c r="A1501" t="s">
        <v>208</v>
      </c>
      <c r="B1501" s="2">
        <v>45627</v>
      </c>
      <c r="C1501" s="10"/>
    </row>
    <row r="1502" spans="1:8" hidden="1" x14ac:dyDescent="0.3">
      <c r="A1502" t="s">
        <v>208</v>
      </c>
      <c r="B1502" s="2">
        <v>45658</v>
      </c>
      <c r="C1502" s="10"/>
    </row>
    <row r="1503" spans="1:8" hidden="1" x14ac:dyDescent="0.3">
      <c r="A1503" t="s">
        <v>208</v>
      </c>
      <c r="B1503" s="2">
        <v>45689</v>
      </c>
      <c r="C1503" s="10"/>
    </row>
    <row r="1504" spans="1:8" hidden="1" x14ac:dyDescent="0.3">
      <c r="A1504" t="s">
        <v>208</v>
      </c>
      <c r="B1504" s="2">
        <v>45717</v>
      </c>
      <c r="C1504" s="10"/>
    </row>
    <row r="1505" spans="1:8" hidden="1" x14ac:dyDescent="0.3">
      <c r="A1505" t="s">
        <v>208</v>
      </c>
      <c r="B1505" s="2">
        <v>45748</v>
      </c>
      <c r="C1505" s="10"/>
    </row>
    <row r="1506" spans="1:8" hidden="1" x14ac:dyDescent="0.3">
      <c r="A1506" t="s">
        <v>208</v>
      </c>
      <c r="B1506" s="2">
        <v>45778</v>
      </c>
      <c r="C1506" s="10"/>
    </row>
    <row r="1507" spans="1:8" hidden="1" x14ac:dyDescent="0.3">
      <c r="A1507" t="s">
        <v>208</v>
      </c>
      <c r="B1507" s="2">
        <v>45809</v>
      </c>
      <c r="C1507" s="10"/>
    </row>
    <row r="1508" spans="1:8" ht="115.2" hidden="1" x14ac:dyDescent="0.3">
      <c r="A1508" t="s">
        <v>208</v>
      </c>
      <c r="B1508" s="2">
        <v>45839</v>
      </c>
      <c r="C1508" s="10" t="s">
        <v>735</v>
      </c>
    </row>
    <row r="1509" spans="1:8" ht="86.4" hidden="1" x14ac:dyDescent="0.3">
      <c r="A1509" t="s">
        <v>208</v>
      </c>
      <c r="B1509" s="2">
        <v>45870</v>
      </c>
      <c r="C1509" s="10" t="s">
        <v>736</v>
      </c>
    </row>
    <row r="1510" spans="1:8" ht="72" hidden="1" x14ac:dyDescent="0.3">
      <c r="A1510" t="s">
        <v>208</v>
      </c>
      <c r="B1510" s="2">
        <v>45901</v>
      </c>
      <c r="C1510" s="10" t="s">
        <v>737</v>
      </c>
    </row>
    <row r="1511" spans="1:8" ht="72" hidden="1" x14ac:dyDescent="0.3">
      <c r="A1511" t="s">
        <v>208</v>
      </c>
      <c r="B1511" s="2">
        <v>45931</v>
      </c>
      <c r="C1511" s="10" t="s">
        <v>738</v>
      </c>
    </row>
    <row r="1512" spans="1:8" ht="72" hidden="1" x14ac:dyDescent="0.3">
      <c r="A1512" t="s">
        <v>208</v>
      </c>
      <c r="B1512" s="2">
        <v>45962</v>
      </c>
      <c r="C1512" s="10" t="s">
        <v>739</v>
      </c>
    </row>
    <row r="1513" spans="1:8" ht="28.8" hidden="1" x14ac:dyDescent="0.3">
      <c r="A1513" t="s">
        <v>208</v>
      </c>
      <c r="B1513" s="2">
        <v>45992</v>
      </c>
      <c r="C1513" s="10" t="s">
        <v>740</v>
      </c>
    </row>
    <row r="1514" spans="1:8" hidden="1" x14ac:dyDescent="0.3">
      <c r="A1514" t="s">
        <v>208</v>
      </c>
      <c r="B1514" s="2">
        <v>46023</v>
      </c>
      <c r="C1514" s="10" t="s">
        <v>338</v>
      </c>
    </row>
    <row r="1515" spans="1:8" hidden="1" x14ac:dyDescent="0.3">
      <c r="A1515" t="s">
        <v>208</v>
      </c>
      <c r="B1515" s="2">
        <v>46054</v>
      </c>
      <c r="C1515" s="10" t="s">
        <v>326</v>
      </c>
    </row>
    <row r="1516" spans="1:8" hidden="1" x14ac:dyDescent="0.3">
      <c r="A1516" t="s">
        <v>208</v>
      </c>
      <c r="B1516" s="2">
        <v>46082</v>
      </c>
      <c r="C1516" s="10" t="s">
        <v>326</v>
      </c>
    </row>
    <row r="1517" spans="1:8" hidden="1" x14ac:dyDescent="0.3">
      <c r="A1517" t="s">
        <v>208</v>
      </c>
      <c r="B1517" s="2">
        <v>46113</v>
      </c>
      <c r="C1517" s="10" t="s">
        <v>302</v>
      </c>
    </row>
    <row r="1518" spans="1:8" hidden="1" x14ac:dyDescent="0.3">
      <c r="A1518" t="s">
        <v>208</v>
      </c>
      <c r="B1518" s="2">
        <v>46143</v>
      </c>
      <c r="C1518" s="10" t="s">
        <v>302</v>
      </c>
    </row>
    <row r="1519" spans="1:8" hidden="1" x14ac:dyDescent="0.3">
      <c r="A1519" t="s">
        <v>208</v>
      </c>
      <c r="B1519" s="2">
        <v>46174</v>
      </c>
      <c r="C1519" s="10"/>
    </row>
    <row r="1520" spans="1:8" hidden="1" x14ac:dyDescent="0.3">
      <c r="A1520" t="s">
        <v>208</v>
      </c>
      <c r="B1520" s="2">
        <v>46204</v>
      </c>
      <c r="C1520" s="10">
        <v>31</v>
      </c>
      <c r="D1520">
        <v>0</v>
      </c>
      <c r="E1520" t="s">
        <v>33</v>
      </c>
      <c r="F1520" t="s">
        <v>1049</v>
      </c>
      <c r="G1520" t="s">
        <v>1050</v>
      </c>
      <c r="H1520" t="s">
        <v>36</v>
      </c>
    </row>
    <row r="1521" spans="1:8" x14ac:dyDescent="0.3">
      <c r="A1521" t="s">
        <v>208</v>
      </c>
      <c r="B1521" s="2">
        <v>46235</v>
      </c>
      <c r="C1521" s="10" t="s">
        <v>919</v>
      </c>
      <c r="D1521">
        <v>0</v>
      </c>
      <c r="E1521" t="s">
        <v>33</v>
      </c>
      <c r="F1521" t="s">
        <v>33</v>
      </c>
      <c r="G1521" t="s">
        <v>1050</v>
      </c>
      <c r="H1521" t="s">
        <v>36</v>
      </c>
    </row>
    <row r="1522" spans="1:8" hidden="1" x14ac:dyDescent="0.3">
      <c r="A1522" t="s">
        <v>190</v>
      </c>
      <c r="B1522" s="2">
        <v>45536</v>
      </c>
      <c r="C1522" s="10" t="s">
        <v>741</v>
      </c>
    </row>
    <row r="1523" spans="1:8" hidden="1" x14ac:dyDescent="0.3">
      <c r="A1523" t="s">
        <v>190</v>
      </c>
      <c r="B1523" s="2">
        <v>45566</v>
      </c>
      <c r="C1523" s="10"/>
    </row>
    <row r="1524" spans="1:8" ht="57.6" hidden="1" customHeight="1" x14ac:dyDescent="0.3">
      <c r="A1524" t="s">
        <v>190</v>
      </c>
      <c r="B1524" s="2">
        <v>45597</v>
      </c>
      <c r="C1524" s="10"/>
    </row>
    <row r="1525" spans="1:8" ht="43.2" hidden="1" customHeight="1" x14ac:dyDescent="0.3">
      <c r="A1525" t="s">
        <v>190</v>
      </c>
      <c r="B1525" s="2">
        <v>45627</v>
      </c>
      <c r="C1525" s="10"/>
    </row>
    <row r="1526" spans="1:8" ht="43.2" hidden="1" customHeight="1" x14ac:dyDescent="0.3">
      <c r="A1526" t="s">
        <v>190</v>
      </c>
      <c r="B1526" s="2">
        <v>45658</v>
      </c>
      <c r="C1526" s="10"/>
    </row>
    <row r="1527" spans="1:8" ht="43.2" hidden="1" customHeight="1" x14ac:dyDescent="0.3">
      <c r="A1527" t="s">
        <v>190</v>
      </c>
      <c r="B1527" s="2">
        <v>45689</v>
      </c>
      <c r="C1527" s="10" t="s">
        <v>742</v>
      </c>
    </row>
    <row r="1528" spans="1:8" ht="43.2" hidden="1" customHeight="1" x14ac:dyDescent="0.3">
      <c r="A1528" t="s">
        <v>190</v>
      </c>
      <c r="B1528" s="2">
        <v>45717</v>
      </c>
      <c r="C1528" s="10" t="s">
        <v>743</v>
      </c>
    </row>
    <row r="1529" spans="1:8" ht="28.8" hidden="1" x14ac:dyDescent="0.3">
      <c r="A1529" t="s">
        <v>190</v>
      </c>
      <c r="B1529" s="2">
        <v>45748</v>
      </c>
      <c r="C1529" s="10" t="s">
        <v>743</v>
      </c>
    </row>
    <row r="1530" spans="1:8" ht="129.6" hidden="1" x14ac:dyDescent="0.3">
      <c r="A1530" t="s">
        <v>190</v>
      </c>
      <c r="B1530" s="2">
        <v>45778</v>
      </c>
      <c r="C1530" s="10" t="s">
        <v>744</v>
      </c>
    </row>
    <row r="1531" spans="1:8" ht="129.6" hidden="1" x14ac:dyDescent="0.3">
      <c r="A1531" t="s">
        <v>190</v>
      </c>
      <c r="B1531" s="2">
        <v>45809</v>
      </c>
      <c r="C1531" s="10" t="s">
        <v>745</v>
      </c>
    </row>
    <row r="1532" spans="1:8" ht="129.6" hidden="1" x14ac:dyDescent="0.3">
      <c r="A1532" t="s">
        <v>190</v>
      </c>
      <c r="B1532" s="2">
        <v>45839</v>
      </c>
      <c r="C1532" s="10" t="s">
        <v>746</v>
      </c>
    </row>
    <row r="1533" spans="1:8" ht="129.6" hidden="1" x14ac:dyDescent="0.3">
      <c r="A1533" t="s">
        <v>190</v>
      </c>
      <c r="B1533" s="2">
        <v>45870</v>
      </c>
      <c r="C1533" s="10" t="s">
        <v>747</v>
      </c>
    </row>
    <row r="1534" spans="1:8" ht="129.6" hidden="1" x14ac:dyDescent="0.3">
      <c r="A1534" t="s">
        <v>190</v>
      </c>
      <c r="B1534" s="2">
        <v>45901</v>
      </c>
      <c r="C1534" s="10" t="s">
        <v>748</v>
      </c>
    </row>
    <row r="1535" spans="1:8" ht="115.2" hidden="1" x14ac:dyDescent="0.3">
      <c r="A1535" t="s">
        <v>190</v>
      </c>
      <c r="B1535" s="2">
        <v>45931</v>
      </c>
      <c r="C1535" s="10" t="s">
        <v>749</v>
      </c>
    </row>
    <row r="1536" spans="1:8" ht="129.6" hidden="1" x14ac:dyDescent="0.3">
      <c r="A1536" t="s">
        <v>190</v>
      </c>
      <c r="B1536" s="2">
        <v>45962</v>
      </c>
      <c r="C1536" s="10" t="s">
        <v>750</v>
      </c>
    </row>
    <row r="1537" spans="1:8" ht="43.2" hidden="1" x14ac:dyDescent="0.3">
      <c r="A1537" t="s">
        <v>190</v>
      </c>
      <c r="B1537" s="2">
        <v>45992</v>
      </c>
      <c r="C1537" s="10" t="s">
        <v>751</v>
      </c>
    </row>
    <row r="1538" spans="1:8" ht="43.2" hidden="1" x14ac:dyDescent="0.3">
      <c r="A1538" t="s">
        <v>190</v>
      </c>
      <c r="B1538" s="2">
        <v>46023</v>
      </c>
      <c r="C1538" s="10" t="s">
        <v>751</v>
      </c>
    </row>
    <row r="1539" spans="1:8" ht="43.2" hidden="1" x14ac:dyDescent="0.3">
      <c r="A1539" t="s">
        <v>190</v>
      </c>
      <c r="B1539" s="2">
        <v>46054</v>
      </c>
      <c r="C1539" s="10" t="s">
        <v>751</v>
      </c>
    </row>
    <row r="1540" spans="1:8" ht="28.8" hidden="1" x14ac:dyDescent="0.3">
      <c r="A1540" t="s">
        <v>190</v>
      </c>
      <c r="B1540" s="2">
        <v>46082</v>
      </c>
      <c r="C1540" s="10" t="s">
        <v>752</v>
      </c>
    </row>
    <row r="1541" spans="1:8" ht="28.8" hidden="1" x14ac:dyDescent="0.3">
      <c r="A1541" t="s">
        <v>190</v>
      </c>
      <c r="B1541" s="2">
        <v>46113</v>
      </c>
      <c r="C1541" s="10" t="s">
        <v>752</v>
      </c>
    </row>
    <row r="1542" spans="1:8" ht="28.8" hidden="1" x14ac:dyDescent="0.3">
      <c r="A1542" t="s">
        <v>190</v>
      </c>
      <c r="B1542" s="2">
        <v>46143</v>
      </c>
      <c r="C1542" s="10" t="s">
        <v>867</v>
      </c>
    </row>
    <row r="1543" spans="1:8" hidden="1" x14ac:dyDescent="0.3">
      <c r="A1543" t="s">
        <v>190</v>
      </c>
      <c r="B1543" s="2">
        <v>46174</v>
      </c>
      <c r="C1543" s="10"/>
    </row>
    <row r="1544" spans="1:8" hidden="1" x14ac:dyDescent="0.3">
      <c r="A1544" t="s">
        <v>190</v>
      </c>
      <c r="B1544" s="2">
        <v>46204</v>
      </c>
      <c r="C1544" s="10">
        <v>31</v>
      </c>
      <c r="D1544">
        <v>0</v>
      </c>
      <c r="E1544" t="s">
        <v>33</v>
      </c>
      <c r="F1544" t="s">
        <v>33</v>
      </c>
      <c r="G1544" t="s">
        <v>932</v>
      </c>
      <c r="H1544" t="s">
        <v>36</v>
      </c>
    </row>
    <row r="1545" spans="1:8" x14ac:dyDescent="0.3">
      <c r="A1545" t="s">
        <v>190</v>
      </c>
      <c r="B1545" s="2">
        <v>46235</v>
      </c>
      <c r="C1545" s="10" t="s">
        <v>896</v>
      </c>
      <c r="D1545">
        <v>0</v>
      </c>
      <c r="E1545" t="s">
        <v>33</v>
      </c>
      <c r="F1545" t="s">
        <v>33</v>
      </c>
      <c r="G1545" s="10" t="s">
        <v>932</v>
      </c>
      <c r="H1545" t="s">
        <v>36</v>
      </c>
    </row>
    <row r="1546" spans="1:8" ht="72" hidden="1" customHeight="1" x14ac:dyDescent="0.3">
      <c r="A1546" t="s">
        <v>213</v>
      </c>
      <c r="B1546" s="2">
        <v>45536</v>
      </c>
      <c r="C1546" s="10"/>
    </row>
    <row r="1547" spans="1:8" ht="72" hidden="1" customHeight="1" x14ac:dyDescent="0.3">
      <c r="A1547" t="s">
        <v>213</v>
      </c>
      <c r="B1547" s="2">
        <v>45566</v>
      </c>
      <c r="C1547" s="10"/>
    </row>
    <row r="1548" spans="1:8" ht="72" hidden="1" customHeight="1" x14ac:dyDescent="0.3">
      <c r="A1548" t="s">
        <v>213</v>
      </c>
      <c r="B1548" s="2">
        <v>45597</v>
      </c>
      <c r="C1548" s="10"/>
    </row>
    <row r="1549" spans="1:8" ht="72" hidden="1" customHeight="1" x14ac:dyDescent="0.3">
      <c r="A1549" t="s">
        <v>213</v>
      </c>
      <c r="B1549" s="2">
        <v>45627</v>
      </c>
      <c r="C1549" s="10"/>
    </row>
    <row r="1550" spans="1:8" ht="72" hidden="1" customHeight="1" x14ac:dyDescent="0.3">
      <c r="A1550" t="s">
        <v>213</v>
      </c>
      <c r="B1550" s="2">
        <v>45658</v>
      </c>
      <c r="C1550" s="10"/>
    </row>
    <row r="1551" spans="1:8" ht="57.6" hidden="1" customHeight="1" x14ac:dyDescent="0.3">
      <c r="A1551" t="s">
        <v>213</v>
      </c>
      <c r="B1551" s="2">
        <v>45689</v>
      </c>
      <c r="C1551" s="10"/>
    </row>
    <row r="1552" spans="1:8" ht="72" hidden="1" customHeight="1" x14ac:dyDescent="0.3">
      <c r="A1552" t="s">
        <v>213</v>
      </c>
      <c r="B1552" s="2">
        <v>45717</v>
      </c>
      <c r="C1552" s="10"/>
    </row>
    <row r="1553" spans="1:8" hidden="1" x14ac:dyDescent="0.3">
      <c r="A1553" t="s">
        <v>213</v>
      </c>
      <c r="B1553" s="2">
        <v>45748</v>
      </c>
      <c r="C1553" s="10"/>
    </row>
    <row r="1554" spans="1:8" hidden="1" x14ac:dyDescent="0.3">
      <c r="A1554" t="s">
        <v>213</v>
      </c>
      <c r="B1554" s="2">
        <v>45778</v>
      </c>
      <c r="C1554" s="10"/>
    </row>
    <row r="1555" spans="1:8" hidden="1" x14ac:dyDescent="0.3">
      <c r="A1555" t="s">
        <v>213</v>
      </c>
      <c r="B1555" s="2">
        <v>45809</v>
      </c>
      <c r="C1555" s="10"/>
    </row>
    <row r="1556" spans="1:8" hidden="1" x14ac:dyDescent="0.3">
      <c r="A1556" t="s">
        <v>213</v>
      </c>
      <c r="B1556" s="2">
        <v>45839</v>
      </c>
      <c r="C1556" s="10"/>
    </row>
    <row r="1557" spans="1:8" hidden="1" x14ac:dyDescent="0.3">
      <c r="A1557" t="s">
        <v>213</v>
      </c>
      <c r="B1557" s="2">
        <v>45870</v>
      </c>
      <c r="C1557" t="s">
        <v>968</v>
      </c>
      <c r="D1557" t="s">
        <v>969</v>
      </c>
      <c r="E1557" t="s">
        <v>970</v>
      </c>
      <c r="F1557" t="s">
        <v>33</v>
      </c>
      <c r="G1557" t="s">
        <v>33</v>
      </c>
      <c r="H1557" t="s">
        <v>36</v>
      </c>
    </row>
    <row r="1558" spans="1:8" hidden="1" x14ac:dyDescent="0.3">
      <c r="A1558" t="s">
        <v>213</v>
      </c>
      <c r="B1558" s="2">
        <v>45901</v>
      </c>
      <c r="C1558" t="s">
        <v>919</v>
      </c>
      <c r="D1558">
        <v>0</v>
      </c>
      <c r="E1558" t="s">
        <v>33</v>
      </c>
      <c r="F1558" t="s">
        <v>33</v>
      </c>
      <c r="G1558" s="10" t="s">
        <v>338</v>
      </c>
      <c r="H1558" t="s">
        <v>36</v>
      </c>
    </row>
    <row r="1559" spans="1:8" hidden="1" x14ac:dyDescent="0.3">
      <c r="A1559" t="s">
        <v>213</v>
      </c>
      <c r="B1559" s="2">
        <v>45931</v>
      </c>
      <c r="C1559" t="s">
        <v>911</v>
      </c>
      <c r="D1559">
        <v>0</v>
      </c>
      <c r="E1559" t="s">
        <v>33</v>
      </c>
      <c r="F1559" t="s">
        <v>33</v>
      </c>
      <c r="G1559" s="10" t="s">
        <v>338</v>
      </c>
      <c r="H1559" t="s">
        <v>36</v>
      </c>
    </row>
    <row r="1560" spans="1:8" hidden="1" x14ac:dyDescent="0.3">
      <c r="A1560" t="s">
        <v>213</v>
      </c>
      <c r="B1560" s="2">
        <v>45962</v>
      </c>
      <c r="C1560" t="s">
        <v>919</v>
      </c>
      <c r="D1560">
        <v>0</v>
      </c>
      <c r="E1560" t="s">
        <v>33</v>
      </c>
      <c r="F1560" t="s">
        <v>33</v>
      </c>
      <c r="G1560" s="10" t="s">
        <v>338</v>
      </c>
      <c r="H1560" t="s">
        <v>36</v>
      </c>
    </row>
    <row r="1561" spans="1:8" hidden="1" x14ac:dyDescent="0.3">
      <c r="A1561" t="s">
        <v>213</v>
      </c>
      <c r="B1561" s="2">
        <v>45992</v>
      </c>
      <c r="C1561" t="s">
        <v>911</v>
      </c>
      <c r="D1561">
        <v>0</v>
      </c>
      <c r="E1561" t="s">
        <v>33</v>
      </c>
      <c r="F1561" t="s">
        <v>33</v>
      </c>
      <c r="G1561" s="10" t="s">
        <v>338</v>
      </c>
      <c r="H1561" t="s">
        <v>36</v>
      </c>
    </row>
    <row r="1562" spans="1:8" hidden="1" x14ac:dyDescent="0.3">
      <c r="A1562" t="s">
        <v>213</v>
      </c>
      <c r="B1562" s="2">
        <v>46023</v>
      </c>
      <c r="C1562" t="s">
        <v>911</v>
      </c>
      <c r="D1562">
        <v>0</v>
      </c>
      <c r="E1562" t="s">
        <v>33</v>
      </c>
      <c r="F1562" t="s">
        <v>33</v>
      </c>
      <c r="G1562" s="10" t="s">
        <v>338</v>
      </c>
      <c r="H1562" t="s">
        <v>36</v>
      </c>
    </row>
    <row r="1563" spans="1:8" hidden="1" x14ac:dyDescent="0.3">
      <c r="A1563" t="s">
        <v>213</v>
      </c>
      <c r="B1563" s="2">
        <v>46054</v>
      </c>
      <c r="C1563" t="s">
        <v>895</v>
      </c>
      <c r="D1563">
        <v>0</v>
      </c>
      <c r="E1563" t="s">
        <v>33</v>
      </c>
      <c r="F1563" t="s">
        <v>33</v>
      </c>
      <c r="G1563" s="10" t="s">
        <v>338</v>
      </c>
      <c r="H1563" t="s">
        <v>36</v>
      </c>
    </row>
    <row r="1564" spans="1:8" hidden="1" x14ac:dyDescent="0.3">
      <c r="A1564" t="s">
        <v>213</v>
      </c>
      <c r="B1564" s="2">
        <v>46082</v>
      </c>
      <c r="C1564" t="s">
        <v>911</v>
      </c>
      <c r="D1564">
        <v>0</v>
      </c>
      <c r="E1564" t="s">
        <v>33</v>
      </c>
      <c r="F1564" t="s">
        <v>33</v>
      </c>
      <c r="G1564" s="10" t="s">
        <v>606</v>
      </c>
      <c r="H1564" t="s">
        <v>36</v>
      </c>
    </row>
    <row r="1565" spans="1:8" hidden="1" x14ac:dyDescent="0.3">
      <c r="A1565" t="s">
        <v>213</v>
      </c>
      <c r="B1565" s="2">
        <v>46113</v>
      </c>
      <c r="C1565" t="s">
        <v>919</v>
      </c>
      <c r="D1565">
        <v>0</v>
      </c>
      <c r="E1565" t="s">
        <v>33</v>
      </c>
      <c r="F1565" t="s">
        <v>33</v>
      </c>
      <c r="G1565" s="10" t="s">
        <v>606</v>
      </c>
      <c r="H1565" t="s">
        <v>36</v>
      </c>
    </row>
    <row r="1566" spans="1:8" hidden="1" x14ac:dyDescent="0.3">
      <c r="A1566" t="s">
        <v>213</v>
      </c>
      <c r="B1566" s="2">
        <v>46143</v>
      </c>
      <c r="C1566" t="s">
        <v>911</v>
      </c>
      <c r="D1566">
        <v>0</v>
      </c>
      <c r="E1566" t="s">
        <v>33</v>
      </c>
      <c r="F1566" t="s">
        <v>33</v>
      </c>
      <c r="G1566" s="10" t="s">
        <v>338</v>
      </c>
      <c r="H1566" t="s">
        <v>36</v>
      </c>
    </row>
    <row r="1567" spans="1:8" ht="28.95" customHeight="1" x14ac:dyDescent="0.3">
      <c r="A1567" t="s">
        <v>213</v>
      </c>
      <c r="B1567" s="2">
        <v>46235</v>
      </c>
      <c r="C1567" t="s">
        <v>896</v>
      </c>
      <c r="D1567">
        <v>0</v>
      </c>
      <c r="E1567" t="s">
        <v>33</v>
      </c>
      <c r="F1567" t="s">
        <v>33</v>
      </c>
      <c r="G1567" t="s">
        <v>338</v>
      </c>
      <c r="H1567" t="s">
        <v>36</v>
      </c>
    </row>
    <row r="1568" spans="1:8" hidden="1" x14ac:dyDescent="0.3">
      <c r="A1568" t="s">
        <v>213</v>
      </c>
      <c r="B1568" s="2">
        <v>46174</v>
      </c>
      <c r="C1568" t="s">
        <v>919</v>
      </c>
      <c r="D1568">
        <v>0</v>
      </c>
      <c r="E1568" t="s">
        <v>33</v>
      </c>
      <c r="F1568" t="s">
        <v>33</v>
      </c>
      <c r="G1568" s="10" t="s">
        <v>338</v>
      </c>
      <c r="H1568" t="s">
        <v>36</v>
      </c>
    </row>
    <row r="1569" spans="1:8" hidden="1" x14ac:dyDescent="0.3">
      <c r="A1569" t="s">
        <v>213</v>
      </c>
      <c r="B1569" s="2">
        <v>46204</v>
      </c>
      <c r="C1569" s="10">
        <v>20</v>
      </c>
      <c r="D1569" t="s">
        <v>1051</v>
      </c>
      <c r="E1569" t="s">
        <v>1052</v>
      </c>
      <c r="F1569" t="s">
        <v>33</v>
      </c>
      <c r="G1569" t="s">
        <v>1053</v>
      </c>
      <c r="H1569" t="s">
        <v>1054</v>
      </c>
    </row>
    <row r="1570" spans="1:8" ht="57.6" hidden="1" customHeight="1" x14ac:dyDescent="0.3">
      <c r="A1570" t="s">
        <v>216</v>
      </c>
      <c r="B1570" s="2">
        <v>45536</v>
      </c>
      <c r="C1570" s="10"/>
    </row>
    <row r="1571" spans="1:8" ht="57.6" hidden="1" customHeight="1" x14ac:dyDescent="0.3">
      <c r="A1571" t="s">
        <v>216</v>
      </c>
      <c r="B1571" s="2">
        <v>45566</v>
      </c>
      <c r="C1571" s="10"/>
    </row>
    <row r="1572" spans="1:8" ht="57.6" hidden="1" customHeight="1" x14ac:dyDescent="0.3">
      <c r="A1572" t="s">
        <v>216</v>
      </c>
      <c r="B1572" s="2">
        <v>45597</v>
      </c>
      <c r="C1572" s="10"/>
    </row>
    <row r="1573" spans="1:8" ht="57.6" hidden="1" customHeight="1" x14ac:dyDescent="0.3">
      <c r="A1573" t="s">
        <v>216</v>
      </c>
      <c r="B1573" s="2">
        <v>45627</v>
      </c>
      <c r="C1573" s="10"/>
    </row>
    <row r="1574" spans="1:8" ht="57.6" hidden="1" customHeight="1" x14ac:dyDescent="0.3">
      <c r="A1574" t="s">
        <v>216</v>
      </c>
      <c r="B1574" s="2">
        <v>45658</v>
      </c>
      <c r="C1574" s="10"/>
    </row>
    <row r="1575" spans="1:8" ht="57.6" hidden="1" customHeight="1" x14ac:dyDescent="0.3">
      <c r="A1575" t="s">
        <v>216</v>
      </c>
      <c r="B1575" s="2">
        <v>45689</v>
      </c>
      <c r="C1575" s="10"/>
    </row>
    <row r="1576" spans="1:8" ht="57.6" hidden="1" customHeight="1" x14ac:dyDescent="0.3">
      <c r="A1576" t="s">
        <v>216</v>
      </c>
      <c r="B1576" s="2">
        <v>45717</v>
      </c>
      <c r="C1576" s="10"/>
    </row>
    <row r="1577" spans="1:8" hidden="1" x14ac:dyDescent="0.3">
      <c r="A1577" t="s">
        <v>216</v>
      </c>
      <c r="B1577" s="2">
        <v>45748</v>
      </c>
      <c r="C1577" s="10"/>
    </row>
    <row r="1578" spans="1:8" hidden="1" x14ac:dyDescent="0.3">
      <c r="A1578" t="s">
        <v>216</v>
      </c>
      <c r="B1578" s="2">
        <v>45778</v>
      </c>
      <c r="C1578" s="10"/>
    </row>
    <row r="1579" spans="1:8" hidden="1" x14ac:dyDescent="0.3">
      <c r="A1579" t="s">
        <v>216</v>
      </c>
      <c r="B1579" s="2">
        <v>45809</v>
      </c>
      <c r="C1579" s="10"/>
    </row>
    <row r="1580" spans="1:8" hidden="1" x14ac:dyDescent="0.3">
      <c r="A1580" t="s">
        <v>216</v>
      </c>
      <c r="B1580" s="2">
        <v>45839</v>
      </c>
      <c r="C1580" s="10"/>
    </row>
    <row r="1581" spans="1:8" hidden="1" x14ac:dyDescent="0.3">
      <c r="A1581" t="s">
        <v>216</v>
      </c>
      <c r="B1581" s="2">
        <v>45870</v>
      </c>
      <c r="C1581" s="10"/>
    </row>
    <row r="1582" spans="1:8" ht="57.6" hidden="1" x14ac:dyDescent="0.3">
      <c r="A1582" t="s">
        <v>216</v>
      </c>
      <c r="B1582" s="2">
        <v>45901</v>
      </c>
      <c r="C1582" s="10" t="s">
        <v>607</v>
      </c>
    </row>
    <row r="1583" spans="1:8" ht="57.6" hidden="1" x14ac:dyDescent="0.3">
      <c r="A1583" t="s">
        <v>216</v>
      </c>
      <c r="B1583" s="2">
        <v>45931</v>
      </c>
      <c r="C1583" s="10" t="s">
        <v>608</v>
      </c>
    </row>
    <row r="1584" spans="1:8" ht="72" hidden="1" x14ac:dyDescent="0.3">
      <c r="A1584" t="s">
        <v>216</v>
      </c>
      <c r="B1584" s="2">
        <v>45962</v>
      </c>
      <c r="C1584" s="10" t="s">
        <v>609</v>
      </c>
    </row>
    <row r="1585" spans="1:8" hidden="1" x14ac:dyDescent="0.3">
      <c r="A1585" t="s">
        <v>216</v>
      </c>
      <c r="B1585" s="2">
        <v>45992</v>
      </c>
      <c r="C1585" s="10" t="s">
        <v>326</v>
      </c>
    </row>
    <row r="1586" spans="1:8" hidden="1" x14ac:dyDescent="0.3">
      <c r="A1586" t="s">
        <v>216</v>
      </c>
      <c r="B1586" s="2">
        <v>46023</v>
      </c>
      <c r="C1586" s="10" t="s">
        <v>338</v>
      </c>
    </row>
    <row r="1587" spans="1:8" hidden="1" x14ac:dyDescent="0.3">
      <c r="A1587" t="s">
        <v>216</v>
      </c>
      <c r="B1587" s="2">
        <v>46054</v>
      </c>
      <c r="C1587" s="10" t="s">
        <v>326</v>
      </c>
    </row>
    <row r="1588" spans="1:8" ht="28.8" hidden="1" x14ac:dyDescent="0.3">
      <c r="A1588" t="s">
        <v>216</v>
      </c>
      <c r="B1588" s="2">
        <v>46082</v>
      </c>
      <c r="C1588" s="10" t="s">
        <v>606</v>
      </c>
    </row>
    <row r="1589" spans="1:8" ht="28.8" hidden="1" x14ac:dyDescent="0.3">
      <c r="A1589" t="s">
        <v>216</v>
      </c>
      <c r="B1589" s="2">
        <v>46113</v>
      </c>
      <c r="C1589" s="10" t="s">
        <v>606</v>
      </c>
    </row>
    <row r="1590" spans="1:8" hidden="1" x14ac:dyDescent="0.3">
      <c r="A1590" t="s">
        <v>216</v>
      </c>
      <c r="B1590" s="2">
        <v>46143</v>
      </c>
      <c r="C1590" s="10" t="s">
        <v>302</v>
      </c>
    </row>
    <row r="1591" spans="1:8" x14ac:dyDescent="0.3">
      <c r="A1591" t="s">
        <v>216</v>
      </c>
      <c r="B1591" s="2">
        <v>46235</v>
      </c>
      <c r="C1591" s="10" t="s">
        <v>895</v>
      </c>
      <c r="D1591" t="s">
        <v>1087</v>
      </c>
      <c r="E1591" t="s">
        <v>927</v>
      </c>
      <c r="F1591" t="s">
        <v>33</v>
      </c>
      <c r="G1591" s="10" t="s">
        <v>1089</v>
      </c>
      <c r="H1591" t="s">
        <v>36</v>
      </c>
    </row>
    <row r="1592" spans="1:8" hidden="1" x14ac:dyDescent="0.3">
      <c r="A1592" t="s">
        <v>216</v>
      </c>
      <c r="B1592" s="2">
        <v>46174</v>
      </c>
      <c r="C1592" s="10"/>
    </row>
    <row r="1593" spans="1:8" hidden="1" x14ac:dyDescent="0.3">
      <c r="A1593" t="s">
        <v>216</v>
      </c>
      <c r="B1593" s="2">
        <v>46204</v>
      </c>
      <c r="C1593" s="10">
        <v>20</v>
      </c>
      <c r="D1593" t="s">
        <v>1051</v>
      </c>
      <c r="E1593" t="s">
        <v>1052</v>
      </c>
      <c r="F1593" t="s">
        <v>33</v>
      </c>
      <c r="G1593" t="s">
        <v>1053</v>
      </c>
      <c r="H1593" t="s">
        <v>36</v>
      </c>
    </row>
    <row r="1594" spans="1:8" hidden="1" x14ac:dyDescent="0.3">
      <c r="A1594" t="s">
        <v>218</v>
      </c>
      <c r="B1594" s="2">
        <v>45536</v>
      </c>
      <c r="C1594" s="10"/>
    </row>
    <row r="1595" spans="1:8" hidden="1" x14ac:dyDescent="0.3">
      <c r="A1595" t="s">
        <v>218</v>
      </c>
      <c r="B1595" s="2">
        <v>45566</v>
      </c>
      <c r="C1595" s="10"/>
    </row>
    <row r="1596" spans="1:8" hidden="1" x14ac:dyDescent="0.3">
      <c r="A1596" t="s">
        <v>218</v>
      </c>
      <c r="B1596" s="2">
        <v>45597</v>
      </c>
      <c r="C1596" s="10"/>
    </row>
    <row r="1597" spans="1:8" hidden="1" x14ac:dyDescent="0.3">
      <c r="A1597" t="s">
        <v>218</v>
      </c>
      <c r="B1597" s="2">
        <v>45627</v>
      </c>
      <c r="C1597" s="10"/>
    </row>
    <row r="1598" spans="1:8" hidden="1" x14ac:dyDescent="0.3">
      <c r="A1598" t="s">
        <v>218</v>
      </c>
      <c r="B1598" s="2">
        <v>45658</v>
      </c>
      <c r="C1598" s="10"/>
    </row>
    <row r="1599" spans="1:8" hidden="1" x14ac:dyDescent="0.3">
      <c r="A1599" t="s">
        <v>218</v>
      </c>
      <c r="B1599" s="2">
        <v>45689</v>
      </c>
      <c r="C1599" s="10"/>
    </row>
    <row r="1600" spans="1:8" hidden="1" x14ac:dyDescent="0.3">
      <c r="A1600" t="s">
        <v>218</v>
      </c>
      <c r="B1600" s="2">
        <v>45717</v>
      </c>
      <c r="C1600" s="10"/>
    </row>
    <row r="1601" spans="1:8" hidden="1" x14ac:dyDescent="0.3">
      <c r="A1601" t="s">
        <v>218</v>
      </c>
      <c r="B1601" s="2">
        <v>45748</v>
      </c>
      <c r="C1601" s="10"/>
    </row>
    <row r="1602" spans="1:8" hidden="1" x14ac:dyDescent="0.3">
      <c r="A1602" t="s">
        <v>218</v>
      </c>
      <c r="B1602" s="2">
        <v>45778</v>
      </c>
      <c r="C1602" s="10"/>
    </row>
    <row r="1603" spans="1:8" hidden="1" x14ac:dyDescent="0.3">
      <c r="A1603" t="s">
        <v>218</v>
      </c>
      <c r="B1603" s="2">
        <v>45809</v>
      </c>
      <c r="C1603" s="10"/>
    </row>
    <row r="1604" spans="1:8" hidden="1" x14ac:dyDescent="0.3">
      <c r="A1604" t="s">
        <v>218</v>
      </c>
      <c r="B1604" s="2">
        <v>45839</v>
      </c>
      <c r="C1604" s="10"/>
    </row>
    <row r="1605" spans="1:8" hidden="1" x14ac:dyDescent="0.3">
      <c r="A1605" t="s">
        <v>218</v>
      </c>
      <c r="B1605" s="2">
        <v>45870</v>
      </c>
      <c r="C1605" t="s">
        <v>968</v>
      </c>
      <c r="D1605" t="s">
        <v>969</v>
      </c>
      <c r="E1605" t="s">
        <v>970</v>
      </c>
      <c r="F1605" t="s">
        <v>33</v>
      </c>
      <c r="G1605" t="s">
        <v>33</v>
      </c>
      <c r="H1605" t="s">
        <v>36</v>
      </c>
    </row>
    <row r="1606" spans="1:8" hidden="1" x14ac:dyDescent="0.3">
      <c r="A1606" t="s">
        <v>218</v>
      </c>
      <c r="B1606" s="2">
        <v>45901</v>
      </c>
      <c r="C1606" t="s">
        <v>919</v>
      </c>
      <c r="D1606">
        <v>0</v>
      </c>
      <c r="E1606" t="s">
        <v>33</v>
      </c>
      <c r="F1606" t="s">
        <v>33</v>
      </c>
      <c r="G1606" s="10" t="s">
        <v>338</v>
      </c>
      <c r="H1606" t="s">
        <v>36</v>
      </c>
    </row>
    <row r="1607" spans="1:8" hidden="1" x14ac:dyDescent="0.3">
      <c r="A1607" t="s">
        <v>218</v>
      </c>
      <c r="B1607" s="2">
        <v>45931</v>
      </c>
      <c r="C1607" t="s">
        <v>911</v>
      </c>
      <c r="D1607">
        <v>0</v>
      </c>
      <c r="E1607" t="s">
        <v>33</v>
      </c>
      <c r="F1607" t="s">
        <v>33</v>
      </c>
      <c r="G1607" s="10" t="s">
        <v>338</v>
      </c>
      <c r="H1607" t="s">
        <v>36</v>
      </c>
    </row>
    <row r="1608" spans="1:8" hidden="1" x14ac:dyDescent="0.3">
      <c r="A1608" t="s">
        <v>218</v>
      </c>
      <c r="B1608" s="2">
        <v>45962</v>
      </c>
      <c r="C1608" t="s">
        <v>919</v>
      </c>
      <c r="D1608">
        <v>0</v>
      </c>
      <c r="E1608" t="s">
        <v>33</v>
      </c>
      <c r="F1608" t="s">
        <v>33</v>
      </c>
      <c r="G1608" s="10" t="s">
        <v>338</v>
      </c>
      <c r="H1608" t="s">
        <v>36</v>
      </c>
    </row>
    <row r="1609" spans="1:8" hidden="1" x14ac:dyDescent="0.3">
      <c r="A1609" t="s">
        <v>218</v>
      </c>
      <c r="B1609" s="2">
        <v>45992</v>
      </c>
      <c r="C1609" t="s">
        <v>911</v>
      </c>
      <c r="D1609">
        <v>0</v>
      </c>
      <c r="E1609" t="s">
        <v>33</v>
      </c>
      <c r="F1609" t="s">
        <v>33</v>
      </c>
      <c r="G1609" s="10" t="s">
        <v>338</v>
      </c>
      <c r="H1609" t="s">
        <v>36</v>
      </c>
    </row>
    <row r="1610" spans="1:8" hidden="1" x14ac:dyDescent="0.3">
      <c r="A1610" t="s">
        <v>218</v>
      </c>
      <c r="B1610" s="2">
        <v>46023</v>
      </c>
      <c r="C1610" t="s">
        <v>911</v>
      </c>
      <c r="D1610">
        <v>0</v>
      </c>
      <c r="E1610" t="s">
        <v>33</v>
      </c>
      <c r="F1610" t="s">
        <v>33</v>
      </c>
      <c r="G1610" s="10" t="s">
        <v>338</v>
      </c>
      <c r="H1610" t="s">
        <v>36</v>
      </c>
    </row>
    <row r="1611" spans="1:8" hidden="1" x14ac:dyDescent="0.3">
      <c r="A1611" t="s">
        <v>218</v>
      </c>
      <c r="B1611" s="2">
        <v>46054</v>
      </c>
      <c r="C1611" t="s">
        <v>895</v>
      </c>
      <c r="D1611">
        <v>0</v>
      </c>
      <c r="E1611" t="s">
        <v>33</v>
      </c>
      <c r="F1611" t="s">
        <v>33</v>
      </c>
      <c r="G1611" s="10" t="s">
        <v>338</v>
      </c>
      <c r="H1611" t="s">
        <v>36</v>
      </c>
    </row>
    <row r="1612" spans="1:8" hidden="1" x14ac:dyDescent="0.3">
      <c r="A1612" t="s">
        <v>218</v>
      </c>
      <c r="B1612" s="2">
        <v>46082</v>
      </c>
      <c r="C1612" t="s">
        <v>911</v>
      </c>
      <c r="D1612">
        <v>0</v>
      </c>
      <c r="E1612" t="s">
        <v>33</v>
      </c>
      <c r="F1612" t="s">
        <v>33</v>
      </c>
      <c r="G1612" s="10" t="s">
        <v>606</v>
      </c>
      <c r="H1612" t="s">
        <v>36</v>
      </c>
    </row>
    <row r="1613" spans="1:8" hidden="1" x14ac:dyDescent="0.3">
      <c r="A1613" t="s">
        <v>218</v>
      </c>
      <c r="B1613" s="2">
        <v>46113</v>
      </c>
      <c r="C1613" t="s">
        <v>919</v>
      </c>
      <c r="D1613">
        <v>0</v>
      </c>
      <c r="E1613" t="s">
        <v>33</v>
      </c>
      <c r="F1613" t="s">
        <v>33</v>
      </c>
      <c r="G1613" s="10" t="s">
        <v>606</v>
      </c>
      <c r="H1613" t="s">
        <v>36</v>
      </c>
    </row>
    <row r="1614" spans="1:8" hidden="1" x14ac:dyDescent="0.3">
      <c r="A1614" t="s">
        <v>218</v>
      </c>
      <c r="B1614" s="2">
        <v>46143</v>
      </c>
      <c r="C1614" t="s">
        <v>911</v>
      </c>
      <c r="D1614">
        <v>0</v>
      </c>
      <c r="E1614" t="s">
        <v>33</v>
      </c>
      <c r="F1614" t="s">
        <v>33</v>
      </c>
      <c r="G1614" s="10" t="s">
        <v>338</v>
      </c>
      <c r="H1614" t="s">
        <v>36</v>
      </c>
    </row>
    <row r="1615" spans="1:8" x14ac:dyDescent="0.3">
      <c r="A1615" t="s">
        <v>218</v>
      </c>
      <c r="B1615" s="2">
        <v>46235</v>
      </c>
      <c r="C1615" s="10" t="s">
        <v>1085</v>
      </c>
      <c r="D1615" t="s">
        <v>1084</v>
      </c>
      <c r="E1615" t="s">
        <v>927</v>
      </c>
      <c r="F1615" t="s">
        <v>1088</v>
      </c>
      <c r="G1615" t="s">
        <v>1086</v>
      </c>
      <c r="H1615" t="s">
        <v>36</v>
      </c>
    </row>
    <row r="1616" spans="1:8" ht="57.6" hidden="1" customHeight="1" x14ac:dyDescent="0.3">
      <c r="A1616" t="s">
        <v>218</v>
      </c>
      <c r="B1616" s="2">
        <v>46174</v>
      </c>
      <c r="C1616" t="s">
        <v>919</v>
      </c>
      <c r="D1616">
        <v>0</v>
      </c>
      <c r="E1616" t="s">
        <v>33</v>
      </c>
      <c r="F1616" t="s">
        <v>33</v>
      </c>
      <c r="G1616" s="10" t="s">
        <v>338</v>
      </c>
      <c r="H1616" t="s">
        <v>36</v>
      </c>
    </row>
    <row r="1617" spans="1:8" ht="57.6" hidden="1" customHeight="1" x14ac:dyDescent="0.3">
      <c r="A1617" t="s">
        <v>218</v>
      </c>
      <c r="B1617" s="2">
        <v>46204</v>
      </c>
      <c r="C1617" s="10">
        <v>31</v>
      </c>
      <c r="D1617">
        <v>0</v>
      </c>
      <c r="E1617" t="s">
        <v>33</v>
      </c>
      <c r="F1617" t="s">
        <v>33</v>
      </c>
      <c r="G1617" t="s">
        <v>1050</v>
      </c>
      <c r="H1617" t="s">
        <v>36</v>
      </c>
    </row>
    <row r="1618" spans="1:8" ht="72" hidden="1" customHeight="1" x14ac:dyDescent="0.3">
      <c r="A1618" t="s">
        <v>192</v>
      </c>
      <c r="B1618" s="2">
        <v>45536</v>
      </c>
      <c r="C1618" s="10"/>
    </row>
    <row r="1619" spans="1:8" ht="72" hidden="1" customHeight="1" x14ac:dyDescent="0.3">
      <c r="A1619" t="s">
        <v>192</v>
      </c>
      <c r="B1619" s="2">
        <v>45566</v>
      </c>
      <c r="C1619" s="10"/>
    </row>
    <row r="1620" spans="1:8" hidden="1" x14ac:dyDescent="0.3">
      <c r="A1620" t="s">
        <v>192</v>
      </c>
      <c r="B1620" s="2">
        <v>45597</v>
      </c>
      <c r="C1620" s="10"/>
      <c r="G1620" s="45"/>
    </row>
    <row r="1621" spans="1:8" hidden="1" x14ac:dyDescent="0.3">
      <c r="A1621" t="s">
        <v>192</v>
      </c>
      <c r="B1621" s="2">
        <v>45627</v>
      </c>
      <c r="C1621" s="10"/>
      <c r="G1621" s="45"/>
    </row>
    <row r="1622" spans="1:8" hidden="1" x14ac:dyDescent="0.3">
      <c r="A1622" t="s">
        <v>192</v>
      </c>
      <c r="B1622" s="2">
        <v>45658</v>
      </c>
      <c r="C1622" s="10"/>
      <c r="G1622" s="45"/>
    </row>
    <row r="1623" spans="1:8" hidden="1" x14ac:dyDescent="0.3">
      <c r="A1623" t="s">
        <v>192</v>
      </c>
      <c r="B1623" s="2">
        <v>45689</v>
      </c>
      <c r="C1623" s="10"/>
      <c r="G1623" s="45"/>
    </row>
    <row r="1624" spans="1:8" hidden="1" x14ac:dyDescent="0.3">
      <c r="A1624" t="s">
        <v>192</v>
      </c>
      <c r="B1624" s="2">
        <v>45717</v>
      </c>
      <c r="C1624" s="10"/>
      <c r="G1624" s="45"/>
    </row>
    <row r="1625" spans="1:8" hidden="1" x14ac:dyDescent="0.3">
      <c r="A1625" t="s">
        <v>192</v>
      </c>
      <c r="B1625" s="2">
        <v>45748</v>
      </c>
      <c r="C1625" s="10"/>
    </row>
    <row r="1626" spans="1:8" hidden="1" x14ac:dyDescent="0.3">
      <c r="A1626" t="s">
        <v>192</v>
      </c>
      <c r="B1626" s="2">
        <v>45778</v>
      </c>
      <c r="C1626" s="10"/>
    </row>
    <row r="1627" spans="1:8" hidden="1" x14ac:dyDescent="0.3">
      <c r="A1627" t="s">
        <v>192</v>
      </c>
      <c r="B1627" s="2">
        <v>45809</v>
      </c>
      <c r="C1627" s="10"/>
    </row>
    <row r="1628" spans="1:8" hidden="1" x14ac:dyDescent="0.3">
      <c r="A1628" t="s">
        <v>192</v>
      </c>
      <c r="B1628" s="2">
        <v>45839</v>
      </c>
      <c r="C1628" s="10"/>
      <c r="G1628" s="45"/>
    </row>
    <row r="1629" spans="1:8" hidden="1" x14ac:dyDescent="0.3">
      <c r="A1629" t="s">
        <v>192</v>
      </c>
      <c r="B1629" s="2">
        <v>45870</v>
      </c>
      <c r="C1629" s="10"/>
      <c r="G1629" s="45"/>
    </row>
    <row r="1630" spans="1:8" hidden="1" x14ac:dyDescent="0.3">
      <c r="A1630" t="s">
        <v>192</v>
      </c>
      <c r="B1630" s="2">
        <v>45901</v>
      </c>
      <c r="C1630" s="10"/>
      <c r="G1630" s="45"/>
    </row>
    <row r="1631" spans="1:8" hidden="1" x14ac:dyDescent="0.3">
      <c r="A1631" t="s">
        <v>192</v>
      </c>
      <c r="B1631" s="2">
        <v>45931</v>
      </c>
      <c r="C1631" s="10"/>
    </row>
    <row r="1632" spans="1:8" hidden="1" x14ac:dyDescent="0.3">
      <c r="A1632" t="s">
        <v>192</v>
      </c>
      <c r="B1632" s="2">
        <v>45962</v>
      </c>
      <c r="C1632" s="10"/>
    </row>
    <row r="1633" spans="1:8" hidden="1" x14ac:dyDescent="0.3">
      <c r="A1633" t="s">
        <v>192</v>
      </c>
      <c r="B1633" s="2">
        <v>45992</v>
      </c>
      <c r="C1633" s="10"/>
    </row>
    <row r="1634" spans="1:8" hidden="1" x14ac:dyDescent="0.3">
      <c r="A1634" t="s">
        <v>192</v>
      </c>
      <c r="B1634" s="2">
        <v>46023</v>
      </c>
      <c r="C1634" s="10"/>
    </row>
    <row r="1635" spans="1:8" hidden="1" x14ac:dyDescent="0.3">
      <c r="A1635" t="s">
        <v>192</v>
      </c>
      <c r="B1635" s="2">
        <v>46054</v>
      </c>
      <c r="C1635" s="10"/>
    </row>
    <row r="1636" spans="1:8" hidden="1" x14ac:dyDescent="0.3">
      <c r="A1636" t="s">
        <v>192</v>
      </c>
      <c r="B1636" s="2">
        <v>46082</v>
      </c>
      <c r="C1636" s="10"/>
    </row>
    <row r="1637" spans="1:8" hidden="1" x14ac:dyDescent="0.3">
      <c r="A1637" t="s">
        <v>192</v>
      </c>
      <c r="B1637" s="2">
        <v>46113</v>
      </c>
      <c r="C1637" s="10"/>
    </row>
    <row r="1638" spans="1:8" hidden="1" x14ac:dyDescent="0.3">
      <c r="A1638" t="s">
        <v>192</v>
      </c>
      <c r="B1638" s="2">
        <v>46143</v>
      </c>
      <c r="C1638" s="10" t="s">
        <v>862</v>
      </c>
    </row>
    <row r="1639" spans="1:8" x14ac:dyDescent="0.3">
      <c r="A1639" t="s">
        <v>192</v>
      </c>
      <c r="B1639" s="2">
        <v>46235</v>
      </c>
      <c r="C1639" s="10"/>
    </row>
    <row r="1640" spans="1:8" ht="57.6" hidden="1" customHeight="1" x14ac:dyDescent="0.3">
      <c r="A1640" t="s">
        <v>192</v>
      </c>
      <c r="B1640" s="2">
        <v>46174</v>
      </c>
      <c r="C1640" s="10"/>
    </row>
    <row r="1641" spans="1:8" ht="43.2" hidden="1" customHeight="1" x14ac:dyDescent="0.3">
      <c r="A1641" t="s">
        <v>192</v>
      </c>
      <c r="B1641" s="2">
        <v>46204</v>
      </c>
      <c r="C1641" s="10" t="s">
        <v>36</v>
      </c>
      <c r="D1641" s="10" t="s">
        <v>36</v>
      </c>
      <c r="E1641" s="10" t="s">
        <v>36</v>
      </c>
      <c r="F1641" t="s">
        <v>1055</v>
      </c>
      <c r="G1641" t="s">
        <v>36</v>
      </c>
      <c r="H1641" t="s">
        <v>36</v>
      </c>
    </row>
    <row r="1642" spans="1:8" ht="57.6" hidden="1" customHeight="1" x14ac:dyDescent="0.3">
      <c r="A1642" t="s">
        <v>194</v>
      </c>
      <c r="B1642" s="2">
        <v>45536</v>
      </c>
      <c r="C1642" s="10"/>
    </row>
    <row r="1643" spans="1:8" ht="57.6" hidden="1" customHeight="1" x14ac:dyDescent="0.3">
      <c r="A1643" t="s">
        <v>194</v>
      </c>
      <c r="B1643" s="2">
        <v>45566</v>
      </c>
      <c r="C1643" s="10"/>
    </row>
    <row r="1644" spans="1:8" ht="57.6" hidden="1" customHeight="1" x14ac:dyDescent="0.3">
      <c r="A1644" t="s">
        <v>194</v>
      </c>
      <c r="B1644" s="2">
        <v>45597</v>
      </c>
      <c r="C1644" s="10"/>
    </row>
    <row r="1645" spans="1:8" ht="57.6" hidden="1" customHeight="1" x14ac:dyDescent="0.3">
      <c r="A1645" t="s">
        <v>194</v>
      </c>
      <c r="B1645" s="2">
        <v>45627</v>
      </c>
      <c r="C1645" s="10"/>
    </row>
    <row r="1646" spans="1:8" ht="57.6" hidden="1" customHeight="1" x14ac:dyDescent="0.3">
      <c r="A1646" t="s">
        <v>194</v>
      </c>
      <c r="B1646" s="2">
        <v>45658</v>
      </c>
      <c r="C1646" s="10"/>
    </row>
    <row r="1647" spans="1:8" ht="57.6" hidden="1" customHeight="1" x14ac:dyDescent="0.3">
      <c r="A1647" t="s">
        <v>194</v>
      </c>
      <c r="B1647" s="2">
        <v>45689</v>
      </c>
      <c r="C1647" s="10" t="s">
        <v>763</v>
      </c>
    </row>
    <row r="1648" spans="1:8" ht="57.6" hidden="1" customHeight="1" x14ac:dyDescent="0.3">
      <c r="A1648" t="s">
        <v>194</v>
      </c>
      <c r="B1648" s="2">
        <v>45717</v>
      </c>
      <c r="C1648" s="10" t="s">
        <v>764</v>
      </c>
    </row>
    <row r="1649" spans="1:8" ht="100.8" hidden="1" x14ac:dyDescent="0.3">
      <c r="A1649" t="s">
        <v>194</v>
      </c>
      <c r="B1649" s="2">
        <v>45748</v>
      </c>
      <c r="C1649" s="10" t="s">
        <v>765</v>
      </c>
    </row>
    <row r="1650" spans="1:8" ht="129.6" hidden="1" x14ac:dyDescent="0.3">
      <c r="A1650" t="s">
        <v>194</v>
      </c>
      <c r="B1650" s="2">
        <v>45778</v>
      </c>
      <c r="C1650" s="10" t="s">
        <v>766</v>
      </c>
    </row>
    <row r="1651" spans="1:8" ht="129.6" hidden="1" x14ac:dyDescent="0.3">
      <c r="A1651" t="s">
        <v>194</v>
      </c>
      <c r="B1651" s="2">
        <v>45809</v>
      </c>
      <c r="C1651" s="10" t="s">
        <v>767</v>
      </c>
    </row>
    <row r="1652" spans="1:8" hidden="1" x14ac:dyDescent="0.3">
      <c r="A1652" t="s">
        <v>194</v>
      </c>
      <c r="B1652" s="2">
        <v>45839</v>
      </c>
      <c r="C1652" t="s">
        <v>911</v>
      </c>
      <c r="D1652">
        <v>0</v>
      </c>
      <c r="E1652" t="s">
        <v>33</v>
      </c>
      <c r="F1652" t="s">
        <v>33</v>
      </c>
      <c r="G1652" s="44" t="s">
        <v>932</v>
      </c>
      <c r="H1652" t="s">
        <v>36</v>
      </c>
    </row>
    <row r="1653" spans="1:8" hidden="1" x14ac:dyDescent="0.3">
      <c r="A1653" t="s">
        <v>194</v>
      </c>
      <c r="B1653" s="2">
        <v>45870</v>
      </c>
      <c r="C1653" t="s">
        <v>911</v>
      </c>
      <c r="D1653">
        <v>0</v>
      </c>
      <c r="E1653" t="s">
        <v>33</v>
      </c>
      <c r="F1653" t="s">
        <v>33</v>
      </c>
      <c r="G1653" s="44" t="s">
        <v>932</v>
      </c>
      <c r="H1653" t="s">
        <v>36</v>
      </c>
    </row>
    <row r="1654" spans="1:8" hidden="1" x14ac:dyDescent="0.3">
      <c r="A1654" t="s">
        <v>194</v>
      </c>
      <c r="B1654" s="2">
        <v>45901</v>
      </c>
      <c r="C1654" t="s">
        <v>919</v>
      </c>
      <c r="D1654">
        <v>0</v>
      </c>
      <c r="E1654" t="s">
        <v>33</v>
      </c>
      <c r="F1654" t="s">
        <v>33</v>
      </c>
      <c r="G1654" s="44" t="s">
        <v>932</v>
      </c>
      <c r="H1654" t="s">
        <v>36</v>
      </c>
    </row>
    <row r="1655" spans="1:8" hidden="1" x14ac:dyDescent="0.3">
      <c r="A1655" t="s">
        <v>194</v>
      </c>
      <c r="B1655" s="2">
        <v>45931</v>
      </c>
      <c r="C1655" t="s">
        <v>911</v>
      </c>
      <c r="D1655">
        <v>0</v>
      </c>
      <c r="E1655" t="s">
        <v>33</v>
      </c>
      <c r="F1655" t="s">
        <v>33</v>
      </c>
      <c r="G1655" s="44" t="s">
        <v>932</v>
      </c>
      <c r="H1655" t="s">
        <v>36</v>
      </c>
    </row>
    <row r="1656" spans="1:8" hidden="1" x14ac:dyDescent="0.3">
      <c r="A1656" t="s">
        <v>194</v>
      </c>
      <c r="B1656" s="2">
        <v>45962</v>
      </c>
      <c r="C1656" t="s">
        <v>919</v>
      </c>
      <c r="D1656">
        <v>0</v>
      </c>
      <c r="E1656" t="s">
        <v>33</v>
      </c>
      <c r="F1656" t="s">
        <v>33</v>
      </c>
      <c r="G1656" s="44" t="s">
        <v>932</v>
      </c>
      <c r="H1656" t="s">
        <v>36</v>
      </c>
    </row>
    <row r="1657" spans="1:8" hidden="1" x14ac:dyDescent="0.3">
      <c r="A1657" t="s">
        <v>194</v>
      </c>
      <c r="B1657" s="2">
        <v>45992</v>
      </c>
      <c r="C1657" t="s">
        <v>911</v>
      </c>
      <c r="D1657">
        <v>0</v>
      </c>
      <c r="E1657" t="s">
        <v>33</v>
      </c>
      <c r="F1657" t="s">
        <v>33</v>
      </c>
      <c r="G1657" s="10" t="s">
        <v>338</v>
      </c>
      <c r="H1657" t="s">
        <v>36</v>
      </c>
    </row>
    <row r="1658" spans="1:8" hidden="1" x14ac:dyDescent="0.3">
      <c r="A1658" t="s">
        <v>194</v>
      </c>
      <c r="B1658" s="2">
        <v>46023</v>
      </c>
      <c r="C1658" t="s">
        <v>911</v>
      </c>
      <c r="D1658">
        <v>0</v>
      </c>
      <c r="E1658" t="s">
        <v>33</v>
      </c>
      <c r="F1658" t="s">
        <v>33</v>
      </c>
      <c r="G1658" s="10" t="s">
        <v>338</v>
      </c>
      <c r="H1658" t="s">
        <v>36</v>
      </c>
    </row>
    <row r="1659" spans="1:8" hidden="1" x14ac:dyDescent="0.3">
      <c r="A1659" t="s">
        <v>194</v>
      </c>
      <c r="B1659" s="2">
        <v>46054</v>
      </c>
      <c r="C1659" t="s">
        <v>895</v>
      </c>
      <c r="D1659">
        <v>0</v>
      </c>
      <c r="E1659" t="s">
        <v>33</v>
      </c>
      <c r="F1659" t="s">
        <v>33</v>
      </c>
      <c r="G1659" s="10" t="s">
        <v>338</v>
      </c>
      <c r="H1659" t="s">
        <v>36</v>
      </c>
    </row>
    <row r="1660" spans="1:8" hidden="1" x14ac:dyDescent="0.3">
      <c r="A1660" t="s">
        <v>194</v>
      </c>
      <c r="B1660" s="2">
        <v>46082</v>
      </c>
      <c r="C1660" t="s">
        <v>911</v>
      </c>
      <c r="D1660">
        <v>0</v>
      </c>
      <c r="E1660" t="s">
        <v>33</v>
      </c>
      <c r="F1660" t="s">
        <v>33</v>
      </c>
      <c r="G1660" s="44" t="s">
        <v>932</v>
      </c>
      <c r="H1660" t="s">
        <v>36</v>
      </c>
    </row>
    <row r="1661" spans="1:8" hidden="1" x14ac:dyDescent="0.3">
      <c r="A1661" t="s">
        <v>194</v>
      </c>
      <c r="B1661" s="2">
        <v>46113</v>
      </c>
      <c r="C1661" t="s">
        <v>919</v>
      </c>
      <c r="D1661">
        <v>0</v>
      </c>
      <c r="E1661" t="s">
        <v>33</v>
      </c>
      <c r="F1661" t="s">
        <v>33</v>
      </c>
      <c r="G1661" s="44" t="s">
        <v>932</v>
      </c>
      <c r="H1661" t="s">
        <v>36</v>
      </c>
    </row>
    <row r="1662" spans="1:8" hidden="1" x14ac:dyDescent="0.3">
      <c r="A1662" t="s">
        <v>194</v>
      </c>
      <c r="B1662" s="2">
        <v>46143</v>
      </c>
      <c r="C1662" t="s">
        <v>911</v>
      </c>
      <c r="D1662">
        <v>0</v>
      </c>
      <c r="E1662" t="s">
        <v>33</v>
      </c>
      <c r="F1662" t="s">
        <v>33</v>
      </c>
      <c r="G1662" s="44" t="s">
        <v>932</v>
      </c>
      <c r="H1662" t="s">
        <v>36</v>
      </c>
    </row>
    <row r="1663" spans="1:8" x14ac:dyDescent="0.3">
      <c r="A1663" t="s">
        <v>194</v>
      </c>
      <c r="B1663" s="2">
        <v>46235</v>
      </c>
      <c r="C1663" s="10" t="s">
        <v>896</v>
      </c>
      <c r="D1663">
        <v>0</v>
      </c>
      <c r="E1663" t="s">
        <v>33</v>
      </c>
      <c r="F1663" t="s">
        <v>33</v>
      </c>
      <c r="G1663" s="10" t="s">
        <v>932</v>
      </c>
      <c r="H1663" t="s">
        <v>36</v>
      </c>
    </row>
    <row r="1664" spans="1:8" hidden="1" x14ac:dyDescent="0.3">
      <c r="A1664" t="s">
        <v>194</v>
      </c>
      <c r="B1664" s="2">
        <v>46204</v>
      </c>
      <c r="C1664" s="10">
        <v>28</v>
      </c>
      <c r="D1664" t="s">
        <v>1056</v>
      </c>
      <c r="E1664" t="s">
        <v>1057</v>
      </c>
      <c r="F1664" t="s">
        <v>33</v>
      </c>
      <c r="G1664" t="s">
        <v>1058</v>
      </c>
      <c r="H1664" t="s">
        <v>36</v>
      </c>
    </row>
    <row r="1665" spans="1:8" hidden="1" x14ac:dyDescent="0.3">
      <c r="A1665" t="s">
        <v>194</v>
      </c>
      <c r="B1665" s="2">
        <v>46174</v>
      </c>
      <c r="C1665" t="s">
        <v>919</v>
      </c>
      <c r="D1665">
        <v>0</v>
      </c>
      <c r="E1665" t="s">
        <v>33</v>
      </c>
      <c r="F1665" t="s">
        <v>33</v>
      </c>
      <c r="G1665" s="10" t="s">
        <v>996</v>
      </c>
      <c r="H1665" t="s">
        <v>36</v>
      </c>
    </row>
    <row r="1666" spans="1:8" ht="57.6" hidden="1" customHeight="1" x14ac:dyDescent="0.3">
      <c r="A1666" t="s">
        <v>196</v>
      </c>
      <c r="B1666" s="2">
        <v>45536</v>
      </c>
      <c r="C1666" s="10"/>
    </row>
    <row r="1667" spans="1:8" ht="57.6" hidden="1" customHeight="1" x14ac:dyDescent="0.3">
      <c r="A1667" t="s">
        <v>196</v>
      </c>
      <c r="B1667" s="2">
        <v>45566</v>
      </c>
      <c r="C1667" s="10"/>
    </row>
    <row r="1668" spans="1:8" ht="57.6" hidden="1" customHeight="1" x14ac:dyDescent="0.3">
      <c r="A1668" t="s">
        <v>196</v>
      </c>
      <c r="B1668" s="2">
        <v>45597</v>
      </c>
      <c r="C1668" s="10"/>
    </row>
    <row r="1669" spans="1:8" ht="72" hidden="1" customHeight="1" x14ac:dyDescent="0.3">
      <c r="A1669" t="s">
        <v>196</v>
      </c>
      <c r="B1669" s="2">
        <v>45627</v>
      </c>
      <c r="C1669" s="10"/>
    </row>
    <row r="1670" spans="1:8" ht="57.6" hidden="1" customHeight="1" x14ac:dyDescent="0.3">
      <c r="A1670" t="s">
        <v>196</v>
      </c>
      <c r="B1670" s="2">
        <v>45658</v>
      </c>
      <c r="C1670" s="10"/>
    </row>
    <row r="1671" spans="1:8" ht="57.6" hidden="1" customHeight="1" x14ac:dyDescent="0.3">
      <c r="A1671" t="s">
        <v>196</v>
      </c>
      <c r="B1671" s="2">
        <v>45689</v>
      </c>
      <c r="C1671" s="10" t="s">
        <v>768</v>
      </c>
    </row>
    <row r="1672" spans="1:8" ht="57.6" hidden="1" customHeight="1" x14ac:dyDescent="0.3">
      <c r="A1672" t="s">
        <v>196</v>
      </c>
      <c r="B1672" s="2">
        <v>45717</v>
      </c>
      <c r="C1672" s="10" t="s">
        <v>769</v>
      </c>
    </row>
    <row r="1673" spans="1:8" ht="72" hidden="1" x14ac:dyDescent="0.3">
      <c r="A1673" t="s">
        <v>196</v>
      </c>
      <c r="B1673" s="2">
        <v>45748</v>
      </c>
      <c r="C1673" s="10" t="s">
        <v>770</v>
      </c>
    </row>
    <row r="1674" spans="1:8" ht="115.2" hidden="1" x14ac:dyDescent="0.3">
      <c r="A1674" t="s">
        <v>196</v>
      </c>
      <c r="B1674" s="2">
        <v>45778</v>
      </c>
      <c r="C1674" s="10" t="s">
        <v>771</v>
      </c>
    </row>
    <row r="1675" spans="1:8" ht="100.8" hidden="1" x14ac:dyDescent="0.3">
      <c r="A1675" t="s">
        <v>196</v>
      </c>
      <c r="B1675" s="2">
        <v>45809</v>
      </c>
      <c r="C1675" s="10" t="s">
        <v>772</v>
      </c>
    </row>
    <row r="1676" spans="1:8" ht="100.8" hidden="1" x14ac:dyDescent="0.3">
      <c r="A1676" t="s">
        <v>196</v>
      </c>
      <c r="B1676" s="2">
        <v>45839</v>
      </c>
      <c r="C1676" s="10" t="s">
        <v>773</v>
      </c>
    </row>
    <row r="1677" spans="1:8" ht="100.8" hidden="1" x14ac:dyDescent="0.3">
      <c r="A1677" t="s">
        <v>196</v>
      </c>
      <c r="B1677" s="2">
        <v>45870</v>
      </c>
      <c r="C1677" s="10" t="s">
        <v>774</v>
      </c>
    </row>
    <row r="1678" spans="1:8" ht="100.8" hidden="1" x14ac:dyDescent="0.3">
      <c r="A1678" t="s">
        <v>196</v>
      </c>
      <c r="B1678" s="2">
        <v>45901</v>
      </c>
      <c r="C1678" s="10" t="s">
        <v>775</v>
      </c>
    </row>
    <row r="1679" spans="1:8" ht="115.2" hidden="1" x14ac:dyDescent="0.3">
      <c r="A1679" t="s">
        <v>196</v>
      </c>
      <c r="B1679" s="2">
        <v>45931</v>
      </c>
      <c r="C1679" s="10" t="s">
        <v>776</v>
      </c>
    </row>
    <row r="1680" spans="1:8" ht="100.8" hidden="1" x14ac:dyDescent="0.3">
      <c r="A1680" t="s">
        <v>196</v>
      </c>
      <c r="B1680" s="2">
        <v>45962</v>
      </c>
      <c r="C1680" s="10" t="s">
        <v>777</v>
      </c>
    </row>
    <row r="1681" spans="1:8" hidden="1" x14ac:dyDescent="0.3">
      <c r="A1681" t="s">
        <v>196</v>
      </c>
      <c r="B1681" s="2">
        <v>45992</v>
      </c>
      <c r="C1681" s="10" t="s">
        <v>598</v>
      </c>
    </row>
    <row r="1682" spans="1:8" hidden="1" x14ac:dyDescent="0.3">
      <c r="A1682" t="s">
        <v>196</v>
      </c>
      <c r="B1682" s="2">
        <v>46023</v>
      </c>
      <c r="C1682" s="10" t="s">
        <v>338</v>
      </c>
    </row>
    <row r="1683" spans="1:8" hidden="1" x14ac:dyDescent="0.3">
      <c r="A1683" t="s">
        <v>196</v>
      </c>
      <c r="B1683" s="2">
        <v>46054</v>
      </c>
      <c r="C1683" s="10" t="s">
        <v>326</v>
      </c>
    </row>
    <row r="1684" spans="1:8" hidden="1" x14ac:dyDescent="0.3">
      <c r="A1684" t="s">
        <v>196</v>
      </c>
      <c r="B1684" s="2">
        <v>46082</v>
      </c>
      <c r="C1684" s="10" t="s">
        <v>326</v>
      </c>
    </row>
    <row r="1685" spans="1:8" hidden="1" x14ac:dyDescent="0.3">
      <c r="A1685" t="s">
        <v>196</v>
      </c>
      <c r="B1685" s="2">
        <v>46113</v>
      </c>
      <c r="C1685" s="10" t="s">
        <v>302</v>
      </c>
    </row>
    <row r="1686" spans="1:8" hidden="1" x14ac:dyDescent="0.3">
      <c r="A1686" t="s">
        <v>196</v>
      </c>
      <c r="B1686" s="2">
        <v>46143</v>
      </c>
      <c r="C1686" s="10" t="s">
        <v>302</v>
      </c>
    </row>
    <row r="1687" spans="1:8" x14ac:dyDescent="0.3">
      <c r="A1687" t="s">
        <v>196</v>
      </c>
      <c r="B1687" s="2">
        <v>46235</v>
      </c>
      <c r="C1687" t="s">
        <v>896</v>
      </c>
      <c r="D1687">
        <v>0</v>
      </c>
      <c r="E1687" t="s">
        <v>33</v>
      </c>
      <c r="F1687" t="s">
        <v>33</v>
      </c>
      <c r="G1687" t="s">
        <v>338</v>
      </c>
      <c r="H1687" t="s">
        <v>36</v>
      </c>
    </row>
    <row r="1688" spans="1:8" hidden="1" x14ac:dyDescent="0.3">
      <c r="A1688" t="s">
        <v>196</v>
      </c>
      <c r="B1688" s="2">
        <v>46174</v>
      </c>
      <c r="C1688" s="10"/>
    </row>
    <row r="1689" spans="1:8" hidden="1" x14ac:dyDescent="0.3">
      <c r="A1689" t="s">
        <v>196</v>
      </c>
      <c r="B1689" s="2">
        <v>46204</v>
      </c>
      <c r="C1689" s="10">
        <v>31</v>
      </c>
      <c r="D1689">
        <v>0</v>
      </c>
      <c r="E1689" t="s">
        <v>33</v>
      </c>
      <c r="F1689" t="s">
        <v>33</v>
      </c>
      <c r="G1689" t="s">
        <v>1014</v>
      </c>
      <c r="H1689" t="s">
        <v>36</v>
      </c>
    </row>
    <row r="1690" spans="1:8" hidden="1" x14ac:dyDescent="0.3">
      <c r="A1690" t="s">
        <v>199</v>
      </c>
      <c r="B1690" s="2">
        <v>45536</v>
      </c>
      <c r="C1690" s="10"/>
    </row>
    <row r="1691" spans="1:8" hidden="1" x14ac:dyDescent="0.3">
      <c r="A1691" t="s">
        <v>199</v>
      </c>
      <c r="B1691" s="2">
        <v>45566</v>
      </c>
      <c r="C1691" s="10"/>
    </row>
    <row r="1692" spans="1:8" hidden="1" x14ac:dyDescent="0.3">
      <c r="A1692" t="s">
        <v>199</v>
      </c>
      <c r="B1692" s="2">
        <v>45597</v>
      </c>
      <c r="C1692" s="10"/>
    </row>
    <row r="1693" spans="1:8" hidden="1" x14ac:dyDescent="0.3">
      <c r="A1693" t="s">
        <v>199</v>
      </c>
      <c r="B1693" s="2">
        <v>45627</v>
      </c>
      <c r="C1693" s="10"/>
    </row>
    <row r="1694" spans="1:8" ht="43.2" hidden="1" customHeight="1" x14ac:dyDescent="0.3">
      <c r="A1694" t="s">
        <v>199</v>
      </c>
      <c r="B1694" s="2">
        <v>45658</v>
      </c>
      <c r="C1694" s="10"/>
    </row>
    <row r="1695" spans="1:8" ht="43.2" hidden="1" customHeight="1" x14ac:dyDescent="0.3">
      <c r="A1695" t="s">
        <v>199</v>
      </c>
      <c r="B1695" s="2">
        <v>45689</v>
      </c>
      <c r="C1695" s="10" t="s">
        <v>753</v>
      </c>
    </row>
    <row r="1696" spans="1:8" ht="43.2" hidden="1" customHeight="1" x14ac:dyDescent="0.3">
      <c r="A1696" t="s">
        <v>199</v>
      </c>
      <c r="B1696" s="2">
        <v>45717</v>
      </c>
      <c r="C1696" s="10" t="s">
        <v>706</v>
      </c>
    </row>
    <row r="1697" spans="1:8" ht="28.8" hidden="1" x14ac:dyDescent="0.3">
      <c r="A1697" t="s">
        <v>199</v>
      </c>
      <c r="B1697" s="2">
        <v>45748</v>
      </c>
      <c r="C1697" s="10" t="s">
        <v>754</v>
      </c>
    </row>
    <row r="1698" spans="1:8" ht="115.2" hidden="1" x14ac:dyDescent="0.3">
      <c r="A1698" t="s">
        <v>199</v>
      </c>
      <c r="B1698" s="2">
        <v>45778</v>
      </c>
      <c r="C1698" s="10" t="s">
        <v>755</v>
      </c>
    </row>
    <row r="1699" spans="1:8" ht="115.2" hidden="1" x14ac:dyDescent="0.3">
      <c r="A1699" t="s">
        <v>199</v>
      </c>
      <c r="B1699" s="2">
        <v>45809</v>
      </c>
      <c r="C1699" s="10" t="s">
        <v>756</v>
      </c>
    </row>
    <row r="1700" spans="1:8" ht="115.2" hidden="1" x14ac:dyDescent="0.3">
      <c r="A1700" t="s">
        <v>199</v>
      </c>
      <c r="B1700" s="2">
        <v>45839</v>
      </c>
      <c r="C1700" s="10" t="s">
        <v>757</v>
      </c>
    </row>
    <row r="1701" spans="1:8" ht="100.8" hidden="1" x14ac:dyDescent="0.3">
      <c r="A1701" t="s">
        <v>199</v>
      </c>
      <c r="B1701" s="2">
        <v>45870</v>
      </c>
      <c r="C1701" s="10" t="s">
        <v>758</v>
      </c>
    </row>
    <row r="1702" spans="1:8" ht="100.8" hidden="1" x14ac:dyDescent="0.3">
      <c r="A1702" t="s">
        <v>199</v>
      </c>
      <c r="B1702" s="2">
        <v>45901</v>
      </c>
      <c r="C1702" s="10" t="s">
        <v>759</v>
      </c>
    </row>
    <row r="1703" spans="1:8" ht="100.8" hidden="1" x14ac:dyDescent="0.3">
      <c r="A1703" t="s">
        <v>199</v>
      </c>
      <c r="B1703" s="2">
        <v>45931</v>
      </c>
      <c r="C1703" s="10" t="s">
        <v>760</v>
      </c>
    </row>
    <row r="1704" spans="1:8" ht="115.2" hidden="1" x14ac:dyDescent="0.3">
      <c r="A1704" t="s">
        <v>199</v>
      </c>
      <c r="B1704" s="2">
        <v>45962</v>
      </c>
      <c r="C1704" s="10" t="s">
        <v>761</v>
      </c>
    </row>
    <row r="1705" spans="1:8" hidden="1" x14ac:dyDescent="0.3">
      <c r="A1705" t="s">
        <v>199</v>
      </c>
      <c r="B1705" s="2">
        <v>45992</v>
      </c>
      <c r="C1705" s="10" t="s">
        <v>598</v>
      </c>
    </row>
    <row r="1706" spans="1:8" hidden="1" x14ac:dyDescent="0.3">
      <c r="A1706" t="s">
        <v>199</v>
      </c>
      <c r="B1706" s="2">
        <v>46023</v>
      </c>
      <c r="C1706" s="10" t="s">
        <v>338</v>
      </c>
    </row>
    <row r="1707" spans="1:8" hidden="1" x14ac:dyDescent="0.3">
      <c r="A1707" t="s">
        <v>199</v>
      </c>
      <c r="B1707" s="2">
        <v>46054</v>
      </c>
      <c r="C1707" s="10" t="s">
        <v>326</v>
      </c>
    </row>
    <row r="1708" spans="1:8" ht="28.8" hidden="1" x14ac:dyDescent="0.3">
      <c r="A1708" t="s">
        <v>199</v>
      </c>
      <c r="B1708" s="2">
        <v>46082</v>
      </c>
      <c r="C1708" s="10" t="s">
        <v>762</v>
      </c>
    </row>
    <row r="1709" spans="1:8" ht="28.8" hidden="1" x14ac:dyDescent="0.3">
      <c r="A1709" t="s">
        <v>199</v>
      </c>
      <c r="B1709" s="2">
        <v>46113</v>
      </c>
      <c r="C1709" s="10" t="s">
        <v>752</v>
      </c>
    </row>
    <row r="1710" spans="1:8" ht="28.8" hidden="1" x14ac:dyDescent="0.3">
      <c r="A1710" t="s">
        <v>199</v>
      </c>
      <c r="B1710" s="2">
        <v>46143</v>
      </c>
      <c r="C1710" s="10" t="s">
        <v>867</v>
      </c>
    </row>
    <row r="1711" spans="1:8" x14ac:dyDescent="0.3">
      <c r="A1711" t="s">
        <v>199</v>
      </c>
      <c r="B1711" s="2">
        <v>46235</v>
      </c>
      <c r="C1711" s="10" t="s">
        <v>896</v>
      </c>
      <c r="D1711">
        <v>0</v>
      </c>
      <c r="E1711" t="s">
        <v>33</v>
      </c>
      <c r="F1711" t="s">
        <v>33</v>
      </c>
      <c r="G1711" s="10" t="s">
        <v>932</v>
      </c>
      <c r="H1711" t="s">
        <v>36</v>
      </c>
    </row>
    <row r="1712" spans="1:8" ht="86.4" hidden="1" customHeight="1" x14ac:dyDescent="0.3">
      <c r="A1712" t="s">
        <v>199</v>
      </c>
      <c r="B1712" s="2">
        <v>46174</v>
      </c>
      <c r="C1712" s="10"/>
    </row>
    <row r="1713" spans="1:8" ht="57.6" hidden="1" customHeight="1" x14ac:dyDescent="0.3">
      <c r="A1713" t="s">
        <v>199</v>
      </c>
      <c r="B1713" s="2">
        <v>46204</v>
      </c>
      <c r="C1713" s="10">
        <v>31</v>
      </c>
      <c r="D1713">
        <v>0</v>
      </c>
      <c r="E1713" t="s">
        <v>33</v>
      </c>
      <c r="F1713" t="s">
        <v>33</v>
      </c>
      <c r="G1713" t="s">
        <v>932</v>
      </c>
      <c r="H1713" t="s">
        <v>36</v>
      </c>
    </row>
    <row r="1714" spans="1:8" ht="57.6" hidden="1" customHeight="1" x14ac:dyDescent="0.3">
      <c r="A1714" t="s">
        <v>201</v>
      </c>
      <c r="B1714" s="2">
        <v>45536</v>
      </c>
      <c r="C1714" s="10"/>
    </row>
    <row r="1715" spans="1:8" ht="57.6" hidden="1" customHeight="1" x14ac:dyDescent="0.3">
      <c r="A1715" t="s">
        <v>201</v>
      </c>
      <c r="B1715" s="2">
        <v>45566</v>
      </c>
      <c r="C1715" s="10"/>
    </row>
    <row r="1716" spans="1:8" hidden="1" x14ac:dyDescent="0.3">
      <c r="A1716" t="s">
        <v>201</v>
      </c>
      <c r="B1716" s="2">
        <v>45597</v>
      </c>
      <c r="C1716" s="10"/>
    </row>
    <row r="1717" spans="1:8" hidden="1" x14ac:dyDescent="0.3">
      <c r="A1717" t="s">
        <v>201</v>
      </c>
      <c r="B1717" s="2">
        <v>45627</v>
      </c>
      <c r="C1717" s="10"/>
    </row>
    <row r="1718" spans="1:8" hidden="1" x14ac:dyDescent="0.3">
      <c r="A1718" t="s">
        <v>201</v>
      </c>
      <c r="B1718" s="2">
        <v>45658</v>
      </c>
      <c r="C1718" s="10"/>
    </row>
    <row r="1719" spans="1:8" ht="57.6" hidden="1" x14ac:dyDescent="0.3">
      <c r="A1719" t="s">
        <v>201</v>
      </c>
      <c r="B1719" s="2">
        <v>45689</v>
      </c>
      <c r="C1719" s="10" t="s">
        <v>778</v>
      </c>
    </row>
    <row r="1720" spans="1:8" hidden="1" x14ac:dyDescent="0.3">
      <c r="A1720" t="s">
        <v>201</v>
      </c>
      <c r="B1720" s="2">
        <v>45717</v>
      </c>
      <c r="C1720" s="10" t="s">
        <v>455</v>
      </c>
    </row>
    <row r="1721" spans="1:8" ht="28.8" hidden="1" x14ac:dyDescent="0.3">
      <c r="A1721" t="s">
        <v>201</v>
      </c>
      <c r="B1721" s="2">
        <v>45748</v>
      </c>
      <c r="C1721" s="10" t="s">
        <v>779</v>
      </c>
    </row>
    <row r="1722" spans="1:8" ht="115.2" hidden="1" x14ac:dyDescent="0.3">
      <c r="A1722" t="s">
        <v>201</v>
      </c>
      <c r="B1722" s="2">
        <v>45778</v>
      </c>
      <c r="C1722" s="10" t="s">
        <v>780</v>
      </c>
    </row>
    <row r="1723" spans="1:8" ht="100.8" hidden="1" x14ac:dyDescent="0.3">
      <c r="A1723" t="s">
        <v>201</v>
      </c>
      <c r="B1723" s="2">
        <v>45809</v>
      </c>
      <c r="C1723" s="10" t="s">
        <v>781</v>
      </c>
    </row>
    <row r="1724" spans="1:8" ht="129.6" hidden="1" x14ac:dyDescent="0.3">
      <c r="A1724" t="s">
        <v>201</v>
      </c>
      <c r="B1724" s="2">
        <v>45839</v>
      </c>
      <c r="C1724" s="10" t="s">
        <v>782</v>
      </c>
    </row>
    <row r="1725" spans="1:8" ht="129.6" hidden="1" x14ac:dyDescent="0.3">
      <c r="A1725" t="s">
        <v>201</v>
      </c>
      <c r="B1725" s="2">
        <v>45870</v>
      </c>
      <c r="C1725" s="10" t="s">
        <v>783</v>
      </c>
    </row>
    <row r="1726" spans="1:8" ht="100.8" hidden="1" x14ac:dyDescent="0.3">
      <c r="A1726" t="s">
        <v>201</v>
      </c>
      <c r="B1726" s="2">
        <v>45901</v>
      </c>
      <c r="C1726" s="10" t="s">
        <v>784</v>
      </c>
    </row>
    <row r="1727" spans="1:8" ht="100.8" hidden="1" x14ac:dyDescent="0.3">
      <c r="A1727" t="s">
        <v>201</v>
      </c>
      <c r="B1727" s="2">
        <v>45931</v>
      </c>
      <c r="C1727" s="10" t="s">
        <v>785</v>
      </c>
    </row>
    <row r="1728" spans="1:8" ht="115.2" hidden="1" x14ac:dyDescent="0.3">
      <c r="A1728" t="s">
        <v>201</v>
      </c>
      <c r="B1728" s="2">
        <v>45962</v>
      </c>
      <c r="C1728" s="10" t="s">
        <v>786</v>
      </c>
    </row>
    <row r="1729" spans="1:8" ht="28.8" hidden="1" x14ac:dyDescent="0.3">
      <c r="A1729" t="s">
        <v>201</v>
      </c>
      <c r="B1729" s="2">
        <v>45992</v>
      </c>
      <c r="C1729" s="10" t="s">
        <v>787</v>
      </c>
    </row>
    <row r="1730" spans="1:8" hidden="1" x14ac:dyDescent="0.3">
      <c r="A1730" t="s">
        <v>201</v>
      </c>
      <c r="B1730" s="2">
        <v>46023</v>
      </c>
      <c r="C1730" s="10" t="s">
        <v>338</v>
      </c>
    </row>
    <row r="1731" spans="1:8" hidden="1" x14ac:dyDescent="0.3">
      <c r="A1731" t="s">
        <v>201</v>
      </c>
      <c r="B1731" s="2">
        <v>46054</v>
      </c>
      <c r="C1731" s="10" t="s">
        <v>326</v>
      </c>
    </row>
    <row r="1732" spans="1:8" ht="28.8" hidden="1" x14ac:dyDescent="0.3">
      <c r="A1732" t="s">
        <v>201</v>
      </c>
      <c r="B1732" s="2">
        <v>46082</v>
      </c>
      <c r="C1732" s="10" t="s">
        <v>788</v>
      </c>
    </row>
    <row r="1733" spans="1:8" ht="28.8" hidden="1" x14ac:dyDescent="0.3">
      <c r="A1733" t="s">
        <v>201</v>
      </c>
      <c r="B1733" s="2">
        <v>46113</v>
      </c>
      <c r="C1733" s="10" t="s">
        <v>664</v>
      </c>
    </row>
    <row r="1734" spans="1:8" ht="28.8" hidden="1" x14ac:dyDescent="0.3">
      <c r="A1734" t="s">
        <v>201</v>
      </c>
      <c r="B1734" s="2">
        <v>46143</v>
      </c>
      <c r="C1734" s="10" t="s">
        <v>867</v>
      </c>
    </row>
    <row r="1735" spans="1:8" x14ac:dyDescent="0.3">
      <c r="A1735" t="s">
        <v>201</v>
      </c>
      <c r="B1735" s="2">
        <v>46235</v>
      </c>
      <c r="C1735" s="10" t="s">
        <v>896</v>
      </c>
      <c r="D1735">
        <v>0</v>
      </c>
      <c r="E1735" t="s">
        <v>33</v>
      </c>
      <c r="F1735" t="s">
        <v>33</v>
      </c>
      <c r="G1735" s="10" t="s">
        <v>932</v>
      </c>
      <c r="H1735" t="s">
        <v>36</v>
      </c>
    </row>
    <row r="1736" spans="1:8" hidden="1" x14ac:dyDescent="0.3">
      <c r="A1736" t="s">
        <v>201</v>
      </c>
      <c r="B1736" s="2">
        <v>46174</v>
      </c>
      <c r="C1736" s="10"/>
    </row>
    <row r="1737" spans="1:8" hidden="1" x14ac:dyDescent="0.3">
      <c r="A1737" t="s">
        <v>201</v>
      </c>
      <c r="B1737" s="2">
        <v>46204</v>
      </c>
      <c r="C1737" s="10">
        <v>31</v>
      </c>
      <c r="D1737">
        <v>0</v>
      </c>
      <c r="E1737" t="s">
        <v>33</v>
      </c>
      <c r="F1737" t="s">
        <v>33</v>
      </c>
      <c r="G1737" t="s">
        <v>932</v>
      </c>
      <c r="H1737" t="s">
        <v>36</v>
      </c>
    </row>
    <row r="1738" spans="1:8" hidden="1" x14ac:dyDescent="0.3">
      <c r="A1738" t="s">
        <v>211</v>
      </c>
      <c r="B1738" s="2">
        <v>45536</v>
      </c>
      <c r="C1738" s="10"/>
    </row>
    <row r="1739" spans="1:8" hidden="1" x14ac:dyDescent="0.3">
      <c r="A1739" t="s">
        <v>211</v>
      </c>
      <c r="B1739" s="2">
        <v>45566</v>
      </c>
      <c r="C1739" s="10"/>
    </row>
    <row r="1740" spans="1:8" hidden="1" x14ac:dyDescent="0.3">
      <c r="A1740" t="s">
        <v>211</v>
      </c>
      <c r="B1740" s="2">
        <v>45597</v>
      </c>
      <c r="C1740" s="10"/>
    </row>
    <row r="1741" spans="1:8" hidden="1" x14ac:dyDescent="0.3">
      <c r="A1741" t="s">
        <v>211</v>
      </c>
      <c r="B1741" s="2">
        <v>45627</v>
      </c>
      <c r="C1741" s="10"/>
    </row>
    <row r="1742" spans="1:8" hidden="1" x14ac:dyDescent="0.3">
      <c r="A1742" t="s">
        <v>211</v>
      </c>
      <c r="B1742" s="2">
        <v>45658</v>
      </c>
      <c r="C1742" s="10"/>
    </row>
    <row r="1743" spans="1:8" hidden="1" x14ac:dyDescent="0.3">
      <c r="A1743" t="s">
        <v>211</v>
      </c>
      <c r="B1743" s="2">
        <v>45689</v>
      </c>
      <c r="C1743" s="10"/>
    </row>
    <row r="1744" spans="1:8" hidden="1" x14ac:dyDescent="0.3">
      <c r="A1744" t="s">
        <v>211</v>
      </c>
      <c r="B1744" s="2">
        <v>45717</v>
      </c>
      <c r="C1744" s="10"/>
    </row>
    <row r="1745" spans="1:8" hidden="1" x14ac:dyDescent="0.3">
      <c r="A1745" t="s">
        <v>211</v>
      </c>
      <c r="B1745" s="2">
        <v>45748</v>
      </c>
      <c r="C1745" s="10"/>
    </row>
    <row r="1746" spans="1:8" hidden="1" x14ac:dyDescent="0.3">
      <c r="A1746" t="s">
        <v>211</v>
      </c>
      <c r="B1746" s="2">
        <v>45778</v>
      </c>
      <c r="C1746" s="10"/>
    </row>
    <row r="1747" spans="1:8" hidden="1" x14ac:dyDescent="0.3">
      <c r="A1747" t="s">
        <v>211</v>
      </c>
      <c r="B1747" s="2">
        <v>45809</v>
      </c>
      <c r="C1747" s="10"/>
    </row>
    <row r="1748" spans="1:8" hidden="1" x14ac:dyDescent="0.3">
      <c r="A1748" t="s">
        <v>211</v>
      </c>
      <c r="B1748" s="2">
        <v>45839</v>
      </c>
      <c r="C1748" s="10"/>
    </row>
    <row r="1749" spans="1:8" hidden="1" x14ac:dyDescent="0.3">
      <c r="A1749" t="s">
        <v>211</v>
      </c>
      <c r="B1749" s="2">
        <v>45870</v>
      </c>
      <c r="C1749" s="10"/>
    </row>
    <row r="1750" spans="1:8" ht="72" hidden="1" x14ac:dyDescent="0.3">
      <c r="A1750" t="s">
        <v>211</v>
      </c>
      <c r="B1750" s="2">
        <v>45901</v>
      </c>
      <c r="C1750" s="10" t="s">
        <v>789</v>
      </c>
    </row>
    <row r="1751" spans="1:8" ht="72" hidden="1" x14ac:dyDescent="0.3">
      <c r="A1751" t="s">
        <v>211</v>
      </c>
      <c r="B1751" s="2">
        <v>45931</v>
      </c>
      <c r="C1751" s="10" t="s">
        <v>790</v>
      </c>
    </row>
    <row r="1752" spans="1:8" ht="72" hidden="1" x14ac:dyDescent="0.3">
      <c r="A1752" t="s">
        <v>211</v>
      </c>
      <c r="B1752" s="2">
        <v>45962</v>
      </c>
      <c r="C1752" s="10" t="s">
        <v>791</v>
      </c>
    </row>
    <row r="1753" spans="1:8" ht="28.8" hidden="1" x14ac:dyDescent="0.3">
      <c r="A1753" t="s">
        <v>211</v>
      </c>
      <c r="B1753" s="2">
        <v>45992</v>
      </c>
      <c r="C1753" s="10" t="s">
        <v>792</v>
      </c>
    </row>
    <row r="1754" spans="1:8" hidden="1" x14ac:dyDescent="0.3">
      <c r="A1754" t="s">
        <v>211</v>
      </c>
      <c r="B1754" s="2">
        <v>46023</v>
      </c>
      <c r="C1754" s="10" t="s">
        <v>338</v>
      </c>
    </row>
    <row r="1755" spans="1:8" ht="28.8" hidden="1" x14ac:dyDescent="0.3">
      <c r="A1755" t="s">
        <v>211</v>
      </c>
      <c r="B1755" s="2">
        <v>46054</v>
      </c>
      <c r="C1755" s="10" t="s">
        <v>301</v>
      </c>
    </row>
    <row r="1756" spans="1:8" hidden="1" x14ac:dyDescent="0.3">
      <c r="A1756" t="s">
        <v>211</v>
      </c>
      <c r="B1756" s="2">
        <v>46082</v>
      </c>
      <c r="C1756" s="10" t="s">
        <v>598</v>
      </c>
    </row>
    <row r="1757" spans="1:8" ht="28.8" hidden="1" x14ac:dyDescent="0.3">
      <c r="A1757" t="s">
        <v>211</v>
      </c>
      <c r="B1757" s="2">
        <v>46113</v>
      </c>
      <c r="C1757" s="10" t="s">
        <v>793</v>
      </c>
    </row>
    <row r="1758" spans="1:8" hidden="1" x14ac:dyDescent="0.3">
      <c r="A1758" t="s">
        <v>211</v>
      </c>
      <c r="B1758" s="2">
        <v>46143</v>
      </c>
      <c r="C1758" s="10" t="s">
        <v>852</v>
      </c>
    </row>
    <row r="1759" spans="1:8" x14ac:dyDescent="0.3">
      <c r="A1759" t="s">
        <v>211</v>
      </c>
      <c r="B1759" s="2">
        <v>46235</v>
      </c>
      <c r="C1759" s="10" t="s">
        <v>896</v>
      </c>
      <c r="D1759">
        <v>0</v>
      </c>
      <c r="E1759" t="s">
        <v>33</v>
      </c>
      <c r="F1759" t="s">
        <v>33</v>
      </c>
      <c r="G1759" s="10" t="s">
        <v>932</v>
      </c>
      <c r="H1759" t="s">
        <v>36</v>
      </c>
    </row>
    <row r="1760" spans="1:8" hidden="1" x14ac:dyDescent="0.3">
      <c r="A1760" t="s">
        <v>211</v>
      </c>
      <c r="B1760" s="2">
        <v>46174</v>
      </c>
      <c r="C1760" s="10"/>
    </row>
    <row r="1761" spans="1:8" hidden="1" x14ac:dyDescent="0.3">
      <c r="A1761" t="s">
        <v>211</v>
      </c>
      <c r="B1761" s="2">
        <v>46204</v>
      </c>
      <c r="C1761" s="10">
        <v>23</v>
      </c>
      <c r="D1761" t="s">
        <v>1059</v>
      </c>
      <c r="E1761" t="s">
        <v>1008</v>
      </c>
      <c r="F1761" t="s">
        <v>33</v>
      </c>
      <c r="G1761" t="s">
        <v>1060</v>
      </c>
      <c r="H1761" t="s">
        <v>36</v>
      </c>
    </row>
    <row r="1762" spans="1:8" hidden="1" x14ac:dyDescent="0.3">
      <c r="A1762" t="s">
        <v>1004</v>
      </c>
      <c r="B1762" s="2">
        <v>46204</v>
      </c>
      <c r="C1762">
        <v>31</v>
      </c>
      <c r="D1762">
        <v>0</v>
      </c>
      <c r="E1762" t="s">
        <v>33</v>
      </c>
      <c r="F1762" t="s">
        <v>33</v>
      </c>
      <c r="G1762" t="s">
        <v>993</v>
      </c>
      <c r="H1762" t="s">
        <v>36</v>
      </c>
    </row>
    <row r="1763" spans="1:8" hidden="1" x14ac:dyDescent="0.3">
      <c r="A1763" t="s">
        <v>202</v>
      </c>
      <c r="B1763" s="2">
        <v>45536</v>
      </c>
      <c r="C1763" s="10"/>
    </row>
    <row r="1764" spans="1:8" hidden="1" x14ac:dyDescent="0.3">
      <c r="A1764" t="s">
        <v>202</v>
      </c>
      <c r="B1764" s="2">
        <v>45566</v>
      </c>
      <c r="C1764" s="10"/>
    </row>
    <row r="1765" spans="1:8" hidden="1" x14ac:dyDescent="0.3">
      <c r="A1765" t="s">
        <v>202</v>
      </c>
      <c r="B1765" s="2">
        <v>45597</v>
      </c>
      <c r="C1765" s="10"/>
    </row>
    <row r="1766" spans="1:8" hidden="1" x14ac:dyDescent="0.3">
      <c r="A1766" t="s">
        <v>202</v>
      </c>
      <c r="B1766" s="2">
        <v>45627</v>
      </c>
      <c r="C1766" s="10"/>
    </row>
    <row r="1767" spans="1:8" hidden="1" x14ac:dyDescent="0.3">
      <c r="A1767" t="s">
        <v>202</v>
      </c>
      <c r="B1767" s="2">
        <v>45658</v>
      </c>
      <c r="C1767" s="10"/>
    </row>
    <row r="1768" spans="1:8" ht="86.4" hidden="1" x14ac:dyDescent="0.3">
      <c r="A1768" t="s">
        <v>202</v>
      </c>
      <c r="B1768" s="2">
        <v>45689</v>
      </c>
      <c r="C1768" s="10" t="s">
        <v>794</v>
      </c>
    </row>
    <row r="1769" spans="1:8" ht="144" hidden="1" x14ac:dyDescent="0.3">
      <c r="A1769" t="s">
        <v>202</v>
      </c>
      <c r="B1769" s="2">
        <v>45717</v>
      </c>
      <c r="C1769" s="10" t="s">
        <v>795</v>
      </c>
    </row>
    <row r="1770" spans="1:8" ht="100.8" hidden="1" x14ac:dyDescent="0.3">
      <c r="A1770" t="s">
        <v>202</v>
      </c>
      <c r="B1770" s="2">
        <v>45748</v>
      </c>
      <c r="C1770" s="10" t="s">
        <v>796</v>
      </c>
    </row>
    <row r="1771" spans="1:8" ht="100.8" hidden="1" x14ac:dyDescent="0.3">
      <c r="A1771" t="s">
        <v>202</v>
      </c>
      <c r="B1771" s="2">
        <v>45778</v>
      </c>
      <c r="C1771" s="10" t="s">
        <v>797</v>
      </c>
    </row>
    <row r="1772" spans="1:8" ht="100.8" hidden="1" x14ac:dyDescent="0.3">
      <c r="A1772" t="s">
        <v>202</v>
      </c>
      <c r="B1772" s="2">
        <v>45809</v>
      </c>
      <c r="C1772" s="10" t="s">
        <v>798</v>
      </c>
    </row>
    <row r="1773" spans="1:8" hidden="1" x14ac:dyDescent="0.3">
      <c r="A1773" t="s">
        <v>202</v>
      </c>
      <c r="B1773" s="2">
        <v>45839</v>
      </c>
      <c r="C1773" t="s">
        <v>911</v>
      </c>
      <c r="D1773">
        <v>0</v>
      </c>
      <c r="E1773" t="s">
        <v>33</v>
      </c>
      <c r="F1773" t="s">
        <v>33</v>
      </c>
      <c r="G1773" s="10" t="s">
        <v>943</v>
      </c>
      <c r="H1773" t="s">
        <v>36</v>
      </c>
    </row>
    <row r="1774" spans="1:8" hidden="1" x14ac:dyDescent="0.3">
      <c r="A1774" t="s">
        <v>202</v>
      </c>
      <c r="B1774" s="2">
        <v>45870</v>
      </c>
      <c r="C1774" t="s">
        <v>911</v>
      </c>
      <c r="D1774">
        <v>0</v>
      </c>
      <c r="E1774" t="s">
        <v>33</v>
      </c>
      <c r="F1774" t="s">
        <v>33</v>
      </c>
      <c r="G1774" s="10" t="s">
        <v>943</v>
      </c>
      <c r="H1774" t="s">
        <v>36</v>
      </c>
    </row>
    <row r="1775" spans="1:8" hidden="1" x14ac:dyDescent="0.3">
      <c r="A1775" t="s">
        <v>202</v>
      </c>
      <c r="B1775" s="2">
        <v>45901</v>
      </c>
      <c r="C1775" t="s">
        <v>919</v>
      </c>
      <c r="D1775">
        <v>0</v>
      </c>
      <c r="E1775" t="s">
        <v>33</v>
      </c>
      <c r="F1775" t="s">
        <v>944</v>
      </c>
      <c r="G1775" s="10" t="s">
        <v>943</v>
      </c>
      <c r="H1775" t="s">
        <v>36</v>
      </c>
    </row>
    <row r="1776" spans="1:8" hidden="1" x14ac:dyDescent="0.3">
      <c r="A1776" t="s">
        <v>202</v>
      </c>
      <c r="B1776" s="2">
        <v>45931</v>
      </c>
      <c r="C1776" t="s">
        <v>911</v>
      </c>
      <c r="D1776">
        <v>0</v>
      </c>
      <c r="E1776" t="s">
        <v>33</v>
      </c>
      <c r="F1776" t="s">
        <v>33</v>
      </c>
      <c r="G1776" s="10" t="s">
        <v>932</v>
      </c>
      <c r="H1776" t="s">
        <v>36</v>
      </c>
    </row>
    <row r="1777" spans="1:8" hidden="1" x14ac:dyDescent="0.3">
      <c r="A1777" t="s">
        <v>202</v>
      </c>
      <c r="B1777" s="2">
        <v>45962</v>
      </c>
      <c r="C1777" t="s">
        <v>919</v>
      </c>
      <c r="D1777">
        <v>0</v>
      </c>
      <c r="E1777" t="s">
        <v>33</v>
      </c>
      <c r="F1777" t="s">
        <v>33</v>
      </c>
      <c r="G1777" s="10" t="s">
        <v>943</v>
      </c>
      <c r="H1777" t="s">
        <v>36</v>
      </c>
    </row>
    <row r="1778" spans="1:8" hidden="1" x14ac:dyDescent="0.3">
      <c r="A1778" t="s">
        <v>202</v>
      </c>
      <c r="B1778" s="2">
        <v>45992</v>
      </c>
      <c r="C1778" t="s">
        <v>946</v>
      </c>
      <c r="D1778" t="s">
        <v>945</v>
      </c>
      <c r="E1778" t="s">
        <v>936</v>
      </c>
      <c r="F1778" t="s">
        <v>33</v>
      </c>
      <c r="G1778" s="10" t="s">
        <v>932</v>
      </c>
      <c r="H1778" t="s">
        <v>36</v>
      </c>
    </row>
    <row r="1779" spans="1:8" hidden="1" x14ac:dyDescent="0.3">
      <c r="A1779" t="s">
        <v>202</v>
      </c>
      <c r="B1779" s="2">
        <v>46023</v>
      </c>
      <c r="C1779" t="s">
        <v>895</v>
      </c>
      <c r="D1779" t="s">
        <v>947</v>
      </c>
      <c r="E1779" t="s">
        <v>936</v>
      </c>
      <c r="F1779" t="s">
        <v>33</v>
      </c>
      <c r="G1779" s="10" t="s">
        <v>932</v>
      </c>
      <c r="H1779" t="s">
        <v>36</v>
      </c>
    </row>
    <row r="1780" spans="1:8" hidden="1" x14ac:dyDescent="0.3">
      <c r="A1780" t="s">
        <v>202</v>
      </c>
      <c r="B1780" s="2">
        <v>46054</v>
      </c>
      <c r="C1780" t="s">
        <v>895</v>
      </c>
      <c r="D1780">
        <v>0</v>
      </c>
      <c r="E1780" t="s">
        <v>33</v>
      </c>
      <c r="F1780" t="s">
        <v>33</v>
      </c>
      <c r="G1780" s="10" t="s">
        <v>943</v>
      </c>
      <c r="H1780" t="s">
        <v>36</v>
      </c>
    </row>
    <row r="1781" spans="1:8" hidden="1" x14ac:dyDescent="0.3">
      <c r="A1781" t="s">
        <v>202</v>
      </c>
      <c r="B1781" s="2">
        <v>46082</v>
      </c>
      <c r="C1781" t="s">
        <v>911</v>
      </c>
      <c r="D1781">
        <v>0</v>
      </c>
      <c r="E1781" t="s">
        <v>33</v>
      </c>
      <c r="F1781" t="s">
        <v>33</v>
      </c>
      <c r="G1781" s="10" t="s">
        <v>932</v>
      </c>
      <c r="H1781" t="s">
        <v>36</v>
      </c>
    </row>
    <row r="1782" spans="1:8" hidden="1" x14ac:dyDescent="0.3">
      <c r="A1782" t="s">
        <v>202</v>
      </c>
      <c r="B1782" s="2">
        <v>46113</v>
      </c>
      <c r="C1782" t="s">
        <v>919</v>
      </c>
      <c r="D1782">
        <v>0</v>
      </c>
      <c r="E1782" t="s">
        <v>33</v>
      </c>
      <c r="F1782" t="s">
        <v>33</v>
      </c>
      <c r="G1782" s="10" t="s">
        <v>932</v>
      </c>
      <c r="H1782" t="s">
        <v>36</v>
      </c>
    </row>
    <row r="1783" spans="1:8" hidden="1" x14ac:dyDescent="0.3">
      <c r="A1783" t="s">
        <v>202</v>
      </c>
      <c r="B1783" s="2">
        <v>46143</v>
      </c>
      <c r="C1783" t="s">
        <v>911</v>
      </c>
      <c r="D1783">
        <v>0</v>
      </c>
      <c r="E1783" t="s">
        <v>33</v>
      </c>
      <c r="F1783" t="s">
        <v>33</v>
      </c>
      <c r="G1783" s="10" t="s">
        <v>943</v>
      </c>
      <c r="H1783" t="s">
        <v>36</v>
      </c>
    </row>
    <row r="1784" spans="1:8" x14ac:dyDescent="0.3">
      <c r="A1784" t="s">
        <v>202</v>
      </c>
      <c r="B1784" s="2">
        <v>46235</v>
      </c>
      <c r="C1784" s="10" t="s">
        <v>919</v>
      </c>
      <c r="D1784">
        <v>0</v>
      </c>
      <c r="E1784" t="s">
        <v>33</v>
      </c>
      <c r="F1784" t="s">
        <v>33</v>
      </c>
      <c r="G1784" t="s">
        <v>932</v>
      </c>
      <c r="H1784" t="s">
        <v>36</v>
      </c>
    </row>
    <row r="1785" spans="1:8" hidden="1" x14ac:dyDescent="0.3">
      <c r="A1785" t="s">
        <v>202</v>
      </c>
      <c r="B1785" s="2">
        <v>46174</v>
      </c>
      <c r="C1785" t="s">
        <v>919</v>
      </c>
      <c r="D1785">
        <v>0</v>
      </c>
      <c r="E1785" t="s">
        <v>33</v>
      </c>
      <c r="F1785" t="s">
        <v>33</v>
      </c>
      <c r="G1785" s="10" t="s">
        <v>943</v>
      </c>
      <c r="H1785" t="s">
        <v>36</v>
      </c>
    </row>
    <row r="1786" spans="1:8" hidden="1" x14ac:dyDescent="0.3">
      <c r="A1786" t="s">
        <v>202</v>
      </c>
      <c r="B1786" s="2">
        <v>46204</v>
      </c>
      <c r="C1786" s="10">
        <v>31</v>
      </c>
      <c r="D1786">
        <v>0</v>
      </c>
      <c r="E1786" t="s">
        <v>33</v>
      </c>
      <c r="F1786" t="s">
        <v>33</v>
      </c>
      <c r="G1786" t="s">
        <v>932</v>
      </c>
      <c r="H1786" t="s">
        <v>36</v>
      </c>
    </row>
    <row r="1787" spans="1:8" hidden="1" x14ac:dyDescent="0.3">
      <c r="A1787" t="s">
        <v>206</v>
      </c>
      <c r="B1787" s="2">
        <v>45536</v>
      </c>
      <c r="C1787" s="10"/>
    </row>
    <row r="1788" spans="1:8" hidden="1" x14ac:dyDescent="0.3">
      <c r="A1788" t="s">
        <v>206</v>
      </c>
      <c r="B1788" s="2">
        <v>45566</v>
      </c>
      <c r="C1788" s="10"/>
    </row>
    <row r="1789" spans="1:8" hidden="1" x14ac:dyDescent="0.3">
      <c r="A1789" t="s">
        <v>206</v>
      </c>
      <c r="B1789" s="2">
        <v>45597</v>
      </c>
      <c r="C1789" s="10"/>
    </row>
    <row r="1790" spans="1:8" hidden="1" x14ac:dyDescent="0.3">
      <c r="A1790" t="s">
        <v>206</v>
      </c>
      <c r="B1790" s="2">
        <v>45627</v>
      </c>
      <c r="C1790" s="10"/>
    </row>
    <row r="1791" spans="1:8" hidden="1" x14ac:dyDescent="0.3">
      <c r="A1791" t="s">
        <v>206</v>
      </c>
      <c r="B1791" s="2">
        <v>45658</v>
      </c>
      <c r="C1791" s="10"/>
    </row>
    <row r="1792" spans="1:8" hidden="1" x14ac:dyDescent="0.3">
      <c r="A1792" t="s">
        <v>206</v>
      </c>
      <c r="B1792" s="2">
        <v>45689</v>
      </c>
      <c r="C1792" s="10" t="s">
        <v>799</v>
      </c>
    </row>
    <row r="1793" spans="1:8" hidden="1" x14ac:dyDescent="0.3">
      <c r="A1793" t="s">
        <v>206</v>
      </c>
      <c r="B1793" s="2">
        <v>45717</v>
      </c>
      <c r="C1793" s="10" t="s">
        <v>799</v>
      </c>
    </row>
    <row r="1794" spans="1:8" hidden="1" x14ac:dyDescent="0.3">
      <c r="A1794" t="s">
        <v>206</v>
      </c>
      <c r="B1794" s="2">
        <v>45748</v>
      </c>
      <c r="C1794" s="10" t="s">
        <v>799</v>
      </c>
    </row>
    <row r="1795" spans="1:8" hidden="1" x14ac:dyDescent="0.3">
      <c r="A1795" t="s">
        <v>206</v>
      </c>
      <c r="B1795" s="2">
        <v>45778</v>
      </c>
      <c r="C1795" s="10" t="s">
        <v>799</v>
      </c>
    </row>
    <row r="1796" spans="1:8" hidden="1" x14ac:dyDescent="0.3">
      <c r="A1796" t="s">
        <v>206</v>
      </c>
      <c r="B1796" s="2">
        <v>45809</v>
      </c>
      <c r="C1796" s="10" t="s">
        <v>799</v>
      </c>
    </row>
    <row r="1797" spans="1:8" hidden="1" x14ac:dyDescent="0.3">
      <c r="A1797" t="s">
        <v>206</v>
      </c>
      <c r="B1797" s="2">
        <v>45839</v>
      </c>
      <c r="C1797" s="10" t="s">
        <v>799</v>
      </c>
    </row>
    <row r="1798" spans="1:8" hidden="1" x14ac:dyDescent="0.3">
      <c r="A1798" t="s">
        <v>206</v>
      </c>
      <c r="B1798" s="2">
        <v>45870</v>
      </c>
      <c r="C1798" s="10"/>
    </row>
    <row r="1799" spans="1:8" hidden="1" x14ac:dyDescent="0.3">
      <c r="A1799" t="s">
        <v>206</v>
      </c>
      <c r="B1799" s="2">
        <v>45901</v>
      </c>
      <c r="C1799" s="10"/>
    </row>
    <row r="1800" spans="1:8" hidden="1" x14ac:dyDescent="0.3">
      <c r="A1800" t="s">
        <v>206</v>
      </c>
      <c r="B1800" s="2">
        <v>45931</v>
      </c>
      <c r="C1800" s="10"/>
    </row>
    <row r="1801" spans="1:8" hidden="1" x14ac:dyDescent="0.3">
      <c r="A1801" t="s">
        <v>206</v>
      </c>
      <c r="B1801" s="2">
        <v>45962</v>
      </c>
      <c r="C1801" s="10"/>
    </row>
    <row r="1802" spans="1:8" hidden="1" x14ac:dyDescent="0.3">
      <c r="A1802" t="s">
        <v>206</v>
      </c>
      <c r="B1802" s="2">
        <v>45992</v>
      </c>
      <c r="C1802" s="10"/>
    </row>
    <row r="1803" spans="1:8" hidden="1" x14ac:dyDescent="0.3">
      <c r="A1803" t="s">
        <v>206</v>
      </c>
      <c r="B1803" s="2">
        <v>46023</v>
      </c>
      <c r="C1803" s="10"/>
    </row>
    <row r="1804" spans="1:8" hidden="1" x14ac:dyDescent="0.3">
      <c r="A1804" t="s">
        <v>206</v>
      </c>
      <c r="B1804" s="2">
        <v>46054</v>
      </c>
      <c r="C1804" s="10"/>
    </row>
    <row r="1805" spans="1:8" hidden="1" x14ac:dyDescent="0.3">
      <c r="A1805" t="s">
        <v>206</v>
      </c>
      <c r="B1805" s="2">
        <v>46082</v>
      </c>
      <c r="C1805" s="10" t="s">
        <v>36</v>
      </c>
    </row>
    <row r="1806" spans="1:8" hidden="1" x14ac:dyDescent="0.3">
      <c r="A1806" t="s">
        <v>206</v>
      </c>
      <c r="B1806" s="2">
        <v>46113</v>
      </c>
      <c r="C1806" s="10" t="s">
        <v>36</v>
      </c>
    </row>
    <row r="1807" spans="1:8" hidden="1" x14ac:dyDescent="0.3">
      <c r="A1807" t="s">
        <v>206</v>
      </c>
      <c r="B1807" s="2">
        <v>46143</v>
      </c>
      <c r="C1807" s="10" t="s">
        <v>863</v>
      </c>
    </row>
    <row r="1808" spans="1:8" x14ac:dyDescent="0.3">
      <c r="A1808" t="s">
        <v>206</v>
      </c>
      <c r="B1808" s="2">
        <v>46235</v>
      </c>
      <c r="C1808" s="10" t="s">
        <v>36</v>
      </c>
      <c r="D1808" s="10" t="s">
        <v>36</v>
      </c>
      <c r="E1808" s="10" t="s">
        <v>36</v>
      </c>
      <c r="F1808" s="10" t="s">
        <v>36</v>
      </c>
      <c r="G1808" s="10" t="s">
        <v>36</v>
      </c>
      <c r="H1808" s="10" t="s">
        <v>36</v>
      </c>
    </row>
    <row r="1809" spans="1:8" hidden="1" x14ac:dyDescent="0.3">
      <c r="A1809" t="s">
        <v>206</v>
      </c>
      <c r="B1809" s="2">
        <v>46174</v>
      </c>
      <c r="C1809" s="10" t="s">
        <v>36</v>
      </c>
      <c r="D1809" s="10" t="s">
        <v>36</v>
      </c>
      <c r="E1809" s="10" t="s">
        <v>36</v>
      </c>
      <c r="F1809" s="10" t="s">
        <v>36</v>
      </c>
      <c r="G1809" s="10" t="s">
        <v>36</v>
      </c>
      <c r="H1809" s="10" t="s">
        <v>36</v>
      </c>
    </row>
    <row r="1810" spans="1:8" hidden="1"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zoomScaleNormal="100" workbookViewId="0">
      <selection activeCell="F355" sqref="F355"/>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hidden="1"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7" ht="15" hidden="1" customHeight="1" x14ac:dyDescent="0.3">
      <c r="A33" t="s">
        <v>31</v>
      </c>
      <c r="B33" s="2">
        <v>46235</v>
      </c>
      <c r="C33" cm="1">
        <f t="array" ref="C33">IFERROR(IF(SUMPRODUCT((measured[Site Name]=A33)*(measured[Date]=B33)*ISNUMBER(measured[Measured Value (kWh)]))=0,"",SUMIFS(measured[Measured Value (kWh)],measured[Site Name],A33,measured[Date],B33)),"")</f>
        <v>1374</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f t="shared" si="2"/>
        <v>0.64909297052154191</v>
      </c>
      <c r="F33" t="str">
        <f t="shared" si="3"/>
        <v>Poor</v>
      </c>
      <c r="G33" t="s">
        <v>874</v>
      </c>
    </row>
    <row r="34" spans="1:7"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7"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7"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7"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7"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7"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7"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7"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7"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7"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7"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7"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7"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7"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7"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hidden="1"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hidden="1" customHeight="1" x14ac:dyDescent="0.3">
      <c r="A69" t="s">
        <v>43</v>
      </c>
      <c r="B69" s="2">
        <v>46235</v>
      </c>
      <c r="C69" cm="1">
        <f t="array" ref="C69">IFERROR(IF(SUMPRODUCT((measured[Site Name]=A69)*(measured[Date]=B69)*ISNUMBER(measured[Measured Value (kWh)]))=0,"",SUMIFS(measured[Measured Value (kWh)],measured[Site Name],A69,measured[Date],B69)),"")</f>
        <v>13435.047</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f t="shared" si="2"/>
        <v>0.72514612844298143</v>
      </c>
      <c r="F69" t="str">
        <f t="shared" si="3"/>
        <v>Moderate</v>
      </c>
      <c r="G69" t="s">
        <v>874</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hidden="1"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hidden="1" customHeight="1" x14ac:dyDescent="0.3">
      <c r="A105" t="s">
        <v>49</v>
      </c>
      <c r="B105" s="2">
        <v>46235</v>
      </c>
      <c r="C105" cm="1">
        <f t="array" ref="C105">IFERROR(IF(SUMPRODUCT((measured[Site Name]=A105)*(measured[Date]=B105)*ISNUMBER(measured[Measured Value (kWh)]))=0,"",SUMIFS(measured[Measured Value (kWh)],measured[Site Name],A105,measured[Date],B105)),"")</f>
        <v>2758</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f t="shared" si="4"/>
        <v>0.52536335409642454</v>
      </c>
      <c r="F105" t="str">
        <f t="shared" si="5"/>
        <v>Poor</v>
      </c>
      <c r="G105" t="s">
        <v>874</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hidden="1"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hidden="1" customHeight="1" x14ac:dyDescent="0.3">
      <c r="A141" t="s">
        <v>64</v>
      </c>
      <c r="B141" s="2">
        <v>46235</v>
      </c>
      <c r="C141" cm="1">
        <f t="array" ref="C141">IFERROR(IF(SUMPRODUCT((measured[Site Name]=A141)*(measured[Date]=B141)*ISNUMBER(measured[Measured Value (kWh)]))=0,"",SUMIFS(measured[Measured Value (kWh)],measured[Site Name],A141,measured[Date],B141)),"")</f>
        <v>3313</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f t="shared" si="4"/>
        <v>0.52066635234952063</v>
      </c>
      <c r="F141" t="str">
        <f t="shared" si="5"/>
        <v>Poor</v>
      </c>
      <c r="G141" t="s">
        <v>875</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hidden="1"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7" ht="15" hidden="1" customHeight="1" x14ac:dyDescent="0.3">
      <c r="A177" t="s">
        <v>55</v>
      </c>
      <c r="B177" s="2">
        <v>46235</v>
      </c>
      <c r="C177" cm="1">
        <f t="array" ref="C177">IFERROR(IF(SUMPRODUCT((measured[Site Name]=A177)*(measured[Date]=B177)*ISNUMBER(measured[Measured Value (kWh)]))=0,"",SUMIFS(measured[Measured Value (kWh)],measured[Site Name],A177,measured[Date],B177)),"")</f>
        <v>11244.861000000001</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f t="shared" si="6"/>
        <v>0.7325570759894855</v>
      </c>
      <c r="F177" t="str">
        <f t="shared" si="7"/>
        <v>Moderate</v>
      </c>
      <c r="G177" t="s">
        <v>874</v>
      </c>
    </row>
    <row r="178" spans="1:7"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7"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7"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7"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7"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7"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7"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7"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7"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7"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7"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7"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7"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7"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7"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hidden="1"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hidden="1" customHeight="1" x14ac:dyDescent="0.3">
      <c r="A213" t="s">
        <v>60</v>
      </c>
      <c r="B213" s="2">
        <v>46235</v>
      </c>
      <c r="C213" cm="1">
        <f t="array" ref="C213">IFERROR(IF(SUMPRODUCT((measured[Site Name]=A213)*(measured[Date]=B213)*ISNUMBER(measured[Measured Value (kWh)]))=0,"",SUMIFS(measured[Measured Value (kWh)],measured[Site Name],A213,measured[Date],B213)),"")</f>
        <v>44122.439100000003</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f t="shared" si="6"/>
        <v>0.91414203611426981</v>
      </c>
      <c r="F213" t="str">
        <f t="shared" si="7"/>
        <v>Expected</v>
      </c>
      <c r="G213" t="s">
        <v>874</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hidden="1"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hidden="1" customHeight="1" x14ac:dyDescent="0.3">
      <c r="A249" t="s">
        <v>61</v>
      </c>
      <c r="B249" s="2">
        <v>46235</v>
      </c>
      <c r="C249" cm="1">
        <f t="array" ref="C249">IFERROR(IF(SUMPRODUCT((measured[Site Name]=A249)*(measured[Date]=B249)*ISNUMBER(measured[Measured Value (kWh)]))=0,"",SUMIFS(measured[Measured Value (kWh)],measured[Site Name],A249,measured[Date],B249)),"")</f>
        <v>6385.91</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f t="shared" si="8"/>
        <v>0.91743671522569892</v>
      </c>
      <c r="F249" t="str">
        <f t="shared" si="9"/>
        <v>Expected</v>
      </c>
      <c r="G249" t="s">
        <v>874</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hidden="1"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hidden="1" customHeight="1" x14ac:dyDescent="0.3">
      <c r="A285" t="s">
        <v>66</v>
      </c>
      <c r="B285" s="2">
        <v>46235</v>
      </c>
      <c r="C285" cm="1">
        <f t="array" ref="C285">IFERROR(IF(SUMPRODUCT((measured[Site Name]=A285)*(measured[Date]=B285)*ISNUMBER(measured[Measured Value (kWh)]))=0,"",SUMIFS(measured[Measured Value (kWh)],measured[Site Name],A285,measured[Date],B285)),"")</f>
        <v>926</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f t="shared" si="8"/>
        <v>0.52494331065759636</v>
      </c>
      <c r="F285" t="str">
        <f t="shared" si="9"/>
        <v>Poor</v>
      </c>
      <c r="G285" t="s">
        <v>875</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hidden="1"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7" ht="15" hidden="1" customHeight="1" x14ac:dyDescent="0.3">
      <c r="A321" t="s">
        <v>71</v>
      </c>
      <c r="B321" s="2">
        <v>46235</v>
      </c>
      <c r="C321" cm="1">
        <f t="array" ref="C321">IFERROR(IF(SUMPRODUCT((measured[Site Name]=A321)*(measured[Date]=B321)*ISNUMBER(measured[Measured Value (kWh)]))=0,"",SUMIFS(measured[Measured Value (kWh)],measured[Site Name],A321,measured[Date],B321)),"")</f>
        <v>12651.55</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f t="shared" si="10"/>
        <v>0.73946753170845747</v>
      </c>
      <c r="F321" t="str">
        <f t="shared" si="11"/>
        <v>Moderate</v>
      </c>
      <c r="G321" t="s">
        <v>875</v>
      </c>
    </row>
    <row r="322" spans="1:7"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7"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7"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7"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7"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7"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7"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7"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7"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7"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7"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7"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7"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7"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7"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hidden="1"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hidden="1" customHeight="1" x14ac:dyDescent="0.3">
      <c r="A357" t="s">
        <v>77</v>
      </c>
      <c r="B357" s="2">
        <v>46235</v>
      </c>
      <c r="C357" cm="1">
        <f t="array" ref="C357">IFERROR(IF(SUMPRODUCT((measured[Site Name]=A357)*(measured[Date]=B357)*ISNUMBER(measured[Measured Value (kWh)]))=0,"",SUMIFS(measured[Measured Value (kWh)],measured[Site Name],A357,measured[Date],B357)),"")</f>
        <v>15825</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f t="shared" si="12"/>
        <v>0.95091305680240834</v>
      </c>
      <c r="F357" t="str">
        <f t="shared" si="13"/>
        <v>Expected</v>
      </c>
      <c r="G357" t="s">
        <v>874</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hidden="1"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hidden="1" customHeight="1" x14ac:dyDescent="0.3">
      <c r="A393" t="s">
        <v>80</v>
      </c>
      <c r="B393" s="2">
        <v>46235</v>
      </c>
      <c r="C393" cm="1">
        <f t="array" ref="C393">IFERROR(IF(SUMPRODUCT((measured[Site Name]=A393)*(measured[Date]=B393)*ISNUMBER(measured[Measured Value (kWh)]))=0,"",SUMIFS(measured[Measured Value (kWh)],measured[Site Name],A393,measured[Date],B393)),"")</f>
        <v>18200</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f t="shared" si="12"/>
        <v>1.0936251269386308</v>
      </c>
      <c r="F393" t="str">
        <f t="shared" si="13"/>
        <v>Expected</v>
      </c>
      <c r="G393" t="s">
        <v>874</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hidden="1"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hidden="1" customHeight="1" x14ac:dyDescent="0.3">
      <c r="A429" t="s">
        <v>81</v>
      </c>
      <c r="B429" s="2">
        <v>46235</v>
      </c>
      <c r="C429" cm="1">
        <f t="array" ref="C429">IFERROR(IF(SUMPRODUCT((measured[Site Name]=A429)*(measured[Date]=B429)*ISNUMBER(measured[Measured Value (kWh)]))=0,"",SUMIFS(measured[Measured Value (kWh)],measured[Site Name],A429,measured[Date],B429)),"")</f>
        <v>6595.107</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f t="shared" si="14"/>
        <v>1.0169159959293181</v>
      </c>
      <c r="F429" t="str">
        <f t="shared" si="15"/>
        <v>Expected</v>
      </c>
      <c r="G429" t="s">
        <v>874</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hidden="1"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7" ht="15" hidden="1" customHeight="1" x14ac:dyDescent="0.3">
      <c r="A465" t="s">
        <v>85</v>
      </c>
      <c r="B465" s="2">
        <v>46235</v>
      </c>
      <c r="C465" cm="1">
        <f t="array" ref="C465">IFERROR(IF(SUMPRODUCT((measured[Site Name]=A465)*(measured[Date]=B465)*ISNUMBER(measured[Measured Value (kWh)]))=0,"",SUMIFS(measured[Measured Value (kWh)],measured[Site Name],A465,measured[Date],B465)),"")</f>
        <v>4021</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f t="shared" si="14"/>
        <v>0.88174023638795684</v>
      </c>
      <c r="F465" t="str">
        <f t="shared" si="15"/>
        <v>Moderate</v>
      </c>
      <c r="G465" t="s">
        <v>874</v>
      </c>
    </row>
    <row r="466" spans="1:7"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7"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7"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7"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7"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7"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7"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7"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7"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7"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7"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7"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7"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7"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7"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hidden="1"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hidden="1" customHeight="1" x14ac:dyDescent="0.3">
      <c r="A501" t="s">
        <v>90</v>
      </c>
      <c r="B501" s="2">
        <v>46235</v>
      </c>
      <c r="C501" cm="1">
        <f t="array" ref="C501">IFERROR(IF(SUMPRODUCT((measured[Site Name]=A501)*(measured[Date]=B501)*ISNUMBER(measured[Measured Value (kWh)]))=0,"",SUMIFS(measured[Measured Value (kWh)],measured[Site Name],A501,measured[Date],B501)),"")</f>
        <v>4690</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f t="shared" si="16"/>
        <v>1.2159567751996672</v>
      </c>
      <c r="F501" t="str">
        <f t="shared" si="17"/>
        <v>Expected</v>
      </c>
      <c r="G501" t="s">
        <v>874</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hidden="1"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hidden="1"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c r="G537" t="s">
        <v>875</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hidden="1"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hidden="1" customHeight="1" x14ac:dyDescent="0.3">
      <c r="A573" t="s">
        <v>95</v>
      </c>
      <c r="B573" s="2">
        <v>46235</v>
      </c>
      <c r="C573" cm="1">
        <f t="array" ref="C573">IFERROR(IF(SUMPRODUCT((measured[Site Name]=A573)*(measured[Date]=B573)*ISNUMBER(measured[Measured Value (kWh)]))=0,"",SUMIFS(measured[Measured Value (kWh)],measured[Site Name],A573,measured[Date],B573)),"")</f>
        <v>14955</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f t="shared" si="18"/>
        <v>0.54767380540825594</v>
      </c>
      <c r="F573" t="str">
        <f t="shared" si="19"/>
        <v>Poor</v>
      </c>
      <c r="G573" t="s">
        <v>874</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hidden="1"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7" ht="15" hidden="1" customHeight="1" x14ac:dyDescent="0.3">
      <c r="A609" t="s">
        <v>239</v>
      </c>
      <c r="B609" s="2">
        <v>46235</v>
      </c>
      <c r="C609" cm="1">
        <f t="array" ref="C609">IFERROR(IF(SUMPRODUCT((measured[Site Name]=A609)*(measured[Date]=B609)*ISNUMBER(measured[Measured Value (kWh)]))=0,"",SUMIFS(measured[Measured Value (kWh)],measured[Site Name],A609,measured[Date],B609)),"")</f>
        <v>3368.28</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f t="shared" si="20"/>
        <v>1.3366190476190476</v>
      </c>
      <c r="F609" t="str">
        <f t="shared" si="21"/>
        <v>Expected</v>
      </c>
      <c r="G609" t="s">
        <v>874</v>
      </c>
    </row>
    <row r="610" spans="1:7"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7"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7"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7"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7"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7"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7"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7"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7"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7"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7"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7"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7"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7"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7"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hidden="1"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hidden="1" customHeight="1" x14ac:dyDescent="0.3">
      <c r="A645" t="s">
        <v>98</v>
      </c>
      <c r="B645" s="2">
        <v>46235</v>
      </c>
      <c r="C645" cm="1">
        <f t="array" ref="C645">IFERROR(IF(SUMPRODUCT((measured[Site Name]=A645)*(measured[Date]=B645)*ISNUMBER(measured[Measured Value (kWh)]))=0,"",SUMIFS(measured[Measured Value (kWh)],measured[Site Name],A645,measured[Date],B645)),"")</f>
        <v>4981</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f t="shared" si="20"/>
        <v>0.46024911295091664</v>
      </c>
      <c r="F645" t="str">
        <f t="shared" si="21"/>
        <v>Poor</v>
      </c>
      <c r="G645" t="s">
        <v>874</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hidden="1"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hidden="1" customHeight="1" x14ac:dyDescent="0.3">
      <c r="A681" t="s">
        <v>102</v>
      </c>
      <c r="B681" s="2">
        <v>46235</v>
      </c>
      <c r="C681" cm="1">
        <f t="array" ref="C681">IFERROR(IF(SUMPRODUCT((measured[Site Name]=A681)*(measured[Date]=B681)*ISNUMBER(measured[Measured Value (kWh)]))=0,"",SUMIFS(measured[Measured Value (kWh)],measured[Site Name],A681,measured[Date],B681)),"")</f>
        <v>5110</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f t="shared" si="22"/>
        <v>0.5834182486606212</v>
      </c>
      <c r="F681" t="str">
        <f t="shared" si="23"/>
        <v>Poor</v>
      </c>
      <c r="G681" t="s">
        <v>874</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hidden="1"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hidden="1" customHeight="1" x14ac:dyDescent="0.3">
      <c r="A717" t="s">
        <v>104</v>
      </c>
      <c r="B717" s="2">
        <v>46235</v>
      </c>
      <c r="C717" cm="1">
        <f t="array" ref="C717">IFERROR(IF(SUMPRODUCT((measured[Site Name]=A717)*(measured[Date]=B717)*ISNUMBER(measured[Measured Value (kWh)]))=0,"",SUMIFS(measured[Measured Value (kWh)],measured[Site Name],A717,measured[Date],B717)),"")</f>
        <v>1628</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f t="shared" si="22"/>
        <v>0.49355767773230258</v>
      </c>
      <c r="F717" t="str">
        <f t="shared" si="23"/>
        <v>Poor</v>
      </c>
      <c r="G717" t="s">
        <v>874</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hidden="1"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7" ht="15" hidden="1"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c r="G753" t="s">
        <v>874</v>
      </c>
    </row>
    <row r="754" spans="1:7"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7"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7"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7"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7"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7"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7"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7"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7"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7"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7"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7"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7"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7"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7"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hidden="1"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hidden="1"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hidden="1" customHeight="1" x14ac:dyDescent="0.3">
      <c r="A790" t="s">
        <v>228</v>
      </c>
      <c r="B790" s="2">
        <v>46235</v>
      </c>
      <c r="C790" cm="1">
        <f t="array" ref="C790">IFERROR(IF(SUMPRODUCT((measured[Site Name]=A790)*(measured[Date]=B790)*ISNUMBER(measured[Measured Value (kWh)]))=0,"",SUMIFS(measured[Measured Value (kWh)],measured[Site Name],A790,measured[Date],B790)),"")</f>
        <v>18070</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f t="shared" si="26"/>
        <v>0.63292912734940354</v>
      </c>
      <c r="F790" t="str">
        <f t="shared" si="27"/>
        <v>Poor</v>
      </c>
      <c r="G790" t="s">
        <v>874</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hidden="1"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hidden="1" customHeight="1" x14ac:dyDescent="0.3">
      <c r="A826" t="s">
        <v>109</v>
      </c>
      <c r="B826" s="2">
        <v>46235</v>
      </c>
      <c r="C826" cm="1">
        <f t="array" ref="C826">IFERROR(IF(SUMPRODUCT((measured[Site Name]=A826)*(measured[Date]=B826)*ISNUMBER(measured[Measured Value (kWh)]))=0,"",SUMIFS(measured[Measured Value (kWh)],measured[Site Name],A826,measured[Date],B826)),"")</f>
        <v>2805</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f t="shared" si="26"/>
        <v>0.79083143026304659</v>
      </c>
      <c r="F826" t="str">
        <f t="shared" si="27"/>
        <v>Moderate</v>
      </c>
      <c r="G826" t="s">
        <v>874</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hidden="1"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hidden="1" customHeight="1" x14ac:dyDescent="0.3">
      <c r="A862" t="s">
        <v>113</v>
      </c>
      <c r="B862" s="2">
        <v>46235</v>
      </c>
      <c r="C862" cm="1">
        <f t="array" ref="C862">IFERROR(IF(SUMPRODUCT((measured[Site Name]=A862)*(measured[Date]=B862)*ISNUMBER(measured[Measured Value (kWh)]))=0,"",SUMIFS(measured[Measured Value (kWh)],measured[Site Name],A862,measured[Date],B862)),"")</f>
        <v>20567</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f t="shared" si="28"/>
        <v>0.98469125163081861</v>
      </c>
      <c r="F862" t="str">
        <f t="shared" si="29"/>
        <v>Expected</v>
      </c>
      <c r="G862" t="s">
        <v>874</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7" ht="15" hidden="1" customHeight="1" x14ac:dyDescent="0.3">
      <c r="A897" t="s">
        <v>114</v>
      </c>
      <c r="B897" s="2">
        <v>46235</v>
      </c>
      <c r="C897" cm="1">
        <f t="array" ref="C897">IFERROR(IF(SUMPRODUCT((measured[Site Name]=A897)*(measured[Date]=B897)*ISNUMBER(measured[Measured Value (kWh)]))=0,"",SUMIFS(measured[Measured Value (kWh)],measured[Site Name],A897,measured[Date],B897)),"")</f>
        <v>23217</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f t="shared" si="30"/>
        <v>1.0472401520994872</v>
      </c>
      <c r="F897" t="str">
        <f t="shared" si="31"/>
        <v>Expected</v>
      </c>
      <c r="G897" t="s">
        <v>874</v>
      </c>
    </row>
    <row r="898" spans="1:7"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7"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7"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7"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7"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7"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7"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7"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7"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7"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7"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7"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7"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7"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7"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hidden="1"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hidden="1" customHeight="1" x14ac:dyDescent="0.3">
      <c r="A933" t="s">
        <v>117</v>
      </c>
      <c r="B933" s="2">
        <v>46235</v>
      </c>
      <c r="C933" cm="1">
        <f t="array" ref="C933">IFERROR(IF(SUMPRODUCT((measured[Site Name]=A933)*(measured[Date]=B933)*ISNUMBER(measured[Measured Value (kWh)]))=0,"",SUMIFS(measured[Measured Value (kWh)],measured[Site Name],A933,measured[Date],B933)),"")</f>
        <v>23941.67</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f t="shared" si="30"/>
        <v>0.88776424346923255</v>
      </c>
      <c r="F933" t="str">
        <f t="shared" si="31"/>
        <v>Moderate</v>
      </c>
      <c r="G933" t="s">
        <v>874</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hidden="1"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hidden="1" customHeight="1" x14ac:dyDescent="0.3">
      <c r="A969" t="s">
        <v>225</v>
      </c>
      <c r="B969" s="2">
        <v>46235</v>
      </c>
      <c r="C969" cm="1">
        <f t="array" ref="C969">IFERROR(IF(SUMPRODUCT((measured[Site Name]=A969)*(measured[Date]=B969)*ISNUMBER(measured[Measured Value (kWh)]))=0,"",SUMIFS(measured[Measured Value (kWh)],measured[Site Name],A969,measured[Date],B969)),"")</f>
        <v>7937</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f t="shared" si="32"/>
        <v>1.2052602007501556</v>
      </c>
      <c r="F969" t="str">
        <f t="shared" si="33"/>
        <v>Expected</v>
      </c>
      <c r="G969" t="s">
        <v>874</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hidden="1"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hidden="1" customHeight="1" x14ac:dyDescent="0.3">
      <c r="A1005" t="s">
        <v>223</v>
      </c>
      <c r="B1005" s="2">
        <v>46235</v>
      </c>
      <c r="C1005" cm="1">
        <f t="array" ref="C1005">IFERROR(IF(SUMPRODUCT((measured[Site Name]=A1005)*(measured[Date]=B1005)*ISNUMBER(measured[Measured Value (kWh)]))=0,"",SUMIFS(measured[Measured Value (kWh)],measured[Site Name],A1005,measured[Date],B1005)),"")</f>
        <v>5281</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f t="shared" si="32"/>
        <v>0.80193764900611963</v>
      </c>
      <c r="F1005" t="str">
        <f t="shared" si="33"/>
        <v>Moderate</v>
      </c>
      <c r="G1005" t="s">
        <v>874</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hidden="1"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7" ht="15" hidden="1" customHeight="1" x14ac:dyDescent="0.3">
      <c r="A1041" t="s">
        <v>120</v>
      </c>
      <c r="B1041" s="2">
        <v>46235</v>
      </c>
      <c r="C1041" cm="1">
        <f t="array" ref="C1041">IFERROR(IF(SUMPRODUCT((measured[Site Name]=A1041)*(measured[Date]=B1041)*ISNUMBER(measured[Measured Value (kWh)]))=0,"",SUMIFS(measured[Measured Value (kWh)],measured[Site Name],A1041,measured[Date],B1041)),"")</f>
        <v>8388.6688799999993</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f t="shared" si="34"/>
        <v>0.83910183651422388</v>
      </c>
      <c r="F1041" t="str">
        <f t="shared" si="35"/>
        <v>Moderate</v>
      </c>
      <c r="G1041" t="s">
        <v>874</v>
      </c>
    </row>
    <row r="1042" spans="1:7"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7"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7"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7"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7"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16602.939455286778</v>
      </c>
      <c r="E1046" s="9" t="str">
        <f t="shared" si="34"/>
        <v/>
      </c>
      <c r="F1046" t="str">
        <f t="shared" si="35"/>
        <v/>
      </c>
    </row>
    <row r="1047" spans="1:7"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14966.051031447027</v>
      </c>
      <c r="E1047" s="9" t="str">
        <f t="shared" si="34"/>
        <v/>
      </c>
      <c r="F1047" t="str">
        <f t="shared" si="35"/>
        <v/>
      </c>
    </row>
    <row r="1048" spans="1:7"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16335.485545927229</v>
      </c>
      <c r="E1048" s="9" t="str">
        <f t="shared" si="34"/>
        <v/>
      </c>
      <c r="F1048" t="str">
        <f t="shared" si="35"/>
        <v/>
      </c>
    </row>
    <row r="1049" spans="1:7"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15100.35078692115</v>
      </c>
      <c r="E1049" s="9" t="str">
        <f t="shared" si="34"/>
        <v/>
      </c>
      <c r="F1049" t="str">
        <f t="shared" si="35"/>
        <v/>
      </c>
    </row>
    <row r="1050" spans="1:7"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15271.045423635958</v>
      </c>
      <c r="E1050" s="9" t="str">
        <f t="shared" si="34"/>
        <v/>
      </c>
      <c r="F1050" t="str">
        <f t="shared" si="35"/>
        <v/>
      </c>
    </row>
    <row r="1051" spans="1:7"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14168.00734012575</v>
      </c>
      <c r="E1051" s="9" t="str">
        <f t="shared" si="34"/>
        <v/>
      </c>
      <c r="F1051" t="str">
        <f t="shared" si="35"/>
        <v/>
      </c>
    </row>
    <row r="1052" spans="1:7"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15171.289962220802</v>
      </c>
      <c r="E1052" s="9" t="str">
        <f t="shared" si="34"/>
        <v/>
      </c>
      <c r="F1052" t="str">
        <f t="shared" si="35"/>
        <v/>
      </c>
    </row>
    <row r="1053" spans="1:7"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16365.447433631431</v>
      </c>
      <c r="E1053" s="9" t="str">
        <f t="shared" si="34"/>
        <v/>
      </c>
      <c r="F1053" t="str">
        <f t="shared" si="35"/>
        <v/>
      </c>
    </row>
    <row r="1054" spans="1:7"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16283.93347443618</v>
      </c>
      <c r="E1054" s="9" t="str">
        <f t="shared" si="34"/>
        <v/>
      </c>
      <c r="F1054" t="str">
        <f t="shared" si="35"/>
        <v/>
      </c>
    </row>
    <row r="1055" spans="1:7"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15891.080252714639</v>
      </c>
      <c r="E1055" s="9" t="str">
        <f t="shared" si="34"/>
        <v/>
      </c>
      <c r="F1055" t="str">
        <f t="shared" si="35"/>
        <v/>
      </c>
    </row>
    <row r="1056" spans="1:7"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15343.218323723426</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16261.638305056289</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16602.939455286778</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14966.051031447027</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16335.485545927229</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15100.35078692115</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15271.045423635958</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14168.00734012575</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15171.289962220802</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16365.447433631431</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16283.93347443618</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15891.080252714639</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15343.218323723426</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16261.638305056289</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16602.939455286778</v>
      </c>
      <c r="E1070" s="9">
        <f t="shared" si="34"/>
        <v>0.8067246186177609</v>
      </c>
      <c r="F1070" t="str">
        <f t="shared" si="35"/>
        <v>Moderate</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14966.051031447027</v>
      </c>
      <c r="E1071" s="9">
        <f t="shared" si="34"/>
        <v>1.0734294548537777</v>
      </c>
      <c r="F1071" t="str">
        <f t="shared" si="35"/>
        <v>Expected</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16335.485545927229</v>
      </c>
      <c r="E1072" s="9">
        <f t="shared" si="34"/>
        <v>4.4871638369068982E-2</v>
      </c>
      <c r="F1072" t="str">
        <f t="shared" si="35"/>
        <v>Poor</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15100.35078692115</v>
      </c>
      <c r="E1073" s="9">
        <f t="shared" si="34"/>
        <v>0.31772109586721831</v>
      </c>
      <c r="F1073" t="str">
        <f t="shared" si="35"/>
        <v>Poor</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15271.045423635958</v>
      </c>
      <c r="E1074" s="9">
        <f t="shared" si="34"/>
        <v>0.3909404912619634</v>
      </c>
      <c r="F1074" t="str">
        <f t="shared" si="35"/>
        <v>Poor</v>
      </c>
    </row>
    <row r="1075" spans="1:7" ht="15"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14168.00734012575</v>
      </c>
      <c r="E1075" s="9">
        <f t="shared" si="34"/>
        <v>0.35717090473748198</v>
      </c>
      <c r="F1075" t="str">
        <f t="shared" si="35"/>
        <v>Poor</v>
      </c>
    </row>
    <row r="1076" spans="1:7" ht="15" hidden="1"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hidden="1" customHeight="1" x14ac:dyDescent="0.3">
      <c r="A1077" t="s">
        <v>236</v>
      </c>
      <c r="B1077" s="2">
        <v>46235</v>
      </c>
      <c r="C1077" cm="1">
        <f t="array" ref="C1077">IFERROR(IF(SUMPRODUCT((measured[Site Name]=A1077)*(measured[Date]=B1077)*ISNUMBER(measured[Measured Value (kWh)]))=0,"",SUMIFS(measured[Measured Value (kWh)],measured[Site Name],A1077,measured[Date],B1077)),"")</f>
        <v>7086.5030999999999</v>
      </c>
      <c r="D1077" cm="1">
        <f t="array" ref="D1077">IFERROR(IF(SUMPRODUCT((expected_production[Site Name]=A1077)*(expected_production[Date]=B1077)*ISNUMBER(expected_production[Expected Production (kWh)]))=0,"",SUMIFS(expected_production[Expected Production (kWh)],expected_production[Site Name],A1077,expected_production[Date],B1077)),"")</f>
        <v>16365.447433631431</v>
      </c>
      <c r="E1077" s="9">
        <f t="shared" si="34"/>
        <v>0.4330161536211376</v>
      </c>
      <c r="F1077" t="str">
        <f t="shared" si="35"/>
        <v>Poor</v>
      </c>
      <c r="G1077" t="s">
        <v>874</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16283.93347443618</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15891.080252714639</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15343.218323723426</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16261.638305056289</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hidden="1"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hidden="1" customHeight="1" x14ac:dyDescent="0.3">
      <c r="A1113" t="s">
        <v>122</v>
      </c>
      <c r="B1113" s="2">
        <v>46235</v>
      </c>
      <c r="C1113" cm="1">
        <f t="array" ref="C1113">IFERROR(IF(SUMPRODUCT((measured[Site Name]=A1113)*(measured[Date]=B1113)*ISNUMBER(measured[Measured Value (kWh)]))=0,"",SUMIFS(measured[Measured Value (kWh)],measured[Site Name],A1113,measured[Date],B1113)),"")</f>
        <v>15549.0352</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f t="shared" si="36"/>
        <v>1.006390503744264</v>
      </c>
      <c r="F1113" t="str">
        <f t="shared" si="37"/>
        <v>Expected</v>
      </c>
      <c r="G1113" t="s">
        <v>874</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hidden="1"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hidden="1" customHeight="1" x14ac:dyDescent="0.3">
      <c r="A1149" t="s">
        <v>124</v>
      </c>
      <c r="B1149" s="2">
        <v>46235</v>
      </c>
      <c r="C1149" cm="1">
        <f t="array" ref="C1149">IFERROR(IF(SUMPRODUCT((measured[Site Name]=A1149)*(measured[Date]=B1149)*ISNUMBER(measured[Measured Value (kWh)]))=0,"",SUMIFS(measured[Measured Value (kWh)],measured[Site Name],A1149,measured[Date],B1149)),"")</f>
        <v>49938.125</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f t="shared" si="38"/>
        <v>1.0270928007223239</v>
      </c>
      <c r="F1149" t="str">
        <f t="shared" si="39"/>
        <v>Expected</v>
      </c>
      <c r="G1149" t="s">
        <v>874</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hidden="1"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15171.289962220802</v>
      </c>
      <c r="E1184" s="9">
        <f t="shared" si="38"/>
        <v>0.39616955545421434</v>
      </c>
      <c r="F1184" t="str">
        <f t="shared" si="39"/>
        <v>Poor</v>
      </c>
      <c r="G1184" t="s">
        <v>874</v>
      </c>
    </row>
    <row r="1185" spans="1:7" ht="15" hidden="1" customHeight="1" x14ac:dyDescent="0.3">
      <c r="A1185" t="s">
        <v>127</v>
      </c>
      <c r="B1185" s="2">
        <v>46235</v>
      </c>
      <c r="C1185" cm="1">
        <f t="array" ref="C1185">IFERROR(IF(SUMPRODUCT((measured[Site Name]=A1185)*(measured[Date]=B1185)*ISNUMBER(measured[Measured Value (kWh)]))=0,"",SUMIFS(measured[Measured Value (kWh)],measured[Site Name],A1185,measured[Date],B1185)),"")</f>
        <v>14728.02</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f t="shared" si="38"/>
        <v>0.94330566443778341</v>
      </c>
      <c r="F1185" t="str">
        <f t="shared" si="39"/>
        <v>Expected</v>
      </c>
      <c r="G1185" t="s">
        <v>874</v>
      </c>
    </row>
    <row r="1186" spans="1:7"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7"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7"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7"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7"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7"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7"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7"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7"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7"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7"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7"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7"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7"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7"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hidden="1"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hidden="1" customHeight="1" x14ac:dyDescent="0.3">
      <c r="A1221" t="s">
        <v>234</v>
      </c>
      <c r="B1221" s="2">
        <v>46235</v>
      </c>
      <c r="C1221" cm="1">
        <f t="array" ref="C1221">IFERROR(IF(SUMPRODUCT((measured[Site Name]=A1221)*(measured[Date]=B1221)*ISNUMBER(measured[Measured Value (kWh)]))=0,"",SUMIFS(measured[Measured Value (kWh)],measured[Site Name],A1221,measured[Date],B1221)),"")</f>
        <v>26558.07</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f t="shared" si="40"/>
        <v>1.0405136342266101</v>
      </c>
      <c r="F1221" t="str">
        <f t="shared" si="41"/>
        <v>Expected</v>
      </c>
      <c r="G1221" t="s">
        <v>874</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hidden="1"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hidden="1" customHeight="1" x14ac:dyDescent="0.3">
      <c r="A1257" t="s">
        <v>131</v>
      </c>
      <c r="B1257" s="2">
        <v>46235</v>
      </c>
      <c r="C1257" cm="1">
        <f t="array" ref="C1257">IFERROR(IF(SUMPRODUCT((measured[Site Name]=A1257)*(measured[Date]=B1257)*ISNUMBER(measured[Measured Value (kWh)]))=0,"",SUMIFS(measured[Measured Value (kWh)],measured[Site Name],A1257,measured[Date],B1257)),"")</f>
        <v>6058</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f t="shared" si="40"/>
        <v>1.07448497264125</v>
      </c>
      <c r="F1257" t="str">
        <f t="shared" si="41"/>
        <v>Expected</v>
      </c>
      <c r="G1257" t="s">
        <v>874</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hidden="1"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hidden="1" customHeight="1" x14ac:dyDescent="0.3">
      <c r="A1293" t="s">
        <v>134</v>
      </c>
      <c r="B1293" s="2">
        <v>46235</v>
      </c>
      <c r="C1293" cm="1">
        <f t="array" ref="C1293">IFERROR(IF(SUMPRODUCT((measured[Site Name]=A1293)*(measured[Date]=B1293)*ISNUMBER(measured[Measured Value (kWh)]))=0,"",SUMIFS(measured[Measured Value (kWh)],measured[Site Name],A1293,measured[Date],B1293)),"")</f>
        <v>35675.900999999998</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f t="shared" si="42"/>
        <v>1.0808717347439603</v>
      </c>
      <c r="F1293" t="str">
        <f t="shared" si="43"/>
        <v>Expected</v>
      </c>
      <c r="G1293" t="s">
        <v>874</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hidden="1"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7" ht="15" hidden="1"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c r="G1329" t="s">
        <v>874</v>
      </c>
    </row>
    <row r="1330" spans="1:7"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7"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7"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7"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7"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7"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7"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7"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7"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7"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7"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7"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7"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7"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7"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hidden="1"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hidden="1" customHeight="1" x14ac:dyDescent="0.3">
      <c r="A1365" t="s">
        <v>220</v>
      </c>
      <c r="B1365" s="2">
        <v>46235</v>
      </c>
      <c r="C1365" cm="1">
        <f t="array" ref="C1365">IFERROR(IF(SUMPRODUCT((measured[Site Name]=A1365)*(measured[Date]=B1365)*ISNUMBER(measured[Measured Value (kWh)]))=0,"",SUMIFS(measured[Measured Value (kWh)],measured[Site Name],A1365,measured[Date],B1365)),"")</f>
        <v>35179.4355</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f t="shared" si="44"/>
        <v>0.95556303883700833</v>
      </c>
      <c r="F1365" t="str">
        <f t="shared" si="45"/>
        <v>Expected</v>
      </c>
      <c r="G1365" t="s">
        <v>874</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hidden="1"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hidden="1" customHeight="1" x14ac:dyDescent="0.3">
      <c r="A1401" t="s">
        <v>222</v>
      </c>
      <c r="B1401" s="2">
        <v>46235</v>
      </c>
      <c r="C1401" cm="1">
        <f t="array" ref="C1401">IFERROR(IF(SUMPRODUCT((measured[Site Name]=A1401)*(measured[Date]=B1401)*ISNUMBER(measured[Measured Value (kWh)]))=0,"",SUMIFS(measured[Measured Value (kWh)],measured[Site Name],A1401,measured[Date],B1401)),"")</f>
        <v>9590.4248599999992</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f t="shared" si="44"/>
        <v>0.98657787447664302</v>
      </c>
      <c r="F1401" t="str">
        <f t="shared" si="45"/>
        <v>Expected</v>
      </c>
      <c r="G1401" t="s">
        <v>874</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hidden="1"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hidden="1" customHeight="1" x14ac:dyDescent="0.3">
      <c r="A1437" t="s">
        <v>142</v>
      </c>
      <c r="B1437" s="2">
        <v>46235</v>
      </c>
      <c r="C1437" cm="1">
        <f t="array" ref="C1437">IFERROR(IF(SUMPRODUCT((measured[Site Name]=A1437)*(measured[Date]=B1437)*ISNUMBER(measured[Measured Value (kWh)]))=0,"",SUMIFS(measured[Measured Value (kWh)],measured[Site Name],A1437,measured[Date],B1437)),"")</f>
        <v>4901</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f t="shared" si="46"/>
        <v>1.0116209466014408</v>
      </c>
      <c r="F1437" t="str">
        <f t="shared" si="47"/>
        <v>Expected</v>
      </c>
      <c r="G1437" t="s">
        <v>874</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hidden="1"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7" ht="15" hidden="1" customHeight="1" x14ac:dyDescent="0.3">
      <c r="A1473" t="s">
        <v>145</v>
      </c>
      <c r="B1473" s="2">
        <v>46235</v>
      </c>
      <c r="C1473" cm="1">
        <f t="array" ref="C1473">IFERROR(IF(SUMPRODUCT((measured[Site Name]=A1473)*(measured[Date]=B1473)*ISNUMBER(measured[Measured Value (kWh)]))=0,"",SUMIFS(measured[Measured Value (kWh)],measured[Site Name],A1473,measured[Date],B1473)),"")</f>
        <v>24964.912</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f t="shared" si="48"/>
        <v>0.6838554219179015</v>
      </c>
      <c r="F1473" t="str">
        <f t="shared" si="49"/>
        <v>Poor</v>
      </c>
      <c r="G1473" t="s">
        <v>875</v>
      </c>
    </row>
    <row r="1474" spans="1:7"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7"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7"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7"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7"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7"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7"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7"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7"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7"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7"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7"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7"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7"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7"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hidden="1"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hidden="1" customHeight="1" x14ac:dyDescent="0.3">
      <c r="A1509" t="s">
        <v>152</v>
      </c>
      <c r="B1509" s="2">
        <v>46235</v>
      </c>
      <c r="C1509" cm="1">
        <f t="array" ref="C1509">IFERROR(IF(SUMPRODUCT((measured[Site Name]=A1509)*(measured[Date]=B1509)*ISNUMBER(measured[Measured Value (kWh)]))=0,"",SUMIFS(measured[Measured Value (kWh)],measured[Site Name],A1509,measured[Date],B1509)),"")</f>
        <v>6624</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f t="shared" si="48"/>
        <v>0.67519632066932511</v>
      </c>
      <c r="F1509" t="str">
        <f t="shared" si="49"/>
        <v>Poor</v>
      </c>
      <c r="G1509" t="s">
        <v>875</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hidden="1"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hidden="1" customHeight="1" x14ac:dyDescent="0.3">
      <c r="A1545" t="s">
        <v>149</v>
      </c>
      <c r="B1545" s="2">
        <v>46235</v>
      </c>
      <c r="C1545" cm="1">
        <f t="array" ref="C1545">IFERROR(IF(SUMPRODUCT((measured[Site Name]=A1545)*(measured[Date]=B1545)*ISNUMBER(measured[Measured Value (kWh)]))=0,"",SUMIFS(measured[Measured Value (kWh)],measured[Site Name],A1545,measured[Date],B1545)),"")</f>
        <v>6801</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f t="shared" si="50"/>
        <v>0.86607705678974622</v>
      </c>
      <c r="F1545" t="str">
        <f t="shared" si="51"/>
        <v>Moderate</v>
      </c>
      <c r="G1545" t="s">
        <v>874</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hidden="1" customHeight="1" x14ac:dyDescent="0.3">
      <c r="A1580" s="12" t="s">
        <v>145</v>
      </c>
      <c r="B1580" s="42">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3">
        <f t="shared" si="50"/>
        <v>0.79839152870397345</v>
      </c>
      <c r="F1580" s="12" t="str">
        <f t="shared" si="51"/>
        <v>Moderate</v>
      </c>
      <c r="G1580" s="12" t="s">
        <v>875</v>
      </c>
    </row>
    <row r="1581" spans="1:7" ht="15" hidden="1"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c r="G1581" t="s">
        <v>874</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hidden="1"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7" ht="15" hidden="1" customHeight="1" x14ac:dyDescent="0.3">
      <c r="A1617" t="s">
        <v>157</v>
      </c>
      <c r="B1617" s="2">
        <v>46235</v>
      </c>
      <c r="C1617" cm="1">
        <f t="array" ref="C1617">IFERROR(IF(SUMPRODUCT((measured[Site Name]=A1617)*(measured[Date]=B1617)*ISNUMBER(measured[Measured Value (kWh)]))=0,"",SUMIFS(measured[Measured Value (kWh)],measured[Site Name],A1617,measured[Date],B1617)),"")</f>
        <v>5246</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f t="shared" si="52"/>
        <v>0.89935334334519668</v>
      </c>
      <c r="F1617" t="str">
        <f t="shared" si="53"/>
        <v>Moderate</v>
      </c>
      <c r="G1617" t="s">
        <v>874</v>
      </c>
    </row>
    <row r="1618" spans="1:7"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7"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7"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7"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7"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7"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7"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7"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7"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7"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7"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7"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7"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7"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7"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hidden="1"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hidden="1" customHeight="1" x14ac:dyDescent="0.3">
      <c r="A1653" t="s">
        <v>160</v>
      </c>
      <c r="B1653" s="2">
        <v>46235</v>
      </c>
      <c r="C1653" cm="1">
        <f t="array" ref="C1653">IFERROR(IF(SUMPRODUCT((measured[Site Name]=A1653)*(measured[Date]=B1653)*ISNUMBER(measured[Measured Value (kWh)]))=0,"",SUMIFS(measured[Measured Value (kWh)],measured[Site Name],A1653,measured[Date],B1653)),"")</f>
        <v>18348</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f t="shared" si="52"/>
        <v>1.0945077757297017</v>
      </c>
      <c r="F1653" t="str">
        <f t="shared" si="53"/>
        <v>Expected</v>
      </c>
      <c r="G1653" t="s">
        <v>874</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customHeight="1" x14ac:dyDescent="0.3">
      <c r="A1687" t="s">
        <v>244</v>
      </c>
      <c r="B1687" s="2">
        <v>46174</v>
      </c>
      <c r="C1687" cm="1">
        <f t="array" ref="C1687">IFERROR(IF(SUMPRODUCT((measured[Site Name]=A1687)*(measured[Date]=B1687)*ISNUMBER(measured[Measured Value (kWh)]))=0,"",SUMIFS(measured[Measured Value (kWh)],measured[Site Name],A1687,measured[Date],B1687)),"")</f>
        <v>10720</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f t="shared" si="54"/>
        <v>0.6738747799849133</v>
      </c>
      <c r="F1687" t="str">
        <f t="shared" si="55"/>
        <v>Poor</v>
      </c>
    </row>
    <row r="1688" spans="1:7" ht="15" hidden="1"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hidden="1" customHeight="1" x14ac:dyDescent="0.3">
      <c r="A1689" t="s">
        <v>244</v>
      </c>
      <c r="B1689" s="2">
        <v>46235</v>
      </c>
      <c r="C1689" cm="1">
        <f t="array" ref="C1689">IFERROR(IF(SUMPRODUCT((measured[Site Name]=A1689)*(measured[Date]=B1689)*ISNUMBER(measured[Measured Value (kWh)]))=0,"",SUMIFS(measured[Measured Value (kWh)],measured[Site Name],A1689,measured[Date],B1689)),"")</f>
        <v>9230</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f t="shared" si="54"/>
        <v>0.47565060551404276</v>
      </c>
      <c r="F1689" t="str">
        <f t="shared" si="55"/>
        <v>Poor</v>
      </c>
      <c r="G1689" t="s">
        <v>874</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hidden="1"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hidden="1" customHeight="1" x14ac:dyDescent="0.3">
      <c r="A1725" t="s">
        <v>213</v>
      </c>
      <c r="B1725" s="2">
        <v>46235</v>
      </c>
      <c r="C1725" cm="1">
        <f t="array" ref="C1725">IFERROR(IF(SUMPRODUCT((measured[Site Name]=A1725)*(measured[Date]=B1725)*ISNUMBER(measured[Measured Value (kWh)]))=0,"",SUMIFS(measured[Measured Value (kWh)],measured[Site Name],A1725,measured[Date],B1725)),"")</f>
        <v>6659</v>
      </c>
      <c r="D1725" cm="1">
        <f t="array" ref="D1725">IFERROR(IF(SUMPRODUCT((expected_production[Site Name]=A1725)*(expected_production[Date]=B1725)*ISNUMBER(expected_production[Expected Production (kWh)]))=0,"",SUMIFS(expected_production[Expected Production (kWh)],expected_production[Site Name],A1725,expected_production[Date],B1725)),"")</f>
        <v>7124</v>
      </c>
      <c r="E1725" s="9">
        <f t="shared" si="56"/>
        <v>0.93472768107804605</v>
      </c>
      <c r="F1725" t="str">
        <f t="shared" si="57"/>
        <v>Expected</v>
      </c>
      <c r="G1725" t="s">
        <v>874</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hidden="1"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7" ht="15" hidden="1" customHeight="1" x14ac:dyDescent="0.3">
      <c r="A1761" t="s">
        <v>216</v>
      </c>
      <c r="B1761" s="2">
        <v>46235</v>
      </c>
      <c r="C1761" cm="1">
        <f t="array" ref="C1761">IFERROR(IF(SUMPRODUCT((measured[Site Name]=A1761)*(measured[Date]=B1761)*ISNUMBER(measured[Measured Value (kWh)]))=0,"",SUMIFS(measured[Measured Value (kWh)],measured[Site Name],A1761,measured[Date],B1761)),"")</f>
        <v>20112.53</v>
      </c>
      <c r="D1761" cm="1">
        <f t="array" ref="D1761">IFERROR(IF(SUMPRODUCT((expected_production[Site Name]=A1761)*(expected_production[Date]=B1761)*ISNUMBER(expected_production[Expected Production (kWh)]))=0,"",SUMIFS(expected_production[Expected Production (kWh)],expected_production[Site Name],A1761,expected_production[Date],B1761)),"")</f>
        <v>22417</v>
      </c>
      <c r="E1761" s="9">
        <f t="shared" si="56"/>
        <v>0.89719989293839486</v>
      </c>
      <c r="F1761" t="str">
        <f t="shared" si="57"/>
        <v>Moderate</v>
      </c>
      <c r="G1761" t="s">
        <v>875</v>
      </c>
    </row>
    <row r="1762" spans="1:7"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7"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7"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7"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7"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7"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7"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7"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7"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7"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7"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7"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7"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7"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7"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hidden="1"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hidden="1" customHeight="1" x14ac:dyDescent="0.3">
      <c r="A1797" t="s">
        <v>218</v>
      </c>
      <c r="B1797" s="2">
        <v>46235</v>
      </c>
      <c r="C1797" cm="1">
        <f t="array" ref="C1797">IFERROR(IF(SUMPRODUCT((measured[Site Name]=A1797)*(measured[Date]=B1797)*ISNUMBER(measured[Measured Value (kWh)]))=0,"",SUMIFS(measured[Measured Value (kWh)],measured[Site Name],A1797,measured[Date],B1797)),"")</f>
        <v>2900</v>
      </c>
      <c r="D1797" cm="1">
        <f t="array" ref="D1797">IFERROR(IF(SUMPRODUCT((expected_production[Site Name]=A1797)*(expected_production[Date]=B1797)*ISNUMBER(expected_production[Expected Production (kWh)]))=0,"",SUMIFS(expected_production[Expected Production (kWh)],expected_production[Site Name],A1797,expected_production[Date],B1797)),"")</f>
        <v>7340</v>
      </c>
      <c r="E1797" s="9">
        <f t="shared" si="58"/>
        <v>0.39509536784741145</v>
      </c>
      <c r="F1797" t="str">
        <f t="shared" si="59"/>
        <v>Poor</v>
      </c>
      <c r="G1797" t="s">
        <v>875</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hidden="1"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hidden="1"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c r="G1833" t="s">
        <v>874</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hidden="1"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hidden="1" customHeight="1" x14ac:dyDescent="0.3">
      <c r="A1869" t="s">
        <v>166</v>
      </c>
      <c r="B1869" s="2">
        <v>46235</v>
      </c>
      <c r="C1869" cm="1">
        <f t="array" ref="C1869">IFERROR(IF(SUMPRODUCT((measured[Site Name]=A1869)*(measured[Date]=B1869)*ISNUMBER(measured[Measured Value (kWh)]))=0,"",SUMIFS(measured[Measured Value (kWh)],measured[Site Name],A1869,measured[Date],B1869)),"")</f>
        <v>13852</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f t="shared" si="60"/>
        <v>0.60229753115407025</v>
      </c>
      <c r="F1869" t="str">
        <f t="shared" si="61"/>
        <v>Poor</v>
      </c>
      <c r="G1869" t="s">
        <v>874</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hidden="1"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7" ht="15" hidden="1" customHeight="1" x14ac:dyDescent="0.3">
      <c r="A1905" t="s">
        <v>169</v>
      </c>
      <c r="B1905" s="2">
        <v>46235</v>
      </c>
      <c r="C1905" cm="1">
        <f t="array" ref="C1905">IFERROR(IF(SUMPRODUCT((measured[Site Name]=A1905)*(measured[Date]=B1905)*ISNUMBER(measured[Measured Value (kWh)]))=0,"",SUMIFS(measured[Measured Value (kWh)],measured[Site Name],A1905,measured[Date],B1905)),"")</f>
        <v>1071</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f t="shared" si="60"/>
        <v>0.32411575562700967</v>
      </c>
      <c r="F1905" t="str">
        <f t="shared" si="61"/>
        <v>Poor</v>
      </c>
      <c r="G1905" t="s">
        <v>874</v>
      </c>
    </row>
    <row r="1906" spans="1:7"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7"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7"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7"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7"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7"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7"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7"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7"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7"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7"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7"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7"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7"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7"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hidden="1"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hidden="1" customHeight="1" x14ac:dyDescent="0.3">
      <c r="A1941" t="s">
        <v>171</v>
      </c>
      <c r="B1941" s="2">
        <v>46235</v>
      </c>
      <c r="C1941" cm="1">
        <f t="array" ref="C1941">IFERROR(IF(SUMPRODUCT((measured[Site Name]=A1941)*(measured[Date]=B1941)*ISNUMBER(measured[Measured Value (kWh)]))=0,"",SUMIFS(measured[Measured Value (kWh)],measured[Site Name],A1941,measured[Date],B1941)),"")</f>
        <v>8202</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f t="shared" si="62"/>
        <v>0.95720303452734745</v>
      </c>
      <c r="F1941" t="str">
        <f t="shared" si="63"/>
        <v>Expected</v>
      </c>
      <c r="G1941" t="s">
        <v>874</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hidden="1"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hidden="1" customHeight="1" x14ac:dyDescent="0.3">
      <c r="A1977" t="s">
        <v>172</v>
      </c>
      <c r="B1977" s="2">
        <v>46235</v>
      </c>
      <c r="C1977" cm="1">
        <f t="array" ref="C1977">IFERROR(IF(SUMPRODUCT((measured[Site Name]=A1977)*(measured[Date]=B1977)*ISNUMBER(measured[Measured Value (kWh)]))=0,"",SUMIFS(measured[Measured Value (kWh)],measured[Site Name],A1977,measured[Date],B1977)),"")</f>
        <v>9679.5108</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f t="shared" si="62"/>
        <v>0.98469733523161651</v>
      </c>
      <c r="F1977" t="str">
        <f t="shared" si="63"/>
        <v>Expected</v>
      </c>
      <c r="G1977" t="s">
        <v>874</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hidden="1"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hidden="1" customHeight="1" x14ac:dyDescent="0.3">
      <c r="A2013" t="s">
        <v>177</v>
      </c>
      <c r="B2013" s="2">
        <v>46235</v>
      </c>
      <c r="C2013" cm="1">
        <f t="array" ref="C2013">IFERROR(IF(SUMPRODUCT((measured[Site Name]=A2013)*(measured[Date]=B2013)*ISNUMBER(measured[Measured Value (kWh)]))=0,"",SUMIFS(measured[Measured Value (kWh)],measured[Site Name],A2013,measured[Date],B2013)),"")</f>
        <v>3905</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f t="shared" si="64"/>
        <v>0.95151072124756331</v>
      </c>
      <c r="F2013" t="str">
        <f t="shared" si="65"/>
        <v>Expected</v>
      </c>
      <c r="G2013" t="s">
        <v>874</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hidden="1"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7" ht="15" hidden="1"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c r="G2049" t="s">
        <v>874</v>
      </c>
    </row>
    <row r="2050" spans="1:7"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7"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7"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7"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7"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7"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7"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7"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7"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7"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7"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7"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7"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7"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7"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hidden="1"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hidden="1" customHeight="1" x14ac:dyDescent="0.3">
      <c r="A2085" t="s">
        <v>180</v>
      </c>
      <c r="B2085" s="2">
        <v>46235</v>
      </c>
      <c r="C2085" cm="1">
        <f t="array" ref="C2085">IFERROR(IF(SUMPRODUCT((measured[Site Name]=A2085)*(measured[Date]=B2085)*ISNUMBER(measured[Measured Value (kWh)]))=0,"",SUMIFS(measured[Measured Value (kWh)],measured[Site Name],A2085,measured[Date],B2085)),"")</f>
        <v>17067.580000000002</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f t="shared" si="66"/>
        <v>0.94446823934348234</v>
      </c>
      <c r="F2085" t="str">
        <f t="shared" si="67"/>
        <v>Expected</v>
      </c>
      <c r="G2085" t="s">
        <v>874</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hidden="1"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hidden="1" customHeight="1" x14ac:dyDescent="0.3">
      <c r="A2121" t="s">
        <v>241</v>
      </c>
      <c r="B2121" s="2">
        <v>46235</v>
      </c>
      <c r="C2121" cm="1">
        <f t="array" ref="C2121">IFERROR(IF(SUMPRODUCT((measured[Site Name]=A2121)*(measured[Date]=B2121)*ISNUMBER(measured[Measured Value (kWh)]))=0,"",SUMIFS(measured[Measured Value (kWh)],measured[Site Name],A2121,measured[Date],B2121)),"")</f>
        <v>16951.843000000001</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f t="shared" si="68"/>
        <v>0.81334230551477293</v>
      </c>
      <c r="F2121" t="str">
        <f t="shared" si="69"/>
        <v>Moderate</v>
      </c>
      <c r="G2121" t="s">
        <v>875</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hidden="1"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hidden="1" customHeight="1" x14ac:dyDescent="0.3">
      <c r="A2157" t="s">
        <v>182</v>
      </c>
      <c r="B2157" s="2">
        <v>46235</v>
      </c>
      <c r="C2157" cm="1">
        <f t="array" ref="C2157">IFERROR(IF(SUMPRODUCT((measured[Site Name]=A2157)*(measured[Date]=B2157)*ISNUMBER(measured[Measured Value (kWh)]))=0,"",SUMIFS(measured[Measured Value (kWh)],measured[Site Name],A2157,measured[Date],B2157)),"")</f>
        <v>9821.36</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f t="shared" si="68"/>
        <v>0.57559566194591205</v>
      </c>
      <c r="F2157" t="str">
        <f t="shared" si="69"/>
        <v>Poor</v>
      </c>
      <c r="G2157" t="s">
        <v>874</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hidden="1"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7" ht="15" hidden="1" customHeight="1" x14ac:dyDescent="0.3">
      <c r="A2193" t="s">
        <v>184</v>
      </c>
      <c r="B2193" s="2">
        <v>46235</v>
      </c>
      <c r="C2193" cm="1">
        <f t="array" ref="C2193">IFERROR(IF(SUMPRODUCT((measured[Site Name]=A2193)*(measured[Date]=B2193)*ISNUMBER(measured[Measured Value (kWh)]))=0,"",SUMIFS(measured[Measured Value (kWh)],measured[Site Name],A2193,measured[Date],B2193)),"")</f>
        <v>21703.83</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f t="shared" si="70"/>
        <v>0.83343560638060932</v>
      </c>
      <c r="F2193" t="str">
        <f t="shared" si="71"/>
        <v>Moderate</v>
      </c>
      <c r="G2193" t="s">
        <v>874</v>
      </c>
    </row>
    <row r="2194" spans="1:7"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7"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7"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7"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7"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7"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7"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7"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7"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7"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7"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7"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7"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7"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7"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hidden="1"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hidden="1" customHeight="1" x14ac:dyDescent="0.3">
      <c r="A2229" t="s">
        <v>186</v>
      </c>
      <c r="B2229" s="2">
        <v>46235</v>
      </c>
      <c r="C2229" cm="1">
        <f t="array" ref="C2229">IFERROR(IF(SUMPRODUCT((measured[Site Name]=A2229)*(measured[Date]=B2229)*ISNUMBER(measured[Measured Value (kWh)]))=0,"",SUMIFS(measured[Measured Value (kWh)],measured[Site Name],A2229,measured[Date],B2229)),"")</f>
        <v>20218.59</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f t="shared" si="70"/>
        <v>0.77844346650958107</v>
      </c>
      <c r="F2229" t="str">
        <f t="shared" si="71"/>
        <v>Moderate</v>
      </c>
      <c r="G2229" t="s">
        <v>874</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hidden="1"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hidden="1" customHeight="1" x14ac:dyDescent="0.3">
      <c r="A2265" t="s">
        <v>188</v>
      </c>
      <c r="B2265" s="2">
        <v>46235</v>
      </c>
      <c r="C2265" cm="1">
        <f t="array" ref="C2265">IFERROR(IF(SUMPRODUCT((measured[Site Name]=A2265)*(measured[Date]=B2265)*ISNUMBER(measured[Measured Value (kWh)]))=0,"",SUMIFS(measured[Measured Value (kWh)],measured[Site Name],A2265,measured[Date],B2265)),"")</f>
        <v>14997.19</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f t="shared" si="72"/>
        <v>0.9449132092114797</v>
      </c>
      <c r="F2265" t="str">
        <f t="shared" si="73"/>
        <v>Expected</v>
      </c>
      <c r="G2265" t="s">
        <v>874</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hidden="1"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hidden="1" customHeight="1" x14ac:dyDescent="0.3">
      <c r="A2301" t="s">
        <v>226</v>
      </c>
      <c r="B2301" s="2">
        <v>46235</v>
      </c>
      <c r="C2301" cm="1">
        <f t="array" ref="C2301">IFERROR(IF(SUMPRODUCT((measured[Site Name]=A2301)*(measured[Date]=B2301)*ISNUMBER(measured[Measured Value (kWh)]))=0,"",SUMIFS(measured[Measured Value (kWh)],measured[Site Name],A2301,measured[Date],B2301)),"")</f>
        <v>22467.353999999999</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f t="shared" si="74"/>
        <v>1.1639186248912097</v>
      </c>
      <c r="F2301" t="str">
        <f t="shared" si="75"/>
        <v>Expected</v>
      </c>
      <c r="G2301" t="s">
        <v>874</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hidden="1"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7" ht="15" hidden="1" customHeight="1" x14ac:dyDescent="0.3">
      <c r="A2337" s="12" t="s">
        <v>208</v>
      </c>
      <c r="B2337" s="42">
        <v>46235</v>
      </c>
      <c r="C2337" s="12" cm="1">
        <f t="array" ref="C2337">IFERROR(IF(SUMPRODUCT((measured[Site Name]=A2337)*(measured[Date]=B2337)*ISNUMBER(measured[Measured Value (kWh)]))=0,"",SUMIFS(measured[Measured Value (kWh)],measured[Site Name],A2337,measured[Date],B2337)),"")</f>
        <v>11233.53</v>
      </c>
      <c r="D2337" s="12"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43">
        <f t="shared" si="74"/>
        <v>0.77554989437057287</v>
      </c>
      <c r="F2337" s="12" t="str">
        <f t="shared" si="75"/>
        <v>Moderate</v>
      </c>
      <c r="G2337" s="12" t="s">
        <v>875</v>
      </c>
    </row>
    <row r="2338" spans="1:7"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7"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7"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7"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7"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7"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7"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7"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7"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7"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7"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7"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7"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7"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7"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hidden="1"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hidden="1" customHeight="1" x14ac:dyDescent="0.3">
      <c r="A2373" t="s">
        <v>190</v>
      </c>
      <c r="B2373" s="2">
        <v>46235</v>
      </c>
      <c r="C2373" cm="1">
        <f t="array" ref="C2373">IFERROR(IF(SUMPRODUCT((measured[Site Name]=A2373)*(measured[Date]=B2373)*ISNUMBER(measured[Measured Value (kWh)]))=0,"",SUMIFS(measured[Measured Value (kWh)],measured[Site Name],A2373,measured[Date],B2373)),"")</f>
        <v>9565</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f t="shared" si="76"/>
        <v>0.64467557956772703</v>
      </c>
      <c r="F2373" t="str">
        <f t="shared" si="77"/>
        <v>Poor</v>
      </c>
      <c r="G2373" t="s">
        <v>874</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hidden="1"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hidden="1" customHeight="1" x14ac:dyDescent="0.3">
      <c r="A2409" t="s">
        <v>199</v>
      </c>
      <c r="B2409" s="2">
        <v>46235</v>
      </c>
      <c r="C2409" cm="1">
        <f t="array" ref="C2409">IFERROR(IF(SUMPRODUCT((measured[Site Name]=A2409)*(measured[Date]=B2409)*ISNUMBER(measured[Measured Value (kWh)]))=0,"",SUMIFS(measured[Measured Value (kWh)],measured[Site Name],A2409,measured[Date],B2409)),"")</f>
        <v>3050</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f t="shared" si="76"/>
        <v>0.87353754063381583</v>
      </c>
      <c r="F2409" t="str">
        <f t="shared" si="77"/>
        <v>Moderate</v>
      </c>
      <c r="G2409" t="s">
        <v>874</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hidden="1"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hidden="1"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c r="G2445" t="s">
        <v>874</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hidden="1"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7" ht="15" hidden="1" customHeight="1" x14ac:dyDescent="0.3">
      <c r="A2481" t="s">
        <v>194</v>
      </c>
      <c r="B2481" s="2">
        <v>46235</v>
      </c>
      <c r="C2481" cm="1">
        <f t="array" ref="C2481">IFERROR(IF(SUMPRODUCT((measured[Site Name]=A2481)*(measured[Date]=B2481)*ISNUMBER(measured[Measured Value (kWh)]))=0,"",SUMIFS(measured[Measured Value (kWh)],measured[Site Name],A2481,measured[Date],B2481)),"")</f>
        <v>3881</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f t="shared" si="78"/>
        <v>0.71335355206322948</v>
      </c>
      <c r="F2481" t="str">
        <f t="shared" si="79"/>
        <v>Moderate</v>
      </c>
      <c r="G2481" t="s">
        <v>874</v>
      </c>
    </row>
    <row r="2482" spans="1:7"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7"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7"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7"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7"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7"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7"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7"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7"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7"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7"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7"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7"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7"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7"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hidden="1"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hidden="1" customHeight="1" x14ac:dyDescent="0.3">
      <c r="A2517" t="s">
        <v>196</v>
      </c>
      <c r="B2517" s="2">
        <v>46235</v>
      </c>
      <c r="C2517" cm="1">
        <f t="array" ref="C2517">IFERROR(IF(SUMPRODUCT((measured[Site Name]=A2517)*(measured[Date]=B2517)*ISNUMBER(measured[Measured Value (kWh)]))=0,"",SUMIFS(measured[Measured Value (kWh)],measured[Site Name],A2517,measured[Date],B2517)),"")</f>
        <v>3769</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f t="shared" si="80"/>
        <v>1.1643497065183812</v>
      </c>
      <c r="F2517" t="str">
        <f t="shared" si="81"/>
        <v>Expected</v>
      </c>
      <c r="G2517" t="s">
        <v>874</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hidden="1"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hidden="1" customHeight="1" x14ac:dyDescent="0.3">
      <c r="A2553" t="s">
        <v>201</v>
      </c>
      <c r="B2553" s="2">
        <v>46235</v>
      </c>
      <c r="C2553" cm="1">
        <f t="array" ref="C2553">IFERROR(IF(SUMPRODUCT((measured[Site Name]=A2553)*(measured[Date]=B2553)*ISNUMBER(measured[Measured Value (kWh)]))=0,"",SUMIFS(measured[Measured Value (kWh)],measured[Site Name],A2553,measured[Date],B2553)),"")</f>
        <v>11112</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f t="shared" si="80"/>
        <v>0.83784255541979402</v>
      </c>
      <c r="F2553" t="str">
        <f t="shared" si="81"/>
        <v>Moderate</v>
      </c>
      <c r="G2553" t="s">
        <v>874</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hidden="1"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hidden="1" customHeight="1" x14ac:dyDescent="0.3">
      <c r="A2589" t="s">
        <v>211</v>
      </c>
      <c r="B2589" s="2">
        <v>46235</v>
      </c>
      <c r="C2589" cm="1">
        <f t="array" ref="C2589">IFERROR(IF(SUMPRODUCT((measured[Site Name]=A2589)*(measured[Date]=B2589)*ISNUMBER(measured[Measured Value (kWh)]))=0,"",SUMIFS(measured[Measured Value (kWh)],measured[Site Name],A2589,measured[Date],B2589)),"")</f>
        <v>4145</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f t="shared" si="82"/>
        <v>0.87758299457994582</v>
      </c>
      <c r="F2589" t="str">
        <f t="shared" si="83"/>
        <v>Moderate</v>
      </c>
      <c r="G2589" t="s">
        <v>874</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hidden="1"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7" ht="15" hidden="1" customHeight="1" x14ac:dyDescent="0.3">
      <c r="A2625" s="12" t="s">
        <v>202</v>
      </c>
      <c r="B2625" s="42">
        <v>46235</v>
      </c>
      <c r="C2625" s="12" cm="1">
        <f t="array" ref="C2625">IFERROR(IF(SUMPRODUCT((measured[Site Name]=A2625)*(measured[Date]=B2625)*ISNUMBER(measured[Measured Value (kWh)]))=0,"",SUMIFS(measured[Measured Value (kWh)],measured[Site Name],A2625,measured[Date],B2625)),"")</f>
        <v>18697</v>
      </c>
      <c r="D2625" s="12"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43">
        <f t="shared" si="84"/>
        <v>0.8473139915345641</v>
      </c>
      <c r="F2625" s="12" t="str">
        <f t="shared" si="85"/>
        <v>Moderate</v>
      </c>
      <c r="G2625" s="12" t="s">
        <v>874</v>
      </c>
    </row>
    <row r="2626" spans="1:7"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7"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7"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7"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7"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7"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7"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7"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7"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7"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7"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7"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7"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7"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7"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hidden="1"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hidden="1"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c r="G2661" t="s">
        <v>874</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x14ac:dyDescent="0.3">
      <c r="A2695" t="s">
        <v>251</v>
      </c>
      <c r="B2695" s="2">
        <v>46174</v>
      </c>
      <c r="C2695" cm="1">
        <f t="array" ref="C2695">IFERROR(IF(SUMPRODUCT((measured[Site Name]=A2695)*(measured[Date]=B2695)*ISNUMBER(measured[Measured Value (kWh)]))=0,"",SUMIFS(measured[Measured Value (kWh)],measured[Site Name],A2695,measured[Date],B2695)),"")</f>
        <v>14172</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f t="shared" si="86"/>
        <v>0.84518633818188316</v>
      </c>
      <c r="F2695" t="str">
        <f t="shared" si="87"/>
        <v>Moderate</v>
      </c>
    </row>
    <row r="2696" spans="1:7" hidden="1"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hidden="1" x14ac:dyDescent="0.3">
      <c r="A2697" t="s">
        <v>251</v>
      </c>
      <c r="B2697" s="2">
        <v>46235</v>
      </c>
      <c r="C2697" cm="1">
        <f t="array" ref="C2697">IFERROR(IF(SUMPRODUCT((measured[Site Name]=A2697)*(measured[Date]=B2697)*ISNUMBER(measured[Measured Value (kWh)]))=0,"",SUMIFS(measured[Measured Value (kWh)],measured[Site Name],A2697,measured[Date],B2697)),"")</f>
        <v>19960.113000000001</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f t="shared" si="86"/>
        <v>0.93660641637456532</v>
      </c>
      <c r="F2697" t="str">
        <f t="shared" si="87"/>
        <v>Expected</v>
      </c>
      <c r="G2697" t="s">
        <v>874</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hidden="1"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hidden="1" x14ac:dyDescent="0.3">
      <c r="A2733" t="s">
        <v>250</v>
      </c>
      <c r="B2733" s="2">
        <v>46235</v>
      </c>
      <c r="C2733" cm="1">
        <f t="array" ref="C2733">IFERROR(IF(SUMPRODUCT((measured[Site Name]=A2733)*(measured[Date]=B2733)*ISNUMBER(measured[Measured Value (kWh)]))=0,"",SUMIFS(measured[Measured Value (kWh)],measured[Site Name],A2733,measured[Date],B2733)),"")</f>
        <v>29161</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f t="shared" si="86"/>
        <v>0.92137607663968346</v>
      </c>
      <c r="F2733" t="str">
        <f t="shared" si="87"/>
        <v>Expected</v>
      </c>
      <c r="G2733" t="s">
        <v>874</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hidden="1"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hidden="1" x14ac:dyDescent="0.3">
      <c r="A2769" t="s">
        <v>271</v>
      </c>
      <c r="B2769" s="2">
        <v>46235</v>
      </c>
      <c r="C2769" cm="1">
        <f t="array" ref="C2769">IFERROR(IF(SUMPRODUCT((measured[Site Name]=A2769)*(measured[Date]=B2769)*ISNUMBER(measured[Measured Value (kWh)]))=0,"",SUMIFS(measured[Measured Value (kWh)],measured[Site Name],A2769,measured[Date],B2769)),"")</f>
        <v>14833.727999999999</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f t="shared" ref="E2769:E2772" si="90">IF(OR(C2769="",D2769="",D2769=0),"",C2769/D2769)</f>
        <v>1.1315880895003878</v>
      </c>
      <c r="F2769" t="str">
        <f t="shared" ref="F2769:F2772" si="91">IF(E2769="","",IF(E2769&gt;=0.9,"Expected",IF(E2769&gt;=0.7,"Moderate","Poor")))</f>
        <v>Expected</v>
      </c>
      <c r="G2769" t="s">
        <v>875</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hidden="1"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hidden="1" x14ac:dyDescent="0.3">
      <c r="A2775" t="s">
        <v>1004</v>
      </c>
      <c r="B2775" s="2">
        <v>46235</v>
      </c>
      <c r="C2775" cm="1">
        <f t="array" ref="C2775">IFERROR(IF(SUMPRODUCT((measured[Site Name]=A2775)*(measured[Date]=B2775)*ISNUMBER(measured[Measured Value (kWh)]))=0,"",SUMIFS(measured[Measured Value (kWh)],measured[Site Name],A2775,measured[Date],B2775)),"")</f>
        <v>4246.9290000000001</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f t="shared" si="92"/>
        <v>0.80829222336416584</v>
      </c>
      <c r="F2775" t="str">
        <f t="shared" si="93"/>
        <v>Moderate</v>
      </c>
      <c r="G2775" t="s">
        <v>874</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disablePrompts="1"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Props1.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2026-09-17T09:24:35Z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